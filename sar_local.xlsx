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10.121.21.252\matriz_rs\Claro\PROJETO F\"/>
    </mc:Choice>
  </mc:AlternateContent>
  <xr:revisionPtr revIDLastSave="0" documentId="13_ncr:1_{2B0A0614-6C2E-4D4C-807B-40B0D3B169D7}" xr6:coauthVersionLast="47" xr6:coauthVersionMax="47" xr10:uidLastSave="{00000000-0000-0000-0000-000000000000}"/>
  <bookViews>
    <workbookView xWindow="-28920" yWindow="-120" windowWidth="29040" windowHeight="15720" activeTab="7" xr2:uid="{00000000-000D-0000-FFFF-FFFF00000000}"/>
  </bookViews>
  <sheets>
    <sheet name="NODES" sheetId="1" r:id="rId1"/>
    <sheet name="Ext. MDU" sheetId="2" r:id="rId2"/>
    <sheet name="ANALISE" sheetId="7" r:id="rId3"/>
    <sheet name="CORREIOS" sheetId="4" r:id="rId4"/>
    <sheet name="GPON PRÉ-VIAVEL" sheetId="3" r:id="rId5"/>
    <sheet name="Localização" sheetId="5" r:id="rId6"/>
    <sheet name="Planilha1" sheetId="6" r:id="rId7"/>
    <sheet name="Planilha2" sheetId="8" r:id="rId8"/>
  </sheets>
  <definedNames>
    <definedName name="_xlnm._FilterDatabase" localSheetId="3" hidden="1">CORREIOS!$B$4:$S$236</definedName>
    <definedName name="_xlnm._FilterDatabase" localSheetId="1" hidden="1">'Ext. MDU'!$A$4:$AE$1070</definedName>
    <definedName name="_xlnm._FilterDatabase" localSheetId="4" hidden="1">'GPON PRÉ-VIAVEL'!$B$4:$Y$489</definedName>
    <definedName name="_xlnm._FilterDatabase" localSheetId="5" hidden="1">Localização!$B$17:$G$41</definedName>
    <definedName name="_xlnm._FilterDatabase" localSheetId="0" hidden="1">NODES!$A$6:$AV$685</definedName>
    <definedName name="_xlnm._FilterDatabase" localSheetId="7" hidden="1">Planilha2!$G$2:$H$2</definedName>
  </definedNames>
  <calcPr calcId="191029"/>
  <pivotCaches>
    <pivotCache cacheId="0" r:id="rId9"/>
  </pivotCaches>
  <fileRecoveryPr repairLoad="1"/>
</workbook>
</file>

<file path=xl/calcChain.xml><?xml version="1.0" encoding="utf-8"?>
<calcChain xmlns="http://schemas.openxmlformats.org/spreadsheetml/2006/main">
  <c r="Z1069" i="2" l="1"/>
  <c r="Z1068" i="2"/>
  <c r="AB1068" i="2" s="1"/>
  <c r="Z1067" i="2"/>
  <c r="AB1067" i="2" s="1"/>
  <c r="Z1066" i="2"/>
  <c r="AB1066" i="2" s="1"/>
  <c r="Z1065" i="2"/>
  <c r="AB1065" i="2" s="1"/>
  <c r="Z1064" i="2"/>
  <c r="AB1064" i="2" s="1"/>
  <c r="Z1063" i="2"/>
  <c r="AB1063" i="2" s="1"/>
  <c r="Z1062" i="2"/>
  <c r="AB1062" i="2" s="1"/>
  <c r="Z1061" i="2"/>
  <c r="AB1061" i="2" s="1"/>
  <c r="Z1060" i="2"/>
  <c r="AB1060" i="2" s="1"/>
  <c r="Z1057" i="2"/>
  <c r="AB1057" i="2" s="1"/>
  <c r="Z1056" i="2"/>
  <c r="AB1056" i="2" s="1"/>
  <c r="Z1055" i="2"/>
  <c r="AB1055" i="2" s="1"/>
  <c r="Z1054" i="2"/>
  <c r="AB1054" i="2" s="1"/>
  <c r="Z1059" i="2"/>
  <c r="AB1059" i="2" s="1"/>
  <c r="Z1058" i="2"/>
  <c r="AB1058" i="2" s="1"/>
  <c r="AB1070" i="2"/>
  <c r="AB561" i="2"/>
  <c r="AC501" i="2"/>
  <c r="AA1053" i="2"/>
  <c r="AA1052" i="2"/>
  <c r="AA1051" i="2"/>
  <c r="AA1050" i="2"/>
  <c r="AA1049" i="2"/>
  <c r="AA1048" i="2"/>
  <c r="AA1047" i="2"/>
  <c r="AA1046" i="2"/>
  <c r="AA1045" i="2"/>
  <c r="AA1044" i="2"/>
  <c r="AA181" i="2"/>
  <c r="AA549" i="2"/>
  <c r="AA480" i="2"/>
  <c r="AA475" i="2"/>
  <c r="AA131" i="2"/>
  <c r="AA1005" i="2"/>
  <c r="AA521" i="2"/>
  <c r="AA617" i="2"/>
  <c r="AA146" i="2"/>
  <c r="AA528" i="2"/>
  <c r="AA518" i="2"/>
  <c r="AA329" i="2"/>
  <c r="AA602" i="2"/>
  <c r="AA212" i="2"/>
  <c r="AA603" i="2"/>
  <c r="AA504" i="2"/>
  <c r="AA1070" i="2"/>
  <c r="Z1070" i="2" s="1"/>
  <c r="AA452" i="2"/>
  <c r="AA550" i="2"/>
  <c r="AA469" i="2"/>
  <c r="AA595" i="2"/>
  <c r="AA155" i="2"/>
  <c r="AA427" i="2"/>
  <c r="AA913" i="2"/>
  <c r="AA600" i="2"/>
  <c r="AA432" i="2"/>
  <c r="AA474" i="2"/>
  <c r="AA562" i="2"/>
  <c r="AA574" i="2"/>
  <c r="AA573" i="2"/>
  <c r="AA169" i="2"/>
  <c r="AA597" i="2"/>
  <c r="AA503" i="2"/>
  <c r="AA479" i="2"/>
  <c r="AA611" i="2"/>
  <c r="AA566" i="2"/>
  <c r="AA516" i="2"/>
  <c r="AA156" i="2"/>
  <c r="AA429" i="2"/>
  <c r="AA992" i="2"/>
  <c r="AA69" i="2"/>
  <c r="AA901" i="2"/>
  <c r="AA894" i="2"/>
  <c r="AA819" i="2"/>
  <c r="AA822" i="2"/>
  <c r="AA734" i="2"/>
  <c r="AA701" i="2"/>
  <c r="AA685" i="2"/>
  <c r="AA762" i="2"/>
  <c r="AA565" i="2"/>
  <c r="AA891" i="2"/>
  <c r="AA442" i="2"/>
  <c r="Z442" i="2" s="1"/>
  <c r="AA594" i="2"/>
  <c r="Z594" i="2" s="1"/>
  <c r="AA1069" i="2"/>
  <c r="AA706" i="2"/>
  <c r="Z706" i="2" s="1"/>
  <c r="AA507" i="2"/>
  <c r="Z507" i="2" s="1"/>
  <c r="AA509" i="2"/>
  <c r="Z509" i="2" s="1"/>
  <c r="AA508" i="2"/>
  <c r="Z508" i="2" s="1"/>
  <c r="AA506" i="2"/>
  <c r="Z506" i="2" s="1"/>
  <c r="AA421" i="2"/>
  <c r="Z421" i="2" s="1"/>
  <c r="AA133" i="2"/>
  <c r="Z133" i="2" s="1"/>
  <c r="AA130" i="2"/>
  <c r="Z130" i="2" s="1"/>
  <c r="AA444" i="2"/>
  <c r="Z444" i="2" s="1"/>
  <c r="AA196" i="2"/>
  <c r="Z196" i="2" s="1"/>
  <c r="AA792" i="2"/>
  <c r="Z792" i="2" s="1"/>
  <c r="AA397" i="2"/>
  <c r="Z397" i="2" s="1"/>
  <c r="AA441" i="2"/>
  <c r="Z441" i="2" s="1"/>
  <c r="AA526" i="2"/>
  <c r="Z526" i="2" s="1"/>
  <c r="AA440" i="2"/>
  <c r="Z440" i="2" s="1"/>
  <c r="AA99" i="2"/>
  <c r="Z99" i="2" s="1"/>
  <c r="AA219" i="2"/>
  <c r="Z219" i="2" s="1"/>
  <c r="AA430" i="2"/>
  <c r="Z430" i="2" s="1"/>
  <c r="AA428" i="2"/>
  <c r="Z428" i="2" s="1"/>
  <c r="AA481" i="2"/>
  <c r="Z481" i="2" s="1"/>
  <c r="AA388" i="2"/>
  <c r="Z388" i="2" s="1"/>
  <c r="AA364" i="2"/>
  <c r="Z364" i="2" s="1"/>
  <c r="AA570" i="2"/>
  <c r="Z570" i="2" s="1"/>
  <c r="AA392" i="2"/>
  <c r="Z392" i="2" s="1"/>
  <c r="AA496" i="2"/>
  <c r="Z496" i="2" s="1"/>
  <c r="AA599" i="2"/>
  <c r="Z599" i="2" s="1"/>
  <c r="AA223" i="2"/>
  <c r="Z223" i="2" s="1"/>
  <c r="AA495" i="2"/>
  <c r="Z495" i="2" s="1"/>
  <c r="AA501" i="2"/>
  <c r="Z501" i="2" s="1"/>
  <c r="AA610" i="2"/>
  <c r="Z610" i="2" s="1"/>
  <c r="AA576" i="2"/>
  <c r="Z576" i="2" s="1"/>
  <c r="AA132" i="2"/>
  <c r="Z132" i="2" s="1"/>
  <c r="AA525" i="2"/>
  <c r="Z525" i="2" s="1"/>
  <c r="AA159" i="2"/>
  <c r="Z159" i="2" s="1"/>
  <c r="AA609" i="2"/>
  <c r="Z609" i="2" s="1"/>
  <c r="AA502" i="2"/>
  <c r="Z502" i="2" s="1"/>
  <c r="AA616" i="2"/>
  <c r="Z616" i="2" s="1"/>
  <c r="AA577" i="2"/>
  <c r="Z577" i="2" s="1"/>
  <c r="AA170" i="2"/>
  <c r="Z170" i="2" s="1"/>
  <c r="AA380" i="2"/>
  <c r="Z380" i="2" s="1"/>
  <c r="AA840" i="2"/>
  <c r="Z840" i="2" s="1"/>
  <c r="AA612" i="2"/>
  <c r="Z612" i="2" s="1"/>
  <c r="AA114" i="2"/>
  <c r="Z114" i="2" s="1"/>
  <c r="AA161" i="2"/>
  <c r="Z161" i="2" s="1"/>
  <c r="AA998" i="2"/>
  <c r="Z998" i="2" s="1"/>
  <c r="AA483" i="2"/>
  <c r="Z483" i="2" s="1"/>
  <c r="AA606" i="2"/>
  <c r="Z606" i="2" s="1"/>
  <c r="AA607" i="2"/>
  <c r="Z607" i="2" s="1"/>
  <c r="AA614" i="2"/>
  <c r="Z614" i="2" s="1"/>
  <c r="AA716" i="2"/>
  <c r="Z716" i="2" s="1"/>
  <c r="AA523" i="2"/>
  <c r="Z523" i="2" s="1"/>
  <c r="AA342" i="2"/>
  <c r="Z342" i="2" s="1"/>
  <c r="AA224" i="2"/>
  <c r="Z224" i="2" s="1"/>
  <c r="AA464" i="2"/>
  <c r="Z464" i="2" s="1"/>
  <c r="AA201" i="2"/>
  <c r="Z201" i="2" s="1"/>
  <c r="AA400" i="2"/>
  <c r="Z400" i="2" s="1"/>
  <c r="AA561" i="2"/>
  <c r="Z561" i="2" s="1"/>
  <c r="AA74" i="2"/>
  <c r="Z74" i="2" s="1"/>
  <c r="AA76" i="2"/>
  <c r="Z76" i="2" s="1"/>
  <c r="AA514" i="2"/>
  <c r="Z514" i="2" s="1"/>
  <c r="AB514" i="2" s="1"/>
  <c r="AA1032" i="2"/>
  <c r="Z1032" i="2" s="1"/>
  <c r="AA596" i="2"/>
  <c r="Z596" i="2" s="1"/>
  <c r="AA416" i="2"/>
  <c r="Z416" i="2" s="1"/>
  <c r="AA746" i="2"/>
  <c r="Z746" i="2" s="1"/>
  <c r="AA439" i="2"/>
  <c r="Z439" i="2" s="1"/>
  <c r="AA188" i="2"/>
  <c r="Z188" i="2" s="1"/>
  <c r="AA774" i="2"/>
  <c r="Z774" i="2" s="1"/>
  <c r="AA608" i="2"/>
  <c r="Z608" i="2" s="1"/>
  <c r="AA477" i="2"/>
  <c r="Z477" i="2" s="1"/>
  <c r="AA876" i="2"/>
  <c r="Z876" i="2" s="1"/>
  <c r="AA695" i="2"/>
  <c r="Z695" i="2" s="1"/>
  <c r="AA473" i="2"/>
  <c r="Z473" i="2" s="1"/>
  <c r="AA512" i="2"/>
  <c r="Z512" i="2" s="1"/>
  <c r="AA711" i="2"/>
  <c r="Z711" i="2" s="1"/>
  <c r="AA559" i="2"/>
  <c r="Z559" i="2" s="1"/>
  <c r="AA336" i="2"/>
  <c r="Z336" i="2" s="1"/>
  <c r="AA160" i="2"/>
  <c r="Z160" i="2" s="1"/>
  <c r="AA693" i="2"/>
  <c r="Z693" i="2" s="1"/>
  <c r="AA449" i="2"/>
  <c r="Z449" i="2" s="1"/>
  <c r="AA448" i="2"/>
  <c r="Z448" i="2" s="1"/>
  <c r="AA563" i="2"/>
  <c r="Z563" i="2" s="1"/>
  <c r="AA672" i="2"/>
  <c r="Z672" i="2" s="1"/>
  <c r="AA417" i="2"/>
  <c r="Z417" i="2" s="1"/>
  <c r="AA72" i="2"/>
  <c r="Z72" i="2" s="1"/>
  <c r="AA628" i="2"/>
  <c r="Z628" i="2" s="1"/>
  <c r="AA571" i="2"/>
  <c r="Z571" i="2" s="1"/>
  <c r="AA245" i="2"/>
  <c r="Z245" i="2" s="1"/>
  <c r="AA225" i="2"/>
  <c r="Z225" i="2" s="1"/>
  <c r="AA164" i="2"/>
  <c r="Z164" i="2" s="1"/>
  <c r="AA450" i="2"/>
  <c r="Z450" i="2" s="1"/>
  <c r="AA593" i="2"/>
  <c r="Z593" i="2" s="1"/>
  <c r="AA1034" i="2"/>
  <c r="Z1034" i="2" s="1"/>
  <c r="AA409" i="2"/>
  <c r="Z409" i="2" s="1"/>
  <c r="AA564" i="2"/>
  <c r="Z564" i="2" s="1"/>
  <c r="AA500" i="2"/>
  <c r="Z500" i="2" s="1"/>
  <c r="AA73" i="2"/>
  <c r="Z73" i="2" s="1"/>
  <c r="AA233" i="2"/>
  <c r="Z233" i="2" s="1"/>
  <c r="AA177" i="2"/>
  <c r="Z177" i="2" s="1"/>
  <c r="AA645" i="2"/>
  <c r="Z645" i="2" s="1"/>
  <c r="AA558" i="2"/>
  <c r="Z558" i="2" s="1"/>
  <c r="AA272" i="2"/>
  <c r="Z272" i="2" s="1"/>
  <c r="AA1040" i="2"/>
  <c r="Z1040" i="2" s="1"/>
  <c r="AA265" i="2"/>
  <c r="Z265" i="2" s="1"/>
  <c r="AA694" i="2"/>
  <c r="Z694" i="2" s="1"/>
  <c r="AA476" i="2"/>
  <c r="Z476" i="2" s="1"/>
  <c r="AA536" i="2"/>
  <c r="Z536" i="2" s="1"/>
  <c r="AA408" i="2"/>
  <c r="Z408" i="2" s="1"/>
  <c r="AA331" i="2"/>
  <c r="Z331" i="2" s="1"/>
  <c r="AA499" i="2"/>
  <c r="Z499" i="2" s="1"/>
  <c r="AA484" i="2"/>
  <c r="Z484" i="2" s="1"/>
  <c r="AA154" i="2"/>
  <c r="Z154" i="2" s="1"/>
  <c r="AA584" i="2"/>
  <c r="Z584" i="2" s="1"/>
  <c r="AA434" i="2"/>
  <c r="Z434" i="2" s="1"/>
  <c r="AA557" i="2"/>
  <c r="Z557" i="2" s="1"/>
  <c r="AA494" i="2"/>
  <c r="Z494" i="2" s="1"/>
  <c r="AA522" i="2"/>
  <c r="Z522" i="2" s="1"/>
  <c r="AA510" i="2"/>
  <c r="Z510" i="2" s="1"/>
  <c r="AA554" i="2"/>
  <c r="Z554" i="2" s="1"/>
  <c r="AA468" i="2"/>
  <c r="Z468" i="2" s="1"/>
  <c r="AA712" i="2"/>
  <c r="Z712" i="2" s="1"/>
  <c r="AA961" i="2"/>
  <c r="Z961" i="2" s="1"/>
  <c r="AA697" i="2"/>
  <c r="Z697" i="2" s="1"/>
  <c r="AA767" i="2"/>
  <c r="Z767" i="2" s="1"/>
  <c r="AA453" i="2"/>
  <c r="Z453" i="2" s="1"/>
  <c r="AA426" i="2"/>
  <c r="Z426" i="2" s="1"/>
  <c r="AA533" i="2"/>
  <c r="Z533" i="2" s="1"/>
  <c r="AA682" i="2"/>
  <c r="Z682" i="2" s="1"/>
  <c r="AA831" i="2"/>
  <c r="Z831" i="2" s="1"/>
  <c r="AA547" i="2"/>
  <c r="Z547" i="2" s="1"/>
  <c r="AA851" i="2"/>
  <c r="Z851" i="2" s="1"/>
  <c r="AA683" i="2"/>
  <c r="Z683" i="2" s="1"/>
  <c r="AA423" i="2"/>
  <c r="Z423" i="2" s="1"/>
  <c r="AA454" i="2"/>
  <c r="Z454" i="2" s="1"/>
  <c r="AA910" i="2"/>
  <c r="Z910" i="2" s="1"/>
  <c r="AA515" i="2"/>
  <c r="Z515" i="2" s="1"/>
  <c r="AA795" i="2"/>
  <c r="Z795" i="2" s="1"/>
  <c r="AA187" i="2"/>
  <c r="Z187" i="2" s="1"/>
  <c r="AA898" i="2"/>
  <c r="Z898" i="2" s="1"/>
  <c r="AA493" i="2"/>
  <c r="Z493" i="2" s="1"/>
  <c r="AA11" i="2"/>
  <c r="Z11" i="2" s="1"/>
  <c r="AA420" i="2"/>
  <c r="Z420" i="2" s="1"/>
  <c r="AA46" i="2"/>
  <c r="Z46" i="2" s="1"/>
  <c r="AA266" i="2"/>
  <c r="Z266" i="2" s="1"/>
  <c r="AA699" i="2"/>
  <c r="Z699" i="2" s="1"/>
  <c r="AA136" i="2"/>
  <c r="Z136" i="2" s="1"/>
  <c r="AA539" i="2"/>
  <c r="Z539" i="2" s="1"/>
  <c r="AA568" i="2"/>
  <c r="Z568" i="2" s="1"/>
  <c r="AA137" i="2"/>
  <c r="Z137" i="2" s="1"/>
  <c r="AA232" i="2"/>
  <c r="Z232" i="2" s="1"/>
  <c r="AA178" i="2"/>
  <c r="Z178" i="2" s="1"/>
  <c r="AA287" i="2"/>
  <c r="Z287" i="2" s="1"/>
  <c r="AA997" i="2"/>
  <c r="Z997" i="2" s="1"/>
  <c r="AA551" i="2"/>
  <c r="Z551" i="2" s="1"/>
  <c r="AA538" i="2"/>
  <c r="Z538" i="2" s="1"/>
  <c r="AA553" i="2"/>
  <c r="Z553" i="2" s="1"/>
  <c r="AA648" i="2"/>
  <c r="Z648" i="2" s="1"/>
  <c r="AA33" i="2"/>
  <c r="Z33" i="2" s="1"/>
  <c r="AA129" i="2"/>
  <c r="Z129" i="2" s="1"/>
  <c r="AA541" i="2"/>
  <c r="Z541" i="2" s="1"/>
  <c r="AA66" i="2"/>
  <c r="Z66" i="2" s="1"/>
  <c r="AA113" i="2"/>
  <c r="Z113" i="2" s="1"/>
  <c r="AA472" i="2"/>
  <c r="Z472" i="2" s="1"/>
  <c r="AA240" i="2"/>
  <c r="Z240" i="2" s="1"/>
  <c r="AA433" i="2"/>
  <c r="Z433" i="2" s="1"/>
  <c r="AA531" i="2"/>
  <c r="Z531" i="2" s="1"/>
  <c r="AA436" i="2"/>
  <c r="Z436" i="2" s="1"/>
  <c r="AA635" i="2"/>
  <c r="Z635" i="2" s="1"/>
  <c r="AA237" i="2"/>
  <c r="Z237" i="2" s="1"/>
  <c r="AA238" i="2"/>
  <c r="Z238" i="2" s="1"/>
  <c r="AA465" i="2"/>
  <c r="Z465" i="2" s="1"/>
  <c r="AA451" i="2"/>
  <c r="Z451" i="2" s="1"/>
  <c r="AA592" i="2"/>
  <c r="Z592" i="2" s="1"/>
  <c r="AA893" i="2"/>
  <c r="Z893" i="2" s="1"/>
  <c r="AA184" i="2"/>
  <c r="Z184" i="2" s="1"/>
  <c r="AA226" i="2"/>
  <c r="Z226" i="2" s="1"/>
  <c r="AA431" i="2"/>
  <c r="Z431" i="2" s="1"/>
  <c r="AA218" i="2"/>
  <c r="Z218" i="2" s="1"/>
  <c r="AA111" i="2"/>
  <c r="Z111" i="2" s="1"/>
  <c r="AA1036" i="2"/>
  <c r="Z1036" i="2" s="1"/>
  <c r="AA823" i="2"/>
  <c r="Z823" i="2" s="1"/>
  <c r="AA109" i="2"/>
  <c r="Z109" i="2" s="1"/>
  <c r="AA973" i="2"/>
  <c r="Z973" i="2" s="1"/>
  <c r="AA419" i="2"/>
  <c r="Z419" i="2" s="1"/>
  <c r="AA398" i="2"/>
  <c r="Z398" i="2" s="1"/>
  <c r="AA657" i="2"/>
  <c r="Z657" i="2" s="1"/>
  <c r="AA656" i="2"/>
  <c r="Z656" i="2" s="1"/>
  <c r="AA655" i="2"/>
  <c r="Z655" i="2" s="1"/>
  <c r="AA654" i="2"/>
  <c r="Z654" i="2" s="1"/>
  <c r="AA745" i="2"/>
  <c r="Z745" i="2" s="1"/>
  <c r="AA814" i="2"/>
  <c r="Z814" i="2" s="1"/>
  <c r="AA71" i="2"/>
  <c r="Z71" i="2" s="1"/>
  <c r="AA70" i="2"/>
  <c r="Z70" i="2" s="1"/>
  <c r="AA84" i="2"/>
  <c r="Z84" i="2" s="1"/>
  <c r="AA153" i="2"/>
  <c r="Z153" i="2" s="1"/>
  <c r="AA121" i="2"/>
  <c r="Z121" i="2" s="1"/>
  <c r="AA280" i="2"/>
  <c r="Z280" i="2" s="1"/>
  <c r="AA791" i="2"/>
  <c r="Z791" i="2" s="1"/>
  <c r="AA186" i="2"/>
  <c r="Z186" i="2" s="1"/>
  <c r="AA361" i="2"/>
  <c r="Z361" i="2" s="1"/>
  <c r="AA1068" i="2"/>
  <c r="AA152" i="2"/>
  <c r="Z152" i="2" s="1"/>
  <c r="AA976" i="2"/>
  <c r="Z976" i="2" s="1"/>
  <c r="AA935" i="2"/>
  <c r="Z935" i="2" s="1"/>
  <c r="AA809" i="2"/>
  <c r="Z809" i="2" s="1"/>
  <c r="AA1012" i="2"/>
  <c r="Z1012" i="2" s="1"/>
  <c r="AA372" i="2"/>
  <c r="Z372" i="2" s="1"/>
  <c r="AA498" i="2"/>
  <c r="Z498" i="2" s="1"/>
  <c r="AA546" i="2"/>
  <c r="Z546" i="2" s="1"/>
  <c r="AA379" i="2"/>
  <c r="Z379" i="2" s="1"/>
  <c r="AA371" i="2"/>
  <c r="Z371" i="2" s="1"/>
  <c r="AA405" i="2"/>
  <c r="Z405" i="2" s="1"/>
  <c r="AA569" i="2"/>
  <c r="Z569" i="2" s="1"/>
  <c r="AA256" i="2"/>
  <c r="Z256" i="2" s="1"/>
  <c r="AA471" i="2"/>
  <c r="Z471" i="2" s="1"/>
  <c r="AB471" i="2" s="1"/>
  <c r="AA251" i="2"/>
  <c r="Z251" i="2" s="1"/>
  <c r="AA750" i="2"/>
  <c r="Z750" i="2" s="1"/>
  <c r="AA490" i="2"/>
  <c r="Z490" i="2" s="1"/>
  <c r="AA253" i="2"/>
  <c r="Z253" i="2" s="1"/>
  <c r="AA119" i="2"/>
  <c r="Z119" i="2" s="1"/>
  <c r="AA1013" i="2"/>
  <c r="Z1013" i="2" s="1"/>
  <c r="AA179" i="2"/>
  <c r="Z179" i="2" s="1"/>
  <c r="AA202" i="2"/>
  <c r="Z202" i="2" s="1"/>
  <c r="AA775" i="2"/>
  <c r="Z775" i="2" s="1"/>
  <c r="AA355" i="2"/>
  <c r="Z355" i="2" s="1"/>
  <c r="AA789" i="2"/>
  <c r="Z789" i="2" s="1"/>
  <c r="AA97" i="2"/>
  <c r="Z97" i="2" s="1"/>
  <c r="AA785" i="2"/>
  <c r="Z785" i="2" s="1"/>
  <c r="AA545" i="2"/>
  <c r="Z545" i="2" s="1"/>
  <c r="AA135" i="2"/>
  <c r="Z135" i="2" s="1"/>
  <c r="AA519" i="2"/>
  <c r="Z519" i="2" s="1"/>
  <c r="AA214" i="2"/>
  <c r="Z214" i="2" s="1"/>
  <c r="AA376" i="2"/>
  <c r="Z376" i="2" s="1"/>
  <c r="AA776" i="2"/>
  <c r="Z776" i="2" s="1"/>
  <c r="AA552" i="2"/>
  <c r="Z552" i="2" s="1"/>
  <c r="AA877" i="2"/>
  <c r="Z877" i="2" s="1"/>
  <c r="AA892" i="2"/>
  <c r="Z892" i="2" s="1"/>
  <c r="AA497" i="2"/>
  <c r="Z497" i="2" s="1"/>
  <c r="AA220" i="2"/>
  <c r="Z220" i="2" s="1"/>
  <c r="AA370" i="2"/>
  <c r="Z370" i="2" s="1"/>
  <c r="AA96" i="2"/>
  <c r="Z96" i="2" s="1"/>
  <c r="AA878" i="2"/>
  <c r="Z878" i="2" s="1"/>
  <c r="AA784" i="2"/>
  <c r="Z784" i="2" s="1"/>
  <c r="AA95" i="2"/>
  <c r="Z95" i="2" s="1"/>
  <c r="AA579" i="2"/>
  <c r="Z579" i="2" s="1"/>
  <c r="AA548" i="2"/>
  <c r="Z548" i="2" s="1"/>
  <c r="AA908" i="2"/>
  <c r="Z908" i="2" s="1"/>
  <c r="AA94" i="2"/>
  <c r="Z94" i="2" s="1"/>
  <c r="AA93" i="2"/>
  <c r="Z93" i="2" s="1"/>
  <c r="AA881" i="2"/>
  <c r="Z881" i="2" s="1"/>
  <c r="AA836" i="2"/>
  <c r="Z836" i="2" s="1"/>
  <c r="AA443" i="2"/>
  <c r="Z443" i="2" s="1"/>
  <c r="AA298" i="2"/>
  <c r="Z298" i="2" s="1"/>
  <c r="AA101" i="2"/>
  <c r="Z101" i="2" s="1"/>
  <c r="AA870" i="2"/>
  <c r="Z870" i="2" s="1"/>
  <c r="AA185" i="2"/>
  <c r="Z185" i="2" s="1"/>
  <c r="AA530" i="2"/>
  <c r="Z530" i="2" s="1"/>
  <c r="AA350" i="2"/>
  <c r="Z350" i="2" s="1"/>
  <c r="AA1031" i="2"/>
  <c r="Z1031" i="2" s="1"/>
  <c r="AA829" i="2"/>
  <c r="Z829" i="2" s="1"/>
  <c r="AA1004" i="2"/>
  <c r="Z1004" i="2" s="1"/>
  <c r="AA229" i="2"/>
  <c r="Z229" i="2" s="1"/>
  <c r="AA68" i="2"/>
  <c r="Z68" i="2" s="1"/>
  <c r="AA390" i="2"/>
  <c r="Z390" i="2" s="1"/>
  <c r="AA744" i="2"/>
  <c r="Z744" i="2" s="1"/>
  <c r="AA387" i="2"/>
  <c r="Z387" i="2" s="1"/>
  <c r="AA128" i="2"/>
  <c r="Z128" i="2" s="1"/>
  <c r="AA615" i="2"/>
  <c r="Z615" i="2" s="1"/>
  <c r="AA737" i="2"/>
  <c r="Z737" i="2" s="1"/>
  <c r="AA738" i="2"/>
  <c r="Z738" i="2" s="1"/>
  <c r="AA736" i="2"/>
  <c r="Z736" i="2" s="1"/>
  <c r="AA978" i="2"/>
  <c r="Z978" i="2" s="1"/>
  <c r="AA139" i="2"/>
  <c r="Z139" i="2" s="1"/>
  <c r="AA352" i="2"/>
  <c r="Z352" i="2" s="1"/>
  <c r="AA323" i="2"/>
  <c r="Z323" i="2" s="1"/>
  <c r="AA459" i="2"/>
  <c r="Z459" i="2" s="1"/>
  <c r="AA407" i="2"/>
  <c r="Z407" i="2" s="1"/>
  <c r="AA455" i="2"/>
  <c r="Z455" i="2" s="1"/>
  <c r="AA365" i="2"/>
  <c r="Z365" i="2" s="1"/>
  <c r="AA721" i="2"/>
  <c r="Z721" i="2" s="1"/>
  <c r="AA808" i="2"/>
  <c r="Z808" i="2" s="1"/>
  <c r="AA811" i="2"/>
  <c r="Z811" i="2" s="1"/>
  <c r="AA1039" i="2"/>
  <c r="Z1039" i="2" s="1"/>
  <c r="AA91" i="2"/>
  <c r="Z91" i="2" s="1"/>
  <c r="AA880" i="2"/>
  <c r="Z880" i="2" s="1"/>
  <c r="AA337" i="2"/>
  <c r="Z337" i="2" s="1"/>
  <c r="AA884" i="2"/>
  <c r="Z884" i="2" s="1"/>
  <c r="AA115" i="2"/>
  <c r="Z115" i="2" s="1"/>
  <c r="AA360" i="2"/>
  <c r="Z360" i="2" s="1"/>
  <c r="AA717" i="2"/>
  <c r="Z717" i="2" s="1"/>
  <c r="AA351" i="2"/>
  <c r="Z351" i="2" s="1"/>
  <c r="AA1067" i="2"/>
  <c r="AA221" i="2"/>
  <c r="Z221" i="2" s="1"/>
  <c r="AA134" i="2"/>
  <c r="Z134" i="2" s="1"/>
  <c r="AA425" i="2"/>
  <c r="Z425" i="2" s="1"/>
  <c r="AA855" i="2"/>
  <c r="Z855" i="2" s="1"/>
  <c r="AA731" i="2"/>
  <c r="Z731" i="2" s="1"/>
  <c r="AA966" i="2"/>
  <c r="Z966" i="2" s="1"/>
  <c r="AA283" i="2"/>
  <c r="Z283" i="2" s="1"/>
  <c r="AA900" i="2"/>
  <c r="Z900" i="2" s="1"/>
  <c r="AA291" i="2"/>
  <c r="Z291" i="2" s="1"/>
  <c r="AA235" i="2"/>
  <c r="Z235" i="2" s="1"/>
  <c r="AA802" i="2"/>
  <c r="Z802" i="2" s="1"/>
  <c r="AA470" i="2"/>
  <c r="Z470" i="2" s="1"/>
  <c r="AA478" i="2"/>
  <c r="Z478" i="2" s="1"/>
  <c r="AA642" i="2"/>
  <c r="Z642" i="2" s="1"/>
  <c r="AA162" i="2"/>
  <c r="Z162" i="2" s="1"/>
  <c r="AA1066" i="2"/>
  <c r="AA406" i="2"/>
  <c r="Z406" i="2" s="1"/>
  <c r="AA771" i="2"/>
  <c r="Z771" i="2" s="1"/>
  <c r="AA934" i="2"/>
  <c r="Z934" i="2" s="1"/>
  <c r="AA393" i="2"/>
  <c r="Z393" i="2" s="1"/>
  <c r="AA773" i="2"/>
  <c r="Z773" i="2" s="1"/>
  <c r="AA172" i="2"/>
  <c r="Z172" i="2" s="1"/>
  <c r="AA171" i="2"/>
  <c r="Z171" i="2" s="1"/>
  <c r="AA107" i="2"/>
  <c r="Z107" i="2" s="1"/>
  <c r="AA105" i="2"/>
  <c r="Z105" i="2" s="1"/>
  <c r="AA104" i="2"/>
  <c r="Z104" i="2" s="1"/>
  <c r="AA141" i="2"/>
  <c r="Z141" i="2" s="1"/>
  <c r="AA100" i="2"/>
  <c r="Z100" i="2" s="1"/>
  <c r="AA108" i="2"/>
  <c r="Z108" i="2" s="1"/>
  <c r="AA787" i="2"/>
  <c r="Z787" i="2" s="1"/>
  <c r="AA314" i="2"/>
  <c r="Z314" i="2" s="1"/>
  <c r="AA848" i="2"/>
  <c r="Z848" i="2" s="1"/>
  <c r="AA786" i="2"/>
  <c r="Z786" i="2" s="1"/>
  <c r="AA847" i="2"/>
  <c r="Z847" i="2" s="1"/>
  <c r="AA208" i="2"/>
  <c r="Z208" i="2" s="1"/>
  <c r="AA846" i="2"/>
  <c r="Z846" i="2" s="1"/>
  <c r="AA985" i="2"/>
  <c r="Z985" i="2" s="1"/>
  <c r="AA625" i="2"/>
  <c r="Z625" i="2" s="1"/>
  <c r="AA719" i="2"/>
  <c r="Z719" i="2" s="1"/>
  <c r="AA327" i="2"/>
  <c r="Z327" i="2" s="1"/>
  <c r="AA395" i="2"/>
  <c r="Z395" i="2" s="1"/>
  <c r="AA733" i="2"/>
  <c r="Z733" i="2" s="1"/>
  <c r="AA605" i="2"/>
  <c r="Z605" i="2" s="1"/>
  <c r="AA396" i="2"/>
  <c r="Z396" i="2" s="1"/>
  <c r="AA402" i="2"/>
  <c r="Z402" i="2" s="1"/>
  <c r="AA369" i="2"/>
  <c r="Z369" i="2" s="1"/>
  <c r="AA945" i="2"/>
  <c r="Z945" i="2" s="1"/>
  <c r="AA887" i="2"/>
  <c r="AA807" i="2"/>
  <c r="AA797" i="2"/>
  <c r="AA147" i="2"/>
  <c r="AA163" i="2"/>
  <c r="Z163" i="2" s="1"/>
  <c r="AA278" i="2"/>
  <c r="Z278" i="2" s="1"/>
  <c r="AA328" i="2"/>
  <c r="AA198" i="2"/>
  <c r="AA254" i="2"/>
  <c r="AA718" i="2"/>
  <c r="AA325" i="2"/>
  <c r="AA341" i="2"/>
  <c r="AA77" i="2"/>
  <c r="AA827" i="2"/>
  <c r="AA821" i="2"/>
  <c r="AA824" i="2"/>
  <c r="AA810" i="2"/>
  <c r="AA732" i="2"/>
  <c r="AA826" i="2"/>
  <c r="AA458" i="2"/>
  <c r="AA1016" i="2"/>
  <c r="Z1016" i="2" s="1"/>
  <c r="AA1022" i="2"/>
  <c r="Z1022" i="2" s="1"/>
  <c r="AA438" i="2"/>
  <c r="AA190" i="2"/>
  <c r="AA909" i="2"/>
  <c r="AA863" i="2"/>
  <c r="AA969" i="2"/>
  <c r="AA967" i="2"/>
  <c r="AA968" i="2"/>
  <c r="AA231" i="2"/>
  <c r="AA343" i="2"/>
  <c r="AA835" i="2"/>
  <c r="AA918" i="2"/>
  <c r="AA572" i="2"/>
  <c r="AA974" i="2"/>
  <c r="AA1024" i="2"/>
  <c r="AA482" i="2"/>
  <c r="Z482" i="2" s="1"/>
  <c r="AA194" i="2"/>
  <c r="Z194" i="2" s="1"/>
  <c r="AA195" i="2"/>
  <c r="AA193" i="2"/>
  <c r="AA463" i="2"/>
  <c r="AA207" i="2"/>
  <c r="AA621" i="2"/>
  <c r="AA988" i="2"/>
  <c r="AA206" i="2"/>
  <c r="AA798" i="2"/>
  <c r="AA868" i="2"/>
  <c r="AA182" i="2"/>
  <c r="AA875" i="2"/>
  <c r="AA979" i="2"/>
  <c r="AA243" i="2"/>
  <c r="AA435" i="2"/>
  <c r="AA462" i="2"/>
  <c r="Z462" i="2" s="1"/>
  <c r="AA726" i="2"/>
  <c r="AA487" i="2"/>
  <c r="AA524" i="2"/>
  <c r="AA540" i="2"/>
  <c r="AA234" i="2"/>
  <c r="AA952" i="2"/>
  <c r="AA1065" i="2"/>
  <c r="AA871" i="2"/>
  <c r="AA110" i="2"/>
  <c r="AA78" i="2"/>
  <c r="AA911" i="2"/>
  <c r="AA1000" i="2"/>
  <c r="AA356" i="2"/>
  <c r="AA316" i="2"/>
  <c r="AA460" i="2"/>
  <c r="AA634" i="2"/>
  <c r="AA987" i="2"/>
  <c r="AA671" i="2"/>
  <c r="AA873" i="2"/>
  <c r="AA647" i="2"/>
  <c r="AA166" i="2"/>
  <c r="AA374" i="2"/>
  <c r="AA82" i="2"/>
  <c r="AA205" i="2"/>
  <c r="AA970" i="2"/>
  <c r="Z970" i="2" s="1"/>
  <c r="AA912" i="2"/>
  <c r="AA373" i="2"/>
  <c r="AA613" i="2"/>
  <c r="Z613" i="2" s="1"/>
  <c r="AA651" i="2"/>
  <c r="AA583" i="2"/>
  <c r="AA622" i="2"/>
  <c r="AA631" i="2"/>
  <c r="AA242" i="2"/>
  <c r="AA650" i="2"/>
  <c r="AA641" i="2"/>
  <c r="AA315" i="2"/>
  <c r="AA555" i="2"/>
  <c r="AA116" i="2"/>
  <c r="AA112" i="2"/>
  <c r="Z112" i="2" s="1"/>
  <c r="AA75" i="2"/>
  <c r="Z75" i="2" s="1"/>
  <c r="AA87" i="2"/>
  <c r="AA138" i="2"/>
  <c r="AA853" i="2"/>
  <c r="AA410" i="2"/>
  <c r="AA709" i="2"/>
  <c r="AA250" i="2"/>
  <c r="AA269" i="2"/>
  <c r="AA273" i="2"/>
  <c r="AA990" i="2"/>
  <c r="AA85" i="2"/>
  <c r="AA713" i="2"/>
  <c r="AA248" i="2"/>
  <c r="AA989" i="2"/>
  <c r="AA83" i="2"/>
  <c r="AA313" i="2"/>
  <c r="AA1064" i="2"/>
  <c r="AA902" i="2"/>
  <c r="AA899" i="2"/>
  <c r="AA722" i="2"/>
  <c r="AA790" i="2"/>
  <c r="AA176" i="2"/>
  <c r="AA246" i="2"/>
  <c r="AA678" i="2"/>
  <c r="AA944" i="2"/>
  <c r="Z944" i="2" s="1"/>
  <c r="AA862" i="2"/>
  <c r="Z862" i="2" s="1"/>
  <c r="AA175" i="2"/>
  <c r="Z175" i="2" s="1"/>
  <c r="AB175" i="2" s="1"/>
  <c r="AA820" i="2"/>
  <c r="AA957" i="2"/>
  <c r="AA723" i="2"/>
  <c r="AA971" i="2"/>
  <c r="AA688" i="2"/>
  <c r="AA926" i="2"/>
  <c r="AA857" i="2"/>
  <c r="AA850" i="2"/>
  <c r="Z850" i="2" s="1"/>
  <c r="AA936" i="2"/>
  <c r="Z936" i="2" s="1"/>
  <c r="AA585" i="2"/>
  <c r="Z585" i="2" s="1"/>
  <c r="AA674" i="2"/>
  <c r="Z674" i="2" s="1"/>
  <c r="AA197" i="2"/>
  <c r="Z197" i="2" s="1"/>
  <c r="AA993" i="2"/>
  <c r="Z993" i="2" s="1"/>
  <c r="AA353" i="2"/>
  <c r="Z353" i="2" s="1"/>
  <c r="AA216" i="2"/>
  <c r="Z216" i="2" s="1"/>
  <c r="AA542" i="2"/>
  <c r="Z542" i="2" s="1"/>
  <c r="AA975" i="2"/>
  <c r="Z975" i="2" s="1"/>
  <c r="AA742" i="2"/>
  <c r="Z742" i="2" s="1"/>
  <c r="AA151" i="2"/>
  <c r="Z151" i="2" s="1"/>
  <c r="AA710" i="2"/>
  <c r="Z710" i="2" s="1"/>
  <c r="AA122" i="2"/>
  <c r="Z122" i="2" s="1"/>
  <c r="AA759" i="2"/>
  <c r="Z759" i="2" s="1"/>
  <c r="AA173" i="2"/>
  <c r="Z173" i="2" s="1"/>
  <c r="AA924" i="2"/>
  <c r="Z924" i="2" s="1"/>
  <c r="AA779" i="2"/>
  <c r="Z779" i="2" s="1"/>
  <c r="AA947" i="2"/>
  <c r="Z947" i="2" s="1"/>
  <c r="AA461" i="2"/>
  <c r="Z461" i="2" s="1"/>
  <c r="AA165" i="2"/>
  <c r="Z165" i="2" s="1"/>
  <c r="AA191" i="2"/>
  <c r="Z191" i="2" s="1"/>
  <c r="AA915" i="2"/>
  <c r="Z915" i="2" s="1"/>
  <c r="AA743" i="2"/>
  <c r="Z743" i="2" s="1"/>
  <c r="AA158" i="2"/>
  <c r="Z158" i="2" s="1"/>
  <c r="AA852" i="2"/>
  <c r="Z852" i="2" s="1"/>
  <c r="AA715" i="2"/>
  <c r="Z715" i="2" s="1"/>
  <c r="AA673" i="2"/>
  <c r="Z673" i="2" s="1"/>
  <c r="AA854" i="2"/>
  <c r="Z854" i="2" s="1"/>
  <c r="AA143" i="2"/>
  <c r="Z143" i="2" s="1"/>
  <c r="AA1063" i="2"/>
  <c r="AA1062" i="2"/>
  <c r="AA210" i="2"/>
  <c r="Z210" i="2" s="1"/>
  <c r="AA783" i="2"/>
  <c r="Z783" i="2" s="1"/>
  <c r="AA294" i="2"/>
  <c r="Z294" i="2" s="1"/>
  <c r="AA780" i="2"/>
  <c r="Z780" i="2" s="1"/>
  <c r="AA680" i="2"/>
  <c r="Z680" i="2" s="1"/>
  <c r="AA270" i="2"/>
  <c r="Z270" i="2" s="1"/>
  <c r="AA1061" i="2"/>
  <c r="AA290" i="2"/>
  <c r="Z290" i="2" s="1"/>
  <c r="AA758" i="2"/>
  <c r="Z758" i="2" s="1"/>
  <c r="AA321" i="2"/>
  <c r="Z321" i="2" s="1"/>
  <c r="AA529" i="2"/>
  <c r="Z529" i="2" s="1"/>
  <c r="AB529" i="2" s="1"/>
  <c r="AA703" i="2"/>
  <c r="Z703" i="2" s="1"/>
  <c r="AA646" i="2"/>
  <c r="Z646" i="2" s="1"/>
  <c r="AA844" i="2"/>
  <c r="Z844" i="2" s="1"/>
  <c r="AA828" i="2"/>
  <c r="Z828" i="2" s="1"/>
  <c r="AA958" i="2"/>
  <c r="Z958" i="2" s="1"/>
  <c r="AA1001" i="2"/>
  <c r="Z1001" i="2" s="1"/>
  <c r="AA288" i="2"/>
  <c r="Z288" i="2" s="1"/>
  <c r="AA923" i="2"/>
  <c r="Z923" i="2" s="1"/>
  <c r="AA80" i="2"/>
  <c r="Z80" i="2" s="1"/>
  <c r="AA81" i="2"/>
  <c r="Z81" i="2" s="1"/>
  <c r="AA803" i="2"/>
  <c r="Z803" i="2" s="1"/>
  <c r="AA1014" i="2"/>
  <c r="Z1014" i="2" s="1"/>
  <c r="AA914" i="2"/>
  <c r="Z914" i="2" s="1"/>
  <c r="AA349" i="2"/>
  <c r="Z349" i="2" s="1"/>
  <c r="AA841" i="2"/>
  <c r="Z841" i="2" s="1"/>
  <c r="AA705" i="2"/>
  <c r="Z705" i="2" s="1"/>
  <c r="AA937" i="2"/>
  <c r="Z937" i="2" s="1"/>
  <c r="AA148" i="2"/>
  <c r="Z148" i="2" s="1"/>
  <c r="AA174" i="2"/>
  <c r="Z174" i="2" s="1"/>
  <c r="AA977" i="2"/>
  <c r="Z977" i="2" s="1"/>
  <c r="AA770" i="2"/>
  <c r="Z770" i="2" s="1"/>
  <c r="AA689" i="2"/>
  <c r="Z689" i="2" s="1"/>
  <c r="AA582" i="2"/>
  <c r="Z582" i="2" s="1"/>
  <c r="AA560" i="2"/>
  <c r="Z560" i="2" s="1"/>
  <c r="AA326" i="2"/>
  <c r="Z326" i="2" s="1"/>
  <c r="AA258" i="2"/>
  <c r="Z258" i="2" s="1"/>
  <c r="AA643" i="2"/>
  <c r="Z643" i="2" s="1"/>
  <c r="AA320" i="2"/>
  <c r="Z320" i="2" s="1"/>
  <c r="AA312" i="2"/>
  <c r="Z312" i="2" s="1"/>
  <c r="AA106" i="2"/>
  <c r="Z106" i="2" s="1"/>
  <c r="AA739" i="2"/>
  <c r="Z739" i="2" s="1"/>
  <c r="AA79" i="2"/>
  <c r="Z79" i="2" s="1"/>
  <c r="AA67" i="2"/>
  <c r="Z67" i="2" s="1"/>
  <c r="AA377" i="2"/>
  <c r="Z377" i="2" s="1"/>
  <c r="AA940" i="2"/>
  <c r="Z940" i="2" s="1"/>
  <c r="AA637" i="2"/>
  <c r="Z637" i="2" s="1"/>
  <c r="AA999" i="2"/>
  <c r="Z999" i="2" s="1"/>
  <c r="AA729" i="2"/>
  <c r="Z729" i="2" s="1"/>
  <c r="AA653" i="2"/>
  <c r="Z653" i="2" s="1"/>
  <c r="AA883" i="2"/>
  <c r="Z883" i="2" s="1"/>
  <c r="AA532" i="2"/>
  <c r="Z532" i="2" s="1"/>
  <c r="AA619" i="2"/>
  <c r="Z619" i="2" s="1"/>
  <c r="AA228" i="2"/>
  <c r="Z228" i="2" s="1"/>
  <c r="AA286" i="2"/>
  <c r="Z286" i="2" s="1"/>
  <c r="AA289" i="2"/>
  <c r="Z289" i="2" s="1"/>
  <c r="AA667" i="2"/>
  <c r="Z667" i="2" s="1"/>
  <c r="AA86" i="2"/>
  <c r="Z86" i="2" s="1"/>
  <c r="AA708" i="2"/>
  <c r="Z708" i="2" s="1"/>
  <c r="AA281" i="2"/>
  <c r="Z281" i="2" s="1"/>
  <c r="AA282" i="2"/>
  <c r="Z282" i="2" s="1"/>
  <c r="AA636" i="2"/>
  <c r="Z636" i="2" s="1"/>
  <c r="AA411" i="2"/>
  <c r="Z411" i="2" s="1"/>
  <c r="AA263" i="2"/>
  <c r="Z263" i="2" s="1"/>
  <c r="AA801" i="2"/>
  <c r="Z801" i="2" s="1"/>
  <c r="AA765" i="2"/>
  <c r="Z765" i="2" s="1"/>
  <c r="AA687" i="2"/>
  <c r="Z687" i="2" s="1"/>
  <c r="AA661" i="2"/>
  <c r="Z661" i="2" s="1"/>
  <c r="AA991" i="2"/>
  <c r="Z991" i="2" s="1"/>
  <c r="AA293" i="2"/>
  <c r="Z293" i="2" s="1"/>
  <c r="AA620" i="2"/>
  <c r="Z620" i="2" s="1"/>
  <c r="AA375" i="2"/>
  <c r="Z375" i="2" s="1"/>
  <c r="AA35" i="2"/>
  <c r="Z35" i="2" s="1"/>
  <c r="AA662" i="2"/>
  <c r="Z662" i="2" s="1"/>
  <c r="AA679" i="2"/>
  <c r="Z679" i="2" s="1"/>
  <c r="AA144" i="2"/>
  <c r="Z144" i="2" s="1"/>
  <c r="AA677" i="2"/>
  <c r="Z677" i="2" s="1"/>
  <c r="AA660" i="2"/>
  <c r="Z660" i="2" s="1"/>
  <c r="AA259" i="2"/>
  <c r="Z259" i="2" s="1"/>
  <c r="AA618" i="2"/>
  <c r="Z618" i="2" s="1"/>
  <c r="AA415" i="2"/>
  <c r="Z415" i="2" s="1"/>
  <c r="AA262" i="2"/>
  <c r="Z262" i="2" s="1"/>
  <c r="AA707" i="2"/>
  <c r="Z707" i="2" s="1"/>
  <c r="AA652" i="2"/>
  <c r="Z652" i="2" s="1"/>
  <c r="AA633" i="2"/>
  <c r="Z633" i="2" s="1"/>
  <c r="AA271" i="2"/>
  <c r="Z271" i="2" s="1"/>
  <c r="AA916" i="2"/>
  <c r="Z916" i="2" s="1"/>
  <c r="AA13" i="2"/>
  <c r="Z13" i="2" s="1"/>
  <c r="AA704" i="2"/>
  <c r="Z704" i="2" s="1"/>
  <c r="AA663" i="2"/>
  <c r="Z663" i="2" s="1"/>
  <c r="AA37" i="2"/>
  <c r="Z37" i="2" s="1"/>
  <c r="AA627" i="2"/>
  <c r="Z627" i="2" s="1"/>
  <c r="AA845" i="2"/>
  <c r="Z845" i="2" s="1"/>
  <c r="AA623" i="2"/>
  <c r="Z623" i="2" s="1"/>
  <c r="AA659" i="2"/>
  <c r="Z659" i="2" s="1"/>
  <c r="AA714" i="2"/>
  <c r="Z714" i="2" s="1"/>
  <c r="AA274" i="2"/>
  <c r="Z274" i="2" s="1"/>
  <c r="AA800" i="2"/>
  <c r="Z800" i="2" s="1"/>
  <c r="AA799" i="2"/>
  <c r="Z799" i="2" s="1"/>
  <c r="AA825" i="2"/>
  <c r="Z825" i="2" s="1"/>
  <c r="AA638" i="2"/>
  <c r="Z638" i="2" s="1"/>
  <c r="AA670" i="2"/>
  <c r="Z670" i="2" s="1"/>
  <c r="AA38" i="2"/>
  <c r="Z38" i="2" s="1"/>
  <c r="AA5" i="2"/>
  <c r="Z5" i="2" s="1"/>
  <c r="AA788" i="2"/>
  <c r="Z788" i="2" s="1"/>
  <c r="AA833" i="2"/>
  <c r="Z833" i="2" s="1"/>
  <c r="AA769" i="2"/>
  <c r="Z769" i="2" s="1"/>
  <c r="AA575" i="2"/>
  <c r="Z575" i="2" s="1"/>
  <c r="AA535" i="2"/>
  <c r="Z535" i="2" s="1"/>
  <c r="AA534" i="2"/>
  <c r="Z534" i="2" s="1"/>
  <c r="AA264" i="2"/>
  <c r="Z264" i="2" s="1"/>
  <c r="AA589" i="2"/>
  <c r="Z589" i="2" s="1"/>
  <c r="AA702" i="2"/>
  <c r="Z702" i="2" s="1"/>
  <c r="AA1038" i="2"/>
  <c r="Z1038" i="2" s="1"/>
  <c r="AA929" i="2"/>
  <c r="Z929" i="2" s="1"/>
  <c r="AA928" i="2"/>
  <c r="Z928" i="2" s="1"/>
  <c r="AA120" i="2"/>
  <c r="Z120" i="2" s="1"/>
  <c r="AA236" i="2"/>
  <c r="Z236" i="2" s="1"/>
  <c r="AA813" i="2"/>
  <c r="Z813" i="2" s="1"/>
  <c r="AA698" i="2"/>
  <c r="Z698" i="2" s="1"/>
  <c r="AA279" i="2"/>
  <c r="Z279" i="2" s="1"/>
  <c r="AA686" i="2"/>
  <c r="Z686" i="2" s="1"/>
  <c r="AA217" i="2"/>
  <c r="Z217" i="2" s="1"/>
  <c r="AA843" i="2"/>
  <c r="Z843" i="2" s="1"/>
  <c r="AA157" i="2"/>
  <c r="Z157" i="2" s="1"/>
  <c r="AA700" i="2"/>
  <c r="Z700" i="2" s="1"/>
  <c r="AA691" i="2"/>
  <c r="Z691" i="2" s="1"/>
  <c r="AA658" i="2"/>
  <c r="Z658" i="2" s="1"/>
  <c r="AA649" i="2"/>
  <c r="Z649" i="2" s="1"/>
  <c r="AA692" i="2"/>
  <c r="Z692" i="2" s="1"/>
  <c r="AA244" i="2"/>
  <c r="Z244" i="2" s="1"/>
  <c r="AA690" i="2"/>
  <c r="Z690" i="2" s="1"/>
  <c r="AA640" i="2"/>
  <c r="Z640" i="2" s="1"/>
  <c r="AA125" i="2"/>
  <c r="Z125" i="2" s="1"/>
  <c r="AA942" i="2"/>
  <c r="Z942" i="2" s="1"/>
  <c r="AA675" i="2"/>
  <c r="Z675" i="2" s="1"/>
  <c r="AA34" i="2"/>
  <c r="Z34" i="2" s="1"/>
  <c r="AA537" i="2"/>
  <c r="Z537" i="2" s="1"/>
  <c r="AA964" i="2"/>
  <c r="Z964" i="2" s="1"/>
  <c r="AA209" i="2"/>
  <c r="Z209" i="2" s="1"/>
  <c r="AA587" i="2"/>
  <c r="Z587" i="2" s="1"/>
  <c r="AA639" i="2"/>
  <c r="Z639" i="2" s="1"/>
  <c r="AA1043" i="2"/>
  <c r="Z1043" i="2" s="1"/>
  <c r="AA241" i="2"/>
  <c r="Z241" i="2" s="1"/>
  <c r="AA834" i="2"/>
  <c r="Z834" i="2" s="1"/>
  <c r="AA49" i="2"/>
  <c r="Z49" i="2" s="1"/>
  <c r="AA227" i="2"/>
  <c r="Z227" i="2" s="1"/>
  <c r="AA467" i="2"/>
  <c r="Z467" i="2" s="1"/>
  <c r="AA7" i="2"/>
  <c r="Z7" i="2" s="1"/>
  <c r="AA26" i="2"/>
  <c r="Z26" i="2" s="1"/>
  <c r="AA630" i="2"/>
  <c r="Z630" i="2" s="1"/>
  <c r="AA578" i="2"/>
  <c r="Z578" i="2" s="1"/>
  <c r="AA866" i="2"/>
  <c r="Z866" i="2" s="1"/>
  <c r="AA520" i="2"/>
  <c r="Z520" i="2" s="1"/>
  <c r="AA839" i="2"/>
  <c r="Z839" i="2" s="1"/>
  <c r="AA296" i="2"/>
  <c r="Z296" i="2" s="1"/>
  <c r="AA404" i="2"/>
  <c r="Z404" i="2" s="1"/>
  <c r="AA629" i="2"/>
  <c r="Z629" i="2" s="1"/>
  <c r="AA865" i="2"/>
  <c r="Z865" i="2" s="1"/>
  <c r="AA897" i="2"/>
  <c r="Z897" i="2" s="1"/>
  <c r="AA896" i="2"/>
  <c r="Z896" i="2" s="1"/>
  <c r="AA292" i="2"/>
  <c r="Z292" i="2" s="1"/>
  <c r="AA10" i="2"/>
  <c r="Z10" i="2" s="1"/>
  <c r="AA696" i="2"/>
  <c r="Z696" i="2" s="1"/>
  <c r="AA963" i="2"/>
  <c r="Z963" i="2" s="1"/>
  <c r="AA456" i="2"/>
  <c r="Z456" i="2" s="1"/>
  <c r="AA267" i="2"/>
  <c r="Z267" i="2" s="1"/>
  <c r="AA632" i="2"/>
  <c r="Z632" i="2" s="1"/>
  <c r="AA204" i="2"/>
  <c r="Z204" i="2" s="1"/>
  <c r="AA306" i="2"/>
  <c r="Z306" i="2" s="1"/>
  <c r="AA268" i="2"/>
  <c r="Z268" i="2" s="1"/>
  <c r="AA222" i="2"/>
  <c r="Z222" i="2" s="1"/>
  <c r="AA747" i="2"/>
  <c r="Z747" i="2" s="1"/>
  <c r="AA665" i="2"/>
  <c r="Z665" i="2" s="1"/>
  <c r="AA931" i="2"/>
  <c r="Z931" i="2" s="1"/>
  <c r="AA44" i="2"/>
  <c r="Z44" i="2" s="1"/>
  <c r="AA1042" i="2"/>
  <c r="Z1042" i="2" s="1"/>
  <c r="AA339" i="2"/>
  <c r="Z339" i="2" s="1"/>
  <c r="AA446" i="2"/>
  <c r="Z446" i="2" s="1"/>
  <c r="AA664" i="2"/>
  <c r="Z664" i="2" s="1"/>
  <c r="AA586" i="2"/>
  <c r="Z586" i="2" s="1"/>
  <c r="AA920" i="2"/>
  <c r="Z920" i="2" s="1"/>
  <c r="AA492" i="2"/>
  <c r="Z492" i="2" s="1"/>
  <c r="AA890" i="2"/>
  <c r="Z890" i="2" s="1"/>
  <c r="AA391" i="2"/>
  <c r="Z391" i="2" s="1"/>
  <c r="AA511" i="2"/>
  <c r="Z511" i="2" s="1"/>
  <c r="AA140" i="2"/>
  <c r="Z140" i="2" s="1"/>
  <c r="AA123" i="2"/>
  <c r="Z123" i="2" s="1"/>
  <c r="AA830" i="2"/>
  <c r="Z830" i="2" s="1"/>
  <c r="AA666" i="2"/>
  <c r="Z666" i="2" s="1"/>
  <c r="AA167" i="2"/>
  <c r="Z167" i="2" s="1"/>
  <c r="AA340" i="2"/>
  <c r="Z340" i="2" s="1"/>
  <c r="AA837" i="2"/>
  <c r="Z837" i="2" s="1"/>
  <c r="AA362" i="2"/>
  <c r="Z362" i="2" s="1"/>
  <c r="AA319" i="2"/>
  <c r="Z319" i="2" s="1"/>
  <c r="AA389" i="2"/>
  <c r="Z389" i="2" s="1"/>
  <c r="AA45" i="2"/>
  <c r="Z45" i="2" s="1"/>
  <c r="AA127" i="2"/>
  <c r="Z127" i="2" s="1"/>
  <c r="AA338" i="2"/>
  <c r="Z338" i="2" s="1"/>
  <c r="AA1029" i="2"/>
  <c r="Z1029" i="2" s="1"/>
  <c r="AA394" i="2"/>
  <c r="Z394" i="2" s="1"/>
  <c r="AA363" i="2"/>
  <c r="Z363" i="2" s="1"/>
  <c r="AA358" i="2"/>
  <c r="Z358" i="2" s="1"/>
  <c r="AA21" i="2"/>
  <c r="Z21" i="2" s="1"/>
  <c r="AA317" i="2"/>
  <c r="Z317" i="2" s="1"/>
  <c r="AA98" i="2"/>
  <c r="Z98" i="2" s="1"/>
  <c r="AA1041" i="2"/>
  <c r="Z1041" i="2" s="1"/>
  <c r="AA1028" i="2"/>
  <c r="Z1028" i="2" s="1"/>
  <c r="AA382" i="2"/>
  <c r="Z382" i="2" s="1"/>
  <c r="AA23" i="2"/>
  <c r="Z23" i="2" s="1"/>
  <c r="AA344" i="2"/>
  <c r="Z344" i="2" s="1"/>
  <c r="AA333" i="2"/>
  <c r="Z333" i="2" s="1"/>
  <c r="AA381" i="2"/>
  <c r="Z381" i="2" s="1"/>
  <c r="AA65" i="2"/>
  <c r="Z65" i="2" s="1"/>
  <c r="AA40" i="2"/>
  <c r="Z40" i="2" s="1"/>
  <c r="AA347" i="2"/>
  <c r="Z347" i="2" s="1"/>
  <c r="AA88" i="2"/>
  <c r="Z88" i="2" s="1"/>
  <c r="AA437" i="2"/>
  <c r="Z437" i="2" s="1"/>
  <c r="AA359" i="2"/>
  <c r="Z359" i="2" s="1"/>
  <c r="AA90" i="2"/>
  <c r="Z90" i="2" s="1"/>
  <c r="AA89" i="2"/>
  <c r="Z89" i="2" s="1"/>
  <c r="AA92" i="2"/>
  <c r="Z92" i="2" s="1"/>
  <c r="AA19" i="2"/>
  <c r="Z19" i="2" s="1"/>
  <c r="AA6" i="2"/>
  <c r="Z6" i="2" s="1"/>
  <c r="AA1030" i="2"/>
  <c r="Z1030" i="2" s="1"/>
  <c r="AA749" i="2"/>
  <c r="Z749" i="2" s="1"/>
  <c r="AA972" i="2"/>
  <c r="Z972" i="2" s="1"/>
  <c r="AA43" i="2"/>
  <c r="Z43" i="2" s="1"/>
  <c r="AA748" i="2"/>
  <c r="Z748" i="2" s="1"/>
  <c r="AA41" i="2"/>
  <c r="Z41" i="2" s="1"/>
  <c r="AA17" i="2"/>
  <c r="Z17" i="2" s="1"/>
  <c r="AA18" i="2"/>
  <c r="Z18" i="2" s="1"/>
  <c r="AA308" i="2"/>
  <c r="Z308" i="2" s="1"/>
  <c r="AA728" i="2"/>
  <c r="Z728" i="2" s="1"/>
  <c r="AA817" i="2"/>
  <c r="Z817" i="2" s="1"/>
  <c r="AA818" i="2"/>
  <c r="Z818" i="2" s="1"/>
  <c r="AA735" i="2"/>
  <c r="Z735" i="2" s="1"/>
  <c r="AA1020" i="2"/>
  <c r="Z1020" i="2" s="1"/>
  <c r="AA1007" i="2"/>
  <c r="Z1007" i="2" s="1"/>
  <c r="AA962" i="2"/>
  <c r="Z962" i="2" s="1"/>
  <c r="AA816" i="2"/>
  <c r="Z816" i="2" s="1"/>
  <c r="AA22" i="2"/>
  <c r="Z22" i="2" s="1"/>
  <c r="AA903" i="2"/>
  <c r="Z903" i="2" s="1"/>
  <c r="AA858" i="2"/>
  <c r="Z858" i="2" s="1"/>
  <c r="AA727" i="2"/>
  <c r="Z727" i="2" s="1"/>
  <c r="AA399" i="2"/>
  <c r="AA601" i="2"/>
  <c r="AA778" i="2"/>
  <c r="AA793" i="2"/>
  <c r="AA763" i="2"/>
  <c r="AA51" i="2"/>
  <c r="Z51" i="2" s="1"/>
  <c r="AA980" i="2"/>
  <c r="Z980" i="2" s="1"/>
  <c r="AA276" i="2"/>
  <c r="AA804" i="2"/>
  <c r="AA47" i="2"/>
  <c r="AA1017" i="2"/>
  <c r="AA730" i="2"/>
  <c r="AA180" i="2"/>
  <c r="AA297" i="2"/>
  <c r="AA56" i="2"/>
  <c r="AA757" i="2"/>
  <c r="AA760" i="2"/>
  <c r="AA168" i="2"/>
  <c r="AA1060" i="2"/>
  <c r="AA1002" i="2"/>
  <c r="AA1027" i="2"/>
  <c r="AA751" i="2"/>
  <c r="Z751" i="2" s="1"/>
  <c r="AA752" i="2"/>
  <c r="Z752" i="2" s="1"/>
  <c r="AA753" i="2"/>
  <c r="AA950" i="2"/>
  <c r="AA872" i="2"/>
  <c r="AA215" i="2"/>
  <c r="AA1033" i="2"/>
  <c r="AA766" i="2"/>
  <c r="AA724" i="2"/>
  <c r="AA725" i="2"/>
  <c r="AA378" i="2"/>
  <c r="Z378" i="2" s="1"/>
  <c r="AA25" i="2"/>
  <c r="AA24" i="2"/>
  <c r="Z24" i="2" s="1"/>
  <c r="AA1035" i="2"/>
  <c r="AA50" i="2"/>
  <c r="AA213" i="2"/>
  <c r="AA354" i="2"/>
  <c r="Z354" i="2" s="1"/>
  <c r="AA580" i="2"/>
  <c r="Z580" i="2" s="1"/>
  <c r="AA36" i="2"/>
  <c r="AA126" i="2"/>
  <c r="AA994" i="2"/>
  <c r="AA777" i="2"/>
  <c r="AA856" i="2"/>
  <c r="AA782" i="2"/>
  <c r="AA192" i="2"/>
  <c r="AA591" i="2"/>
  <c r="AA8" i="2"/>
  <c r="AA249" i="2"/>
  <c r="AA64" i="2"/>
  <c r="Z64" i="2" s="1"/>
  <c r="AA491" i="2"/>
  <c r="AA330" i="2"/>
  <c r="AA20" i="2"/>
  <c r="AA644" i="2"/>
  <c r="Z644" i="2" s="1"/>
  <c r="AA39" i="2"/>
  <c r="Z39" i="2" s="1"/>
  <c r="AA150" i="2"/>
  <c r="AA513" i="2"/>
  <c r="AA247" i="2"/>
  <c r="AA543" i="2"/>
  <c r="AA684" i="2"/>
  <c r="AA31" i="2"/>
  <c r="AA199" i="2"/>
  <c r="AA604" i="2"/>
  <c r="AA1021" i="2"/>
  <c r="Z1021" i="2" s="1"/>
  <c r="AA149" i="2"/>
  <c r="AA63" i="2"/>
  <c r="AA189" i="2"/>
  <c r="AA255" i="2"/>
  <c r="AA29" i="2"/>
  <c r="AA418" i="2"/>
  <c r="Z418" i="2" s="1"/>
  <c r="AA983" i="2"/>
  <c r="Z983" i="2" s="1"/>
  <c r="AA598" i="2"/>
  <c r="Z598" i="2" s="1"/>
  <c r="AA861" i="2"/>
  <c r="Z861" i="2" s="1"/>
  <c r="AA211" i="2"/>
  <c r="Z211" i="2" s="1"/>
  <c r="AA53" i="2"/>
  <c r="Z53" i="2" s="1"/>
  <c r="AA322" i="2"/>
  <c r="Z322" i="2" s="1"/>
  <c r="AA544" i="2"/>
  <c r="Z544" i="2" s="1"/>
  <c r="AA505" i="2"/>
  <c r="Z505" i="2" s="1"/>
  <c r="AA488" i="2"/>
  <c r="Z488" i="2" s="1"/>
  <c r="AA849" i="2"/>
  <c r="Z849" i="2" s="1"/>
  <c r="AA145" i="2"/>
  <c r="Z145" i="2" s="1"/>
  <c r="AA669" i="2"/>
  <c r="Z669" i="2" s="1"/>
  <c r="AA556" i="2"/>
  <c r="Z556" i="2" s="1"/>
  <c r="AA626" i="2"/>
  <c r="Z626" i="2" s="1"/>
  <c r="AA1037" i="2"/>
  <c r="Z1037" i="2" s="1"/>
  <c r="AA624" i="2"/>
  <c r="Z624" i="2" s="1"/>
  <c r="AA681" i="2"/>
  <c r="Z681" i="2" s="1"/>
  <c r="AA588" i="2"/>
  <c r="Z588" i="2" s="1"/>
  <c r="AA412" i="2"/>
  <c r="Z412" i="2" s="1"/>
  <c r="AA590" i="2"/>
  <c r="Z590" i="2" s="1"/>
  <c r="AA102" i="2"/>
  <c r="Z102" i="2" s="1"/>
  <c r="AA284" i="2"/>
  <c r="Z284" i="2" s="1"/>
  <c r="AA676" i="2"/>
  <c r="Z676" i="2" s="1"/>
  <c r="AA859" i="2"/>
  <c r="Z859" i="2" s="1"/>
  <c r="AA466" i="2"/>
  <c r="Z466" i="2" s="1"/>
  <c r="AA368" i="2"/>
  <c r="Z368" i="2" s="1"/>
  <c r="AA413" i="2"/>
  <c r="Z413" i="2" s="1"/>
  <c r="AA457" i="2"/>
  <c r="Z457" i="2" s="1"/>
  <c r="AA422" i="2"/>
  <c r="Z422" i="2" s="1"/>
  <c r="AA28" i="2"/>
  <c r="Z28" i="2" s="1"/>
  <c r="AA1006" i="2"/>
  <c r="Z1006" i="2" s="1"/>
  <c r="AA275" i="2"/>
  <c r="Z275" i="2" s="1"/>
  <c r="AA200" i="2"/>
  <c r="Z200" i="2" s="1"/>
  <c r="AA527" i="2"/>
  <c r="Z527" i="2" s="1"/>
  <c r="AA517" i="2"/>
  <c r="Z517" i="2" s="1"/>
  <c r="AA949" i="2"/>
  <c r="Z949" i="2" s="1"/>
  <c r="AA668" i="2"/>
  <c r="Z668" i="2" s="1"/>
  <c r="AA103" i="2"/>
  <c r="Z103" i="2" s="1"/>
  <c r="AA311" i="2"/>
  <c r="Z311" i="2" s="1"/>
  <c r="AA239" i="2"/>
  <c r="Z239" i="2" s="1"/>
  <c r="AA768" i="2"/>
  <c r="Z768" i="2" s="1"/>
  <c r="AA489" i="2"/>
  <c r="Z489" i="2" s="1"/>
  <c r="AA485" i="2"/>
  <c r="Z485" i="2" s="1"/>
  <c r="AA1026" i="2"/>
  <c r="Z1026" i="2" s="1"/>
  <c r="AA261" i="2"/>
  <c r="Z261" i="2" s="1"/>
  <c r="AA203" i="2"/>
  <c r="Z203" i="2" s="1"/>
  <c r="AA885" i="2"/>
  <c r="Z885" i="2" s="1"/>
  <c r="AA332" i="2"/>
  <c r="Z332" i="2" s="1"/>
  <c r="AA183" i="2"/>
  <c r="Z183" i="2" s="1"/>
  <c r="AA48" i="2"/>
  <c r="Z48" i="2" s="1"/>
  <c r="AA447" i="2"/>
  <c r="Z447" i="2" s="1"/>
  <c r="AA567" i="2"/>
  <c r="Z567" i="2" s="1"/>
  <c r="AA118" i="2"/>
  <c r="Z118" i="2" s="1"/>
  <c r="AA860" i="2"/>
  <c r="Z860" i="2" s="1"/>
  <c r="AA486" i="2"/>
  <c r="Z486" i="2" s="1"/>
  <c r="AA117" i="2"/>
  <c r="Z117" i="2" s="1"/>
  <c r="AA27" i="2"/>
  <c r="Z27" i="2" s="1"/>
  <c r="AA904" i="2"/>
  <c r="Z904" i="2" s="1"/>
  <c r="AA424" i="2"/>
  <c r="Z424" i="2" s="1"/>
  <c r="AA1025" i="2"/>
  <c r="Z1025" i="2" s="1"/>
  <c r="AA761" i="2"/>
  <c r="Z761" i="2" s="1"/>
  <c r="AA252" i="2"/>
  <c r="Z252" i="2" s="1"/>
  <c r="AA581" i="2"/>
  <c r="Z581" i="2" s="1"/>
  <c r="AA318" i="2"/>
  <c r="Z318" i="2" s="1"/>
  <c r="AA16" i="2"/>
  <c r="Z16" i="2" s="1"/>
  <c r="AA324" i="2"/>
  <c r="Z324" i="2" s="1"/>
  <c r="AA60" i="2"/>
  <c r="Z60" i="2" s="1"/>
  <c r="AA52" i="2"/>
  <c r="Z52" i="2" s="1"/>
  <c r="AA445" i="2"/>
  <c r="Z445" i="2" s="1"/>
  <c r="AA9" i="2"/>
  <c r="Z9" i="2" s="1"/>
  <c r="AA842" i="2"/>
  <c r="Z842" i="2" s="1"/>
  <c r="AA59" i="2"/>
  <c r="Z59" i="2" s="1"/>
  <c r="AA277" i="2"/>
  <c r="Z277" i="2" s="1"/>
  <c r="AA12" i="2"/>
  <c r="Z12" i="2" s="1"/>
  <c r="AA869" i="2"/>
  <c r="Z869" i="2" s="1"/>
  <c r="AA401" i="2"/>
  <c r="Z401" i="2" s="1"/>
  <c r="AA257" i="2"/>
  <c r="Z257" i="2" s="1"/>
  <c r="AA886" i="2"/>
  <c r="Z886" i="2" s="1"/>
  <c r="AA15" i="2"/>
  <c r="Z15" i="2" s="1"/>
  <c r="AA357" i="2"/>
  <c r="Z357" i="2" s="1"/>
  <c r="AA1057" i="2"/>
  <c r="AA1056" i="2"/>
  <c r="AA1055" i="2"/>
  <c r="AA1054" i="2"/>
  <c r="AA1059" i="2"/>
  <c r="AA1058" i="2"/>
  <c r="AA14" i="2"/>
  <c r="Z14" i="2" s="1"/>
  <c r="AA812" i="2"/>
  <c r="Z812" i="2" s="1"/>
  <c r="AA142" i="2"/>
  <c r="Z142" i="2" s="1"/>
  <c r="AA55" i="2"/>
  <c r="Z55" i="2" s="1"/>
  <c r="AA62" i="2"/>
  <c r="AA230" i="2"/>
  <c r="Z230" i="2" s="1"/>
  <c r="AA986" i="2"/>
  <c r="Z986" i="2" s="1"/>
  <c r="AA917" i="2"/>
  <c r="Z917" i="2" s="1"/>
  <c r="AA414" i="2"/>
  <c r="Z414" i="2" s="1"/>
  <c r="AA42" i="2"/>
  <c r="Z42" i="2" s="1"/>
  <c r="AA285" i="2"/>
  <c r="Z285" i="2" s="1"/>
  <c r="AA30" i="2"/>
  <c r="Z30" i="2" s="1"/>
  <c r="AA982" i="2"/>
  <c r="Z982" i="2" s="1"/>
  <c r="AA925" i="2"/>
  <c r="Z925" i="2" s="1"/>
  <c r="AA61" i="2"/>
  <c r="Z61" i="2" s="1"/>
  <c r="AA260" i="2"/>
  <c r="Z260" i="2" s="1"/>
  <c r="AA959" i="2"/>
  <c r="Z959" i="2" s="1"/>
  <c r="AA889" i="2"/>
  <c r="Z889" i="2" s="1"/>
  <c r="AA1023" i="2"/>
  <c r="Z1023" i="2" s="1"/>
  <c r="AA948" i="2"/>
  <c r="Z948" i="2" s="1"/>
  <c r="AA933" i="2"/>
  <c r="Z933" i="2" s="1"/>
  <c r="AA58" i="2"/>
  <c r="Z58" i="2" s="1"/>
  <c r="AA57" i="2"/>
  <c r="Z57" i="2" s="1"/>
  <c r="AA54" i="2"/>
  <c r="Z54" i="2" s="1"/>
  <c r="AA403" i="2"/>
  <c r="Z403" i="2" s="1"/>
  <c r="AA124" i="2"/>
  <c r="Z124" i="2" s="1"/>
  <c r="AA965" i="2"/>
  <c r="Z965" i="2" s="1"/>
  <c r="AA815" i="2"/>
  <c r="Z815" i="2" s="1"/>
  <c r="AA32" i="2"/>
  <c r="Z32" i="2" s="1"/>
  <c r="AA1015" i="2"/>
  <c r="Z1015" i="2" s="1"/>
  <c r="AA1003" i="2"/>
  <c r="Z1003" i="2" s="1"/>
  <c r="AA956" i="2"/>
  <c r="Z956" i="2" s="1"/>
  <c r="AA943" i="2"/>
  <c r="Z943" i="2" s="1"/>
  <c r="AA941" i="2"/>
  <c r="Z941" i="2" s="1"/>
  <c r="AA932" i="2"/>
  <c r="Z932" i="2" s="1"/>
  <c r="AA888" i="2"/>
  <c r="Z888" i="2" s="1"/>
  <c r="AA832" i="2"/>
  <c r="Z832" i="2" s="1"/>
  <c r="AA805" i="2"/>
  <c r="Z805" i="2" s="1"/>
  <c r="AA772" i="2"/>
  <c r="Z772" i="2" s="1"/>
  <c r="AA764" i="2"/>
  <c r="Z764" i="2" s="1"/>
  <c r="AA720" i="2"/>
  <c r="Z720" i="2" s="1"/>
  <c r="AA309" i="2"/>
  <c r="Z309" i="2" s="1"/>
  <c r="AA307" i="2"/>
  <c r="Z307" i="2" s="1"/>
  <c r="AA303" i="2"/>
  <c r="Z303" i="2" s="1"/>
  <c r="AA1018" i="2"/>
  <c r="Z1018" i="2" s="1"/>
  <c r="AA1011" i="2"/>
  <c r="Z1011" i="2" s="1"/>
  <c r="AA1010" i="2"/>
  <c r="Z1010" i="2" s="1"/>
  <c r="AA1009" i="2"/>
  <c r="Z1009" i="2" s="1"/>
  <c r="AA1008" i="2"/>
  <c r="Z1008" i="2" s="1"/>
  <c r="AA995" i="2"/>
  <c r="Z995" i="2" s="1"/>
  <c r="AA981" i="2"/>
  <c r="Z981" i="2" s="1"/>
  <c r="AA960" i="2"/>
  <c r="Z960" i="2" s="1"/>
  <c r="AA946" i="2"/>
  <c r="Z946" i="2" s="1"/>
  <c r="AA939" i="2"/>
  <c r="Z939" i="2" s="1"/>
  <c r="AA938" i="2"/>
  <c r="Z938" i="2" s="1"/>
  <c r="AA930" i="2"/>
  <c r="Z930" i="2" s="1"/>
  <c r="AA927" i="2"/>
  <c r="Z927" i="2" s="1"/>
  <c r="AA922" i="2"/>
  <c r="Z922" i="2" s="1"/>
  <c r="AA921" i="2"/>
  <c r="Z921" i="2" s="1"/>
  <c r="AA919" i="2"/>
  <c r="Z919" i="2" s="1"/>
  <c r="AA882" i="2"/>
  <c r="Z882" i="2" s="1"/>
  <c r="AA879" i="2"/>
  <c r="Z879" i="2" s="1"/>
  <c r="AA874" i="2"/>
  <c r="Z874" i="2" s="1"/>
  <c r="AA864" i="2"/>
  <c r="Z864" i="2" s="1"/>
  <c r="AA794" i="2"/>
  <c r="Z794" i="2" s="1"/>
  <c r="AA781" i="2"/>
  <c r="Z781" i="2" s="1"/>
  <c r="AA756" i="2"/>
  <c r="Z756" i="2" s="1"/>
  <c r="AA740" i="2"/>
  <c r="Z740" i="2" s="1"/>
  <c r="AA386" i="2"/>
  <c r="Z386" i="2" s="1"/>
  <c r="AA385" i="2"/>
  <c r="Z385" i="2" s="1"/>
  <c r="AA384" i="2"/>
  <c r="Z384" i="2" s="1"/>
  <c r="AA383" i="2"/>
  <c r="Z383" i="2" s="1"/>
  <c r="AA367" i="2"/>
  <c r="Z367" i="2" s="1"/>
  <c r="AA366" i="2"/>
  <c r="Z366" i="2" s="1"/>
  <c r="AA348" i="2"/>
  <c r="Z348" i="2" s="1"/>
  <c r="AA346" i="2"/>
  <c r="Z346" i="2" s="1"/>
  <c r="AA345" i="2"/>
  <c r="Z345" i="2" s="1"/>
  <c r="AA334" i="2"/>
  <c r="Z334" i="2" s="1"/>
  <c r="AA310" i="2"/>
  <c r="Z310" i="2" s="1"/>
  <c r="AA305" i="2"/>
  <c r="Z305" i="2" s="1"/>
  <c r="AA304" i="2"/>
  <c r="Z304" i="2" s="1"/>
  <c r="AA302" i="2"/>
  <c r="Z302" i="2" s="1"/>
  <c r="AA301" i="2"/>
  <c r="Z301" i="2" s="1"/>
  <c r="AA300" i="2"/>
  <c r="Z300" i="2" s="1"/>
  <c r="AA299" i="2"/>
  <c r="Z299" i="2" s="1"/>
  <c r="AA1019" i="2"/>
  <c r="Z1019" i="2" s="1"/>
  <c r="AA996" i="2"/>
  <c r="Z996" i="2" s="1"/>
  <c r="AA984" i="2"/>
  <c r="Z984" i="2" s="1"/>
  <c r="AA955" i="2"/>
  <c r="Z955" i="2" s="1"/>
  <c r="AA954" i="2"/>
  <c r="Z954" i="2" s="1"/>
  <c r="AA953" i="2"/>
  <c r="Z953" i="2" s="1"/>
  <c r="AA951" i="2"/>
  <c r="Z951" i="2" s="1"/>
  <c r="AA907" i="2"/>
  <c r="Z907" i="2" s="1"/>
  <c r="AA906" i="2"/>
  <c r="Z906" i="2" s="1"/>
  <c r="AA905" i="2"/>
  <c r="Z905" i="2" s="1"/>
  <c r="AA895" i="2"/>
  <c r="Z895" i="2" s="1"/>
  <c r="AA867" i="2"/>
  <c r="Z867" i="2" s="1"/>
  <c r="AA838" i="2"/>
  <c r="Z838" i="2" s="1"/>
  <c r="AA806" i="2"/>
  <c r="Z806" i="2" s="1"/>
  <c r="AA796" i="2"/>
  <c r="Z796" i="2" s="1"/>
  <c r="AA755" i="2"/>
  <c r="Z755" i="2" s="1"/>
  <c r="AA754" i="2"/>
  <c r="Z754" i="2" s="1"/>
  <c r="AA741" i="2"/>
  <c r="Z741" i="2" s="1"/>
  <c r="AA335" i="2"/>
  <c r="Z335" i="2" s="1"/>
  <c r="AA295" i="2"/>
  <c r="Z295" i="2" s="1"/>
  <c r="AC549" i="2"/>
  <c r="AD549" i="2" s="1"/>
  <c r="AC181" i="2"/>
  <c r="AD181" i="2" s="1"/>
  <c r="AC1044" i="2"/>
  <c r="AE1044" i="2" s="1"/>
  <c r="AC1045" i="2"/>
  <c r="AD1045" i="2" s="1"/>
  <c r="AC1046" i="2"/>
  <c r="AE1046" i="2" s="1"/>
  <c r="AC1047" i="2"/>
  <c r="AD1047" i="2" s="1"/>
  <c r="AC1048" i="2"/>
  <c r="AE1048" i="2" s="1"/>
  <c r="AC1049" i="2"/>
  <c r="AD1049" i="2" s="1"/>
  <c r="AC1050" i="2"/>
  <c r="AD1050" i="2" s="1"/>
  <c r="AC1051" i="2"/>
  <c r="AD1051" i="2" s="1"/>
  <c r="AC1052" i="2"/>
  <c r="AD1052" i="2" s="1"/>
  <c r="AC1053" i="2"/>
  <c r="AE1053" i="2" s="1"/>
  <c r="AC891" i="2"/>
  <c r="AD891" i="2" s="1"/>
  <c r="Z62" i="2" l="1"/>
  <c r="AB62" i="2" s="1"/>
  <c r="Z149" i="2"/>
  <c r="AB149" i="2" s="1"/>
  <c r="Z513" i="2"/>
  <c r="AB513" i="2" s="1"/>
  <c r="Z249" i="2"/>
  <c r="AB249" i="2" s="1"/>
  <c r="Z126" i="2"/>
  <c r="AB126" i="2" s="1"/>
  <c r="Z25" i="2"/>
  <c r="AB25" i="2" s="1"/>
  <c r="Z950" i="2"/>
  <c r="AB950" i="2" s="1"/>
  <c r="Z760" i="2"/>
  <c r="AB760" i="2" s="1"/>
  <c r="Z804" i="2"/>
  <c r="AB804" i="2" s="1"/>
  <c r="Z399" i="2"/>
  <c r="AB399" i="2" s="1"/>
  <c r="Z688" i="2"/>
  <c r="AB688" i="2" s="1"/>
  <c r="Z678" i="2"/>
  <c r="AB678" i="2" s="1"/>
  <c r="Z313" i="2"/>
  <c r="AB313" i="2" s="1"/>
  <c r="Z269" i="2"/>
  <c r="AB269" i="2" s="1"/>
  <c r="AB112" i="2"/>
  <c r="Z622" i="2"/>
  <c r="AB622" i="2" s="1"/>
  <c r="Z82" i="2"/>
  <c r="AB82" i="2" s="1"/>
  <c r="Z435" i="2"/>
  <c r="AB435" i="2" s="1"/>
  <c r="Z988" i="2"/>
  <c r="AB988" i="2" s="1"/>
  <c r="Z1024" i="2"/>
  <c r="AB1024" i="2" s="1"/>
  <c r="Z967" i="2"/>
  <c r="AB967" i="2" s="1"/>
  <c r="Z458" i="2"/>
  <c r="AB458" i="2" s="1"/>
  <c r="Z341" i="2"/>
  <c r="AB341" i="2" s="1"/>
  <c r="Z147" i="2"/>
  <c r="AB147" i="2" s="1"/>
  <c r="Z819" i="2"/>
  <c r="AB819" i="2" s="1"/>
  <c r="Z566" i="2"/>
  <c r="AB566" i="2" s="1"/>
  <c r="Z562" i="2"/>
  <c r="AB562" i="2" s="1"/>
  <c r="Z469" i="2"/>
  <c r="AB469" i="2" s="1"/>
  <c r="Z329" i="2"/>
  <c r="AB329" i="2" s="1"/>
  <c r="Z475" i="2"/>
  <c r="AB475" i="2" s="1"/>
  <c r="Z1048" i="2"/>
  <c r="AB1048" i="2" s="1"/>
  <c r="AB75" i="2"/>
  <c r="Z634" i="2"/>
  <c r="AB634" i="2" s="1"/>
  <c r="Z206" i="2"/>
  <c r="AB206" i="2" s="1"/>
  <c r="Z891" i="2"/>
  <c r="AB891" i="2" s="1"/>
  <c r="Z894" i="2"/>
  <c r="AB894" i="2" s="1"/>
  <c r="Z611" i="2"/>
  <c r="AB611" i="2" s="1"/>
  <c r="Z474" i="2"/>
  <c r="AB474" i="2" s="1"/>
  <c r="Z550" i="2"/>
  <c r="AB550" i="2" s="1"/>
  <c r="Z518" i="2"/>
  <c r="AB518" i="2" s="1"/>
  <c r="Z480" i="2"/>
  <c r="AB480" i="2" s="1"/>
  <c r="Z1049" i="2"/>
  <c r="AB1049" i="2" s="1"/>
  <c r="AB462" i="2"/>
  <c r="Z83" i="2"/>
  <c r="AB83" i="2" s="1"/>
  <c r="Z316" i="2"/>
  <c r="AB316" i="2" s="1"/>
  <c r="Z243" i="2"/>
  <c r="AB243" i="2" s="1"/>
  <c r="Z974" i="2"/>
  <c r="AB974" i="2" s="1"/>
  <c r="AB39" i="2"/>
  <c r="AB580" i="2"/>
  <c r="Z723" i="2"/>
  <c r="AB723" i="2" s="1"/>
  <c r="Z176" i="2"/>
  <c r="AB176" i="2" s="1"/>
  <c r="Z555" i="2"/>
  <c r="AB555" i="2" s="1"/>
  <c r="Z651" i="2"/>
  <c r="AB651" i="2" s="1"/>
  <c r="Z166" i="2"/>
  <c r="AB166" i="2" s="1"/>
  <c r="Z234" i="2"/>
  <c r="AB234" i="2" s="1"/>
  <c r="Z979" i="2"/>
  <c r="AB979" i="2" s="1"/>
  <c r="Z207" i="2"/>
  <c r="AB207" i="2" s="1"/>
  <c r="Z572" i="2"/>
  <c r="AB572" i="2" s="1"/>
  <c r="Z863" i="2"/>
  <c r="AB863" i="2" s="1"/>
  <c r="Z732" i="2"/>
  <c r="AB732" i="2" s="1"/>
  <c r="Z718" i="2"/>
  <c r="AB718" i="2" s="1"/>
  <c r="Z807" i="2"/>
  <c r="AB807" i="2" s="1"/>
  <c r="Z565" i="2"/>
  <c r="AB565" i="2" s="1"/>
  <c r="Z901" i="2"/>
  <c r="AB901" i="2" s="1"/>
  <c r="Z479" i="2"/>
  <c r="AB479" i="2" s="1"/>
  <c r="Z63" i="2"/>
  <c r="AB63" i="2" s="1"/>
  <c r="Z601" i="2"/>
  <c r="AB601" i="2" s="1"/>
  <c r="Z926" i="2"/>
  <c r="AB926" i="2" s="1"/>
  <c r="AB482" i="2"/>
  <c r="Z246" i="2"/>
  <c r="AB246" i="2" s="1"/>
  <c r="Z583" i="2"/>
  <c r="AB583" i="2" s="1"/>
  <c r="Z621" i="2"/>
  <c r="AB621" i="2" s="1"/>
  <c r="Z969" i="2"/>
  <c r="AB969" i="2" s="1"/>
  <c r="Z325" i="2"/>
  <c r="AB325" i="2" s="1"/>
  <c r="Z797" i="2"/>
  <c r="AB797" i="2" s="1"/>
  <c r="AB752" i="2"/>
  <c r="AB980" i="2"/>
  <c r="Z709" i="2"/>
  <c r="AB709" i="2" s="1"/>
  <c r="AB644" i="2"/>
  <c r="AB354" i="2"/>
  <c r="AB751" i="2"/>
  <c r="AB51" i="2"/>
  <c r="Z957" i="2"/>
  <c r="AB957" i="2" s="1"/>
  <c r="Z790" i="2"/>
  <c r="AB790" i="2" s="1"/>
  <c r="Z410" i="2"/>
  <c r="AB410" i="2" s="1"/>
  <c r="Z315" i="2"/>
  <c r="AB315" i="2" s="1"/>
  <c r="AB613" i="2"/>
  <c r="Z647" i="2"/>
  <c r="AB647" i="2" s="1"/>
  <c r="Z1000" i="2"/>
  <c r="AB1000" i="2" s="1"/>
  <c r="Z540" i="2"/>
  <c r="AB540" i="2" s="1"/>
  <c r="Z875" i="2"/>
  <c r="AB875" i="2" s="1"/>
  <c r="Z463" i="2"/>
  <c r="AB463" i="2" s="1"/>
  <c r="Z918" i="2"/>
  <c r="AB918" i="2" s="1"/>
  <c r="Z909" i="2"/>
  <c r="AB909" i="2" s="1"/>
  <c r="Z810" i="2"/>
  <c r="AB810" i="2" s="1"/>
  <c r="Z254" i="2"/>
  <c r="AB254" i="2" s="1"/>
  <c r="Z887" i="2"/>
  <c r="AB887" i="2" s="1"/>
  <c r="Z762" i="2"/>
  <c r="AB762" i="2" s="1"/>
  <c r="Z69" i="2"/>
  <c r="AB69" i="2" s="1"/>
  <c r="Z503" i="2"/>
  <c r="AB503" i="2" s="1"/>
  <c r="Z600" i="2"/>
  <c r="AB600" i="2" s="1"/>
  <c r="Z146" i="2"/>
  <c r="AB146" i="2" s="1"/>
  <c r="Z181" i="2"/>
  <c r="AB181" i="2" s="1"/>
  <c r="Z1051" i="2"/>
  <c r="AB1051" i="2" s="1"/>
  <c r="Z8" i="2"/>
  <c r="AB8" i="2" s="1"/>
  <c r="Z168" i="2"/>
  <c r="AB168" i="2" s="1"/>
  <c r="AB378" i="2"/>
  <c r="Z116" i="2"/>
  <c r="AB116" i="2" s="1"/>
  <c r="Z29" i="2"/>
  <c r="AB29" i="2" s="1"/>
  <c r="Z31" i="2"/>
  <c r="AB31" i="2" s="1"/>
  <c r="Z20" i="2"/>
  <c r="AB20" i="2" s="1"/>
  <c r="Z782" i="2"/>
  <c r="AB782" i="2" s="1"/>
  <c r="Z213" i="2"/>
  <c r="AB213" i="2" s="1"/>
  <c r="Z766" i="2"/>
  <c r="AB766" i="2" s="1"/>
  <c r="Z1027" i="2"/>
  <c r="AB1027" i="2" s="1"/>
  <c r="Z180" i="2"/>
  <c r="AB180" i="2" s="1"/>
  <c r="Z763" i="2"/>
  <c r="AB763" i="2" s="1"/>
  <c r="Z820" i="2"/>
  <c r="AB820" i="2" s="1"/>
  <c r="Z722" i="2"/>
  <c r="AB722" i="2" s="1"/>
  <c r="Z713" i="2"/>
  <c r="AB713" i="2" s="1"/>
  <c r="Z853" i="2"/>
  <c r="AB853" i="2" s="1"/>
  <c r="Z641" i="2"/>
  <c r="AB641" i="2" s="1"/>
  <c r="Z373" i="2"/>
  <c r="AB373" i="2" s="1"/>
  <c r="Z873" i="2"/>
  <c r="AB873" i="2" s="1"/>
  <c r="Z911" i="2"/>
  <c r="AB911" i="2" s="1"/>
  <c r="Z524" i="2"/>
  <c r="AB524" i="2" s="1"/>
  <c r="Z182" i="2"/>
  <c r="AB182" i="2" s="1"/>
  <c r="Z193" i="2"/>
  <c r="AB193" i="2" s="1"/>
  <c r="Z835" i="2"/>
  <c r="AB835" i="2" s="1"/>
  <c r="Z190" i="2"/>
  <c r="AB190" i="2" s="1"/>
  <c r="Z824" i="2"/>
  <c r="AB824" i="2" s="1"/>
  <c r="Z198" i="2"/>
  <c r="AB198" i="2" s="1"/>
  <c r="Z604" i="2"/>
  <c r="AB604" i="2" s="1"/>
  <c r="Z591" i="2"/>
  <c r="AB591" i="2" s="1"/>
  <c r="Z725" i="2"/>
  <c r="AB725" i="2" s="1"/>
  <c r="Z757" i="2"/>
  <c r="AB757" i="2" s="1"/>
  <c r="Z460" i="2"/>
  <c r="AB460" i="2" s="1"/>
  <c r="Z255" i="2"/>
  <c r="AB255" i="2" s="1"/>
  <c r="Z684" i="2"/>
  <c r="AB684" i="2" s="1"/>
  <c r="Z330" i="2"/>
  <c r="AB330" i="2" s="1"/>
  <c r="Z50" i="2"/>
  <c r="AB50" i="2" s="1"/>
  <c r="Z1033" i="2"/>
  <c r="AB1033" i="2" s="1"/>
  <c r="Z1002" i="2"/>
  <c r="AB1002" i="2" s="1"/>
  <c r="Z730" i="2"/>
  <c r="AB730" i="2" s="1"/>
  <c r="Z793" i="2"/>
  <c r="AB793" i="2" s="1"/>
  <c r="Z899" i="2"/>
  <c r="AB899" i="2" s="1"/>
  <c r="Z85" i="2"/>
  <c r="AB85" i="2" s="1"/>
  <c r="Z138" i="2"/>
  <c r="AB138" i="2" s="1"/>
  <c r="Z650" i="2"/>
  <c r="AB650" i="2" s="1"/>
  <c r="Z912" i="2"/>
  <c r="AB912" i="2" s="1"/>
  <c r="Z671" i="2"/>
  <c r="AB671" i="2" s="1"/>
  <c r="Z78" i="2"/>
  <c r="AB78" i="2" s="1"/>
  <c r="Z487" i="2"/>
  <c r="AB487" i="2" s="1"/>
  <c r="Z868" i="2"/>
  <c r="AB868" i="2" s="1"/>
  <c r="Z195" i="2"/>
  <c r="AB195" i="2" s="1"/>
  <c r="Z343" i="2"/>
  <c r="AB343" i="2" s="1"/>
  <c r="Z438" i="2"/>
  <c r="AB438" i="2" s="1"/>
  <c r="Z821" i="2"/>
  <c r="AB821" i="2" s="1"/>
  <c r="Z328" i="2"/>
  <c r="AB328" i="2" s="1"/>
  <c r="Z701" i="2"/>
  <c r="AB701" i="2" s="1"/>
  <c r="Z429" i="2"/>
  <c r="AB429" i="2" s="1"/>
  <c r="Z169" i="2"/>
  <c r="AB169" i="2" s="1"/>
  <c r="Z427" i="2"/>
  <c r="AB427" i="2" s="1"/>
  <c r="Z603" i="2"/>
  <c r="AB603" i="2" s="1"/>
  <c r="Z521" i="2"/>
  <c r="AB521" i="2" s="1"/>
  <c r="Z1045" i="2"/>
  <c r="AB1045" i="2" s="1"/>
  <c r="Z1053" i="2"/>
  <c r="AB1053" i="2" s="1"/>
  <c r="Z199" i="2"/>
  <c r="AB199" i="2" s="1"/>
  <c r="Z192" i="2"/>
  <c r="AB192" i="2" s="1"/>
  <c r="Z724" i="2"/>
  <c r="AB724" i="2" s="1"/>
  <c r="Z56" i="2"/>
  <c r="AB56" i="2" s="1"/>
  <c r="Z356" i="2"/>
  <c r="AB356" i="2" s="1"/>
  <c r="AB24" i="2"/>
  <c r="AB944" i="2"/>
  <c r="Z631" i="2"/>
  <c r="AB631" i="2" s="1"/>
  <c r="Z968" i="2"/>
  <c r="AB968" i="2" s="1"/>
  <c r="AB1021" i="2"/>
  <c r="Z971" i="2"/>
  <c r="AB971" i="2" s="1"/>
  <c r="Z250" i="2"/>
  <c r="AB250" i="2" s="1"/>
  <c r="Z374" i="2"/>
  <c r="AB374" i="2" s="1"/>
  <c r="Z952" i="2"/>
  <c r="AB952" i="2" s="1"/>
  <c r="Z826" i="2"/>
  <c r="AB826" i="2" s="1"/>
  <c r="Z856" i="2"/>
  <c r="AB856" i="2" s="1"/>
  <c r="Z189" i="2"/>
  <c r="AB189" i="2" s="1"/>
  <c r="Z543" i="2"/>
  <c r="AB543" i="2" s="1"/>
  <c r="Z491" i="2"/>
  <c r="AB491" i="2" s="1"/>
  <c r="Z777" i="2"/>
  <c r="AB777" i="2" s="1"/>
  <c r="Z1035" i="2"/>
  <c r="AB1035" i="2" s="1"/>
  <c r="Z215" i="2"/>
  <c r="AB215" i="2" s="1"/>
  <c r="Z1017" i="2"/>
  <c r="AB1017" i="2" s="1"/>
  <c r="Z778" i="2"/>
  <c r="AB778" i="2" s="1"/>
  <c r="Z857" i="2"/>
  <c r="AB857" i="2" s="1"/>
  <c r="AB862" i="2"/>
  <c r="Z902" i="2"/>
  <c r="AB902" i="2" s="1"/>
  <c r="Z990" i="2"/>
  <c r="AB990" i="2" s="1"/>
  <c r="Z87" i="2"/>
  <c r="AB87" i="2" s="1"/>
  <c r="Z242" i="2"/>
  <c r="AB242" i="2" s="1"/>
  <c r="AB970" i="2"/>
  <c r="Z987" i="2"/>
  <c r="AB987" i="2" s="1"/>
  <c r="Z110" i="2"/>
  <c r="AB110" i="2" s="1"/>
  <c r="Z798" i="2"/>
  <c r="AB798" i="2" s="1"/>
  <c r="AB194" i="2"/>
  <c r="Z231" i="2"/>
  <c r="AB231" i="2" s="1"/>
  <c r="AB1022" i="2"/>
  <c r="Z827" i="2"/>
  <c r="AB827" i="2" s="1"/>
  <c r="AB278" i="2"/>
  <c r="Z247" i="2"/>
  <c r="AB247" i="2" s="1"/>
  <c r="Z994" i="2"/>
  <c r="AB994" i="2" s="1"/>
  <c r="Z872" i="2"/>
  <c r="AB872" i="2" s="1"/>
  <c r="Z297" i="2"/>
  <c r="AB297" i="2" s="1"/>
  <c r="Z989" i="2"/>
  <c r="AB989" i="2" s="1"/>
  <c r="AB64" i="2"/>
  <c r="Z47" i="2"/>
  <c r="AB47" i="2" s="1"/>
  <c r="Z273" i="2"/>
  <c r="AB273" i="2" s="1"/>
  <c r="Z205" i="2"/>
  <c r="AB205" i="2" s="1"/>
  <c r="Z871" i="2"/>
  <c r="AB871" i="2" s="1"/>
  <c r="AB1016" i="2"/>
  <c r="Z77" i="2"/>
  <c r="AB77" i="2" s="1"/>
  <c r="AB163" i="2"/>
  <c r="Z822" i="2"/>
  <c r="AB822" i="2" s="1"/>
  <c r="Z516" i="2"/>
  <c r="AB516" i="2" s="1"/>
  <c r="Z574" i="2"/>
  <c r="AB574" i="2" s="1"/>
  <c r="Z595" i="2"/>
  <c r="AB595" i="2" s="1"/>
  <c r="Z602" i="2"/>
  <c r="AB602" i="2" s="1"/>
  <c r="Z131" i="2"/>
  <c r="AB131" i="2" s="1"/>
  <c r="Z1047" i="2"/>
  <c r="AB1047" i="2" s="1"/>
  <c r="Z150" i="2"/>
  <c r="AB150" i="2" s="1"/>
  <c r="Z36" i="2"/>
  <c r="AB36" i="2" s="1"/>
  <c r="Z753" i="2"/>
  <c r="AB753" i="2" s="1"/>
  <c r="Z276" i="2"/>
  <c r="AB276" i="2" s="1"/>
  <c r="Z248" i="2"/>
  <c r="AB248" i="2" s="1"/>
  <c r="Z726" i="2"/>
  <c r="AB726" i="2" s="1"/>
  <c r="Z432" i="2"/>
  <c r="AB432" i="2" s="1"/>
  <c r="Z452" i="2"/>
  <c r="AB452" i="2" s="1"/>
  <c r="Z528" i="2"/>
  <c r="AB528" i="2" s="1"/>
  <c r="Z549" i="2"/>
  <c r="AB549" i="2" s="1"/>
  <c r="Z1050" i="2"/>
  <c r="AB1050" i="2" s="1"/>
  <c r="Z685" i="2"/>
  <c r="AB685" i="2" s="1"/>
  <c r="Z992" i="2"/>
  <c r="AB992" i="2" s="1"/>
  <c r="Z597" i="2"/>
  <c r="AB597" i="2" s="1"/>
  <c r="Z913" i="2"/>
  <c r="AB913" i="2" s="1"/>
  <c r="Z504" i="2"/>
  <c r="AB504" i="2" s="1"/>
  <c r="Z617" i="2"/>
  <c r="AB617" i="2" s="1"/>
  <c r="Z1044" i="2"/>
  <c r="AB1044" i="2" s="1"/>
  <c r="Z1052" i="2"/>
  <c r="AB1052" i="2" s="1"/>
  <c r="Z734" i="2"/>
  <c r="AB734" i="2" s="1"/>
  <c r="Z156" i="2"/>
  <c r="AB156" i="2" s="1"/>
  <c r="Z573" i="2"/>
  <c r="AB573" i="2" s="1"/>
  <c r="Z155" i="2"/>
  <c r="AB155" i="2" s="1"/>
  <c r="Z212" i="2"/>
  <c r="AB212" i="2" s="1"/>
  <c r="Z1005" i="2"/>
  <c r="AB1005" i="2" s="1"/>
  <c r="Z1046" i="2"/>
  <c r="AB1046" i="2" s="1"/>
  <c r="AB442" i="2"/>
  <c r="AB594" i="2"/>
  <c r="AB1069" i="2"/>
  <c r="AB706" i="2"/>
  <c r="AB507" i="2"/>
  <c r="AB509" i="2"/>
  <c r="AB508" i="2"/>
  <c r="AB506" i="2"/>
  <c r="AB421" i="2"/>
  <c r="AB133" i="2"/>
  <c r="AB130" i="2"/>
  <c r="AB444" i="2"/>
  <c r="AB196" i="2"/>
  <c r="AB792" i="2"/>
  <c r="AB397" i="2"/>
  <c r="AB441" i="2"/>
  <c r="AB526" i="2"/>
  <c r="AB440" i="2"/>
  <c r="AB99" i="2"/>
  <c r="AB219" i="2"/>
  <c r="AB430" i="2"/>
  <c r="AB428" i="2"/>
  <c r="AB481" i="2"/>
  <c r="AB388" i="2"/>
  <c r="AB364" i="2"/>
  <c r="AB570" i="2"/>
  <c r="AB392" i="2"/>
  <c r="AB496" i="2"/>
  <c r="AB599" i="2"/>
  <c r="AB223" i="2"/>
  <c r="AB495" i="2"/>
  <c r="AB501" i="2"/>
  <c r="AB610" i="2"/>
  <c r="AB576" i="2"/>
  <c r="AB132" i="2"/>
  <c r="AB525" i="2"/>
  <c r="AB159" i="2"/>
  <c r="AB609" i="2"/>
  <c r="AB502" i="2"/>
  <c r="AB616" i="2"/>
  <c r="AB577" i="2"/>
  <c r="AB170" i="2"/>
  <c r="AB380" i="2"/>
  <c r="AB840" i="2"/>
  <c r="AB612" i="2"/>
  <c r="AB114" i="2"/>
  <c r="AB161" i="2"/>
  <c r="AB998" i="2"/>
  <c r="AB483" i="2"/>
  <c r="AB606" i="2"/>
  <c r="AB607" i="2"/>
  <c r="AB614" i="2"/>
  <c r="AB716" i="2"/>
  <c r="AB523" i="2"/>
  <c r="AB342" i="2"/>
  <c r="AB224" i="2"/>
  <c r="AB464" i="2"/>
  <c r="AB201" i="2"/>
  <c r="AB400" i="2"/>
  <c r="AB74" i="2"/>
  <c r="AB76" i="2"/>
  <c r="AB1032" i="2"/>
  <c r="AB596" i="2"/>
  <c r="AB416" i="2"/>
  <c r="AB746" i="2"/>
  <c r="AB439" i="2"/>
  <c r="AB188" i="2"/>
  <c r="AB774" i="2"/>
  <c r="AB608" i="2"/>
  <c r="AB477" i="2"/>
  <c r="AB876" i="2"/>
  <c r="AB695" i="2"/>
  <c r="AB473" i="2"/>
  <c r="AB512" i="2"/>
  <c r="AB711" i="2"/>
  <c r="AB559" i="2"/>
  <c r="AB336" i="2"/>
  <c r="AB160" i="2"/>
  <c r="AB693" i="2"/>
  <c r="AB449" i="2"/>
  <c r="AB448" i="2"/>
  <c r="AB563" i="2"/>
  <c r="AB672" i="2"/>
  <c r="AB417" i="2"/>
  <c r="AB72" i="2"/>
  <c r="AB628" i="2"/>
  <c r="AB571" i="2"/>
  <c r="AB245" i="2"/>
  <c r="AB225" i="2"/>
  <c r="AB164" i="2"/>
  <c r="AB450" i="2"/>
  <c r="AB593" i="2"/>
  <c r="AB1034" i="2"/>
  <c r="AB409" i="2"/>
  <c r="AB564" i="2"/>
  <c r="AB500" i="2"/>
  <c r="AB73" i="2"/>
  <c r="AB233" i="2"/>
  <c r="AB177" i="2"/>
  <c r="AB645" i="2"/>
  <c r="AB558" i="2"/>
  <c r="AB272" i="2"/>
  <c r="AB1040" i="2"/>
  <c r="AB265" i="2"/>
  <c r="AB694" i="2"/>
  <c r="AB476" i="2"/>
  <c r="AB536" i="2"/>
  <c r="AB408" i="2"/>
  <c r="AB331" i="2"/>
  <c r="AB499" i="2"/>
  <c r="AB484" i="2"/>
  <c r="AB154" i="2"/>
  <c r="AB584" i="2"/>
  <c r="AB434" i="2"/>
  <c r="AB557" i="2"/>
  <c r="AB494" i="2"/>
  <c r="AB522" i="2"/>
  <c r="AB510" i="2"/>
  <c r="AB554" i="2"/>
  <c r="AB468" i="2"/>
  <c r="AB712" i="2"/>
  <c r="AB961" i="2"/>
  <c r="AB697" i="2"/>
  <c r="AB767" i="2"/>
  <c r="AB453" i="2"/>
  <c r="AB426" i="2"/>
  <c r="AB533" i="2"/>
  <c r="AB682" i="2"/>
  <c r="AB831" i="2"/>
  <c r="AB547" i="2"/>
  <c r="AB851" i="2"/>
  <c r="AB683" i="2"/>
  <c r="AB423" i="2"/>
  <c r="AB454" i="2"/>
  <c r="AB910" i="2"/>
  <c r="AB515" i="2"/>
  <c r="AB795" i="2"/>
  <c r="AB187" i="2"/>
  <c r="AB898" i="2"/>
  <c r="AB493" i="2"/>
  <c r="AB11" i="2"/>
  <c r="AB420" i="2"/>
  <c r="AB46" i="2"/>
  <c r="AB266" i="2"/>
  <c r="AB699" i="2"/>
  <c r="AB136" i="2"/>
  <c r="AB539" i="2"/>
  <c r="AB568" i="2"/>
  <c r="AB137" i="2"/>
  <c r="AB232" i="2"/>
  <c r="AB178" i="2"/>
  <c r="AB287" i="2"/>
  <c r="AB997" i="2"/>
  <c r="AB551" i="2"/>
  <c r="AB538" i="2"/>
  <c r="AB553" i="2"/>
  <c r="AB648" i="2"/>
  <c r="AB33" i="2"/>
  <c r="AB129" i="2"/>
  <c r="AB541" i="2"/>
  <c r="AB66" i="2"/>
  <c r="AB113" i="2"/>
  <c r="AB472" i="2"/>
  <c r="AB240" i="2"/>
  <c r="AB433" i="2"/>
  <c r="AB531" i="2"/>
  <c r="AB436" i="2"/>
  <c r="AB635" i="2"/>
  <c r="AB237" i="2"/>
  <c r="AB238" i="2"/>
  <c r="AB465" i="2"/>
  <c r="AB451" i="2"/>
  <c r="AB592" i="2"/>
  <c r="AB893" i="2"/>
  <c r="AB184" i="2"/>
  <c r="AB226" i="2"/>
  <c r="AB431" i="2"/>
  <c r="AB218" i="2"/>
  <c r="AB111" i="2"/>
  <c r="AB1036" i="2"/>
  <c r="AB823" i="2"/>
  <c r="AB109" i="2"/>
  <c r="AB973" i="2"/>
  <c r="AB419" i="2"/>
  <c r="AB398" i="2"/>
  <c r="AB657" i="2"/>
  <c r="AB656" i="2"/>
  <c r="AB655" i="2"/>
  <c r="AB654" i="2"/>
  <c r="AB745" i="2"/>
  <c r="AB814" i="2"/>
  <c r="AB71" i="2"/>
  <c r="AB70" i="2"/>
  <c r="AB84" i="2"/>
  <c r="AB153" i="2"/>
  <c r="AB121" i="2"/>
  <c r="AB280" i="2"/>
  <c r="AB791" i="2"/>
  <c r="AB186" i="2"/>
  <c r="AB361" i="2"/>
  <c r="AB936" i="2"/>
  <c r="AB674" i="2"/>
  <c r="AB993" i="2"/>
  <c r="AB216" i="2"/>
  <c r="AB975" i="2"/>
  <c r="AB742" i="2"/>
  <c r="AB710" i="2"/>
  <c r="AB759" i="2"/>
  <c r="AB924" i="2"/>
  <c r="AB947" i="2"/>
  <c r="AB165" i="2"/>
  <c r="AB191" i="2"/>
  <c r="AB743" i="2"/>
  <c r="AB852" i="2"/>
  <c r="AB673" i="2"/>
  <c r="AB143" i="2"/>
  <c r="AB783" i="2"/>
  <c r="AB294" i="2"/>
  <c r="AB680" i="2"/>
  <c r="AB290" i="2"/>
  <c r="AB321" i="2"/>
  <c r="AB703" i="2"/>
  <c r="AB828" i="2"/>
  <c r="AB288" i="2"/>
  <c r="AB923" i="2"/>
  <c r="AB81" i="2"/>
  <c r="AB1014" i="2"/>
  <c r="AB349" i="2"/>
  <c r="AB841" i="2"/>
  <c r="AB937" i="2"/>
  <c r="AB174" i="2"/>
  <c r="AB977" i="2"/>
  <c r="AB689" i="2"/>
  <c r="AB326" i="2"/>
  <c r="AB643" i="2"/>
  <c r="AB312" i="2"/>
  <c r="AB739" i="2"/>
  <c r="AB79" i="2"/>
  <c r="AB940" i="2"/>
  <c r="AB637" i="2"/>
  <c r="AB729" i="2"/>
  <c r="AB883" i="2"/>
  <c r="AB532" i="2"/>
  <c r="AB619" i="2"/>
  <c r="AB228" i="2"/>
  <c r="AB286" i="2"/>
  <c r="AB667" i="2"/>
  <c r="AB708" i="2"/>
  <c r="AB282" i="2"/>
  <c r="AB411" i="2"/>
  <c r="AB801" i="2"/>
  <c r="AB687" i="2"/>
  <c r="AB293" i="2"/>
  <c r="AB375" i="2"/>
  <c r="AB35" i="2"/>
  <c r="AB144" i="2"/>
  <c r="AB660" i="2"/>
  <c r="AB618" i="2"/>
  <c r="AB415" i="2"/>
  <c r="AB707" i="2"/>
  <c r="AB633" i="2"/>
  <c r="AB13" i="2"/>
  <c r="AB704" i="2"/>
  <c r="AB37" i="2"/>
  <c r="AB845" i="2"/>
  <c r="AB714" i="2"/>
  <c r="AB800" i="2"/>
  <c r="AB825" i="2"/>
  <c r="AB670" i="2"/>
  <c r="AB5" i="2"/>
  <c r="AB833" i="2"/>
  <c r="AB575" i="2"/>
  <c r="AB534" i="2"/>
  <c r="AB589" i="2"/>
  <c r="AB302" i="2"/>
  <c r="AB1019" i="2"/>
  <c r="AB955" i="2"/>
  <c r="AB953" i="2"/>
  <c r="AB906" i="2"/>
  <c r="AB838" i="2"/>
  <c r="AB796" i="2"/>
  <c r="AB152" i="2"/>
  <c r="AB976" i="2"/>
  <c r="AB935" i="2"/>
  <c r="AB809" i="2"/>
  <c r="AB1012" i="2"/>
  <c r="AB372" i="2"/>
  <c r="AB498" i="2"/>
  <c r="AB379" i="2"/>
  <c r="AB371" i="2"/>
  <c r="AB405" i="2"/>
  <c r="AB569" i="2"/>
  <c r="AB256" i="2"/>
  <c r="AB251" i="2"/>
  <c r="AB750" i="2"/>
  <c r="AB490" i="2"/>
  <c r="AB253" i="2"/>
  <c r="AB119" i="2"/>
  <c r="AB1013" i="2"/>
  <c r="AB179" i="2"/>
  <c r="AB202" i="2"/>
  <c r="AB775" i="2"/>
  <c r="AB355" i="2"/>
  <c r="AB789" i="2"/>
  <c r="AB97" i="2"/>
  <c r="AB785" i="2"/>
  <c r="AB545" i="2"/>
  <c r="AB135" i="2"/>
  <c r="AB519" i="2"/>
  <c r="AB214" i="2"/>
  <c r="AB376" i="2"/>
  <c r="AB776" i="2"/>
  <c r="AB552" i="2"/>
  <c r="AB877" i="2"/>
  <c r="AB892" i="2"/>
  <c r="AB497" i="2"/>
  <c r="AB220" i="2"/>
  <c r="AB370" i="2"/>
  <c r="AB96" i="2"/>
  <c r="AB878" i="2"/>
  <c r="AB784" i="2"/>
  <c r="AB95" i="2"/>
  <c r="AB579" i="2"/>
  <c r="AB548" i="2"/>
  <c r="AB908" i="2"/>
  <c r="AB94" i="2"/>
  <c r="AB93" i="2"/>
  <c r="AB881" i="2"/>
  <c r="AB836" i="2"/>
  <c r="AB443" i="2"/>
  <c r="AB298" i="2"/>
  <c r="AB101" i="2"/>
  <c r="AB870" i="2"/>
  <c r="AB185" i="2"/>
  <c r="AB530" i="2"/>
  <c r="AB350" i="2"/>
  <c r="AB1031" i="2"/>
  <c r="AB829" i="2"/>
  <c r="AB1004" i="2"/>
  <c r="AB229" i="2"/>
  <c r="AB68" i="2"/>
  <c r="AB390" i="2"/>
  <c r="AB744" i="2"/>
  <c r="AB387" i="2"/>
  <c r="AB128" i="2"/>
  <c r="AB615" i="2"/>
  <c r="AB737" i="2"/>
  <c r="AB738" i="2"/>
  <c r="AB736" i="2"/>
  <c r="AB978" i="2"/>
  <c r="AB139" i="2"/>
  <c r="AB352" i="2"/>
  <c r="AB323" i="2"/>
  <c r="AB459" i="2"/>
  <c r="AB407" i="2"/>
  <c r="AB455" i="2"/>
  <c r="AB365" i="2"/>
  <c r="AB721" i="2"/>
  <c r="AB808" i="2"/>
  <c r="AB811" i="2"/>
  <c r="AB1039" i="2"/>
  <c r="AB91" i="2"/>
  <c r="AB880" i="2"/>
  <c r="AB337" i="2"/>
  <c r="AB884" i="2"/>
  <c r="AB115" i="2"/>
  <c r="AB360" i="2"/>
  <c r="AB717" i="2"/>
  <c r="AB351" i="2"/>
  <c r="AB221" i="2"/>
  <c r="AB134" i="2"/>
  <c r="AB425" i="2"/>
  <c r="AB855" i="2"/>
  <c r="AB731" i="2"/>
  <c r="AB966" i="2"/>
  <c r="AB283" i="2"/>
  <c r="AB900" i="2"/>
  <c r="AB291" i="2"/>
  <c r="AB235" i="2"/>
  <c r="AB802" i="2"/>
  <c r="AB470" i="2"/>
  <c r="AB478" i="2"/>
  <c r="AB642" i="2"/>
  <c r="AB162" i="2"/>
  <c r="AB406" i="2"/>
  <c r="AB771" i="2"/>
  <c r="AB934" i="2"/>
  <c r="AB393" i="2"/>
  <c r="AB773" i="2"/>
  <c r="AB172" i="2"/>
  <c r="AB171" i="2"/>
  <c r="AB107" i="2"/>
  <c r="AB105" i="2"/>
  <c r="AB104" i="2"/>
  <c r="AB141" i="2"/>
  <c r="AB100" i="2"/>
  <c r="AB108" i="2"/>
  <c r="AB787" i="2"/>
  <c r="AB314" i="2"/>
  <c r="AB848" i="2"/>
  <c r="AB786" i="2"/>
  <c r="AB847" i="2"/>
  <c r="AB208" i="2"/>
  <c r="AB846" i="2"/>
  <c r="AB985" i="2"/>
  <c r="AB625" i="2"/>
  <c r="AB719" i="2"/>
  <c r="AB327" i="2"/>
  <c r="AB395" i="2"/>
  <c r="AB733" i="2"/>
  <c r="AB605" i="2"/>
  <c r="AB396" i="2"/>
  <c r="AB402" i="2"/>
  <c r="AB369" i="2"/>
  <c r="AB945" i="2"/>
  <c r="AB850" i="2"/>
  <c r="AB585" i="2"/>
  <c r="AB197" i="2"/>
  <c r="AB353" i="2"/>
  <c r="AB542" i="2"/>
  <c r="AB151" i="2"/>
  <c r="AB122" i="2"/>
  <c r="AB173" i="2"/>
  <c r="AB779" i="2"/>
  <c r="AB461" i="2"/>
  <c r="AB915" i="2"/>
  <c r="AB158" i="2"/>
  <c r="AB715" i="2"/>
  <c r="AB854" i="2"/>
  <c r="AB210" i="2"/>
  <c r="AB780" i="2"/>
  <c r="AB270" i="2"/>
  <c r="AB758" i="2"/>
  <c r="AB646" i="2"/>
  <c r="AB844" i="2"/>
  <c r="AB958" i="2"/>
  <c r="AB1001" i="2"/>
  <c r="AB80" i="2"/>
  <c r="AB803" i="2"/>
  <c r="AB914" i="2"/>
  <c r="AB705" i="2"/>
  <c r="AB148" i="2"/>
  <c r="AB770" i="2"/>
  <c r="AB582" i="2"/>
  <c r="AB560" i="2"/>
  <c r="AB258" i="2"/>
  <c r="AB320" i="2"/>
  <c r="AB106" i="2"/>
  <c r="AB67" i="2"/>
  <c r="AB377" i="2"/>
  <c r="AB999" i="2"/>
  <c r="AB653" i="2"/>
  <c r="AB289" i="2"/>
  <c r="AB86" i="2"/>
  <c r="AB281" i="2"/>
  <c r="AB636" i="2"/>
  <c r="AB263" i="2"/>
  <c r="AB765" i="2"/>
  <c r="AB661" i="2"/>
  <c r="AB991" i="2"/>
  <c r="AB620" i="2"/>
  <c r="AB662" i="2"/>
  <c r="AB679" i="2"/>
  <c r="AB677" i="2"/>
  <c r="AB259" i="2"/>
  <c r="AB262" i="2"/>
  <c r="AB652" i="2"/>
  <c r="AB271" i="2"/>
  <c r="AB916" i="2"/>
  <c r="AB663" i="2"/>
  <c r="AB627" i="2"/>
  <c r="AB623" i="2"/>
  <c r="AB659" i="2"/>
  <c r="AB274" i="2"/>
  <c r="AB799" i="2"/>
  <c r="AB638" i="2"/>
  <c r="AB38" i="2"/>
  <c r="AB788" i="2"/>
  <c r="AB769" i="2"/>
  <c r="AB535" i="2"/>
  <c r="AB264" i="2"/>
  <c r="AB304" i="2"/>
  <c r="AB299" i="2"/>
  <c r="AB984" i="2"/>
  <c r="AB951" i="2"/>
  <c r="AB905" i="2"/>
  <c r="AB867" i="2"/>
  <c r="AB754" i="2"/>
  <c r="AB335" i="2"/>
  <c r="AB702" i="2"/>
  <c r="AB1038" i="2"/>
  <c r="AB929" i="2"/>
  <c r="AB928" i="2"/>
  <c r="AB120" i="2"/>
  <c r="AB236" i="2"/>
  <c r="AB813" i="2"/>
  <c r="AB698" i="2"/>
  <c r="AB279" i="2"/>
  <c r="AB686" i="2"/>
  <c r="AB217" i="2"/>
  <c r="AB843" i="2"/>
  <c r="AB157" i="2"/>
  <c r="AB700" i="2"/>
  <c r="AB691" i="2"/>
  <c r="AB658" i="2"/>
  <c r="AB649" i="2"/>
  <c r="AB692" i="2"/>
  <c r="AB244" i="2"/>
  <c r="AB690" i="2"/>
  <c r="AB640" i="2"/>
  <c r="AB125" i="2"/>
  <c r="AB942" i="2"/>
  <c r="AB675" i="2"/>
  <c r="AB34" i="2"/>
  <c r="AB537" i="2"/>
  <c r="AB964" i="2"/>
  <c r="AB209" i="2"/>
  <c r="AB587" i="2"/>
  <c r="AB639" i="2"/>
  <c r="AB1043" i="2"/>
  <c r="AB241" i="2"/>
  <c r="AB834" i="2"/>
  <c r="AB49" i="2"/>
  <c r="AB227" i="2"/>
  <c r="AB467" i="2"/>
  <c r="AB7" i="2"/>
  <c r="AB26" i="2"/>
  <c r="AB630" i="2"/>
  <c r="AB578" i="2"/>
  <c r="AB866" i="2"/>
  <c r="AB520" i="2"/>
  <c r="AB839" i="2"/>
  <c r="AB296" i="2"/>
  <c r="AB404" i="2"/>
  <c r="AB629" i="2"/>
  <c r="AB865" i="2"/>
  <c r="AB897" i="2"/>
  <c r="AB896" i="2"/>
  <c r="AB292" i="2"/>
  <c r="AB10" i="2"/>
  <c r="AB696" i="2"/>
  <c r="AB963" i="2"/>
  <c r="AB456" i="2"/>
  <c r="AB267" i="2"/>
  <c r="AB632" i="2"/>
  <c r="AB204" i="2"/>
  <c r="AB306" i="2"/>
  <c r="AB268" i="2"/>
  <c r="AB222" i="2"/>
  <c r="AB747" i="2"/>
  <c r="AB665" i="2"/>
  <c r="AB931" i="2"/>
  <c r="AB44" i="2"/>
  <c r="AB1042" i="2"/>
  <c r="AB339" i="2"/>
  <c r="AB446" i="2"/>
  <c r="AB664" i="2"/>
  <c r="AB586" i="2"/>
  <c r="AB920" i="2"/>
  <c r="AB492" i="2"/>
  <c r="AB890" i="2"/>
  <c r="AB391" i="2"/>
  <c r="AB511" i="2"/>
  <c r="AB140" i="2"/>
  <c r="AB123" i="2"/>
  <c r="AB830" i="2"/>
  <c r="AB666" i="2"/>
  <c r="AB167" i="2"/>
  <c r="AB340" i="2"/>
  <c r="AB837" i="2"/>
  <c r="AB362" i="2"/>
  <c r="AB319" i="2"/>
  <c r="AB389" i="2"/>
  <c r="AB45" i="2"/>
  <c r="AB127" i="2"/>
  <c r="AB338" i="2"/>
  <c r="AB1029" i="2"/>
  <c r="AB394" i="2"/>
  <c r="AB363" i="2"/>
  <c r="AB358" i="2"/>
  <c r="AB21" i="2"/>
  <c r="AB317" i="2"/>
  <c r="AB98" i="2"/>
  <c r="AB1041" i="2"/>
  <c r="AB1028" i="2"/>
  <c r="AB382" i="2"/>
  <c r="AB23" i="2"/>
  <c r="AB344" i="2"/>
  <c r="AB333" i="2"/>
  <c r="AB381" i="2"/>
  <c r="AB65" i="2"/>
  <c r="AB40" i="2"/>
  <c r="AB347" i="2"/>
  <c r="AB88" i="2"/>
  <c r="AB437" i="2"/>
  <c r="AB359" i="2"/>
  <c r="AB90" i="2"/>
  <c r="AB89" i="2"/>
  <c r="AB92" i="2"/>
  <c r="AB19" i="2"/>
  <c r="AB6" i="2"/>
  <c r="AB1030" i="2"/>
  <c r="AB749" i="2"/>
  <c r="AB972" i="2"/>
  <c r="AB43" i="2"/>
  <c r="AB748" i="2"/>
  <c r="AB41" i="2"/>
  <c r="AB17" i="2"/>
  <c r="AB18" i="2"/>
  <c r="AB308" i="2"/>
  <c r="AB728" i="2"/>
  <c r="AB817" i="2"/>
  <c r="AB818" i="2"/>
  <c r="AB735" i="2"/>
  <c r="AB1020" i="2"/>
  <c r="AB1007" i="2"/>
  <c r="AB962" i="2"/>
  <c r="AB816" i="2"/>
  <c r="AB22" i="2"/>
  <c r="AB903" i="2"/>
  <c r="AB858" i="2"/>
  <c r="AB727" i="2"/>
  <c r="AB230" i="2"/>
  <c r="AB986" i="2"/>
  <c r="AB917" i="2"/>
  <c r="AB414" i="2"/>
  <c r="AB42" i="2"/>
  <c r="AB285" i="2"/>
  <c r="AB30" i="2"/>
  <c r="AB982" i="2"/>
  <c r="AB925" i="2"/>
  <c r="AB61" i="2"/>
  <c r="AB260" i="2"/>
  <c r="AB959" i="2"/>
  <c r="AB889" i="2"/>
  <c r="AB1023" i="2"/>
  <c r="AB948" i="2"/>
  <c r="AB933" i="2"/>
  <c r="AB58" i="2"/>
  <c r="AB57" i="2"/>
  <c r="AB54" i="2"/>
  <c r="AB403" i="2"/>
  <c r="AB124" i="2"/>
  <c r="AB965" i="2"/>
  <c r="AB815" i="2"/>
  <c r="AB32" i="2"/>
  <c r="AB1015" i="2"/>
  <c r="AB1003" i="2"/>
  <c r="AB956" i="2"/>
  <c r="AB943" i="2"/>
  <c r="AB941" i="2"/>
  <c r="AB932" i="2"/>
  <c r="AB888" i="2"/>
  <c r="AB832" i="2"/>
  <c r="AB805" i="2"/>
  <c r="AB772" i="2"/>
  <c r="AB764" i="2"/>
  <c r="AB720" i="2"/>
  <c r="AB309" i="2"/>
  <c r="AB307" i="2"/>
  <c r="AB303" i="2"/>
  <c r="AB1018" i="2"/>
  <c r="AB1011" i="2"/>
  <c r="AB1010" i="2"/>
  <c r="AB1009" i="2"/>
  <c r="AB1008" i="2"/>
  <c r="AB995" i="2"/>
  <c r="AB981" i="2"/>
  <c r="AB960" i="2"/>
  <c r="AB946" i="2"/>
  <c r="AB939" i="2"/>
  <c r="AB938" i="2"/>
  <c r="AB930" i="2"/>
  <c r="AB927" i="2"/>
  <c r="AB922" i="2"/>
  <c r="AB921" i="2"/>
  <c r="AB919" i="2"/>
  <c r="AB882" i="2"/>
  <c r="AB879" i="2"/>
  <c r="AB874" i="2"/>
  <c r="AB864" i="2"/>
  <c r="AB794" i="2"/>
  <c r="AB781" i="2"/>
  <c r="AB756" i="2"/>
  <c r="AB740" i="2"/>
  <c r="AB386" i="2"/>
  <c r="AB385" i="2"/>
  <c r="AB384" i="2"/>
  <c r="AB383" i="2"/>
  <c r="AB367" i="2"/>
  <c r="AB366" i="2"/>
  <c r="AB348" i="2"/>
  <c r="AB346" i="2"/>
  <c r="AB345" i="2"/>
  <c r="AB334" i="2"/>
  <c r="AB310" i="2"/>
  <c r="AB305" i="2"/>
  <c r="AB301" i="2"/>
  <c r="AB300" i="2"/>
  <c r="AB996" i="2"/>
  <c r="AB954" i="2"/>
  <c r="AB907" i="2"/>
  <c r="AB895" i="2"/>
  <c r="AB806" i="2"/>
  <c r="AB755" i="2"/>
  <c r="AB741" i="2"/>
  <c r="AB418" i="2"/>
  <c r="AB983" i="2"/>
  <c r="AB598" i="2"/>
  <c r="AB861" i="2"/>
  <c r="AB211" i="2"/>
  <c r="AB53" i="2"/>
  <c r="AB322" i="2"/>
  <c r="AB544" i="2"/>
  <c r="AB505" i="2"/>
  <c r="AB488" i="2"/>
  <c r="AB849" i="2"/>
  <c r="AB145" i="2"/>
  <c r="AB669" i="2"/>
  <c r="AB556" i="2"/>
  <c r="AB626" i="2"/>
  <c r="AB1037" i="2"/>
  <c r="AB624" i="2"/>
  <c r="AB681" i="2"/>
  <c r="AB588" i="2"/>
  <c r="AB412" i="2"/>
  <c r="AB590" i="2"/>
  <c r="AB102" i="2"/>
  <c r="AB284" i="2"/>
  <c r="AB676" i="2"/>
  <c r="AB859" i="2"/>
  <c r="AB466" i="2"/>
  <c r="AB368" i="2"/>
  <c r="AB413" i="2"/>
  <c r="AB457" i="2"/>
  <c r="AB422" i="2"/>
  <c r="AB28" i="2"/>
  <c r="AB1006" i="2"/>
  <c r="AB275" i="2"/>
  <c r="AB200" i="2"/>
  <c r="AB527" i="2"/>
  <c r="AB517" i="2"/>
  <c r="AB949" i="2"/>
  <c r="AB668" i="2"/>
  <c r="AB103" i="2"/>
  <c r="AB311" i="2"/>
  <c r="AB239" i="2"/>
  <c r="AB768" i="2"/>
  <c r="AB489" i="2"/>
  <c r="AB485" i="2"/>
  <c r="AB1026" i="2"/>
  <c r="AB261" i="2"/>
  <c r="AB203" i="2"/>
  <c r="AB885" i="2"/>
  <c r="AB332" i="2"/>
  <c r="AB183" i="2"/>
  <c r="AB48" i="2"/>
  <c r="AB447" i="2"/>
  <c r="AB567" i="2"/>
  <c r="AB118" i="2"/>
  <c r="AB860" i="2"/>
  <c r="AB486" i="2"/>
  <c r="AB117" i="2"/>
  <c r="AB27" i="2"/>
  <c r="AB904" i="2"/>
  <c r="AB424" i="2"/>
  <c r="AB1025" i="2"/>
  <c r="AB761" i="2"/>
  <c r="AB252" i="2"/>
  <c r="AB581" i="2"/>
  <c r="AB318" i="2"/>
  <c r="AB16" i="2"/>
  <c r="AB324" i="2"/>
  <c r="AB60" i="2"/>
  <c r="AB52" i="2"/>
  <c r="AB445" i="2"/>
  <c r="AB9" i="2"/>
  <c r="AB842" i="2"/>
  <c r="AB59" i="2"/>
  <c r="AB277" i="2"/>
  <c r="AB12" i="2"/>
  <c r="AB869" i="2"/>
  <c r="AB401" i="2"/>
  <c r="AB257" i="2"/>
  <c r="AB886" i="2"/>
  <c r="AB15" i="2"/>
  <c r="AB357" i="2"/>
  <c r="AB14" i="2"/>
  <c r="AB812" i="2"/>
  <c r="AB142" i="2"/>
  <c r="AB55" i="2"/>
  <c r="AB295" i="2"/>
  <c r="AB546" i="2"/>
  <c r="AD1053" i="2"/>
  <c r="AD1048" i="2"/>
  <c r="AD1044" i="2"/>
  <c r="AE1052" i="2"/>
  <c r="AE1049" i="2"/>
  <c r="AE1047" i="2"/>
  <c r="AD1046" i="2"/>
  <c r="AE549" i="2"/>
  <c r="AE1050" i="2"/>
  <c r="AE1045" i="2"/>
  <c r="AE181" i="2"/>
  <c r="AE1051" i="2"/>
  <c r="AE891" i="2"/>
  <c r="AC528" i="2" l="1"/>
  <c r="AD528" i="2" s="1"/>
  <c r="AC329" i="2"/>
  <c r="AD329" i="2" s="1"/>
  <c r="AC913" i="2"/>
  <c r="AD913" i="2" s="1"/>
  <c r="AC497" i="2"/>
  <c r="AE497" i="2" s="1"/>
  <c r="AC504" i="2"/>
  <c r="AD504" i="2" s="1"/>
  <c r="AC212" i="2"/>
  <c r="AE212" i="2" s="1"/>
  <c r="AC131" i="2"/>
  <c r="AD131" i="2" s="1"/>
  <c r="AC1005" i="2"/>
  <c r="AE1005" i="2" s="1"/>
  <c r="AC617" i="2"/>
  <c r="AD617" i="2" s="1"/>
  <c r="AC480" i="2"/>
  <c r="AD480" i="2" s="1"/>
  <c r="AC475" i="2"/>
  <c r="AD475" i="2" s="1"/>
  <c r="AE528" i="2" l="1"/>
  <c r="AE329" i="2"/>
  <c r="AD1005" i="2"/>
  <c r="AE617" i="2"/>
  <c r="AE131" i="2"/>
  <c r="AD212" i="2"/>
  <c r="AD497" i="2"/>
  <c r="AE480" i="2"/>
  <c r="AE504" i="2"/>
  <c r="AE913" i="2"/>
  <c r="AE475" i="2"/>
  <c r="AC146" i="2" l="1"/>
  <c r="AE146" i="2" s="1"/>
  <c r="AC521" i="2"/>
  <c r="AE521" i="2" s="1"/>
  <c r="AC518" i="2"/>
  <c r="AE518" i="2" s="1"/>
  <c r="AC602" i="2"/>
  <c r="AE602" i="2" s="1"/>
  <c r="AC603" i="2"/>
  <c r="AE603" i="2" s="1"/>
  <c r="AC1070" i="2"/>
  <c r="AD1070" i="2" s="1"/>
  <c r="AD518" i="2" l="1"/>
  <c r="AD602" i="2"/>
  <c r="AD521" i="2"/>
  <c r="AD146" i="2"/>
  <c r="AE1070" i="2"/>
  <c r="AD603" i="2"/>
  <c r="AC155" i="2"/>
  <c r="AD155" i="2" s="1"/>
  <c r="AC595" i="2"/>
  <c r="AD595" i="2" s="1"/>
  <c r="AC474" i="2"/>
  <c r="AD474" i="2" s="1"/>
  <c r="AC469" i="2"/>
  <c r="AD469" i="2" s="1"/>
  <c r="AC550" i="2"/>
  <c r="AE550" i="2" s="1"/>
  <c r="AC452" i="2"/>
  <c r="AE452" i="2" s="1"/>
  <c r="AC1069" i="2"/>
  <c r="AD1069" i="2" s="1"/>
  <c r="AC169" i="2"/>
  <c r="AD169" i="2" s="1"/>
  <c r="AC69" i="2"/>
  <c r="AE69" i="2" s="1"/>
  <c r="AC611" i="2"/>
  <c r="AE611" i="2" s="1"/>
  <c r="AC573" i="2"/>
  <c r="AD573" i="2" s="1"/>
  <c r="AC574" i="2"/>
  <c r="AE574" i="2" s="1"/>
  <c r="AC562" i="2"/>
  <c r="AD562" i="2" s="1"/>
  <c r="AC597" i="2"/>
  <c r="AD597" i="2" s="1"/>
  <c r="AC432" i="2"/>
  <c r="AD432" i="2" s="1"/>
  <c r="AC600" i="2"/>
  <c r="AE600" i="2" s="1"/>
  <c r="AC427" i="2"/>
  <c r="AE427" i="2" s="1"/>
  <c r="AC156" i="2"/>
  <c r="AD156" i="2" s="1"/>
  <c r="AD427" i="2" l="1"/>
  <c r="AD574" i="2"/>
  <c r="AE573" i="2"/>
  <c r="AE469" i="2"/>
  <c r="AD600" i="2"/>
  <c r="AE474" i="2"/>
  <c r="AE432" i="2"/>
  <c r="AE155" i="2"/>
  <c r="AD452" i="2"/>
  <c r="AD69" i="2"/>
  <c r="AD550" i="2"/>
  <c r="AE597" i="2"/>
  <c r="AD611" i="2"/>
  <c r="AE1069" i="2"/>
  <c r="AE595" i="2"/>
  <c r="AE169" i="2"/>
  <c r="AE562" i="2"/>
  <c r="AE156" i="2"/>
  <c r="AC429" i="2"/>
  <c r="AD429" i="2" s="1"/>
  <c r="AC516" i="2"/>
  <c r="AE516" i="2" s="1"/>
  <c r="AC566" i="2"/>
  <c r="AD566" i="2" s="1"/>
  <c r="AC503" i="2"/>
  <c r="AE503" i="2" s="1"/>
  <c r="AC479" i="2"/>
  <c r="AD479" i="2" s="1"/>
  <c r="AD503" i="2" l="1"/>
  <c r="AE479" i="2"/>
  <c r="AD516" i="2"/>
  <c r="AE429" i="2"/>
  <c r="AE566" i="2"/>
  <c r="AC428" i="2"/>
  <c r="AD428" i="2" s="1"/>
  <c r="AC430" i="2"/>
  <c r="AE430" i="2" s="1"/>
  <c r="AC219" i="2"/>
  <c r="AD219" i="2" s="1"/>
  <c r="AC706" i="2"/>
  <c r="AE706" i="2" s="1"/>
  <c r="AC99" i="2"/>
  <c r="AD99" i="2" s="1"/>
  <c r="AC792" i="2"/>
  <c r="AE792" i="2" s="1"/>
  <c r="AC133" i="2"/>
  <c r="AD133" i="2" s="1"/>
  <c r="AC506" i="2"/>
  <c r="AE506" i="2" s="1"/>
  <c r="AC508" i="2"/>
  <c r="AD508" i="2" s="1"/>
  <c r="AC509" i="2"/>
  <c r="AE509" i="2" s="1"/>
  <c r="AC507" i="2"/>
  <c r="AD507" i="2" s="1"/>
  <c r="AC565" i="2"/>
  <c r="AD565" i="2" s="1"/>
  <c r="AC762" i="2"/>
  <c r="AE762" i="2" s="1"/>
  <c r="AC685" i="2"/>
  <c r="AD685" i="2" s="1"/>
  <c r="AC701" i="2"/>
  <c r="AE701" i="2" s="1"/>
  <c r="AC734" i="2"/>
  <c r="AD734" i="2" s="1"/>
  <c r="AC822" i="2"/>
  <c r="AE822" i="2" s="1"/>
  <c r="AC594" i="2"/>
  <c r="AE594" i="2" s="1"/>
  <c r="AC442" i="2"/>
  <c r="AE442" i="2" s="1"/>
  <c r="AC894" i="2"/>
  <c r="AD894" i="2" s="1"/>
  <c r="AC901" i="2"/>
  <c r="AE901" i="2" s="1"/>
  <c r="AC992" i="2"/>
  <c r="AE992" i="2" s="1"/>
  <c r="AC819" i="2"/>
  <c r="AD819" i="2" s="1"/>
  <c r="AC1067" i="2"/>
  <c r="AE1067" i="2" s="1"/>
  <c r="AC1064" i="2"/>
  <c r="AE1064" i="2" s="1"/>
  <c r="AC1065" i="2"/>
  <c r="AE1065" i="2" s="1"/>
  <c r="AC1054" i="2"/>
  <c r="AE1054" i="2" s="1"/>
  <c r="AC1055" i="2"/>
  <c r="AD1055" i="2" s="1"/>
  <c r="AC1056" i="2"/>
  <c r="AE1056" i="2" s="1"/>
  <c r="AC1057" i="2"/>
  <c r="AE1057" i="2" s="1"/>
  <c r="AC1059" i="2"/>
  <c r="AE1059" i="2" s="1"/>
  <c r="AC1060" i="2"/>
  <c r="AD1060" i="2" s="1"/>
  <c r="AC1061" i="2"/>
  <c r="AE1061" i="2" s="1"/>
  <c r="AC1062" i="2"/>
  <c r="AD1062" i="2" s="1"/>
  <c r="AC1063" i="2"/>
  <c r="AE1063" i="2" s="1"/>
  <c r="AC1066" i="2"/>
  <c r="AD1066" i="2" s="1"/>
  <c r="AC1068" i="2"/>
  <c r="AE1068" i="2" s="1"/>
  <c r="AC1058" i="2"/>
  <c r="AD1058" i="2" s="1"/>
  <c r="AD901" i="2" l="1"/>
  <c r="AD442" i="2"/>
  <c r="AD594" i="2"/>
  <c r="AD822" i="2"/>
  <c r="AD1064" i="2"/>
  <c r="AD1054" i="2"/>
  <c r="AD1067" i="2"/>
  <c r="AD762" i="2"/>
  <c r="AE1062" i="2"/>
  <c r="AD792" i="2"/>
  <c r="AD1063" i="2"/>
  <c r="AD1065" i="2"/>
  <c r="AE1060" i="2"/>
  <c r="AD992" i="2"/>
  <c r="AD430" i="2"/>
  <c r="AE685" i="2"/>
  <c r="AD706" i="2"/>
  <c r="AD1061" i="2"/>
  <c r="AD1057" i="2"/>
  <c r="AD509" i="2"/>
  <c r="AE1055" i="2"/>
  <c r="AE734" i="2"/>
  <c r="AD506" i="2"/>
  <c r="AD1068" i="2"/>
  <c r="AE894" i="2"/>
  <c r="AD701" i="2"/>
  <c r="AE1066" i="2"/>
  <c r="AE1058" i="2"/>
  <c r="AD1056" i="2"/>
  <c r="AE819" i="2"/>
  <c r="AD1059" i="2"/>
  <c r="AE565" i="2"/>
  <c r="AE507" i="2"/>
  <c r="AE508" i="2"/>
  <c r="AE133" i="2"/>
  <c r="AE99" i="2"/>
  <c r="AE219" i="2"/>
  <c r="AE428" i="2"/>
  <c r="AC421" i="2"/>
  <c r="AD421" i="2" s="1"/>
  <c r="AE421" i="2" l="1"/>
  <c r="AC130" i="2" l="1"/>
  <c r="AD130" i="2" s="1"/>
  <c r="AC444" i="2"/>
  <c r="AD444" i="2" s="1"/>
  <c r="AC440" i="2"/>
  <c r="AE440" i="2" s="1"/>
  <c r="AC526" i="2"/>
  <c r="AD526" i="2" s="1"/>
  <c r="AC441" i="2"/>
  <c r="AE441" i="2" s="1"/>
  <c r="AC397" i="2"/>
  <c r="AD397" i="2" s="1"/>
  <c r="AC196" i="2"/>
  <c r="AD196" i="2" s="1"/>
  <c r="O690" i="1"/>
  <c r="AE130" i="2" l="1"/>
  <c r="AE444" i="2"/>
  <c r="AE397" i="2"/>
  <c r="AE526" i="2"/>
  <c r="AD441" i="2"/>
  <c r="AD440" i="2"/>
  <c r="AE196" i="2"/>
  <c r="AC335" i="2" l="1"/>
  <c r="AC741" i="2"/>
  <c r="AC754" i="2"/>
  <c r="AC755" i="2"/>
  <c r="AC796" i="2"/>
  <c r="AC806" i="2"/>
  <c r="AC838" i="2"/>
  <c r="AC867" i="2"/>
  <c r="AC895" i="2"/>
  <c r="AC905" i="2"/>
  <c r="AC906" i="2"/>
  <c r="AC907" i="2"/>
  <c r="AC951" i="2"/>
  <c r="AC953" i="2"/>
  <c r="AC954" i="2"/>
  <c r="AC955" i="2"/>
  <c r="AC984" i="2"/>
  <c r="AC996" i="2"/>
  <c r="AC1019" i="2"/>
  <c r="AC299" i="2"/>
  <c r="AC300" i="2"/>
  <c r="AC301" i="2"/>
  <c r="AC302" i="2"/>
  <c r="AC304" i="2"/>
  <c r="AC305" i="2"/>
  <c r="AC310" i="2"/>
  <c r="AC334" i="2"/>
  <c r="AC345" i="2"/>
  <c r="AC346" i="2"/>
  <c r="AC348" i="2"/>
  <c r="AC366" i="2"/>
  <c r="AC367" i="2"/>
  <c r="AC383" i="2"/>
  <c r="AC384" i="2"/>
  <c r="AC385" i="2"/>
  <c r="AC386" i="2"/>
  <c r="AC740" i="2"/>
  <c r="AC756" i="2"/>
  <c r="AC781" i="2"/>
  <c r="AC794" i="2"/>
  <c r="AC864" i="2"/>
  <c r="AC874" i="2"/>
  <c r="AC879" i="2"/>
  <c r="AC882" i="2"/>
  <c r="AC919" i="2"/>
  <c r="AC921" i="2"/>
  <c r="AC922" i="2"/>
  <c r="AC927" i="2"/>
  <c r="AC930" i="2"/>
  <c r="AC938" i="2"/>
  <c r="AC939" i="2"/>
  <c r="AC946" i="2"/>
  <c r="AC960" i="2"/>
  <c r="AC981" i="2"/>
  <c r="AC995" i="2"/>
  <c r="AC1008" i="2"/>
  <c r="AC1009" i="2"/>
  <c r="AC1010" i="2"/>
  <c r="AC1011" i="2"/>
  <c r="AC1018" i="2"/>
  <c r="AC303" i="2"/>
  <c r="AC307" i="2"/>
  <c r="AC309" i="2"/>
  <c r="AC720" i="2"/>
  <c r="AC764" i="2"/>
  <c r="AC772" i="2"/>
  <c r="AC805" i="2"/>
  <c r="AC832" i="2"/>
  <c r="AC888" i="2"/>
  <c r="AC932" i="2"/>
  <c r="AC941" i="2"/>
  <c r="AC943" i="2"/>
  <c r="AC956" i="2"/>
  <c r="AC1003" i="2"/>
  <c r="AC1015" i="2"/>
  <c r="AC32" i="2"/>
  <c r="AC815" i="2"/>
  <c r="AC965" i="2"/>
  <c r="AC124" i="2"/>
  <c r="AC403" i="2"/>
  <c r="AC54" i="2"/>
  <c r="AC57" i="2"/>
  <c r="AC58" i="2"/>
  <c r="AC933" i="2"/>
  <c r="AC948" i="2"/>
  <c r="AC1023" i="2"/>
  <c r="AC889" i="2"/>
  <c r="AC959" i="2"/>
  <c r="AC260" i="2"/>
  <c r="AC61" i="2"/>
  <c r="AC925" i="2"/>
  <c r="AC982" i="2"/>
  <c r="AC30" i="2"/>
  <c r="AC285" i="2"/>
  <c r="AC42" i="2"/>
  <c r="AC414" i="2"/>
  <c r="AC917" i="2"/>
  <c r="AC986" i="2"/>
  <c r="AC230" i="2"/>
  <c r="AC62" i="2"/>
  <c r="AC55" i="2"/>
  <c r="AC142" i="2"/>
  <c r="AC812" i="2"/>
  <c r="AC14" i="2"/>
  <c r="AC357" i="2"/>
  <c r="AC15" i="2"/>
  <c r="AC886" i="2"/>
  <c r="AC257" i="2"/>
  <c r="AC401" i="2"/>
  <c r="AC869" i="2"/>
  <c r="AC12" i="2"/>
  <c r="AC277" i="2"/>
  <c r="AC59" i="2"/>
  <c r="AC842" i="2"/>
  <c r="AC9" i="2"/>
  <c r="AC445" i="2"/>
  <c r="AC52" i="2"/>
  <c r="AC60" i="2"/>
  <c r="AC324" i="2"/>
  <c r="AC16" i="2"/>
  <c r="AC318" i="2"/>
  <c r="AC581" i="2"/>
  <c r="AC252" i="2"/>
  <c r="AC761" i="2"/>
  <c r="AC1025" i="2"/>
  <c r="AC424" i="2"/>
  <c r="AC904" i="2"/>
  <c r="AC27" i="2"/>
  <c r="AC117" i="2"/>
  <c r="AC486" i="2"/>
  <c r="AC860" i="2"/>
  <c r="AC118" i="2"/>
  <c r="AC567" i="2"/>
  <c r="AC447" i="2"/>
  <c r="AC48" i="2"/>
  <c r="AC183" i="2"/>
  <c r="AC332" i="2"/>
  <c r="AC885" i="2"/>
  <c r="AC203" i="2"/>
  <c r="AC261" i="2"/>
  <c r="AC1026" i="2"/>
  <c r="AC485" i="2"/>
  <c r="AC489" i="2"/>
  <c r="AC768" i="2"/>
  <c r="AC239" i="2"/>
  <c r="AC311" i="2"/>
  <c r="AC103" i="2"/>
  <c r="AC668" i="2"/>
  <c r="AC949" i="2"/>
  <c r="AC517" i="2"/>
  <c r="AC527" i="2"/>
  <c r="AC200" i="2"/>
  <c r="AC275" i="2"/>
  <c r="AC1006" i="2"/>
  <c r="AC28" i="2"/>
  <c r="AC422" i="2"/>
  <c r="AC457" i="2"/>
  <c r="AC413" i="2"/>
  <c r="AC368" i="2"/>
  <c r="AC466" i="2"/>
  <c r="AC859" i="2"/>
  <c r="AC676" i="2"/>
  <c r="AC284" i="2"/>
  <c r="AC102" i="2"/>
  <c r="AC590" i="2"/>
  <c r="AC412" i="2"/>
  <c r="AC588" i="2"/>
  <c r="AC681" i="2"/>
  <c r="AC624" i="2"/>
  <c r="AC1037" i="2"/>
  <c r="AC626" i="2"/>
  <c r="AC556" i="2"/>
  <c r="AC669" i="2"/>
  <c r="AC145" i="2"/>
  <c r="AC849" i="2"/>
  <c r="AC488" i="2"/>
  <c r="AC505" i="2"/>
  <c r="AC544" i="2"/>
  <c r="AC322" i="2"/>
  <c r="AC53" i="2"/>
  <c r="AC211" i="2"/>
  <c r="AC861" i="2"/>
  <c r="AC598" i="2"/>
  <c r="AC983" i="2"/>
  <c r="AC418" i="2"/>
  <c r="AC29" i="2"/>
  <c r="AC255" i="2"/>
  <c r="AC189" i="2"/>
  <c r="AC63" i="2"/>
  <c r="AC149" i="2"/>
  <c r="AC1021" i="2"/>
  <c r="AC604" i="2"/>
  <c r="AC199" i="2"/>
  <c r="AC31" i="2"/>
  <c r="AC684" i="2"/>
  <c r="AC543" i="2"/>
  <c r="AC247" i="2"/>
  <c r="AC513" i="2"/>
  <c r="AC150" i="2"/>
  <c r="AC39" i="2"/>
  <c r="AC644" i="2"/>
  <c r="AC20" i="2"/>
  <c r="AC330" i="2"/>
  <c r="AC491" i="2"/>
  <c r="AC64" i="2"/>
  <c r="AC249" i="2"/>
  <c r="AC8" i="2"/>
  <c r="AC591" i="2"/>
  <c r="AC192" i="2"/>
  <c r="AC782" i="2"/>
  <c r="AC856" i="2"/>
  <c r="AC777" i="2"/>
  <c r="AC994" i="2"/>
  <c r="AC126" i="2"/>
  <c r="AC36" i="2"/>
  <c r="AC580" i="2"/>
  <c r="AC354" i="2"/>
  <c r="AC213" i="2"/>
  <c r="AC50" i="2"/>
  <c r="AC1035" i="2"/>
  <c r="AC24" i="2"/>
  <c r="AC25" i="2"/>
  <c r="AC378" i="2"/>
  <c r="AC725" i="2"/>
  <c r="AC724" i="2"/>
  <c r="AC766" i="2"/>
  <c r="AC1033" i="2"/>
  <c r="AC215" i="2"/>
  <c r="AC872" i="2"/>
  <c r="AC950" i="2"/>
  <c r="AC753" i="2"/>
  <c r="AC752" i="2"/>
  <c r="AC751" i="2"/>
  <c r="AC1027" i="2"/>
  <c r="AC1002" i="2"/>
  <c r="AC168" i="2"/>
  <c r="AC760" i="2"/>
  <c r="AC757" i="2"/>
  <c r="AC56" i="2"/>
  <c r="AC297" i="2"/>
  <c r="AC180" i="2"/>
  <c r="AC730" i="2"/>
  <c r="AC1017" i="2"/>
  <c r="AC47" i="2"/>
  <c r="AC804" i="2"/>
  <c r="AC276" i="2"/>
  <c r="AC980" i="2"/>
  <c r="AC51" i="2"/>
  <c r="AC763" i="2"/>
  <c r="AC793" i="2"/>
  <c r="AC778" i="2"/>
  <c r="AC601" i="2"/>
  <c r="AC399" i="2"/>
  <c r="AC727" i="2"/>
  <c r="AC858" i="2"/>
  <c r="AC903" i="2"/>
  <c r="AC22" i="2"/>
  <c r="AC816" i="2"/>
  <c r="AC962" i="2"/>
  <c r="AC1007" i="2"/>
  <c r="AC1020" i="2"/>
  <c r="AC735" i="2"/>
  <c r="AC818" i="2"/>
  <c r="AC817" i="2"/>
  <c r="AC728" i="2"/>
  <c r="AC308" i="2"/>
  <c r="AC18" i="2"/>
  <c r="AC17" i="2"/>
  <c r="AC41" i="2"/>
  <c r="AC748" i="2"/>
  <c r="AC43" i="2"/>
  <c r="AC972" i="2"/>
  <c r="AC749" i="2"/>
  <c r="AC1030" i="2"/>
  <c r="AC6" i="2"/>
  <c r="AC19" i="2"/>
  <c r="AC92" i="2"/>
  <c r="AC89" i="2"/>
  <c r="AC90" i="2"/>
  <c r="AC359" i="2"/>
  <c r="AC437" i="2"/>
  <c r="AC88" i="2"/>
  <c r="AC347" i="2"/>
  <c r="AC40" i="2"/>
  <c r="AC65" i="2"/>
  <c r="AC381" i="2"/>
  <c r="AC333" i="2"/>
  <c r="AC344" i="2"/>
  <c r="AC23" i="2"/>
  <c r="AC382" i="2"/>
  <c r="AC1028" i="2"/>
  <c r="AC1041" i="2"/>
  <c r="AC98" i="2"/>
  <c r="AC317" i="2"/>
  <c r="AC21" i="2"/>
  <c r="AC358" i="2"/>
  <c r="AC363" i="2"/>
  <c r="AC394" i="2"/>
  <c r="AC1029" i="2"/>
  <c r="AC338" i="2"/>
  <c r="AC127" i="2"/>
  <c r="AC45" i="2"/>
  <c r="AC389" i="2"/>
  <c r="AC319" i="2"/>
  <c r="AC362" i="2"/>
  <c r="AC837" i="2"/>
  <c r="AC340" i="2"/>
  <c r="AC167" i="2"/>
  <c r="AC666" i="2"/>
  <c r="AC830" i="2"/>
  <c r="AC123" i="2"/>
  <c r="AC140" i="2"/>
  <c r="AC511" i="2"/>
  <c r="AC391" i="2"/>
  <c r="AC890" i="2"/>
  <c r="AC492" i="2"/>
  <c r="AC920" i="2"/>
  <c r="AC586" i="2"/>
  <c r="AC664" i="2"/>
  <c r="AC446" i="2"/>
  <c r="AC339" i="2"/>
  <c r="AC1042" i="2"/>
  <c r="AC44" i="2"/>
  <c r="AC931" i="2"/>
  <c r="AC665" i="2"/>
  <c r="AC747" i="2"/>
  <c r="AC222" i="2"/>
  <c r="AC268" i="2"/>
  <c r="AC306" i="2"/>
  <c r="AC204" i="2"/>
  <c r="AC632" i="2"/>
  <c r="AC267" i="2"/>
  <c r="AC456" i="2"/>
  <c r="AC963" i="2"/>
  <c r="AC696" i="2"/>
  <c r="AC10" i="2"/>
  <c r="AC292" i="2"/>
  <c r="AC896" i="2"/>
  <c r="AC897" i="2"/>
  <c r="AC865" i="2"/>
  <c r="AC629" i="2"/>
  <c r="AC404" i="2"/>
  <c r="AC296" i="2"/>
  <c r="AC839" i="2"/>
  <c r="AC520" i="2"/>
  <c r="AC866" i="2"/>
  <c r="AC578" i="2"/>
  <c r="AC630" i="2"/>
  <c r="AC26" i="2"/>
  <c r="AC7" i="2"/>
  <c r="AC467" i="2"/>
  <c r="AC227" i="2"/>
  <c r="AC49" i="2"/>
  <c r="AC834" i="2"/>
  <c r="AC241" i="2"/>
  <c r="AC1043" i="2"/>
  <c r="AC639" i="2"/>
  <c r="AC587" i="2"/>
  <c r="AC209" i="2"/>
  <c r="AC964" i="2"/>
  <c r="AC537" i="2"/>
  <c r="AC34" i="2"/>
  <c r="AC675" i="2"/>
  <c r="AC942" i="2"/>
  <c r="AC125" i="2"/>
  <c r="AC640" i="2"/>
  <c r="AC690" i="2"/>
  <c r="AC244" i="2"/>
  <c r="AC692" i="2"/>
  <c r="AC649" i="2"/>
  <c r="AC658" i="2"/>
  <c r="AC691" i="2"/>
  <c r="AC700" i="2"/>
  <c r="AC157" i="2"/>
  <c r="AC843" i="2"/>
  <c r="AC217" i="2"/>
  <c r="AC686" i="2"/>
  <c r="AC279" i="2"/>
  <c r="AC698" i="2"/>
  <c r="AC813" i="2"/>
  <c r="AC236" i="2"/>
  <c r="AC120" i="2"/>
  <c r="AC928" i="2"/>
  <c r="AC929" i="2"/>
  <c r="AC1038" i="2"/>
  <c r="AC702" i="2"/>
  <c r="AC589" i="2"/>
  <c r="AC264" i="2"/>
  <c r="AC534" i="2"/>
  <c r="AC535" i="2"/>
  <c r="AC575" i="2"/>
  <c r="AC769" i="2"/>
  <c r="AC833" i="2"/>
  <c r="AC788" i="2"/>
  <c r="AC5" i="2"/>
  <c r="AC38" i="2"/>
  <c r="AC670" i="2"/>
  <c r="AC638" i="2"/>
  <c r="AC825" i="2"/>
  <c r="AC799" i="2"/>
  <c r="AC800" i="2"/>
  <c r="AC274" i="2"/>
  <c r="AC714" i="2"/>
  <c r="AC659" i="2"/>
  <c r="AC623" i="2"/>
  <c r="AC845" i="2"/>
  <c r="AC627" i="2"/>
  <c r="AC37" i="2"/>
  <c r="AC663" i="2"/>
  <c r="AC704" i="2"/>
  <c r="AC13" i="2"/>
  <c r="AC916" i="2"/>
  <c r="AC271" i="2"/>
  <c r="AC633" i="2"/>
  <c r="AC652" i="2"/>
  <c r="AC707" i="2"/>
  <c r="AC262" i="2"/>
  <c r="AC415" i="2"/>
  <c r="AC618" i="2"/>
  <c r="AC259" i="2"/>
  <c r="AC660" i="2"/>
  <c r="AC677" i="2"/>
  <c r="AC144" i="2"/>
  <c r="AC679" i="2"/>
  <c r="AC662" i="2"/>
  <c r="AC35" i="2"/>
  <c r="AC375" i="2"/>
  <c r="AC620" i="2"/>
  <c r="AC293" i="2"/>
  <c r="AC991" i="2"/>
  <c r="AC661" i="2"/>
  <c r="AC687" i="2"/>
  <c r="AC765" i="2"/>
  <c r="AC801" i="2"/>
  <c r="AC263" i="2"/>
  <c r="AC411" i="2"/>
  <c r="AC636" i="2"/>
  <c r="AC282" i="2"/>
  <c r="AC281" i="2"/>
  <c r="AC708" i="2"/>
  <c r="AC86" i="2"/>
  <c r="AC667" i="2"/>
  <c r="AC289" i="2"/>
  <c r="AC286" i="2"/>
  <c r="AC228" i="2"/>
  <c r="AC619" i="2"/>
  <c r="AC532" i="2"/>
  <c r="AC883" i="2"/>
  <c r="AC653" i="2"/>
  <c r="AC729" i="2"/>
  <c r="AC999" i="2"/>
  <c r="AC637" i="2"/>
  <c r="AC940" i="2"/>
  <c r="AC377" i="2"/>
  <c r="AC67" i="2"/>
  <c r="AC79" i="2"/>
  <c r="AC739" i="2"/>
  <c r="AC106" i="2"/>
  <c r="AC312" i="2"/>
  <c r="AC320" i="2"/>
  <c r="AC643" i="2"/>
  <c r="AC258" i="2"/>
  <c r="AC326" i="2"/>
  <c r="AC560" i="2"/>
  <c r="AC582" i="2"/>
  <c r="AC689" i="2"/>
  <c r="AC770" i="2"/>
  <c r="AC977" i="2"/>
  <c r="AC174" i="2"/>
  <c r="AC148" i="2"/>
  <c r="AC937" i="2"/>
  <c r="AC705" i="2"/>
  <c r="AC841" i="2"/>
  <c r="AC349" i="2"/>
  <c r="AC914" i="2"/>
  <c r="AC1014" i="2"/>
  <c r="AC803" i="2"/>
  <c r="AC81" i="2"/>
  <c r="AC80" i="2"/>
  <c r="AC923" i="2"/>
  <c r="AC288" i="2"/>
  <c r="AC1001" i="2"/>
  <c r="AC958" i="2"/>
  <c r="AC828" i="2"/>
  <c r="AC844" i="2"/>
  <c r="AC646" i="2"/>
  <c r="AC703" i="2"/>
  <c r="AC529" i="2"/>
  <c r="AC321" i="2"/>
  <c r="AC758" i="2"/>
  <c r="AC290" i="2"/>
  <c r="AC270" i="2"/>
  <c r="AC680" i="2"/>
  <c r="AC780" i="2"/>
  <c r="AC294" i="2"/>
  <c r="AC783" i="2"/>
  <c r="AC210" i="2"/>
  <c r="AC143" i="2"/>
  <c r="AC854" i="2"/>
  <c r="AC673" i="2"/>
  <c r="AC715" i="2"/>
  <c r="AC852" i="2"/>
  <c r="AC158" i="2"/>
  <c r="AC743" i="2"/>
  <c r="AC915" i="2"/>
  <c r="AC191" i="2"/>
  <c r="AC165" i="2"/>
  <c r="AC461" i="2"/>
  <c r="AC947" i="2"/>
  <c r="AC779" i="2"/>
  <c r="AC924" i="2"/>
  <c r="AC173" i="2"/>
  <c r="AC759" i="2"/>
  <c r="AC122" i="2"/>
  <c r="AC710" i="2"/>
  <c r="AC151" i="2"/>
  <c r="AC742" i="2"/>
  <c r="AC975" i="2"/>
  <c r="AC542" i="2"/>
  <c r="AC216" i="2"/>
  <c r="AC353" i="2"/>
  <c r="AC993" i="2"/>
  <c r="AC197" i="2"/>
  <c r="AC674" i="2"/>
  <c r="AC585" i="2"/>
  <c r="AC936" i="2"/>
  <c r="AC850" i="2"/>
  <c r="AC857" i="2"/>
  <c r="AC926" i="2"/>
  <c r="AC688" i="2"/>
  <c r="AC971" i="2"/>
  <c r="AC723" i="2"/>
  <c r="AC957" i="2"/>
  <c r="AC820" i="2"/>
  <c r="AC175" i="2"/>
  <c r="AC862" i="2"/>
  <c r="AC944" i="2"/>
  <c r="AC678" i="2"/>
  <c r="AC246" i="2"/>
  <c r="AC176" i="2"/>
  <c r="AC790" i="2"/>
  <c r="AC722" i="2"/>
  <c r="AC899" i="2"/>
  <c r="AC902" i="2"/>
  <c r="AC313" i="2"/>
  <c r="AC83" i="2"/>
  <c r="AC989" i="2"/>
  <c r="AC248" i="2"/>
  <c r="AC713" i="2"/>
  <c r="AC85" i="2"/>
  <c r="AC990" i="2"/>
  <c r="AC273" i="2"/>
  <c r="AC269" i="2"/>
  <c r="AC250" i="2"/>
  <c r="AC709" i="2"/>
  <c r="AC410" i="2"/>
  <c r="AC853" i="2"/>
  <c r="AC138" i="2"/>
  <c r="AC87" i="2"/>
  <c r="AC75" i="2"/>
  <c r="AC112" i="2"/>
  <c r="AC116" i="2"/>
  <c r="AC555" i="2"/>
  <c r="AC315" i="2"/>
  <c r="AC641" i="2"/>
  <c r="AC650" i="2"/>
  <c r="AC242" i="2"/>
  <c r="AC631" i="2"/>
  <c r="AC622" i="2"/>
  <c r="AC583" i="2"/>
  <c r="AC651" i="2"/>
  <c r="AC613" i="2"/>
  <c r="AC373" i="2"/>
  <c r="AC912" i="2"/>
  <c r="AC970" i="2"/>
  <c r="AC205" i="2"/>
  <c r="AC82" i="2"/>
  <c r="AC374" i="2"/>
  <c r="AC166" i="2"/>
  <c r="AC647" i="2"/>
  <c r="AC873" i="2"/>
  <c r="AC671" i="2"/>
  <c r="AC987" i="2"/>
  <c r="AC634" i="2"/>
  <c r="AC460" i="2"/>
  <c r="AC316" i="2"/>
  <c r="AC356" i="2"/>
  <c r="AC1000" i="2"/>
  <c r="AC911" i="2"/>
  <c r="AC78" i="2"/>
  <c r="AC110" i="2"/>
  <c r="AC871" i="2"/>
  <c r="AC952" i="2"/>
  <c r="AC234" i="2"/>
  <c r="AC540" i="2"/>
  <c r="AC524" i="2"/>
  <c r="AC487" i="2"/>
  <c r="AC726" i="2"/>
  <c r="AC462" i="2"/>
  <c r="AC435" i="2"/>
  <c r="AC243" i="2"/>
  <c r="AC979" i="2"/>
  <c r="AC875" i="2"/>
  <c r="AC182" i="2"/>
  <c r="AC868" i="2"/>
  <c r="AC798" i="2"/>
  <c r="AC206" i="2"/>
  <c r="AC988" i="2"/>
  <c r="AC621" i="2"/>
  <c r="AC207" i="2"/>
  <c r="AC463" i="2"/>
  <c r="AC193" i="2"/>
  <c r="AC195" i="2"/>
  <c r="AC194" i="2"/>
  <c r="AC482" i="2"/>
  <c r="AC1024" i="2"/>
  <c r="AC974" i="2"/>
  <c r="AC572" i="2"/>
  <c r="AC918" i="2"/>
  <c r="AC835" i="2"/>
  <c r="AC343" i="2"/>
  <c r="AC231" i="2"/>
  <c r="AC968" i="2"/>
  <c r="AC967" i="2"/>
  <c r="AC969" i="2"/>
  <c r="AC863" i="2"/>
  <c r="AC909" i="2"/>
  <c r="AC190" i="2"/>
  <c r="AC438" i="2"/>
  <c r="AC1022" i="2"/>
  <c r="AC1016" i="2"/>
  <c r="AC458" i="2"/>
  <c r="AC826" i="2"/>
  <c r="AC732" i="2"/>
  <c r="AC810" i="2"/>
  <c r="AC824" i="2"/>
  <c r="AC821" i="2"/>
  <c r="AC827" i="2"/>
  <c r="AC77" i="2"/>
  <c r="AC341" i="2"/>
  <c r="AC325" i="2"/>
  <c r="AC718" i="2"/>
  <c r="AC254" i="2"/>
  <c r="AC198" i="2"/>
  <c r="AC328" i="2"/>
  <c r="AC278" i="2"/>
  <c r="AC163" i="2"/>
  <c r="AC147" i="2"/>
  <c r="AC797" i="2"/>
  <c r="AC807" i="2"/>
  <c r="AC887" i="2"/>
  <c r="AC945" i="2"/>
  <c r="AC369" i="2"/>
  <c r="AC402" i="2"/>
  <c r="AC396" i="2"/>
  <c r="AC605" i="2"/>
  <c r="AC733" i="2"/>
  <c r="AC395" i="2"/>
  <c r="AC327" i="2"/>
  <c r="AC719" i="2"/>
  <c r="AC625" i="2"/>
  <c r="AC985" i="2"/>
  <c r="AC846" i="2"/>
  <c r="AC208" i="2"/>
  <c r="AC847" i="2"/>
  <c r="AC786" i="2"/>
  <c r="AC848" i="2"/>
  <c r="AC314" i="2"/>
  <c r="AC787" i="2"/>
  <c r="AC108" i="2"/>
  <c r="AC100" i="2"/>
  <c r="AC141" i="2"/>
  <c r="AC104" i="2"/>
  <c r="AC105" i="2"/>
  <c r="AC107" i="2"/>
  <c r="AC171" i="2"/>
  <c r="AC172" i="2"/>
  <c r="AC773" i="2"/>
  <c r="AC393" i="2"/>
  <c r="AC934" i="2"/>
  <c r="AC771" i="2"/>
  <c r="AC406" i="2"/>
  <c r="AC162" i="2"/>
  <c r="AC642" i="2"/>
  <c r="AC478" i="2"/>
  <c r="AC470" i="2"/>
  <c r="AC802" i="2"/>
  <c r="AC235" i="2"/>
  <c r="AC291" i="2"/>
  <c r="AC900" i="2"/>
  <c r="AC283" i="2"/>
  <c r="AC966" i="2"/>
  <c r="AC731" i="2"/>
  <c r="AC855" i="2"/>
  <c r="AC425" i="2"/>
  <c r="AC134" i="2"/>
  <c r="AC221" i="2"/>
  <c r="AC351" i="2"/>
  <c r="AC717" i="2"/>
  <c r="AC350" i="2"/>
  <c r="AC115" i="2"/>
  <c r="AC884" i="2"/>
  <c r="AC337" i="2"/>
  <c r="AC880" i="2"/>
  <c r="AC91" i="2"/>
  <c r="AC1039" i="2"/>
  <c r="AC811" i="2"/>
  <c r="AC808" i="2"/>
  <c r="AC721" i="2"/>
  <c r="AC365" i="2"/>
  <c r="AC455" i="2"/>
  <c r="AC407" i="2"/>
  <c r="AC459" i="2"/>
  <c r="AC323" i="2"/>
  <c r="AC352" i="2"/>
  <c r="AC139" i="2"/>
  <c r="AC978" i="2"/>
  <c r="AC736" i="2"/>
  <c r="AC738" i="2"/>
  <c r="AC737" i="2"/>
  <c r="AC615" i="2"/>
  <c r="AC128" i="2"/>
  <c r="AC360" i="2"/>
  <c r="AC744" i="2"/>
  <c r="AC390" i="2"/>
  <c r="AC68" i="2"/>
  <c r="AC229" i="2"/>
  <c r="AC1004" i="2"/>
  <c r="AC829" i="2"/>
  <c r="AC1031" i="2"/>
  <c r="AC387" i="2"/>
  <c r="AC530" i="2"/>
  <c r="AC185" i="2"/>
  <c r="AC870" i="2"/>
  <c r="AC101" i="2"/>
  <c r="AC298" i="2"/>
  <c r="AC93" i="2"/>
  <c r="AC836" i="2"/>
  <c r="AC881" i="2"/>
  <c r="AC94" i="2"/>
  <c r="AC95" i="2"/>
  <c r="AC908" i="2"/>
  <c r="AC548" i="2"/>
  <c r="AC579" i="2"/>
  <c r="AC443" i="2"/>
  <c r="AC784" i="2"/>
  <c r="AC878" i="2"/>
  <c r="AC490" i="2"/>
  <c r="AC370" i="2"/>
  <c r="AC220" i="2"/>
  <c r="AC892" i="2"/>
  <c r="AC552" i="2"/>
  <c r="AC776" i="2"/>
  <c r="AC877" i="2"/>
  <c r="AC376" i="2"/>
  <c r="AC214" i="2"/>
  <c r="AC519" i="2"/>
  <c r="AC135" i="2"/>
  <c r="AC545" i="2"/>
  <c r="AC785" i="2"/>
  <c r="AC97" i="2"/>
  <c r="AC789" i="2"/>
  <c r="AC355" i="2"/>
  <c r="AC775" i="2"/>
  <c r="AC202" i="2"/>
  <c r="AC179" i="2"/>
  <c r="AC1013" i="2"/>
  <c r="AC119" i="2"/>
  <c r="AC253" i="2"/>
  <c r="AC96" i="2"/>
  <c r="AC750" i="2"/>
  <c r="AC251" i="2"/>
  <c r="AC471" i="2"/>
  <c r="AC256" i="2"/>
  <c r="AC569" i="2"/>
  <c r="AC405" i="2"/>
  <c r="AC371" i="2"/>
  <c r="AC379" i="2"/>
  <c r="AC546" i="2"/>
  <c r="AC498" i="2"/>
  <c r="AC372" i="2"/>
  <c r="AC1012" i="2"/>
  <c r="AC809" i="2"/>
  <c r="AC935" i="2"/>
  <c r="AC976" i="2"/>
  <c r="AC152" i="2"/>
  <c r="AC361" i="2"/>
  <c r="AC186" i="2"/>
  <c r="AC791" i="2"/>
  <c r="AC280" i="2"/>
  <c r="AC121" i="2"/>
  <c r="AC153" i="2"/>
  <c r="AC84" i="2"/>
  <c r="AC70" i="2"/>
  <c r="AC71" i="2"/>
  <c r="AC814" i="2"/>
  <c r="AC745" i="2"/>
  <c r="AC654" i="2"/>
  <c r="AC655" i="2"/>
  <c r="AC656" i="2"/>
  <c r="AC657" i="2"/>
  <c r="AC398" i="2"/>
  <c r="AC419" i="2"/>
  <c r="AC973" i="2"/>
  <c r="AC109" i="2"/>
  <c r="AC823" i="2"/>
  <c r="AC1036" i="2"/>
  <c r="AC111" i="2"/>
  <c r="AC218" i="2"/>
  <c r="AC431" i="2"/>
  <c r="AC226" i="2"/>
  <c r="AC184" i="2"/>
  <c r="AC893" i="2"/>
  <c r="AC592" i="2"/>
  <c r="AC451" i="2"/>
  <c r="AC465" i="2"/>
  <c r="AC238" i="2"/>
  <c r="AC237" i="2"/>
  <c r="AC635" i="2"/>
  <c r="AC436" i="2"/>
  <c r="AC531" i="2"/>
  <c r="AC433" i="2"/>
  <c r="AC240" i="2"/>
  <c r="AC472" i="2"/>
  <c r="AC113" i="2"/>
  <c r="AC66" i="2"/>
  <c r="AC541" i="2"/>
  <c r="AC129" i="2"/>
  <c r="AC33" i="2"/>
  <c r="AC648" i="2"/>
  <c r="AC553" i="2"/>
  <c r="AC538" i="2"/>
  <c r="AC551" i="2"/>
  <c r="AC997" i="2"/>
  <c r="AC287" i="2"/>
  <c r="AC178" i="2"/>
  <c r="AC232" i="2"/>
  <c r="AC137" i="2"/>
  <c r="AC568" i="2"/>
  <c r="AC539" i="2"/>
  <c r="AC136" i="2"/>
  <c r="AC699" i="2"/>
  <c r="AC266" i="2"/>
  <c r="AC46" i="2"/>
  <c r="AC420" i="2"/>
  <c r="AC11" i="2"/>
  <c r="AC493" i="2"/>
  <c r="AC898" i="2"/>
  <c r="AC187" i="2"/>
  <c r="AC795" i="2"/>
  <c r="AC515" i="2"/>
  <c r="AC910" i="2"/>
  <c r="AC454" i="2"/>
  <c r="AC423" i="2"/>
  <c r="AC683" i="2"/>
  <c r="AC851" i="2"/>
  <c r="AC547" i="2"/>
  <c r="AC831" i="2"/>
  <c r="AC682" i="2"/>
  <c r="AC533" i="2"/>
  <c r="AC426" i="2"/>
  <c r="AC453" i="2"/>
  <c r="AC767" i="2"/>
  <c r="AC697" i="2"/>
  <c r="AC961" i="2"/>
  <c r="AC712" i="2"/>
  <c r="AC468" i="2"/>
  <c r="AC554" i="2"/>
  <c r="AC510" i="2"/>
  <c r="AC522" i="2"/>
  <c r="AC494" i="2"/>
  <c r="AC557" i="2"/>
  <c r="AC434" i="2"/>
  <c r="AC584" i="2"/>
  <c r="AC154" i="2"/>
  <c r="AC331" i="2"/>
  <c r="AC483" i="2"/>
  <c r="AC408" i="2"/>
  <c r="AC484" i="2"/>
  <c r="AC476" i="2"/>
  <c r="AC536" i="2"/>
  <c r="AC265" i="2"/>
  <c r="AC1040" i="2"/>
  <c r="AC272" i="2"/>
  <c r="AC694" i="2"/>
  <c r="AC645" i="2"/>
  <c r="AC558" i="2"/>
  <c r="AC233" i="2"/>
  <c r="AC73" i="2"/>
  <c r="AC500" i="2"/>
  <c r="AC564" i="2"/>
  <c r="AC409" i="2"/>
  <c r="AC177" i="2"/>
  <c r="AC593" i="2"/>
  <c r="AC450" i="2"/>
  <c r="AC164" i="2"/>
  <c r="AC225" i="2"/>
  <c r="AC245" i="2"/>
  <c r="AC571" i="2"/>
  <c r="AC1034" i="2"/>
  <c r="AC72" i="2"/>
  <c r="AC417" i="2"/>
  <c r="AC628" i="2"/>
  <c r="AC672" i="2"/>
  <c r="AC448" i="2"/>
  <c r="AC449" i="2"/>
  <c r="AC693" i="2"/>
  <c r="AC160" i="2"/>
  <c r="AC336" i="2"/>
  <c r="AC563" i="2"/>
  <c r="AC711" i="2"/>
  <c r="AC512" i="2"/>
  <c r="AC559" i="2"/>
  <c r="AC695" i="2"/>
  <c r="AC876" i="2"/>
  <c r="AC477" i="2"/>
  <c r="AC608" i="2"/>
  <c r="AC774" i="2"/>
  <c r="AC473" i="2"/>
  <c r="AC439" i="2"/>
  <c r="AC188" i="2"/>
  <c r="AC746" i="2"/>
  <c r="AC596" i="2"/>
  <c r="AC1032" i="2"/>
  <c r="AC416" i="2"/>
  <c r="AC76" i="2"/>
  <c r="AC74" i="2"/>
  <c r="AC514" i="2"/>
  <c r="AC400" i="2"/>
  <c r="AC201" i="2"/>
  <c r="AC464" i="2"/>
  <c r="AC224" i="2"/>
  <c r="AC342" i="2"/>
  <c r="AC523" i="2"/>
  <c r="AC716" i="2"/>
  <c r="AC614" i="2"/>
  <c r="AC561" i="2"/>
  <c r="AC606" i="2"/>
  <c r="AC607" i="2"/>
  <c r="AC998" i="2"/>
  <c r="AC161" i="2"/>
  <c r="AC114" i="2"/>
  <c r="AC612" i="2"/>
  <c r="AC170" i="2"/>
  <c r="AC380" i="2"/>
  <c r="AC616" i="2"/>
  <c r="AC577" i="2"/>
  <c r="AC840" i="2"/>
  <c r="AC502" i="2"/>
  <c r="AC609" i="2"/>
  <c r="AC159" i="2"/>
  <c r="AC525" i="2"/>
  <c r="AC223" i="2"/>
  <c r="AC610" i="2"/>
  <c r="AC132" i="2"/>
  <c r="AC576" i="2"/>
  <c r="AC499" i="2"/>
  <c r="AC495" i="2"/>
  <c r="AC392" i="2"/>
  <c r="AC599" i="2"/>
  <c r="AC496" i="2"/>
  <c r="AC570" i="2"/>
  <c r="AC364" i="2"/>
  <c r="AC388" i="2"/>
  <c r="AC481" i="2"/>
  <c r="AC295" i="2"/>
  <c r="AE388" i="2" l="1"/>
  <c r="AD481" i="2"/>
  <c r="AE364" i="2"/>
  <c r="AE570" i="2"/>
  <c r="AD392" i="2"/>
  <c r="AD496" i="2"/>
  <c r="AD599" i="2"/>
  <c r="AE495" i="2"/>
  <c r="AD499" i="2"/>
  <c r="AE501" i="2"/>
  <c r="AE576" i="2"/>
  <c r="AE132" i="2"/>
  <c r="AE610" i="2"/>
  <c r="AD609" i="2"/>
  <c r="AD502" i="2"/>
  <c r="AD616" i="2"/>
  <c r="AD170" i="2"/>
  <c r="AE840" i="2"/>
  <c r="AE998" i="2"/>
  <c r="AE607" i="2"/>
  <c r="AE561" i="2"/>
  <c r="AD514" i="2"/>
  <c r="AD416" i="2"/>
  <c r="AD746" i="2"/>
  <c r="AD188" i="2"/>
  <c r="AE473" i="2"/>
  <c r="AE559" i="2"/>
  <c r="AE563" i="2"/>
  <c r="AE672" i="2"/>
  <c r="AD628" i="2"/>
  <c r="AD1034" i="2"/>
  <c r="AE177" i="2"/>
  <c r="AD558" i="2"/>
  <c r="AD694" i="2"/>
  <c r="AE536" i="2"/>
  <c r="AE484" i="2"/>
  <c r="AE483" i="2"/>
  <c r="AD331" i="2"/>
  <c r="AD584" i="2"/>
  <c r="AE434" i="2"/>
  <c r="AE554" i="2"/>
  <c r="AE468" i="2"/>
  <c r="AE961" i="2"/>
  <c r="AE767" i="2"/>
  <c r="AE682" i="2"/>
  <c r="AD851" i="2"/>
  <c r="AD11" i="2"/>
  <c r="AE699" i="2"/>
  <c r="AD113" i="2"/>
  <c r="AE635" i="2"/>
  <c r="AE465" i="2"/>
  <c r="AE498" i="2"/>
  <c r="AE546" i="2"/>
  <c r="AD490" i="2"/>
  <c r="AD96" i="2"/>
  <c r="AE443" i="2"/>
  <c r="AD95" i="2"/>
  <c r="AE94" i="2"/>
  <c r="AE93" i="2"/>
  <c r="AE387" i="2"/>
  <c r="AE360" i="2"/>
  <c r="AD350" i="2"/>
  <c r="AD221" i="2"/>
  <c r="AE291" i="2"/>
  <c r="AD235" i="2"/>
  <c r="AE208" i="2"/>
  <c r="AE207" i="2"/>
  <c r="AE206" i="2"/>
  <c r="AE205" i="2"/>
  <c r="AE481" i="2" l="1"/>
  <c r="AD388" i="2"/>
  <c r="AE851" i="2"/>
  <c r="AE235" i="2"/>
  <c r="AE628" i="2"/>
  <c r="AE188" i="2"/>
  <c r="AE170" i="2"/>
  <c r="AE499" i="2"/>
  <c r="AE558" i="2"/>
  <c r="AE694" i="2"/>
  <c r="AD473" i="2"/>
  <c r="AD840" i="2"/>
  <c r="AD501" i="2"/>
  <c r="AD468" i="2"/>
  <c r="AE95" i="2"/>
  <c r="AE11" i="2"/>
  <c r="AE1034" i="2"/>
  <c r="AE221" i="2"/>
  <c r="AD94" i="2"/>
  <c r="AE113" i="2"/>
  <c r="AE584" i="2"/>
  <c r="AE350" i="2"/>
  <c r="AE96" i="2"/>
  <c r="AD635" i="2"/>
  <c r="AD554" i="2"/>
  <c r="AE514" i="2"/>
  <c r="AE502" i="2"/>
  <c r="AE496" i="2"/>
  <c r="AD208" i="2"/>
  <c r="AE331" i="2"/>
  <c r="AE490" i="2"/>
  <c r="AE416" i="2"/>
  <c r="AE609" i="2"/>
  <c r="AE599" i="2"/>
  <c r="AD607" i="2"/>
  <c r="AD132" i="2"/>
  <c r="AD570" i="2"/>
  <c r="AD206" i="2"/>
  <c r="AD387" i="2"/>
  <c r="AD498" i="2"/>
  <c r="AD767" i="2"/>
  <c r="AD484" i="2"/>
  <c r="AD563" i="2"/>
  <c r="AD205" i="2"/>
  <c r="AD546" i="2"/>
  <c r="AD682" i="2"/>
  <c r="AD483" i="2"/>
  <c r="AD672" i="2"/>
  <c r="AD561" i="2"/>
  <c r="AD291" i="2"/>
  <c r="AD443" i="2"/>
  <c r="AD699" i="2"/>
  <c r="AD434" i="2"/>
  <c r="AD177" i="2"/>
  <c r="AD495" i="2"/>
  <c r="AE392" i="2"/>
  <c r="AD207" i="2"/>
  <c r="AD93" i="2"/>
  <c r="AD465" i="2"/>
  <c r="AD961" i="2"/>
  <c r="AD536" i="2"/>
  <c r="AD559" i="2"/>
  <c r="AE746" i="2"/>
  <c r="AD998" i="2"/>
  <c r="AE616" i="2"/>
  <c r="AD576" i="2"/>
  <c r="AD364" i="2"/>
  <c r="AD360" i="2"/>
  <c r="AD610" i="2"/>
  <c r="AD295" i="2"/>
  <c r="AE741" i="2"/>
  <c r="AE755" i="2"/>
  <c r="AD796" i="2"/>
  <c r="AE806" i="2"/>
  <c r="AD838" i="2"/>
  <c r="AD867" i="2"/>
  <c r="AD895" i="2"/>
  <c r="AD907" i="2"/>
  <c r="AE951" i="2"/>
  <c r="AE953" i="2"/>
  <c r="AD954" i="2"/>
  <c r="AD955" i="2"/>
  <c r="AD984" i="2"/>
  <c r="AE996" i="2"/>
  <c r="AE300" i="2"/>
  <c r="AE301" i="2"/>
  <c r="AD302" i="2"/>
  <c r="AD304" i="2"/>
  <c r="AD305" i="2"/>
  <c r="AE310" i="2"/>
  <c r="AD345" i="2"/>
  <c r="AE348" i="2"/>
  <c r="AD366" i="2"/>
  <c r="AD367" i="2"/>
  <c r="AD383" i="2"/>
  <c r="AE384" i="2"/>
  <c r="AD386" i="2"/>
  <c r="AD740" i="2"/>
  <c r="AE756" i="2"/>
  <c r="AD781" i="2"/>
  <c r="AD794" i="2"/>
  <c r="AE864" i="2"/>
  <c r="AE874" i="2"/>
  <c r="AD882" i="2"/>
  <c r="AD919" i="2"/>
  <c r="AE921" i="2"/>
  <c r="AD922" i="2"/>
  <c r="AD927" i="2"/>
  <c r="AD930" i="2"/>
  <c r="AE938" i="2"/>
  <c r="AE946" i="2"/>
  <c r="AE981" i="2"/>
  <c r="AD995" i="2"/>
  <c r="AD1008" i="2"/>
  <c r="AE1009" i="2"/>
  <c r="AD1018" i="2"/>
  <c r="AD303" i="2"/>
  <c r="AE307" i="2"/>
  <c r="AD309" i="2"/>
  <c r="AD720" i="2"/>
  <c r="AD764" i="2"/>
  <c r="AE772" i="2"/>
  <c r="AD832" i="2"/>
  <c r="AD888" i="2"/>
  <c r="AE932" i="2"/>
  <c r="AD941" i="2"/>
  <c r="AD943" i="2"/>
  <c r="AE1003" i="2"/>
  <c r="AD32" i="2"/>
  <c r="AD815" i="2"/>
  <c r="AE965" i="2"/>
  <c r="AD124" i="2"/>
  <c r="AD403" i="2"/>
  <c r="AD54" i="2"/>
  <c r="AD933" i="2"/>
  <c r="AD948" i="2"/>
  <c r="AE1023" i="2"/>
  <c r="AD889" i="2"/>
  <c r="AD959" i="2"/>
  <c r="AE260" i="2"/>
  <c r="AD61" i="2"/>
  <c r="AD982" i="2"/>
  <c r="AD30" i="2"/>
  <c r="AE285" i="2"/>
  <c r="AD42" i="2"/>
  <c r="AD414" i="2"/>
  <c r="AD917" i="2"/>
  <c r="AD62" i="2"/>
  <c r="AD55" i="2"/>
  <c r="AE142" i="2"/>
  <c r="AD812" i="2"/>
  <c r="AD14" i="2"/>
  <c r="AE357" i="2"/>
  <c r="AD15" i="2"/>
  <c r="AD257" i="2"/>
  <c r="AD401" i="2"/>
  <c r="AE869" i="2"/>
  <c r="AD12" i="2"/>
  <c r="AD277" i="2"/>
  <c r="AD59" i="2"/>
  <c r="AE842" i="2"/>
  <c r="AD445" i="2"/>
  <c r="AD52" i="2"/>
  <c r="AE60" i="2"/>
  <c r="AD324" i="2"/>
  <c r="AD16" i="2"/>
  <c r="AD318" i="2"/>
  <c r="AD581" i="2"/>
  <c r="AD761" i="2"/>
  <c r="AD1025" i="2"/>
  <c r="AD904" i="2"/>
  <c r="AD27" i="2"/>
  <c r="AD117" i="2"/>
  <c r="AD486" i="2"/>
  <c r="AD118" i="2"/>
  <c r="AD567" i="2"/>
  <c r="AE447" i="2"/>
  <c r="AD48" i="2"/>
  <c r="AD183" i="2"/>
  <c r="AD332" i="2"/>
  <c r="AD885" i="2"/>
  <c r="AD261" i="2"/>
  <c r="AD1026" i="2"/>
  <c r="AE485" i="2"/>
  <c r="AD489" i="2"/>
  <c r="AD768" i="2"/>
  <c r="AD239" i="2"/>
  <c r="AD311" i="2"/>
  <c r="AD668" i="2"/>
  <c r="AD949" i="2"/>
  <c r="AE517" i="2"/>
  <c r="AD527" i="2"/>
  <c r="AD200" i="2"/>
  <c r="AD275" i="2"/>
  <c r="AE1006" i="2"/>
  <c r="AD457" i="2"/>
  <c r="AE413" i="2"/>
  <c r="AD368" i="2"/>
  <c r="AD466" i="2"/>
  <c r="AE859" i="2"/>
  <c r="AE676" i="2"/>
  <c r="AD102" i="2"/>
  <c r="AD590" i="2"/>
  <c r="AD588" i="2"/>
  <c r="AD681" i="2"/>
  <c r="AD624" i="2"/>
  <c r="AE1037" i="2"/>
  <c r="AD556" i="2"/>
  <c r="AD669" i="2"/>
  <c r="AD849" i="2"/>
  <c r="AD488" i="2"/>
  <c r="AE505" i="2"/>
  <c r="AD53" i="2"/>
  <c r="AD211" i="2"/>
  <c r="AE861" i="2"/>
  <c r="AD598" i="2"/>
  <c r="AD983" i="2"/>
  <c r="AD418" i="2"/>
  <c r="AE29" i="2"/>
  <c r="AD189" i="2"/>
  <c r="AD63" i="2"/>
  <c r="AE149" i="2"/>
  <c r="AD1021" i="2"/>
  <c r="AD604" i="2"/>
  <c r="AE199" i="2"/>
  <c r="AE31" i="2"/>
  <c r="AD543" i="2"/>
  <c r="AD247" i="2"/>
  <c r="AE513" i="2"/>
  <c r="AD150" i="2"/>
  <c r="AD39" i="2"/>
  <c r="AE20" i="2"/>
  <c r="AD491" i="2"/>
  <c r="AD64" i="2"/>
  <c r="AE249" i="2"/>
  <c r="AD8" i="2"/>
  <c r="AD591" i="2"/>
  <c r="AD192" i="2"/>
  <c r="AE782" i="2"/>
  <c r="AD777" i="2"/>
  <c r="AD994" i="2"/>
  <c r="AD126" i="2"/>
  <c r="AD36" i="2"/>
  <c r="AD354" i="2"/>
  <c r="AE213" i="2"/>
  <c r="AE50" i="2"/>
  <c r="AD24" i="2"/>
  <c r="AD378" i="2"/>
  <c r="AD724" i="2"/>
  <c r="AE766" i="2"/>
  <c r="AE1033" i="2"/>
  <c r="AD215" i="2"/>
  <c r="AD872" i="2"/>
  <c r="AD950" i="2"/>
  <c r="AE752" i="2"/>
  <c r="AE751" i="2"/>
  <c r="AE1027" i="2"/>
  <c r="AD1002" i="2"/>
  <c r="AD168" i="2"/>
  <c r="AD760" i="2"/>
  <c r="AD757" i="2"/>
  <c r="AD180" i="2"/>
  <c r="AE730" i="2"/>
  <c r="AE1017" i="2"/>
  <c r="AD47" i="2"/>
  <c r="AD804" i="2"/>
  <c r="AD276" i="2"/>
  <c r="AD51" i="2"/>
  <c r="AD763" i="2"/>
  <c r="AE793" i="2"/>
  <c r="AD601" i="2"/>
  <c r="AE399" i="2"/>
  <c r="AD727" i="2"/>
  <c r="AD22" i="2"/>
  <c r="AE816" i="2"/>
  <c r="AE962" i="2"/>
  <c r="AD1007" i="2"/>
  <c r="AD735" i="2"/>
  <c r="AD817" i="2"/>
  <c r="AD728" i="2"/>
  <c r="AE308" i="2"/>
  <c r="AE18" i="2"/>
  <c r="AD17" i="2"/>
  <c r="AD41" i="2"/>
  <c r="AD748" i="2"/>
  <c r="AD972" i="2"/>
  <c r="AE749" i="2"/>
  <c r="AE1030" i="2"/>
  <c r="AD19" i="2"/>
  <c r="AE92" i="2"/>
  <c r="AD89" i="2"/>
  <c r="AE437" i="2"/>
  <c r="AE347" i="2"/>
  <c r="AD40" i="2"/>
  <c r="AD381" i="2"/>
  <c r="AD344" i="2"/>
  <c r="AE23" i="2"/>
  <c r="AE382" i="2"/>
  <c r="AE1028" i="2"/>
  <c r="AD1041" i="2"/>
  <c r="AD98" i="2"/>
  <c r="AD317" i="2"/>
  <c r="AD358" i="2"/>
  <c r="AE363" i="2"/>
  <c r="AE394" i="2"/>
  <c r="AD338" i="2"/>
  <c r="AD127" i="2"/>
  <c r="AD45" i="2"/>
  <c r="AD319" i="2"/>
  <c r="AE362" i="2"/>
  <c r="AE837" i="2"/>
  <c r="AE340" i="2"/>
  <c r="AD167" i="2"/>
  <c r="AE666" i="2"/>
  <c r="AD830" i="2"/>
  <c r="AD140" i="2"/>
  <c r="AE511" i="2"/>
  <c r="AE391" i="2"/>
  <c r="AE1042" i="2"/>
  <c r="AD492" i="2"/>
  <c r="AD920" i="2"/>
  <c r="AD586" i="2"/>
  <c r="AD446" i="2"/>
  <c r="AE339" i="2"/>
  <c r="AE747" i="2"/>
  <c r="AE44" i="2"/>
  <c r="AD931" i="2"/>
  <c r="AD665" i="2"/>
  <c r="AD204" i="2"/>
  <c r="AD268" i="2"/>
  <c r="AE306" i="2"/>
  <c r="AE632" i="2"/>
  <c r="AD267" i="2"/>
  <c r="AD963" i="2"/>
  <c r="AD696" i="2"/>
  <c r="AD897" i="2"/>
  <c r="AE292" i="2"/>
  <c r="AD520" i="2"/>
  <c r="AE629" i="2"/>
  <c r="AD404" i="2"/>
  <c r="AD467" i="2"/>
  <c r="AE866" i="2"/>
  <c r="AE578" i="2"/>
  <c r="AE630" i="2"/>
  <c r="AD7" i="2"/>
  <c r="AD209" i="2"/>
  <c r="AD49" i="2"/>
  <c r="AD834" i="2"/>
  <c r="AE241" i="2"/>
  <c r="AD639" i="2"/>
  <c r="AD587" i="2"/>
  <c r="AD964" i="2"/>
  <c r="AE34" i="2"/>
  <c r="AE942" i="2"/>
  <c r="AD125" i="2"/>
  <c r="AD690" i="2"/>
  <c r="AD692" i="2"/>
  <c r="AE649" i="2"/>
  <c r="AE658" i="2"/>
  <c r="AE691" i="2"/>
  <c r="AD534" i="2"/>
  <c r="AD843" i="2"/>
  <c r="AD686" i="2"/>
  <c r="AE279" i="2"/>
  <c r="AE813" i="2"/>
  <c r="AD236" i="2"/>
  <c r="AD120" i="2"/>
  <c r="AD928" i="2"/>
  <c r="AE929" i="2"/>
  <c r="AD1038" i="2"/>
  <c r="AE702" i="2"/>
  <c r="AD589" i="2"/>
  <c r="AE264" i="2"/>
  <c r="AD575" i="2"/>
  <c r="AE769" i="2"/>
  <c r="AD833" i="2"/>
  <c r="AE788" i="2"/>
  <c r="AE5" i="2"/>
  <c r="AE38" i="2"/>
  <c r="AD638" i="2"/>
  <c r="AD825" i="2"/>
  <c r="AD800" i="2"/>
  <c r="AE274" i="2"/>
  <c r="AD714" i="2"/>
  <c r="AE659" i="2"/>
  <c r="AD13" i="2"/>
  <c r="AD627" i="2"/>
  <c r="AE704" i="2"/>
  <c r="AD255" i="2"/>
  <c r="AE916" i="2"/>
  <c r="AD633" i="2"/>
  <c r="AD707" i="2"/>
  <c r="AE262" i="2"/>
  <c r="AD415" i="2"/>
  <c r="AE618" i="2"/>
  <c r="AD259" i="2"/>
  <c r="AE660" i="2"/>
  <c r="AE144" i="2"/>
  <c r="AD679" i="2"/>
  <c r="AE662" i="2"/>
  <c r="AD35" i="2"/>
  <c r="AD375" i="2"/>
  <c r="AD620" i="2"/>
  <c r="AE293" i="2"/>
  <c r="AD661" i="2"/>
  <c r="AD687" i="2"/>
  <c r="AD801" i="2"/>
  <c r="AE263" i="2"/>
  <c r="AD411" i="2"/>
  <c r="AE636" i="2"/>
  <c r="AD282" i="2"/>
  <c r="AE281" i="2"/>
  <c r="AE86" i="2"/>
  <c r="AD667" i="2"/>
  <c r="AE289" i="2"/>
  <c r="AD286" i="2"/>
  <c r="AE112" i="2"/>
  <c r="AD619" i="2"/>
  <c r="AD532" i="2"/>
  <c r="AE729" i="2"/>
  <c r="AD637" i="2"/>
  <c r="AD228" i="2"/>
  <c r="AD67" i="2"/>
  <c r="AE739" i="2"/>
  <c r="AD320" i="2"/>
  <c r="AE643" i="2"/>
  <c r="AD258" i="2"/>
  <c r="AD560" i="2"/>
  <c r="AE689" i="2"/>
  <c r="AE770" i="2"/>
  <c r="AD977" i="2"/>
  <c r="AD174" i="2"/>
  <c r="AE148" i="2"/>
  <c r="AD841" i="2"/>
  <c r="AE582" i="2"/>
  <c r="AE914" i="2"/>
  <c r="AD1014" i="2"/>
  <c r="AE803" i="2"/>
  <c r="AD81" i="2"/>
  <c r="AD288" i="2"/>
  <c r="AE1001" i="2"/>
  <c r="AE349" i="2"/>
  <c r="AD828" i="2"/>
  <c r="AD844" i="2"/>
  <c r="AE646" i="2"/>
  <c r="AE758" i="2"/>
  <c r="AD270" i="2"/>
  <c r="AD680" i="2"/>
  <c r="AD780" i="2"/>
  <c r="AD210" i="2"/>
  <c r="AE143" i="2"/>
  <c r="AE854" i="2"/>
  <c r="AD673" i="2"/>
  <c r="AD715" i="2"/>
  <c r="AD852" i="2"/>
  <c r="AD915" i="2"/>
  <c r="AD191" i="2"/>
  <c r="AD461" i="2"/>
  <c r="AD947" i="2"/>
  <c r="AE779" i="2"/>
  <c r="AD759" i="2"/>
  <c r="AE122" i="2"/>
  <c r="AE710" i="2"/>
  <c r="AD151" i="2"/>
  <c r="AE742" i="2"/>
  <c r="AE975" i="2"/>
  <c r="AD353" i="2"/>
  <c r="AE993" i="2"/>
  <c r="AE197" i="2"/>
  <c r="AD542" i="2"/>
  <c r="AD585" i="2"/>
  <c r="AE936" i="2"/>
  <c r="AE688" i="2"/>
  <c r="AD723" i="2"/>
  <c r="AD957" i="2"/>
  <c r="AD820" i="2"/>
  <c r="AD674" i="2"/>
  <c r="AE678" i="2"/>
  <c r="AE246" i="2"/>
  <c r="AD176" i="2"/>
  <c r="AD722" i="2"/>
  <c r="AD944" i="2"/>
  <c r="AE989" i="2"/>
  <c r="AD713" i="2"/>
  <c r="AD85" i="2"/>
  <c r="AD250" i="2"/>
  <c r="AE709" i="2"/>
  <c r="AE410" i="2"/>
  <c r="AD853" i="2"/>
  <c r="AE138" i="2"/>
  <c r="AD87" i="2"/>
  <c r="AD116" i="2"/>
  <c r="AD555" i="2"/>
  <c r="AD641" i="2"/>
  <c r="AD651" i="2"/>
  <c r="AD613" i="2"/>
  <c r="AE373" i="2"/>
  <c r="AE912" i="2"/>
  <c r="AD970" i="2"/>
  <c r="AE82" i="2"/>
  <c r="AD374" i="2"/>
  <c r="AD873" i="2"/>
  <c r="AD671" i="2"/>
  <c r="AD634" i="2"/>
  <c r="AD460" i="2"/>
  <c r="AD911" i="2"/>
  <c r="AE78" i="2"/>
  <c r="AE110" i="2"/>
  <c r="AD871" i="2"/>
  <c r="AD952" i="2"/>
  <c r="AD234" i="2"/>
  <c r="AD487" i="2"/>
  <c r="AD726" i="2"/>
  <c r="AD435" i="2"/>
  <c r="AD650" i="2"/>
  <c r="AD868" i="2"/>
  <c r="AE988" i="2"/>
  <c r="AE798" i="2"/>
  <c r="AD621" i="2"/>
  <c r="AD463" i="2"/>
  <c r="AD193" i="2"/>
  <c r="AD1024" i="2"/>
  <c r="AD974" i="2"/>
  <c r="AD482" i="2"/>
  <c r="AD835" i="2"/>
  <c r="AD967" i="2"/>
  <c r="AE969" i="2"/>
  <c r="AE863" i="2"/>
  <c r="AD909" i="2"/>
  <c r="AD438" i="2"/>
  <c r="AD918" i="2"/>
  <c r="AD1016" i="2"/>
  <c r="AD732" i="2"/>
  <c r="AD810" i="2"/>
  <c r="AE821" i="2"/>
  <c r="AE77" i="2"/>
  <c r="AD341" i="2"/>
  <c r="AE718" i="2"/>
  <c r="AE254" i="2"/>
  <c r="AD328" i="2"/>
  <c r="AD278" i="2"/>
  <c r="AD325" i="2"/>
  <c r="AE807" i="2"/>
  <c r="AD402" i="2"/>
  <c r="AD396" i="2"/>
  <c r="AE605" i="2"/>
  <c r="AD395" i="2"/>
  <c r="AD327" i="2"/>
  <c r="AE985" i="2"/>
  <c r="AD846" i="2"/>
  <c r="AD625" i="2"/>
  <c r="AD847" i="2"/>
  <c r="AE787" i="2"/>
  <c r="AE100" i="2"/>
  <c r="AD141" i="2"/>
  <c r="AE786" i="2"/>
  <c r="AE115" i="2"/>
  <c r="AD908" i="2"/>
  <c r="AE773" i="2"/>
  <c r="AE393" i="2"/>
  <c r="AD406" i="2"/>
  <c r="AE848" i="2"/>
  <c r="AD642" i="2"/>
  <c r="AD470" i="2"/>
  <c r="AD802" i="2"/>
  <c r="AE283" i="2"/>
  <c r="AE545" i="2"/>
  <c r="AD731" i="2"/>
  <c r="AD855" i="2"/>
  <c r="AD785" i="2"/>
  <c r="AE351" i="2"/>
  <c r="AE717" i="2"/>
  <c r="AE179" i="2"/>
  <c r="AE884" i="2"/>
  <c r="AD337" i="2"/>
  <c r="AD91" i="2"/>
  <c r="AD1039" i="2"/>
  <c r="AE808" i="2"/>
  <c r="AE721" i="2"/>
  <c r="AD455" i="2"/>
  <c r="AD459" i="2"/>
  <c r="AD323" i="2"/>
  <c r="AE352" i="2"/>
  <c r="AE139" i="2"/>
  <c r="AE736" i="2"/>
  <c r="AD738" i="2"/>
  <c r="AD615" i="2"/>
  <c r="AD128" i="2"/>
  <c r="AE744" i="2"/>
  <c r="AE68" i="2"/>
  <c r="AD229" i="2"/>
  <c r="AD1004" i="2"/>
  <c r="AD530" i="2"/>
  <c r="AE870" i="2"/>
  <c r="AE101" i="2"/>
  <c r="AD750" i="2"/>
  <c r="AE162" i="2"/>
  <c r="AD569" i="2"/>
  <c r="AD579" i="2"/>
  <c r="AD784" i="2"/>
  <c r="AE878" i="2"/>
  <c r="AD519" i="2"/>
  <c r="AD298" i="2"/>
  <c r="AE892" i="2"/>
  <c r="AD214" i="2"/>
  <c r="AD877" i="2"/>
  <c r="AD776" i="2"/>
  <c r="AE809" i="2"/>
  <c r="AE881" i="2"/>
  <c r="AE104" i="2"/>
  <c r="AD355" i="2"/>
  <c r="AD966" i="2"/>
  <c r="AD775" i="2"/>
  <c r="AD119" i="2"/>
  <c r="AE153" i="2"/>
  <c r="AD134" i="2"/>
  <c r="AE552" i="2"/>
  <c r="AE97" i="2"/>
  <c r="AE791" i="2"/>
  <c r="AE121" i="2"/>
  <c r="AD789" i="2"/>
  <c r="AD1012" i="2"/>
  <c r="AD84" i="2"/>
  <c r="AE370" i="2"/>
  <c r="AD371" i="2"/>
  <c r="AE654" i="2"/>
  <c r="AD471" i="2"/>
  <c r="AD655" i="2"/>
  <c r="AD280" i="2"/>
  <c r="AE973" i="2"/>
  <c r="AE656" i="2"/>
  <c r="AE419" i="2"/>
  <c r="AD814" i="2"/>
  <c r="AD657" i="2"/>
  <c r="AD893" i="2"/>
  <c r="AE531" i="2"/>
  <c r="AE190" i="2"/>
  <c r="AD997" i="2"/>
  <c r="AE70" i="2"/>
  <c r="AD398" i="2"/>
  <c r="AD431" i="2"/>
  <c r="AE33" i="2"/>
  <c r="AE836" i="2"/>
  <c r="AE184" i="2"/>
  <c r="AD220" i="2"/>
  <c r="AD109" i="2"/>
  <c r="AD238" i="2"/>
  <c r="AE451" i="2"/>
  <c r="AD237" i="2"/>
  <c r="AD105" i="2"/>
  <c r="AD433" i="2"/>
  <c r="AE107" i="2"/>
  <c r="AE1036" i="2"/>
  <c r="AE218" i="2"/>
  <c r="AD66" i="2"/>
  <c r="AD795" i="2"/>
  <c r="AD910" i="2"/>
  <c r="AD136" i="2"/>
  <c r="AE256" i="2"/>
  <c r="AD46" i="2"/>
  <c r="AE129" i="2"/>
  <c r="AE541" i="2"/>
  <c r="AE553" i="2"/>
  <c r="AD697" i="2"/>
  <c r="AD831" i="2"/>
  <c r="AD515" i="2"/>
  <c r="AE409" i="2"/>
  <c r="AE551" i="2"/>
  <c r="AE593" i="2"/>
  <c r="AE426" i="2"/>
  <c r="AD187" i="2"/>
  <c r="AD683" i="2"/>
  <c r="AE533" i="2"/>
  <c r="AE538" i="2"/>
  <c r="AD898" i="2"/>
  <c r="AE137" i="2"/>
  <c r="AD493" i="2"/>
  <c r="AD547" i="2"/>
  <c r="AE712" i="2"/>
  <c r="AE454" i="2"/>
  <c r="AD539" i="2"/>
  <c r="AD522" i="2"/>
  <c r="AE494" i="2"/>
  <c r="AD453" i="2"/>
  <c r="AE224" i="2"/>
  <c r="AD439" i="2"/>
  <c r="AD571" i="2"/>
  <c r="AD608" i="2"/>
  <c r="AD342" i="2"/>
  <c r="AE240" i="2"/>
  <c r="AE577" i="2"/>
  <c r="AD232" i="2"/>
  <c r="AD380" i="2"/>
  <c r="AD716" i="2"/>
  <c r="AE557" i="2"/>
  <c r="AD154" i="2"/>
  <c r="AD225" i="2"/>
  <c r="AE477" i="2"/>
  <c r="AE408" i="2"/>
  <c r="AE379" i="2"/>
  <c r="AE272" i="2"/>
  <c r="AD476" i="2"/>
  <c r="AD265" i="2"/>
  <c r="AD512" i="2"/>
  <c r="AE695" i="2"/>
  <c r="AE72" i="2"/>
  <c r="AD417" i="2"/>
  <c r="AD774" i="2"/>
  <c r="AE876" i="2"/>
  <c r="AD114" i="2"/>
  <c r="AE76" i="2"/>
  <c r="AE596" i="2"/>
  <c r="AD472" i="2"/>
  <c r="AD839" i="2"/>
  <c r="AD336" i="2"/>
  <c r="AD242" i="2"/>
  <c r="AE645" i="2"/>
  <c r="AE186" i="2"/>
  <c r="AE652" i="2"/>
  <c r="AD653" i="2"/>
  <c r="AD312" i="2"/>
  <c r="AD313" i="2"/>
  <c r="AD185" i="2"/>
  <c r="AD500" i="2"/>
  <c r="AE1040" i="2"/>
  <c r="AE564" i="2"/>
  <c r="AD73" i="2"/>
  <c r="AE450" i="2"/>
  <c r="AD449" i="2"/>
  <c r="AD448" i="2"/>
  <c r="AE245" i="2"/>
  <c r="AE74" i="2"/>
  <c r="AD400" i="2"/>
  <c r="AD523" i="2"/>
  <c r="AD201" i="2"/>
  <c r="AD464" i="2"/>
  <c r="AD606" i="2"/>
  <c r="AE223" i="2"/>
  <c r="AD164" i="2"/>
  <c r="AD612" i="2"/>
  <c r="AD161" i="2"/>
  <c r="AD159" i="2"/>
  <c r="AD106" i="2"/>
  <c r="AE372" i="2"/>
  <c r="AD33" i="2" l="1"/>
  <c r="AE638" i="2"/>
  <c r="AE683" i="2"/>
  <c r="AE919" i="2"/>
  <c r="AD426" i="2"/>
  <c r="AD477" i="2"/>
  <c r="AE491" i="2"/>
  <c r="AE984" i="2"/>
  <c r="AE278" i="2"/>
  <c r="AE161" i="2"/>
  <c r="AE51" i="2"/>
  <c r="AD730" i="2"/>
  <c r="AD184" i="2"/>
  <c r="AE13" i="2"/>
  <c r="AE539" i="2"/>
  <c r="AD779" i="2"/>
  <c r="AD643" i="2"/>
  <c r="AD281" i="2"/>
  <c r="AD162" i="2"/>
  <c r="AD142" i="2"/>
  <c r="AD951" i="2"/>
  <c r="AE735" i="2"/>
  <c r="AD962" i="2"/>
  <c r="AE820" i="2"/>
  <c r="AD821" i="2"/>
  <c r="AD989" i="2"/>
  <c r="AD739" i="2"/>
  <c r="AE192" i="2"/>
  <c r="AD121" i="2"/>
  <c r="AD848" i="2"/>
  <c r="AE915" i="2"/>
  <c r="AE852" i="2"/>
  <c r="AE620" i="2"/>
  <c r="AD751" i="2"/>
  <c r="AE62" i="2"/>
  <c r="AD285" i="2"/>
  <c r="AE764" i="2"/>
  <c r="AD76" i="2"/>
  <c r="AE91" i="2"/>
  <c r="AD678" i="2"/>
  <c r="AD370" i="2"/>
  <c r="AE84" i="2"/>
  <c r="AD791" i="2"/>
  <c r="AE615" i="2"/>
  <c r="AE918" i="2"/>
  <c r="AE624" i="2"/>
  <c r="AD772" i="2"/>
  <c r="AE697" i="2"/>
  <c r="AE835" i="2"/>
  <c r="AE555" i="2"/>
  <c r="AD691" i="2"/>
  <c r="AD749" i="2"/>
  <c r="AE784" i="2"/>
  <c r="AD755" i="2"/>
  <c r="AD695" i="2"/>
  <c r="AD240" i="2"/>
  <c r="AE982" i="2"/>
  <c r="AD260" i="2"/>
  <c r="AE523" i="2"/>
  <c r="AD450" i="2"/>
  <c r="AD1040" i="2"/>
  <c r="AE336" i="2"/>
  <c r="AE105" i="2"/>
  <c r="AE398" i="2"/>
  <c r="AD878" i="2"/>
  <c r="AD545" i="2"/>
  <c r="AE642" i="2"/>
  <c r="AE396" i="2"/>
  <c r="AE325" i="2"/>
  <c r="AD1001" i="2"/>
  <c r="AE692" i="2"/>
  <c r="AD666" i="2"/>
  <c r="AD837" i="2"/>
  <c r="AD551" i="2"/>
  <c r="AE136" i="2"/>
  <c r="AE910" i="2"/>
  <c r="AD190" i="2"/>
  <c r="AE789" i="2"/>
  <c r="AD97" i="2"/>
  <c r="AE119" i="2"/>
  <c r="AD736" i="2"/>
  <c r="AD351" i="2"/>
  <c r="AE395" i="2"/>
  <c r="AD807" i="2"/>
  <c r="AD689" i="2"/>
  <c r="AD813" i="2"/>
  <c r="AD437" i="2"/>
  <c r="AD18" i="2"/>
  <c r="AD869" i="2"/>
  <c r="AE464" i="2"/>
  <c r="AE73" i="2"/>
  <c r="AE417" i="2"/>
  <c r="AD256" i="2"/>
  <c r="AD1036" i="2"/>
  <c r="AE214" i="2"/>
  <c r="AE519" i="2"/>
  <c r="AE952" i="2"/>
  <c r="AE116" i="2"/>
  <c r="AD975" i="2"/>
  <c r="AE947" i="2"/>
  <c r="AE191" i="2"/>
  <c r="AD86" i="2"/>
  <c r="AE358" i="2"/>
  <c r="AD816" i="2"/>
  <c r="AE189" i="2"/>
  <c r="AD1037" i="2"/>
  <c r="AE30" i="2"/>
  <c r="AD946" i="2"/>
  <c r="AE400" i="2"/>
  <c r="AD1030" i="2"/>
  <c r="AE972" i="2"/>
  <c r="AD1017" i="2"/>
  <c r="AE180" i="2"/>
  <c r="AE15" i="2"/>
  <c r="AD245" i="2"/>
  <c r="AE312" i="2"/>
  <c r="AE472" i="2"/>
  <c r="AE342" i="2"/>
  <c r="AE997" i="2"/>
  <c r="AD717" i="2"/>
  <c r="AE847" i="2"/>
  <c r="AE193" i="2"/>
  <c r="AD709" i="2"/>
  <c r="AD582" i="2"/>
  <c r="AE587" i="2"/>
  <c r="AD340" i="2"/>
  <c r="AD92" i="2"/>
  <c r="AD842" i="2"/>
  <c r="AD1009" i="2"/>
  <c r="AD981" i="2"/>
  <c r="AE220" i="2"/>
  <c r="AE355" i="2"/>
  <c r="AD393" i="2"/>
  <c r="AE141" i="2"/>
  <c r="AE650" i="2"/>
  <c r="AD803" i="2"/>
  <c r="AE800" i="2"/>
  <c r="AD38" i="2"/>
  <c r="AE589" i="2"/>
  <c r="AE236" i="2"/>
  <c r="AE215" i="2"/>
  <c r="AD859" i="2"/>
  <c r="AD756" i="2"/>
  <c r="AE305" i="2"/>
  <c r="AE893" i="2"/>
  <c r="AE776" i="2"/>
  <c r="AE569" i="2"/>
  <c r="AD870" i="2"/>
  <c r="AD68" i="2"/>
  <c r="AD352" i="2"/>
  <c r="AE651" i="2"/>
  <c r="AD742" i="2"/>
  <c r="AD122" i="2"/>
  <c r="AE715" i="2"/>
  <c r="AD646" i="2"/>
  <c r="AE633" i="2"/>
  <c r="AE520" i="2"/>
  <c r="AE239" i="2"/>
  <c r="AE612" i="2"/>
  <c r="AE448" i="2"/>
  <c r="AE154" i="2"/>
  <c r="AD224" i="2"/>
  <c r="AD712" i="2"/>
  <c r="AD409" i="2"/>
  <c r="AD553" i="2"/>
  <c r="AD721" i="2"/>
  <c r="AE855" i="2"/>
  <c r="AE460" i="2"/>
  <c r="AD82" i="2"/>
  <c r="AD138" i="2"/>
  <c r="AD993" i="2"/>
  <c r="AD143" i="2"/>
  <c r="AE174" i="2"/>
  <c r="AD263" i="2"/>
  <c r="AE1038" i="2"/>
  <c r="AE534" i="2"/>
  <c r="AE834" i="2"/>
  <c r="AD866" i="2"/>
  <c r="AD292" i="2"/>
  <c r="AE920" i="2"/>
  <c r="AE41" i="2"/>
  <c r="AE817" i="2"/>
  <c r="AD1027" i="2"/>
  <c r="AE354" i="2"/>
  <c r="AE275" i="2"/>
  <c r="AE261" i="2"/>
  <c r="AE332" i="2"/>
  <c r="AD1023" i="2"/>
  <c r="AE933" i="2"/>
  <c r="AD965" i="2"/>
  <c r="AE32" i="2"/>
  <c r="AE738" i="2"/>
  <c r="AD283" i="2"/>
  <c r="AD787" i="2"/>
  <c r="AD373" i="2"/>
  <c r="AD308" i="2"/>
  <c r="AD399" i="2"/>
  <c r="AE804" i="2"/>
  <c r="AD517" i="2"/>
  <c r="AD932" i="2"/>
  <c r="AE832" i="2"/>
  <c r="AE1018" i="2"/>
  <c r="AD300" i="2"/>
  <c r="AE653" i="2"/>
  <c r="AE716" i="2"/>
  <c r="AD451" i="2"/>
  <c r="AD552" i="2"/>
  <c r="AE1004" i="2"/>
  <c r="AE455" i="2"/>
  <c r="AD773" i="2"/>
  <c r="AD985" i="2"/>
  <c r="AE327" i="2"/>
  <c r="AE328" i="2"/>
  <c r="AE438" i="2"/>
  <c r="AE463" i="2"/>
  <c r="AD78" i="2"/>
  <c r="AD688" i="2"/>
  <c r="AD144" i="2"/>
  <c r="AD34" i="2"/>
  <c r="AD630" i="2"/>
  <c r="AD632" i="2"/>
  <c r="AE55" i="2"/>
  <c r="AE386" i="2"/>
  <c r="AE796" i="2"/>
  <c r="AD372" i="2"/>
  <c r="AE500" i="2"/>
  <c r="AE313" i="2"/>
  <c r="AD645" i="2"/>
  <c r="AD876" i="2"/>
  <c r="AD557" i="2"/>
  <c r="AE439" i="2"/>
  <c r="AD531" i="2"/>
  <c r="AD656" i="2"/>
  <c r="AD973" i="2"/>
  <c r="AD153" i="2"/>
  <c r="AD881" i="2"/>
  <c r="AD809" i="2"/>
  <c r="AD101" i="2"/>
  <c r="AD139" i="2"/>
  <c r="AD884" i="2"/>
  <c r="AE785" i="2"/>
  <c r="AE731" i="2"/>
  <c r="AD115" i="2"/>
  <c r="AD718" i="2"/>
  <c r="AD77" i="2"/>
  <c r="AD969" i="2"/>
  <c r="AD988" i="2"/>
  <c r="AE873" i="2"/>
  <c r="AE374" i="2"/>
  <c r="AE87" i="2"/>
  <c r="AE661" i="2"/>
  <c r="AE89" i="2"/>
  <c r="AE418" i="2"/>
  <c r="AE61" i="2"/>
  <c r="AE383" i="2"/>
  <c r="AE453" i="2"/>
  <c r="AE237" i="2"/>
  <c r="AE487" i="2"/>
  <c r="AE234" i="2"/>
  <c r="AD710" i="2"/>
  <c r="AD854" i="2"/>
  <c r="AD758" i="2"/>
  <c r="AE81" i="2"/>
  <c r="AD148" i="2"/>
  <c r="AE67" i="2"/>
  <c r="AD769" i="2"/>
  <c r="AD279" i="2"/>
  <c r="AD942" i="2"/>
  <c r="AE7" i="2"/>
  <c r="AD629" i="2"/>
  <c r="AE963" i="2"/>
  <c r="AD339" i="2"/>
  <c r="AD23" i="2"/>
  <c r="AE748" i="2"/>
  <c r="AE950" i="2"/>
  <c r="AD213" i="2"/>
  <c r="AE543" i="2"/>
  <c r="AD199" i="2"/>
  <c r="AE53" i="2"/>
  <c r="AD505" i="2"/>
  <c r="AE486" i="2"/>
  <c r="AE948" i="2"/>
  <c r="AE815" i="2"/>
  <c r="AD938" i="2"/>
  <c r="AD864" i="2"/>
  <c r="AE606" i="2"/>
  <c r="AD272" i="2"/>
  <c r="AE225" i="2"/>
  <c r="AD137" i="2"/>
  <c r="AD533" i="2"/>
  <c r="AD541" i="2"/>
  <c r="AE471" i="2"/>
  <c r="AD744" i="2"/>
  <c r="AE1016" i="2"/>
  <c r="AE1024" i="2"/>
  <c r="AD912" i="2"/>
  <c r="AD410" i="2"/>
  <c r="AD936" i="2"/>
  <c r="AD770" i="2"/>
  <c r="AE560" i="2"/>
  <c r="AE258" i="2"/>
  <c r="AE532" i="2"/>
  <c r="AD788" i="2"/>
  <c r="AD1042" i="2"/>
  <c r="AE319" i="2"/>
  <c r="AE381" i="2"/>
  <c r="AE276" i="2"/>
  <c r="AE318" i="2"/>
  <c r="AE445" i="2"/>
  <c r="AD357" i="2"/>
  <c r="AD1003" i="2"/>
  <c r="AE888" i="2"/>
  <c r="AE811" i="2"/>
  <c r="AD811" i="2"/>
  <c r="AE361" i="2"/>
  <c r="AD361" i="2"/>
  <c r="AE1013" i="2"/>
  <c r="AD1013" i="2"/>
  <c r="AD321" i="2"/>
  <c r="AE321" i="2"/>
  <c r="AE640" i="2"/>
  <c r="AD640" i="2"/>
  <c r="AD1035" i="2"/>
  <c r="AE1035" i="2"/>
  <c r="AE424" i="2"/>
  <c r="AD424" i="2"/>
  <c r="AE343" i="2"/>
  <c r="AD343" i="2"/>
  <c r="AE1010" i="2"/>
  <c r="AD1010" i="2"/>
  <c r="AE971" i="2"/>
  <c r="AD971" i="2"/>
  <c r="AE159" i="2"/>
  <c r="AE185" i="2"/>
  <c r="AD186" i="2"/>
  <c r="AE774" i="2"/>
  <c r="AE476" i="2"/>
  <c r="AE232" i="2"/>
  <c r="AE608" i="2"/>
  <c r="AD494" i="2"/>
  <c r="AE420" i="2"/>
  <c r="AD420" i="2"/>
  <c r="AE287" i="2"/>
  <c r="AD287" i="2"/>
  <c r="AE433" i="2"/>
  <c r="AE978" i="2"/>
  <c r="AD978" i="2"/>
  <c r="AD135" i="2"/>
  <c r="AE135" i="2"/>
  <c r="AE79" i="2"/>
  <c r="AD79" i="2"/>
  <c r="AE65" i="2"/>
  <c r="AD65" i="2"/>
  <c r="AD903" i="2"/>
  <c r="AE903" i="2"/>
  <c r="AE544" i="2"/>
  <c r="AD544" i="2"/>
  <c r="AD422" i="2"/>
  <c r="AE422" i="2"/>
  <c r="AE956" i="2"/>
  <c r="AD956" i="2"/>
  <c r="AE976" i="2"/>
  <c r="AD976" i="2"/>
  <c r="AE824" i="2"/>
  <c r="AD824" i="2"/>
  <c r="AD537" i="2"/>
  <c r="AE537" i="2"/>
  <c r="AD359" i="2"/>
  <c r="AE359" i="2"/>
  <c r="AE719" i="2"/>
  <c r="AD719" i="2"/>
  <c r="AE88" i="2"/>
  <c r="AD88" i="2"/>
  <c r="AE201" i="2"/>
  <c r="AD74" i="2"/>
  <c r="AE114" i="2"/>
  <c r="AD72" i="2"/>
  <c r="AE898" i="2"/>
  <c r="AE172" i="2"/>
  <c r="AD172" i="2"/>
  <c r="AE390" i="2"/>
  <c r="AD390" i="2"/>
  <c r="AE771" i="2"/>
  <c r="AD771" i="2"/>
  <c r="AE290" i="2"/>
  <c r="AD290" i="2"/>
  <c r="AE845" i="2"/>
  <c r="AD845" i="2"/>
  <c r="AE1029" i="2"/>
  <c r="AD1029" i="2"/>
  <c r="AE1020" i="2"/>
  <c r="AD1020" i="2"/>
  <c r="AD297" i="2"/>
  <c r="AE297" i="2"/>
  <c r="AE25" i="2"/>
  <c r="AD25" i="2"/>
  <c r="AD926" i="2"/>
  <c r="AE926" i="2"/>
  <c r="AE644" i="2"/>
  <c r="AD644" i="2"/>
  <c r="AD223" i="2"/>
  <c r="AD564" i="2"/>
  <c r="AD408" i="2"/>
  <c r="AD577" i="2"/>
  <c r="AE187" i="2"/>
  <c r="AE797" i="2"/>
  <c r="AD797" i="2"/>
  <c r="AE83" i="2"/>
  <c r="AD83" i="2"/>
  <c r="AE165" i="2"/>
  <c r="AD165" i="2"/>
  <c r="AD663" i="2"/>
  <c r="AE663" i="2"/>
  <c r="AD700" i="2"/>
  <c r="AE700" i="2"/>
  <c r="AE1043" i="2"/>
  <c r="AD1043" i="2"/>
  <c r="AE865" i="2"/>
  <c r="AD865" i="2"/>
  <c r="AE986" i="2"/>
  <c r="AD986" i="2"/>
  <c r="AE365" i="2"/>
  <c r="AD365" i="2"/>
  <c r="AE462" i="2"/>
  <c r="AD462" i="2"/>
  <c r="AE905" i="2"/>
  <c r="AD905" i="2"/>
  <c r="AE826" i="2"/>
  <c r="AD826" i="2"/>
  <c r="AE164" i="2"/>
  <c r="AE839" i="2"/>
  <c r="AE512" i="2"/>
  <c r="AE380" i="2"/>
  <c r="AE571" i="2"/>
  <c r="AD454" i="2"/>
  <c r="AE229" i="2"/>
  <c r="AE631" i="2"/>
  <c r="AD631" i="2"/>
  <c r="AE315" i="2"/>
  <c r="AD315" i="2"/>
  <c r="AE990" i="2"/>
  <c r="AD990" i="2"/>
  <c r="AE790" i="2"/>
  <c r="AD790" i="2"/>
  <c r="AE6" i="2"/>
  <c r="AD6" i="2"/>
  <c r="AD960" i="2"/>
  <c r="AE960" i="2"/>
  <c r="AE979" i="2"/>
  <c r="AD979" i="2"/>
  <c r="AE778" i="2"/>
  <c r="AD778" i="2"/>
  <c r="AE572" i="2"/>
  <c r="AD572" i="2"/>
  <c r="AD26" i="2"/>
  <c r="AE26" i="2"/>
  <c r="AE335" i="2"/>
  <c r="AD335" i="2"/>
  <c r="AE106" i="2"/>
  <c r="AE242" i="2"/>
  <c r="AE266" i="2"/>
  <c r="AD266" i="2"/>
  <c r="AE522" i="2"/>
  <c r="AE423" i="2"/>
  <c r="AD423" i="2"/>
  <c r="AD129" i="2"/>
  <c r="AE111" i="2"/>
  <c r="AD111" i="2"/>
  <c r="AE745" i="2"/>
  <c r="AD745" i="2"/>
  <c r="AE280" i="2"/>
  <c r="AE253" i="2"/>
  <c r="AD253" i="2"/>
  <c r="AE202" i="2"/>
  <c r="AD202" i="2"/>
  <c r="AD1031" i="2"/>
  <c r="AE1031" i="2"/>
  <c r="AE900" i="2"/>
  <c r="AD900" i="2"/>
  <c r="AE314" i="2"/>
  <c r="AD314" i="2"/>
  <c r="AE733" i="2"/>
  <c r="AD733" i="2"/>
  <c r="AE316" i="2"/>
  <c r="AD316" i="2"/>
  <c r="AE987" i="2"/>
  <c r="AD987" i="2"/>
  <c r="AE412" i="2"/>
  <c r="AD412" i="2"/>
  <c r="AE57" i="2"/>
  <c r="AD57" i="2"/>
  <c r="AE346" i="2"/>
  <c r="AD346" i="2"/>
  <c r="AE299" i="2"/>
  <c r="AD299" i="2"/>
  <c r="AE944" i="2"/>
  <c r="AE722" i="2"/>
  <c r="AE957" i="2"/>
  <c r="AE680" i="2"/>
  <c r="AD112" i="2"/>
  <c r="AD289" i="2"/>
  <c r="AE714" i="2"/>
  <c r="AE120" i="2"/>
  <c r="AD649" i="2"/>
  <c r="AE897" i="2"/>
  <c r="AD44" i="2"/>
  <c r="AE127" i="2"/>
  <c r="AD1028" i="2"/>
  <c r="AE872" i="2"/>
  <c r="AD766" i="2"/>
  <c r="AE777" i="2"/>
  <c r="AE64" i="2"/>
  <c r="AD149" i="2"/>
  <c r="AE668" i="2"/>
  <c r="AD310" i="2"/>
  <c r="AD953" i="2"/>
  <c r="AE907" i="2"/>
  <c r="AD197" i="2"/>
  <c r="AE353" i="2"/>
  <c r="AD349" i="2"/>
  <c r="AE288" i="2"/>
  <c r="AD729" i="2"/>
  <c r="AE35" i="2"/>
  <c r="AD660" i="2"/>
  <c r="AD618" i="2"/>
  <c r="AD262" i="2"/>
  <c r="AE686" i="2"/>
  <c r="AE125" i="2"/>
  <c r="AE49" i="2"/>
  <c r="AE268" i="2"/>
  <c r="AD511" i="2"/>
  <c r="AD394" i="2"/>
  <c r="AD20" i="2"/>
  <c r="AD741" i="2"/>
  <c r="AE85" i="2"/>
  <c r="AE665" i="2"/>
  <c r="AE98" i="2"/>
  <c r="AD793" i="2"/>
  <c r="AE168" i="2"/>
  <c r="AE24" i="2"/>
  <c r="AD31" i="2"/>
  <c r="AE556" i="2"/>
  <c r="AD676" i="2"/>
  <c r="AE118" i="2"/>
  <c r="AE581" i="2"/>
  <c r="AD60" i="2"/>
  <c r="AE917" i="2"/>
  <c r="AE54" i="2"/>
  <c r="AD307" i="2"/>
  <c r="AD874" i="2"/>
  <c r="AE740" i="2"/>
  <c r="AD348" i="2"/>
  <c r="AE345" i="2"/>
  <c r="AE895" i="2"/>
  <c r="AE831" i="2"/>
  <c r="AE66" i="2"/>
  <c r="AD107" i="2"/>
  <c r="AE238" i="2"/>
  <c r="AE814" i="2"/>
  <c r="AE846" i="2"/>
  <c r="AE402" i="2"/>
  <c r="AD246" i="2"/>
  <c r="AE674" i="2"/>
  <c r="AE585" i="2"/>
  <c r="AE759" i="2"/>
  <c r="AE210" i="2"/>
  <c r="AE780" i="2"/>
  <c r="AE844" i="2"/>
  <c r="AE637" i="2"/>
  <c r="AE286" i="2"/>
  <c r="AD704" i="2"/>
  <c r="AD5" i="2"/>
  <c r="AE833" i="2"/>
  <c r="AE639" i="2"/>
  <c r="AD747" i="2"/>
  <c r="AE446" i="2"/>
  <c r="AD362" i="2"/>
  <c r="AD382" i="2"/>
  <c r="AE344" i="2"/>
  <c r="AD347" i="2"/>
  <c r="AD1006" i="2"/>
  <c r="AE59" i="2"/>
  <c r="AD996" i="2"/>
  <c r="AD806" i="2"/>
  <c r="AD836" i="2"/>
  <c r="AE371" i="2"/>
  <c r="AE775" i="2"/>
  <c r="AE298" i="2"/>
  <c r="AE750" i="2"/>
  <c r="AE459" i="2"/>
  <c r="AD808" i="2"/>
  <c r="AE337" i="2"/>
  <c r="AD179" i="2"/>
  <c r="AD786" i="2"/>
  <c r="AD100" i="2"/>
  <c r="AD254" i="2"/>
  <c r="AE732" i="2"/>
  <c r="AD863" i="2"/>
  <c r="AE974" i="2"/>
  <c r="AD798" i="2"/>
  <c r="AE726" i="2"/>
  <c r="AD110" i="2"/>
  <c r="AE671" i="2"/>
  <c r="AD914" i="2"/>
  <c r="AE841" i="2"/>
  <c r="AE619" i="2"/>
  <c r="AE667" i="2"/>
  <c r="AD636" i="2"/>
  <c r="AD293" i="2"/>
  <c r="AE375" i="2"/>
  <c r="AE259" i="2"/>
  <c r="AD264" i="2"/>
  <c r="AD702" i="2"/>
  <c r="AE727" i="2"/>
  <c r="AE757" i="2"/>
  <c r="AE724" i="2"/>
  <c r="AE994" i="2"/>
  <c r="AD249" i="2"/>
  <c r="AD29" i="2"/>
  <c r="AE117" i="2"/>
  <c r="AE257" i="2"/>
  <c r="AE930" i="2"/>
  <c r="AE882" i="2"/>
  <c r="AE547" i="2"/>
  <c r="AE470" i="2"/>
  <c r="AE625" i="2"/>
  <c r="AE341" i="2"/>
  <c r="AE967" i="2"/>
  <c r="AE868" i="2"/>
  <c r="AE911" i="2"/>
  <c r="AE613" i="2"/>
  <c r="AE250" i="2"/>
  <c r="AE801" i="2"/>
  <c r="AD662" i="2"/>
  <c r="AE415" i="2"/>
  <c r="AD916" i="2"/>
  <c r="AD659" i="2"/>
  <c r="AD274" i="2"/>
  <c r="AD578" i="2"/>
  <c r="AE467" i="2"/>
  <c r="AD306" i="2"/>
  <c r="AD391" i="2"/>
  <c r="AE140" i="2"/>
  <c r="AD363" i="2"/>
  <c r="AD782" i="2"/>
  <c r="AE102" i="2"/>
  <c r="AE761" i="2"/>
  <c r="AE303" i="2"/>
  <c r="AD921" i="2"/>
  <c r="AD384" i="2"/>
  <c r="AD301" i="2"/>
  <c r="AD568" i="2"/>
  <c r="AE568" i="2"/>
  <c r="AD899" i="2"/>
  <c r="AE899" i="2"/>
  <c r="AE939" i="2"/>
  <c r="AD939" i="2"/>
  <c r="AE334" i="2"/>
  <c r="AD334" i="2"/>
  <c r="AD407" i="2"/>
  <c r="AE407" i="2"/>
  <c r="AE449" i="2"/>
  <c r="AD243" i="2"/>
  <c r="AE243" i="2"/>
  <c r="AD379" i="2"/>
  <c r="AD592" i="2"/>
  <c r="AE592" i="2"/>
  <c r="AD593" i="2"/>
  <c r="AD171" i="2"/>
  <c r="AE171" i="2"/>
  <c r="AD419" i="2"/>
  <c r="AD935" i="2"/>
  <c r="AE935" i="2"/>
  <c r="AD478" i="2"/>
  <c r="AE478" i="2"/>
  <c r="AD71" i="2"/>
  <c r="AE71" i="2"/>
  <c r="AD233" i="2"/>
  <c r="AE233" i="2"/>
  <c r="AD711" i="2"/>
  <c r="AE711" i="2"/>
  <c r="AD538" i="2"/>
  <c r="AD152" i="2"/>
  <c r="AE152" i="2"/>
  <c r="AD892" i="2"/>
  <c r="AD829" i="2"/>
  <c r="AE829" i="2"/>
  <c r="AD934" i="2"/>
  <c r="AE934" i="2"/>
  <c r="AD648" i="2"/>
  <c r="AE648" i="2"/>
  <c r="AD1032" i="2"/>
  <c r="AE1032" i="2"/>
  <c r="AD226" i="2"/>
  <c r="AE226" i="2"/>
  <c r="AD880" i="2"/>
  <c r="AE880" i="2"/>
  <c r="AD887" i="2"/>
  <c r="AE887" i="2"/>
  <c r="AD160" i="2"/>
  <c r="AE160" i="2"/>
  <c r="AD614" i="2"/>
  <c r="AE614" i="2"/>
  <c r="AD596" i="2"/>
  <c r="AE265" i="2"/>
  <c r="AD510" i="2"/>
  <c r="AE510" i="2"/>
  <c r="AD178" i="2"/>
  <c r="AE178" i="2"/>
  <c r="AD70" i="2"/>
  <c r="AD376" i="2"/>
  <c r="AE376" i="2"/>
  <c r="AD540" i="2"/>
  <c r="AE540" i="2"/>
  <c r="AD548" i="2"/>
  <c r="AE548" i="2"/>
  <c r="AE163" i="2"/>
  <c r="AD163" i="2"/>
  <c r="AD525" i="2"/>
  <c r="AE525" i="2"/>
  <c r="AD652" i="2"/>
  <c r="AE493" i="2"/>
  <c r="AD218" i="2"/>
  <c r="AD823" i="2"/>
  <c r="AE823" i="2"/>
  <c r="AD104" i="2"/>
  <c r="AD737" i="2"/>
  <c r="AE737" i="2"/>
  <c r="AD945" i="2"/>
  <c r="AE945" i="2"/>
  <c r="AD693" i="2"/>
  <c r="AE693" i="2"/>
  <c r="AD436" i="2"/>
  <c r="AE436" i="2"/>
  <c r="AD654" i="2"/>
  <c r="AD405" i="2"/>
  <c r="AE405" i="2"/>
  <c r="AD425" i="2"/>
  <c r="AE425" i="2"/>
  <c r="AD1022" i="2"/>
  <c r="AE1022" i="2"/>
  <c r="AD195" i="2"/>
  <c r="AE195" i="2"/>
  <c r="AD251" i="2"/>
  <c r="AE251" i="2"/>
  <c r="AD166" i="2"/>
  <c r="AE166" i="2"/>
  <c r="AD75" i="2"/>
  <c r="AE75" i="2"/>
  <c r="AD862" i="2"/>
  <c r="AE862" i="2"/>
  <c r="AD158" i="2"/>
  <c r="AE158" i="2"/>
  <c r="AD173" i="2"/>
  <c r="AE173" i="2"/>
  <c r="AD783" i="2"/>
  <c r="AE783" i="2"/>
  <c r="AD80" i="2"/>
  <c r="AE80" i="2"/>
  <c r="AD377" i="2"/>
  <c r="AE377" i="2"/>
  <c r="AD999" i="2"/>
  <c r="AE999" i="2"/>
  <c r="AE675" i="2"/>
  <c r="AD675" i="2"/>
  <c r="AD605" i="2"/>
  <c r="AD827" i="2"/>
  <c r="AE827" i="2"/>
  <c r="AD705" i="2"/>
  <c r="AE705" i="2"/>
  <c r="AD198" i="2"/>
  <c r="AE198" i="2"/>
  <c r="AD968" i="2"/>
  <c r="AE968" i="2"/>
  <c r="AD182" i="2"/>
  <c r="AE182" i="2"/>
  <c r="AD1000" i="2"/>
  <c r="AE1000" i="2"/>
  <c r="AD583" i="2"/>
  <c r="AE583" i="2"/>
  <c r="AD269" i="2"/>
  <c r="AE269" i="2"/>
  <c r="AD175" i="2"/>
  <c r="AE175" i="2"/>
  <c r="AD924" i="2"/>
  <c r="AE924" i="2"/>
  <c r="AD294" i="2"/>
  <c r="AE294" i="2"/>
  <c r="AE765" i="2"/>
  <c r="AD765" i="2"/>
  <c r="AE896" i="2"/>
  <c r="AD896" i="2"/>
  <c r="AD123" i="2"/>
  <c r="AE123" i="2"/>
  <c r="AE515" i="2"/>
  <c r="AE46" i="2"/>
  <c r="AE795" i="2"/>
  <c r="AE109" i="2"/>
  <c r="AE431" i="2"/>
  <c r="AE657" i="2"/>
  <c r="AE655" i="2"/>
  <c r="AE1012" i="2"/>
  <c r="AE134" i="2"/>
  <c r="AE966" i="2"/>
  <c r="AE877" i="2"/>
  <c r="AE579" i="2"/>
  <c r="AE530" i="2"/>
  <c r="AE128" i="2"/>
  <c r="AE323" i="2"/>
  <c r="AE1039" i="2"/>
  <c r="AE802" i="2"/>
  <c r="AE406" i="2"/>
  <c r="AE908" i="2"/>
  <c r="AD857" i="2"/>
  <c r="AE857" i="2"/>
  <c r="AD529" i="2"/>
  <c r="AE529" i="2"/>
  <c r="AD937" i="2"/>
  <c r="AE937" i="2"/>
  <c r="AE37" i="2"/>
  <c r="AD37" i="2"/>
  <c r="AE698" i="2"/>
  <c r="AD698" i="2"/>
  <c r="AE456" i="2"/>
  <c r="AD456" i="2"/>
  <c r="AD147" i="2"/>
  <c r="AE147" i="2"/>
  <c r="AD231" i="2"/>
  <c r="AE231" i="2"/>
  <c r="AD875" i="2"/>
  <c r="AE875" i="2"/>
  <c r="AD356" i="2"/>
  <c r="AE356" i="2"/>
  <c r="AD622" i="2"/>
  <c r="AE622" i="2"/>
  <c r="AD273" i="2"/>
  <c r="AE273" i="2"/>
  <c r="AD743" i="2"/>
  <c r="AE743" i="2"/>
  <c r="AD940" i="2"/>
  <c r="AE940" i="2"/>
  <c r="AD369" i="2"/>
  <c r="AE369" i="2"/>
  <c r="AD902" i="2"/>
  <c r="AE902" i="2"/>
  <c r="AD850" i="2"/>
  <c r="AE850" i="2"/>
  <c r="AD703" i="2"/>
  <c r="AE703" i="2"/>
  <c r="AD883" i="2"/>
  <c r="AE883" i="2"/>
  <c r="AE799" i="2"/>
  <c r="AD799" i="2"/>
  <c r="AD10" i="2"/>
  <c r="AE10" i="2"/>
  <c r="AD108" i="2"/>
  <c r="AE108" i="2"/>
  <c r="AD458" i="2"/>
  <c r="AE458" i="2"/>
  <c r="AD194" i="2"/>
  <c r="AE194" i="2"/>
  <c r="AD524" i="2"/>
  <c r="AE524" i="2"/>
  <c r="AD647" i="2"/>
  <c r="AE647" i="2"/>
  <c r="AD248" i="2"/>
  <c r="AE248" i="2"/>
  <c r="AD216" i="2"/>
  <c r="AE216" i="2"/>
  <c r="AD958" i="2"/>
  <c r="AE958" i="2"/>
  <c r="AD923" i="2"/>
  <c r="AE923" i="2"/>
  <c r="AD326" i="2"/>
  <c r="AE326" i="2"/>
  <c r="AD227" i="2"/>
  <c r="AE227" i="2"/>
  <c r="AD670" i="2"/>
  <c r="AE670" i="2"/>
  <c r="AD929" i="2"/>
  <c r="AD664" i="2"/>
  <c r="AE664" i="2"/>
  <c r="AD333" i="2"/>
  <c r="AE333" i="2"/>
  <c r="AD818" i="2"/>
  <c r="AE818" i="2"/>
  <c r="AD677" i="2"/>
  <c r="AE677" i="2"/>
  <c r="AD244" i="2"/>
  <c r="AE244" i="2"/>
  <c r="AE684" i="2"/>
  <c r="AD684" i="2"/>
  <c r="AD991" i="2"/>
  <c r="AE991" i="2"/>
  <c r="AD623" i="2"/>
  <c r="AE623" i="2"/>
  <c r="AD90" i="2"/>
  <c r="AE90" i="2"/>
  <c r="AD858" i="2"/>
  <c r="AE858" i="2"/>
  <c r="AE810" i="2"/>
  <c r="AE909" i="2"/>
  <c r="AE482" i="2"/>
  <c r="AE621" i="2"/>
  <c r="AE435" i="2"/>
  <c r="AE871" i="2"/>
  <c r="AE634" i="2"/>
  <c r="AE970" i="2"/>
  <c r="AE641" i="2"/>
  <c r="AE853" i="2"/>
  <c r="AE713" i="2"/>
  <c r="AE176" i="2"/>
  <c r="AE723" i="2"/>
  <c r="AE542" i="2"/>
  <c r="AE151" i="2"/>
  <c r="AE461" i="2"/>
  <c r="AE673" i="2"/>
  <c r="AE270" i="2"/>
  <c r="AE828" i="2"/>
  <c r="AE1014" i="2"/>
  <c r="AE977" i="2"/>
  <c r="AE320" i="2"/>
  <c r="AE228" i="2"/>
  <c r="AE411" i="2"/>
  <c r="AE255" i="2"/>
  <c r="AD389" i="2"/>
  <c r="AE389" i="2"/>
  <c r="AE282" i="2"/>
  <c r="AD535" i="2"/>
  <c r="AE535" i="2"/>
  <c r="AD217" i="2"/>
  <c r="AE217" i="2"/>
  <c r="AD658" i="2"/>
  <c r="AD157" i="2"/>
  <c r="AE157" i="2"/>
  <c r="AD241" i="2"/>
  <c r="AD222" i="2"/>
  <c r="AE222" i="2"/>
  <c r="AE145" i="2"/>
  <c r="AD145" i="2"/>
  <c r="AD708" i="2"/>
  <c r="AE708" i="2"/>
  <c r="AD271" i="2"/>
  <c r="AE271" i="2"/>
  <c r="AD296" i="2"/>
  <c r="AE296" i="2"/>
  <c r="AD21" i="2"/>
  <c r="AE21" i="2"/>
  <c r="AD43" i="2"/>
  <c r="AE43" i="2"/>
  <c r="AD980" i="2"/>
  <c r="AE980" i="2"/>
  <c r="AD725" i="2"/>
  <c r="AE725" i="2"/>
  <c r="AE856" i="2"/>
  <c r="AD856" i="2"/>
  <c r="AE626" i="2"/>
  <c r="AD626" i="2"/>
  <c r="AE886" i="2"/>
  <c r="AD886" i="2"/>
  <c r="AE925" i="2"/>
  <c r="AD925" i="2"/>
  <c r="AE1015" i="2"/>
  <c r="AD1015" i="2"/>
  <c r="AE754" i="2"/>
  <c r="AD754" i="2"/>
  <c r="AD752" i="2"/>
  <c r="AE103" i="2"/>
  <c r="AD103" i="2"/>
  <c r="AD485" i="2"/>
  <c r="AE252" i="2"/>
  <c r="AD252" i="2"/>
  <c r="AE879" i="2"/>
  <c r="AD879" i="2"/>
  <c r="AE687" i="2"/>
  <c r="AE679" i="2"/>
  <c r="AE707" i="2"/>
  <c r="AE627" i="2"/>
  <c r="AE825" i="2"/>
  <c r="AE575" i="2"/>
  <c r="AE928" i="2"/>
  <c r="AE843" i="2"/>
  <c r="AE690" i="2"/>
  <c r="AE964" i="2"/>
  <c r="AE209" i="2"/>
  <c r="AE404" i="2"/>
  <c r="AE696" i="2"/>
  <c r="AE204" i="2"/>
  <c r="AE586" i="2"/>
  <c r="AE830" i="2"/>
  <c r="AE45" i="2"/>
  <c r="AE317" i="2"/>
  <c r="AD50" i="2"/>
  <c r="AE890" i="2"/>
  <c r="AD890" i="2"/>
  <c r="AE1019" i="2"/>
  <c r="AD1019" i="2"/>
  <c r="AE728" i="2"/>
  <c r="AE22" i="2"/>
  <c r="AE763" i="2"/>
  <c r="AD861" i="2"/>
  <c r="AE284" i="2"/>
  <c r="AD284" i="2"/>
  <c r="AE203" i="2"/>
  <c r="AD203" i="2"/>
  <c r="AD447" i="2"/>
  <c r="AE805" i="2"/>
  <c r="AD805" i="2"/>
  <c r="AE267" i="2"/>
  <c r="AE931" i="2"/>
  <c r="AE492" i="2"/>
  <c r="AE167" i="2"/>
  <c r="AE338" i="2"/>
  <c r="AE1041" i="2"/>
  <c r="AE40" i="2"/>
  <c r="AE19" i="2"/>
  <c r="AE17" i="2"/>
  <c r="AE1007" i="2"/>
  <c r="AE601" i="2"/>
  <c r="AE47" i="2"/>
  <c r="AE1002" i="2"/>
  <c r="AD1033" i="2"/>
  <c r="AE126" i="2"/>
  <c r="AE330" i="2"/>
  <c r="AD330" i="2"/>
  <c r="AD413" i="2"/>
  <c r="AE230" i="2"/>
  <c r="AD230" i="2"/>
  <c r="AE58" i="2"/>
  <c r="AD58" i="2"/>
  <c r="AE385" i="2"/>
  <c r="AD385" i="2"/>
  <c r="AD56" i="2"/>
  <c r="AE56" i="2"/>
  <c r="AE760" i="2"/>
  <c r="AD753" i="2"/>
  <c r="AE753" i="2"/>
  <c r="AD513" i="2"/>
  <c r="AE322" i="2"/>
  <c r="AD322" i="2"/>
  <c r="AE860" i="2"/>
  <c r="AD860" i="2"/>
  <c r="AE9" i="2"/>
  <c r="AD9" i="2"/>
  <c r="AE1011" i="2"/>
  <c r="AD1011" i="2"/>
  <c r="AE906" i="2"/>
  <c r="AD906" i="2"/>
  <c r="AD580" i="2"/>
  <c r="AE580" i="2"/>
  <c r="AE28" i="2"/>
  <c r="AD28" i="2"/>
  <c r="AE378" i="2"/>
  <c r="AE36" i="2"/>
  <c r="AE8" i="2"/>
  <c r="AE150" i="2"/>
  <c r="AE1021" i="2"/>
  <c r="AE598" i="2"/>
  <c r="AE849" i="2"/>
  <c r="AE588" i="2"/>
  <c r="AE368" i="2"/>
  <c r="AE527" i="2"/>
  <c r="AE489" i="2"/>
  <c r="AE48" i="2"/>
  <c r="AE904" i="2"/>
  <c r="AE324" i="2"/>
  <c r="AE12" i="2"/>
  <c r="AE812" i="2"/>
  <c r="AE42" i="2"/>
  <c r="AE889" i="2"/>
  <c r="AE124" i="2"/>
  <c r="AE941" i="2"/>
  <c r="AE309" i="2"/>
  <c r="AE995" i="2"/>
  <c r="AE922" i="2"/>
  <c r="AE781" i="2"/>
  <c r="AE366" i="2"/>
  <c r="AE302" i="2"/>
  <c r="AE954" i="2"/>
  <c r="AE838" i="2"/>
  <c r="AE311" i="2"/>
  <c r="AE885" i="2"/>
  <c r="AE247" i="2"/>
  <c r="AE63" i="2"/>
  <c r="AE211" i="2"/>
  <c r="AE669" i="2"/>
  <c r="AE590" i="2"/>
  <c r="AE457" i="2"/>
  <c r="AE949" i="2"/>
  <c r="AE1026" i="2"/>
  <c r="AE567" i="2"/>
  <c r="AE1025" i="2"/>
  <c r="AE52" i="2"/>
  <c r="AE401" i="2"/>
  <c r="AE591" i="2"/>
  <c r="AE39" i="2"/>
  <c r="AE604" i="2"/>
  <c r="AE983" i="2"/>
  <c r="AE488" i="2"/>
  <c r="AE681" i="2"/>
  <c r="AE466" i="2"/>
  <c r="AE200" i="2"/>
  <c r="AE768" i="2"/>
  <c r="AE183" i="2"/>
  <c r="AE27" i="2"/>
  <c r="AE16" i="2"/>
  <c r="AE277" i="2"/>
  <c r="AE14" i="2"/>
  <c r="AE414" i="2"/>
  <c r="AE959" i="2"/>
  <c r="AE403" i="2"/>
  <c r="AE943" i="2"/>
  <c r="AE720" i="2"/>
  <c r="AE1008" i="2"/>
  <c r="AE927" i="2"/>
  <c r="AE794" i="2"/>
  <c r="AE367" i="2"/>
  <c r="AE304" i="2"/>
  <c r="AE955" i="2"/>
  <c r="AE867" i="2"/>
  <c r="AE295" i="2"/>
</calcChain>
</file>

<file path=xl/sharedStrings.xml><?xml version="1.0" encoding="utf-8"?>
<sst xmlns="http://schemas.openxmlformats.org/spreadsheetml/2006/main" count="26068" uniqueCount="8674">
  <si>
    <t>STATUS CONSTRUÇÕES
PROJETO F - NODES</t>
  </si>
  <si>
    <t>STATUS</t>
  </si>
  <si>
    <t>EXECUTORES</t>
  </si>
  <si>
    <t>PROJEÇÃO DE EXECUÇÃO JLE</t>
  </si>
  <si>
    <t>COD.</t>
  </si>
  <si>
    <t>ÁREA TÉCNICA</t>
  </si>
  <si>
    <t>SITE PRINCIPAL</t>
  </si>
  <si>
    <t>NODES</t>
  </si>
  <si>
    <t>Headend</t>
  </si>
  <si>
    <t>VERSÃO</t>
  </si>
  <si>
    <t>CIDADE</t>
  </si>
  <si>
    <t>TROCAIS</t>
  </si>
  <si>
    <t>PRIORIDADE</t>
  </si>
  <si>
    <t>MÊS</t>
  </si>
  <si>
    <t>DGO</t>
  </si>
  <si>
    <t>Possui OLT</t>
  </si>
  <si>
    <t>Terminação no Site</t>
  </si>
  <si>
    <t>Lançamento de Rede</t>
  </si>
  <si>
    <t>Fusão</t>
  </si>
  <si>
    <t xml:space="preserve">Teste com </t>
  </si>
  <si>
    <t>CORDOALHA</t>
  </si>
  <si>
    <t>LANÇAMENTO</t>
  </si>
  <si>
    <t>FUSÃO</t>
  </si>
  <si>
    <t>Obs.</t>
  </si>
  <si>
    <t>Relatorio Fotografico</t>
  </si>
  <si>
    <t>Classe L</t>
  </si>
  <si>
    <t>Classe F</t>
  </si>
  <si>
    <t>OBS</t>
  </si>
  <si>
    <t>Vistoria Final</t>
  </si>
  <si>
    <t>Medição realizada</t>
  </si>
  <si>
    <t>Cabo Tronco</t>
  </si>
  <si>
    <t>Tamanho Node</t>
  </si>
  <si>
    <t>Inicio em</t>
  </si>
  <si>
    <t>Previsão para</t>
  </si>
  <si>
    <t>Data de Entrega</t>
  </si>
  <si>
    <t xml:space="preserve">Data Env. Relatório </t>
  </si>
  <si>
    <t>RSCLND0524</t>
  </si>
  <si>
    <t>RBTAC</t>
  </si>
  <si>
    <t>RSPNO16</t>
  </si>
  <si>
    <t xml:space="preserve">SRDAF FASE 2 </t>
  </si>
  <si>
    <t>ILUMINADO</t>
  </si>
  <si>
    <t>R010</t>
  </si>
  <si>
    <t>PORTO ALEGRE</t>
  </si>
  <si>
    <t>021,022,024</t>
  </si>
  <si>
    <t>Ñ GERENCIAL (SETEMBRO)</t>
  </si>
  <si>
    <t>EXISTENTE</t>
  </si>
  <si>
    <t>CORDOALHA 0%</t>
  </si>
  <si>
    <t>LANÇAMENTO 100%</t>
  </si>
  <si>
    <t>FUSÃO 100%</t>
  </si>
  <si>
    <t>NODE SAIU DA CX EXISTENTE T090, ALIMENTOU AS FISTS 021,022,024, COBRAR TODAS AS SECUNDARIAS DAS 021,022,024. COBRAR 594 METROS DE CABO DE 24FO, 9 ABERTURA E FECHAMENTO,206 FUSÕES, 4 DERIVAÇÕES A MAIS.</t>
  </si>
  <si>
    <t>VICTOR</t>
  </si>
  <si>
    <t>MARCOS EMILIANO</t>
  </si>
  <si>
    <t>TRONCAL COM PARCIAL</t>
  </si>
  <si>
    <t>RSCLND0543</t>
  </si>
  <si>
    <t>PDRAA</t>
  </si>
  <si>
    <t>RSPNO17</t>
  </si>
  <si>
    <t>R001/R006</t>
  </si>
  <si>
    <t>GERENCIAL (NOVEMBRO)</t>
  </si>
  <si>
    <t xml:space="preserve">EXISTENTE </t>
  </si>
  <si>
    <t>NODE SAIU DA CX EXISTENTE T010, ALIMENTOU AS FISTS 071 E 072, COBRAR TODAS AS SECUNDARIAS DA 071 E 072. COBRAR 37 METROS DE CORDOALHAS.</t>
  </si>
  <si>
    <t>ok</t>
  </si>
  <si>
    <t>LUIS FELIPE</t>
  </si>
  <si>
    <t>CATIA</t>
  </si>
  <si>
    <t>RSCLND0542</t>
  </si>
  <si>
    <t>PDRAK</t>
  </si>
  <si>
    <t>NODE SAIU DA CX EXISTENTE T010, ALIMENTOU A FIST 011, COBRAR TODAS AS SECUNDARIAS DA 011.</t>
  </si>
  <si>
    <t>1 NAP</t>
  </si>
  <si>
    <t>ALAN VASCONCELOS</t>
  </si>
  <si>
    <t>YURI</t>
  </si>
  <si>
    <t>RSCLND0521</t>
  </si>
  <si>
    <t>HMTAA</t>
  </si>
  <si>
    <t>RSPNO02</t>
  </si>
  <si>
    <t>HMTAFB</t>
  </si>
  <si>
    <t>R011</t>
  </si>
  <si>
    <t>GERENCIAL (OUTUBRO)</t>
  </si>
  <si>
    <t>NODE SAIU DA CX EXISTENTE 011, ALIMENTOU A FIST 091, COBRAR TODAS AS SECUNDARIAS DA 091. COBRAR 402 A MAIS DE CABO SUBTERRANEO E 332 METROS DE CABOS RETIRADOS.COBRAR 5 ABERTURA E FECHAMENTO E 16 FUSÕES A MAIS.</t>
  </si>
  <si>
    <t>JUNIOR</t>
  </si>
  <si>
    <t>AFONSO</t>
  </si>
  <si>
    <t>RSCLND0548</t>
  </si>
  <si>
    <t>BFMAA</t>
  </si>
  <si>
    <t>PAE IND (RSPLE78)</t>
  </si>
  <si>
    <t>BFMAG</t>
  </si>
  <si>
    <t>R024</t>
  </si>
  <si>
    <t>261,262,263,264,265</t>
  </si>
  <si>
    <t>NODE SAIU DA CX EXISTENTE T140, ALIMENTOU AS FISTS 261,262,263,264,265, COBRAR TODAS AS SECUNDARIAS DAS 261,262,263,264,265.</t>
  </si>
  <si>
    <t>OK</t>
  </si>
  <si>
    <t xml:space="preserve">TIAGO FERREIRA  </t>
  </si>
  <si>
    <t>RSCLND0511</t>
  </si>
  <si>
    <t>TRLAA</t>
  </si>
  <si>
    <t>PAE HZS</t>
  </si>
  <si>
    <t>TRLAG FASE 2</t>
  </si>
  <si>
    <t>R016</t>
  </si>
  <si>
    <t>Ñ GERENCIAL (NOVEMBRO)</t>
  </si>
  <si>
    <t>NODE SAIU DA T020, ALIMENTOU A FIST 122, COBRAR TODAS AS SECUNDARIAS DA 122</t>
  </si>
  <si>
    <t>CLEVERSON</t>
  </si>
  <si>
    <t>PROJETOS RECEBIDOS PELO WHATS</t>
  </si>
  <si>
    <t>RSCLND0527</t>
  </si>
  <si>
    <t>FLOAR</t>
  </si>
  <si>
    <t>R022</t>
  </si>
  <si>
    <t>INSTALAR</t>
  </si>
  <si>
    <t>NODE SAIU DO SITE , ALIMENTOU A CAIXA T.140, E AS FISTS 231,232, COBRAR TODAS AS SECUNDARIAS DA 231 E 232. COBRAR 40 METROS DE CORDOALHA</t>
  </si>
  <si>
    <t xml:space="preserve">PABLO  </t>
  </si>
  <si>
    <t>OBRA SITE INDENPENCIA</t>
  </si>
  <si>
    <t>RSCLND0550</t>
  </si>
  <si>
    <t>SANAA</t>
  </si>
  <si>
    <t>RSPCE22</t>
  </si>
  <si>
    <t>SANALB</t>
  </si>
  <si>
    <t>R005</t>
  </si>
  <si>
    <t>NODE SAIU DA CX EXISTENTE 041, ALIMENTOU AS FISTS 051,052, COBRAR TODAS AS SECUNDARIAS DAS 051,052.COBRAR 4 ABERTURA E FECHAMENTO E 28 FUSÕES A MAIS.</t>
  </si>
  <si>
    <t>ADRIANO</t>
  </si>
  <si>
    <t>RSCLND0544</t>
  </si>
  <si>
    <t>BVSAB</t>
  </si>
  <si>
    <t>PAE NR (RSPNO97)</t>
  </si>
  <si>
    <t>BMJABB</t>
  </si>
  <si>
    <t>NODE SAIU DA CX EXISTENTE T070, ALIMENTOU A FIST 251, COBRAR TODAS AS SECUNDARIAS DA 251.COBRAR 130 METROS DE CORDOALHAS.</t>
  </si>
  <si>
    <t xml:space="preserve">CLEVERSON  </t>
  </si>
  <si>
    <t>RSCLND0552</t>
  </si>
  <si>
    <t>MNDAA</t>
  </si>
  <si>
    <t>RSPCE41 (PAE MAD)</t>
  </si>
  <si>
    <t>MNDAF FASE 2</t>
  </si>
  <si>
    <t>ALINHADO</t>
  </si>
  <si>
    <t>R012</t>
  </si>
  <si>
    <t>FUSÃO 0%</t>
  </si>
  <si>
    <t>NODE SAIU DA CX EXISTENTE 101, ALIMENTOU A FIST 114, COBRAR TODAS AS SECUNDARIAS DA 114.</t>
  </si>
  <si>
    <t>TIAGO FERREIRA</t>
  </si>
  <si>
    <t>RSCLND0581</t>
  </si>
  <si>
    <t>JBOAA</t>
  </si>
  <si>
    <t>RSPLE18</t>
  </si>
  <si>
    <t>PETAE</t>
  </si>
  <si>
    <t>R015</t>
  </si>
  <si>
    <t>101,102,103</t>
  </si>
  <si>
    <t>NODE SAIU DA CX EXISTENTE 071, ALIMENTOU AS FISTS 101,102,103, COBRAR TODAS AS SECUNDARIAS DAS 101,102,103.COBRAR 1 ABERTURA E FECHAMENTO A MAIS E 12 FUSÕES.</t>
  </si>
  <si>
    <t>ANDERSON</t>
  </si>
  <si>
    <t>RSCLND0549</t>
  </si>
  <si>
    <t>NNIAA</t>
  </si>
  <si>
    <t>RSPSU08</t>
  </si>
  <si>
    <t>NNIAF</t>
  </si>
  <si>
    <t>R007</t>
  </si>
  <si>
    <t>011,012,013,014</t>
  </si>
  <si>
    <t>NODE SAIU DA CX EXISTENTE 041, ALIMENTOU AS FISTS 011,012,013,014, COBRAR TODAS AS SECUNDARIAS DAS 011,012,013,014.</t>
  </si>
  <si>
    <t>PENDENCIA</t>
  </si>
  <si>
    <t>RSCLND0546</t>
  </si>
  <si>
    <t>TRZAB</t>
  </si>
  <si>
    <t>RSPSU22</t>
  </si>
  <si>
    <t>TRZANB</t>
  </si>
  <si>
    <t>R009</t>
  </si>
  <si>
    <t>NODE SAIU DA CX EXISTENTE T050, ALIMENTOU AS FISTS 111 E 112, COBRAR TODAS AS SECUNDARIAS DA 111 E 112.</t>
  </si>
  <si>
    <t>UBIRAJARA</t>
  </si>
  <si>
    <t>PORTO CALVO 132</t>
  </si>
  <si>
    <t>RSCLND0562</t>
  </si>
  <si>
    <t>SANAB</t>
  </si>
  <si>
    <t>RSPCE27</t>
  </si>
  <si>
    <t>PRTAA</t>
  </si>
  <si>
    <t>091,092,093</t>
  </si>
  <si>
    <t>NODE SAIU DA CX EXISTENTE 052, ALIMENTOU AS FISTS 091,092,093, COBRAR TODAS AS SECUNDARIAS DAS 091,092,093.</t>
  </si>
  <si>
    <t>RSCLND0559</t>
  </si>
  <si>
    <t>MNDAP</t>
  </si>
  <si>
    <t>CORDOALHA 80%</t>
  </si>
  <si>
    <t>NODE SAIU DA CX EXISTENTE T040, ALIMENTOU AS FISTS 061,062,081 E 082, COBRAR TODAS AS SECUNDARIAS DA 081 E 082.</t>
  </si>
  <si>
    <t>RSCLND0567</t>
  </si>
  <si>
    <t>HPCAA</t>
  </si>
  <si>
    <t>RSPSU90</t>
  </si>
  <si>
    <t>HPCAKC</t>
  </si>
  <si>
    <t>R0001/R0007</t>
  </si>
  <si>
    <t>EXISTENTE </t>
  </si>
  <si>
    <t> </t>
  </si>
  <si>
    <t>NODE SAIU DA CX EXISTENTE T090, ALIMENTOU A FIST 251, COBRAR TODAS AS SECUNDARIAS DA 251.</t>
  </si>
  <si>
    <t>RSCLND0561</t>
  </si>
  <si>
    <t>FUSÃO 10%</t>
  </si>
  <si>
    <t>TIAGO</t>
  </si>
  <si>
    <t>GILSON</t>
  </si>
  <si>
    <t>RSCLND0553</t>
  </si>
  <si>
    <t>MNDAU</t>
  </si>
  <si>
    <t>151,152,153</t>
  </si>
  <si>
    <t>RSCLND0576</t>
  </si>
  <si>
    <t>JBOACA</t>
  </si>
  <si>
    <t>R036</t>
  </si>
  <si>
    <t>151,152,153,154</t>
  </si>
  <si>
    <t>CLEVESON</t>
  </si>
  <si>
    <t>SALVADOR FRANÇA X ITABORAI</t>
  </si>
  <si>
    <t>RSCLND0556</t>
  </si>
  <si>
    <t>RBRAEB</t>
  </si>
  <si>
    <t>NODE SAIU DA T030 EXISTENTE, ALIMENTOU A FIST 011. COBRAR TODAS AS SECUNDARIAS DA 011..COBRAR 2 ABERTURA E FECHAMENTO, 48 FUSÕES A MAIS.</t>
  </si>
  <si>
    <t>RSCLND0575</t>
  </si>
  <si>
    <t>JBOAF</t>
  </si>
  <si>
    <t>R035</t>
  </si>
  <si>
    <t>171,172,173</t>
  </si>
  <si>
    <t>FUSÃO100%</t>
  </si>
  <si>
    <t>DEIVID</t>
  </si>
  <si>
    <t>FELIZARDO X ISIDORO TRESSI</t>
  </si>
  <si>
    <t>RSCLND0557</t>
  </si>
  <si>
    <t>SANAJ</t>
  </si>
  <si>
    <t>031,032,033,034</t>
  </si>
  <si>
    <t>NODE SAIU DA T030 EXISTENTE, ALIMENTOU A T050, 031,032,033,034. COBRAR TODAS AS SECUNDARIAS DA 031,032,033,034.COBRAR 30 METROS DE CORDOALHA</t>
  </si>
  <si>
    <t>RSCLND0563</t>
  </si>
  <si>
    <t>SANACB</t>
  </si>
  <si>
    <t>NODE SAIU DA CX EXISTENTE T030, ALIMENTOU A FIST 121, COBRAR TODAS AS SECUNDARIAS DA 121.</t>
  </si>
  <si>
    <t>RSCLND0577</t>
  </si>
  <si>
    <t>VJDABA</t>
  </si>
  <si>
    <t>DAVID</t>
  </si>
  <si>
    <t>AUGUSTO</t>
  </si>
  <si>
    <t>SATURNINO DE BRITO X AV DOS PRAZERES</t>
  </si>
  <si>
    <t>RSCLND0551</t>
  </si>
  <si>
    <t>GUAAA</t>
  </si>
  <si>
    <t>RSPSU21</t>
  </si>
  <si>
    <t>IPMAH</t>
  </si>
  <si>
    <t>R009/R011</t>
  </si>
  <si>
    <t>NODE SAIU DA CX EXISTENTE T030, ALIMENTOU A FIST 031, COBRAR TODAS AS SECUNDARIAS DA 031.</t>
  </si>
  <si>
    <t>NATANAEL</t>
  </si>
  <si>
    <t>RSCLND0568</t>
  </si>
  <si>
    <t>VJDAEA</t>
  </si>
  <si>
    <t>RUA ARARUAMA (MORMAN)</t>
  </si>
  <si>
    <t>RSCLND0579</t>
  </si>
  <si>
    <t>JBOACB</t>
  </si>
  <si>
    <t>NODE SAIU DA CX EXISTENTE 136, ALIMENTOU A FIST 371, COBRAR TODAS AS SECUNDARIAS DA 371. COBRAR 2 ABERTURA E FECHAMENTO E 14 FUSÕES A MAIS</t>
  </si>
  <si>
    <t>SALVADOR FRANÇA X IPIRANGA</t>
  </si>
  <si>
    <t>RSCLND0560</t>
  </si>
  <si>
    <t>MNDAT</t>
  </si>
  <si>
    <t xml:space="preserve">NODE SAIU DA CX EXISTENTE 141, ALIMENTOU AS FISTS 151,153, 161, 163. COBRAR TODAS AS SECUNDARIAS DA 161 E DA 163. </t>
  </si>
  <si>
    <t>RSCLND0547</t>
  </si>
  <si>
    <t>TRZAP</t>
  </si>
  <si>
    <t>LANÇAMENTO 50%</t>
  </si>
  <si>
    <t>NODE SAIU DA CX EXISTENTE T010, ALIMENTOU AS FISTS 101,102,103, COBRAR TODAS AS SECUNDARIAS DAS 101,102,103.</t>
  </si>
  <si>
    <t>BMJAA</t>
  </si>
  <si>
    <t>RSPLE20</t>
  </si>
  <si>
    <t>BMJABA</t>
  </si>
  <si>
    <t xml:space="preserve">PRIORIZAR SAO BENEDITO </t>
  </si>
  <si>
    <t>RSCLND0566</t>
  </si>
  <si>
    <t>BFMAF</t>
  </si>
  <si>
    <t>R028</t>
  </si>
  <si>
    <t>281,282,283,284</t>
  </si>
  <si>
    <t>RSCLND0554</t>
  </si>
  <si>
    <t>MTSAA</t>
  </si>
  <si>
    <t>RSPLE35</t>
  </si>
  <si>
    <t>MTSADB</t>
  </si>
  <si>
    <t>R030</t>
  </si>
  <si>
    <t>RSCLND0545</t>
  </si>
  <si>
    <t xml:space="preserve">R005 </t>
  </si>
  <si>
    <t>011,012,013,014,015,016,017</t>
  </si>
  <si>
    <t>JOÃO FELIPE</t>
  </si>
  <si>
    <t>RSCLND0555</t>
  </si>
  <si>
    <t>MNDAC</t>
  </si>
  <si>
    <t>RSPSU02</t>
  </si>
  <si>
    <t>STZAH</t>
  </si>
  <si>
    <t>121,122,123</t>
  </si>
  <si>
    <t>NODE SAIU DA CX EXISTENTE T030, ALIMENTOU AS CXS T040, 121, 122,123, COBRAR TODAS AS SECUNDARIAS DAS 121,122,123. COBRAR 3 ABERTURA E FECHAMENTO E 108 FUSÕES, 1 ADEQUAÇÃO, 40 METROS DE REPULXAMENTO E 320 METROS DE REESPINAÇÃO A MAIS</t>
  </si>
  <si>
    <t>CLARO GILBERTO LASTE</t>
  </si>
  <si>
    <t>RSCLND0573</t>
  </si>
  <si>
    <t>CNTAB</t>
  </si>
  <si>
    <t>RSPCE14</t>
  </si>
  <si>
    <t>CNTABB</t>
  </si>
  <si>
    <t>R0015</t>
  </si>
  <si>
    <t>111, 112</t>
  </si>
  <si>
    <t>GERENCIAL (DEZEMBRO)</t>
  </si>
  <si>
    <t>PABLO</t>
  </si>
  <si>
    <t>RSCLND0574</t>
  </si>
  <si>
    <t>CNTABA</t>
  </si>
  <si>
    <t>R0016</t>
  </si>
  <si>
    <t>151, 152</t>
  </si>
  <si>
    <t>DERIK</t>
  </si>
  <si>
    <t>RSCLND0570</t>
  </si>
  <si>
    <t>PRTAB</t>
  </si>
  <si>
    <t>RSPLE21</t>
  </si>
  <si>
    <t>PRTAJ</t>
  </si>
  <si>
    <t>R0010</t>
  </si>
  <si>
    <t>NODE SAIU DO SITE, ALIMENTOU AS CXS T060, 061 E 062, COBRAR TODAS AS SECUNDARIAS DAS 061 E 062.</t>
  </si>
  <si>
    <t>RSCLND0569</t>
  </si>
  <si>
    <t>BVSAA</t>
  </si>
  <si>
    <t>RSPLE07</t>
  </si>
  <si>
    <t>BVSAQ</t>
  </si>
  <si>
    <t>R0014</t>
  </si>
  <si>
    <t>NODE SAIU DA CX EXISTENTE 051, ALIMENTOU A FIST 061, COBRAR TODAS AS SECUNDARIAS DA 061.</t>
  </si>
  <si>
    <t>SJOADB</t>
  </si>
  <si>
    <t>VJDAA</t>
  </si>
  <si>
    <t>ILUMINADA</t>
  </si>
  <si>
    <t>R037</t>
  </si>
  <si>
    <t>291, 292</t>
  </si>
  <si>
    <t>NODE SAIU DA CX EXISTENTE 322 COM CABO DE 36F ALIMENTANDO A FIST 292 SAI CABO DE 12F E ALIMENTA A FIST 291, COBRAR TODAS AS SECUNDARIAS DAS 291, 292.</t>
  </si>
  <si>
    <t>BVSAMC</t>
  </si>
  <si>
    <t>R045</t>
  </si>
  <si>
    <t xml:space="preserve">NODE SAIU DA CX EXISTENTE T110 ALIMENTANDO A  FIST 281 COBRAR TODAS AS SECUNDARIAS DAS 281. </t>
  </si>
  <si>
    <t>RSCLND0572</t>
  </si>
  <si>
    <t>PETAJ</t>
  </si>
  <si>
    <t>011,012,013</t>
  </si>
  <si>
    <t>NODE SAIU DA CX EXISTENTE 062, ALIMENTOU AS FISTS 011,012,013, COBRAR TODAS AS SECUNDARIAS DA 011,012,013. COBRAR 98 METROS DE CABO A MAIS</t>
  </si>
  <si>
    <t>RSCLND0002</t>
  </si>
  <si>
    <t>PDRAHA</t>
  </si>
  <si>
    <t>R001</t>
  </si>
  <si>
    <t>SIM</t>
  </si>
  <si>
    <t>OLT</t>
  </si>
  <si>
    <t>TESTADO 100%</t>
  </si>
  <si>
    <t>PENDÊNCIA</t>
  </si>
  <si>
    <t>RSCLND0001</t>
  </si>
  <si>
    <t>FLOAA</t>
  </si>
  <si>
    <t xml:space="preserve">RSPNO11 </t>
  </si>
  <si>
    <t>FLOAQ</t>
  </si>
  <si>
    <t>R003</t>
  </si>
  <si>
    <t>RSCLND0006</t>
  </si>
  <si>
    <t>VJDAB</t>
  </si>
  <si>
    <t>RSPNO21</t>
  </si>
  <si>
    <t>JITAFB</t>
  </si>
  <si>
    <t>R000</t>
  </si>
  <si>
    <t>RSCLND0007</t>
  </si>
  <si>
    <t>JITAH</t>
  </si>
  <si>
    <t>RSCLND0015</t>
  </si>
  <si>
    <t>AZNAA</t>
  </si>
  <si>
    <t>RSPLE17</t>
  </si>
  <si>
    <t>SANAI</t>
  </si>
  <si>
    <t>R002</t>
  </si>
  <si>
    <t>031, 032, 033</t>
  </si>
  <si>
    <t>RSCLND0005</t>
  </si>
  <si>
    <t>CTLAA</t>
  </si>
  <si>
    <t>RSPSU07</t>
  </si>
  <si>
    <t>CTLAE</t>
  </si>
  <si>
    <t>RSCLND0011</t>
  </si>
  <si>
    <t>RBTAB</t>
  </si>
  <si>
    <t>RSPNO22</t>
  </si>
  <si>
    <t>GERADOR</t>
  </si>
  <si>
    <t>RSCLND0012</t>
  </si>
  <si>
    <t>SANABB</t>
  </si>
  <si>
    <t>RSCLND0008</t>
  </si>
  <si>
    <t>RSPLE26</t>
  </si>
  <si>
    <t>JSOAD</t>
  </si>
  <si>
    <t>NÃO</t>
  </si>
  <si>
    <t>N/A</t>
  </si>
  <si>
    <t>RSCLND0010</t>
  </si>
  <si>
    <t>PRTANB</t>
  </si>
  <si>
    <t>RSCLND0003</t>
  </si>
  <si>
    <t>NAVAA</t>
  </si>
  <si>
    <t>RSPNO05</t>
  </si>
  <si>
    <t>BVSAD</t>
  </si>
  <si>
    <t>121, 122, 123</t>
  </si>
  <si>
    <t>RSCLND0004</t>
  </si>
  <si>
    <t>BVSAE</t>
  </si>
  <si>
    <t>131, 132</t>
  </si>
  <si>
    <t>RSCLND0009</t>
  </si>
  <si>
    <t>MNDAB</t>
  </si>
  <si>
    <t>RSPCE20</t>
  </si>
  <si>
    <t>MNDAD</t>
  </si>
  <si>
    <t>OLT INSTALADA</t>
  </si>
  <si>
    <t>RSCLND0013</t>
  </si>
  <si>
    <t>SANAE</t>
  </si>
  <si>
    <t>RSCLND0014</t>
  </si>
  <si>
    <t>SANAF</t>
  </si>
  <si>
    <t>RSCLND0016</t>
  </si>
  <si>
    <t>BVSAK</t>
  </si>
  <si>
    <t>011, 012</t>
  </si>
  <si>
    <t>RSCLND0017</t>
  </si>
  <si>
    <t>BVSALA</t>
  </si>
  <si>
    <t>221, 222, 223</t>
  </si>
  <si>
    <t>RSCLND0018</t>
  </si>
  <si>
    <t>BVSALB</t>
  </si>
  <si>
    <t>RSCLND0021</t>
  </si>
  <si>
    <t>JITAB</t>
  </si>
  <si>
    <t>RSPNO75</t>
  </si>
  <si>
    <t>JITAIA</t>
  </si>
  <si>
    <t>151, 152, 153, 154</t>
  </si>
  <si>
    <t xml:space="preserve">  </t>
  </si>
  <si>
    <t>AGUARDA CINCO CORDÕES  OLT</t>
  </si>
  <si>
    <t>RSCLND0022</t>
  </si>
  <si>
    <t>JSOABA</t>
  </si>
  <si>
    <t>271, 272, 273, 274</t>
  </si>
  <si>
    <t>RSCLND0023</t>
  </si>
  <si>
    <t>MSTAA</t>
  </si>
  <si>
    <t>RSPNO26</t>
  </si>
  <si>
    <t>MSTAFB</t>
  </si>
  <si>
    <t>RSCLND0024</t>
  </si>
  <si>
    <t>MSTAJA</t>
  </si>
  <si>
    <t>RSCLND0025</t>
  </si>
  <si>
    <t>PETAAA</t>
  </si>
  <si>
    <t>RSCLND0026</t>
  </si>
  <si>
    <t>SANAH</t>
  </si>
  <si>
    <t>RSCLND0027</t>
  </si>
  <si>
    <t>SSOAA</t>
  </si>
  <si>
    <t>RSPNO07</t>
  </si>
  <si>
    <t>SSOAE</t>
  </si>
  <si>
    <t>RSCLND0028</t>
  </si>
  <si>
    <t>VIPAIA</t>
  </si>
  <si>
    <t>091, 092, 093, 094</t>
  </si>
  <si>
    <t>RSCLND0029</t>
  </si>
  <si>
    <t>VNVAA</t>
  </si>
  <si>
    <t>VNVAE</t>
  </si>
  <si>
    <t>RSCLND0019</t>
  </si>
  <si>
    <t>FLOAB</t>
  </si>
  <si>
    <t>RSPCE05</t>
  </si>
  <si>
    <t>FLOAJ</t>
  </si>
  <si>
    <t>RSCLND0020</t>
  </si>
  <si>
    <t>FLOAKB</t>
  </si>
  <si>
    <t>RSCLND0033</t>
  </si>
  <si>
    <t>PAE BV</t>
  </si>
  <si>
    <t>MTSARA</t>
  </si>
  <si>
    <t>R004</t>
  </si>
  <si>
    <t>111, 112, 113, 114, 115, 116, 117</t>
  </si>
  <si>
    <t>RSCLND0032</t>
  </si>
  <si>
    <t>MTSAQ</t>
  </si>
  <si>
    <t>RSCLND0030</t>
  </si>
  <si>
    <t>JCVACA</t>
  </si>
  <si>
    <t>RSCLND0031</t>
  </si>
  <si>
    <t>PAE CL</t>
  </si>
  <si>
    <t>MNDAN</t>
  </si>
  <si>
    <t>091, 092, 093</t>
  </si>
  <si>
    <t>RSCLND0034</t>
  </si>
  <si>
    <t>SANAG</t>
  </si>
  <si>
    <t>RSCLND0035</t>
  </si>
  <si>
    <t>SJOAE</t>
  </si>
  <si>
    <t>RSCLND0036</t>
  </si>
  <si>
    <t>TRLAG</t>
  </si>
  <si>
    <t>P3</t>
  </si>
  <si>
    <t>FALTA PLACA - 04 POSIÇÕES PARA ATENDIMENTO FIST 122</t>
  </si>
  <si>
    <t>RSCLND0045</t>
  </si>
  <si>
    <t>RBTAA</t>
  </si>
  <si>
    <t>PAE ARY</t>
  </si>
  <si>
    <t>SRDAL</t>
  </si>
  <si>
    <t>RSCLND0046</t>
  </si>
  <si>
    <t>STZAB</t>
  </si>
  <si>
    <t>RSCLND0042</t>
  </si>
  <si>
    <t>MTSADA</t>
  </si>
  <si>
    <t>071, 072</t>
  </si>
  <si>
    <t>RSCLND0044</t>
  </si>
  <si>
    <t>SJOADA</t>
  </si>
  <si>
    <t>211, 212, 213, 214, 215, 216</t>
  </si>
  <si>
    <t>RSCLND0061</t>
  </si>
  <si>
    <t>AZNAAB.F2</t>
  </si>
  <si>
    <t>P4</t>
  </si>
  <si>
    <t>RSCLND0038</t>
  </si>
  <si>
    <t>CNTAA</t>
  </si>
  <si>
    <t>NHO LO</t>
  </si>
  <si>
    <t>NOVO HAMBURGO</t>
  </si>
  <si>
    <t>061, 062, 063</t>
  </si>
  <si>
    <t>P1</t>
  </si>
  <si>
    <t>RSCLND0039</t>
  </si>
  <si>
    <t>051, 052</t>
  </si>
  <si>
    <t>RSCLND0037</t>
  </si>
  <si>
    <t xml:space="preserve">AZNAI </t>
  </si>
  <si>
    <t>RSCLND0054</t>
  </si>
  <si>
    <t>MTSAOB.F2</t>
  </si>
  <si>
    <t>RSCLND0040</t>
  </si>
  <si>
    <t>CNTADA</t>
  </si>
  <si>
    <t>021, 022, 023, 024</t>
  </si>
  <si>
    <t>RSCLND0041</t>
  </si>
  <si>
    <t>CNTAG</t>
  </si>
  <si>
    <t>111, 112, 113, 114, 115, 116, 117, 118, 119, 121,122</t>
  </si>
  <si>
    <t>RSCLND0043</t>
  </si>
  <si>
    <t>SANAD</t>
  </si>
  <si>
    <t>RSCLND0051</t>
  </si>
  <si>
    <t>MDRACA.F2</t>
  </si>
  <si>
    <t>R006</t>
  </si>
  <si>
    <t>071, 072, 073,075</t>
  </si>
  <si>
    <t>RSCLND0055</t>
  </si>
  <si>
    <t>NAVAB</t>
  </si>
  <si>
    <t>PAE FAR (RSPNOB1)</t>
  </si>
  <si>
    <t xml:space="preserve">NAVACB </t>
  </si>
  <si>
    <t>RSCLND0060</t>
  </si>
  <si>
    <t>SANAI.F2</t>
  </si>
  <si>
    <t>031, 032</t>
  </si>
  <si>
    <t>RSCLND0053</t>
  </si>
  <si>
    <t>MTSAOA.F2</t>
  </si>
  <si>
    <t>RSCLND0059</t>
  </si>
  <si>
    <t>SANAE.F2</t>
  </si>
  <si>
    <t>RSCLND0057</t>
  </si>
  <si>
    <t>PRTAEA</t>
  </si>
  <si>
    <t>021, 023</t>
  </si>
  <si>
    <t>RSCLND0052</t>
  </si>
  <si>
    <t>MTSAE.F2</t>
  </si>
  <si>
    <t>092, 093, 094</t>
  </si>
  <si>
    <t>RSCLND0050</t>
  </si>
  <si>
    <t>HMTABA</t>
  </si>
  <si>
    <t>RSCLND0056</t>
  </si>
  <si>
    <t>NAVAH</t>
  </si>
  <si>
    <t>RSCLND0049</t>
  </si>
  <si>
    <t>HMTAB</t>
  </si>
  <si>
    <t>RSCLND0058</t>
  </si>
  <si>
    <t>RBTAQ</t>
  </si>
  <si>
    <t>RSCLND0047</t>
  </si>
  <si>
    <t>RSGTI08</t>
  </si>
  <si>
    <t>CNT10A</t>
  </si>
  <si>
    <t>GRAVATAÍ</t>
  </si>
  <si>
    <t>011, 012, 013</t>
  </si>
  <si>
    <t>RSCLND0067</t>
  </si>
  <si>
    <t>RBRAA</t>
  </si>
  <si>
    <t>RSPLE08</t>
  </si>
  <si>
    <t>RBRAGA</t>
  </si>
  <si>
    <t>011, 012, 013, 014, 015, 016, 017</t>
  </si>
  <si>
    <t>RSCLND0048</t>
  </si>
  <si>
    <t>RSCAN27</t>
  </si>
  <si>
    <t>CNT13A</t>
  </si>
  <si>
    <t>CANOAS</t>
  </si>
  <si>
    <t>RSCLND0069</t>
  </si>
  <si>
    <t>SANABA</t>
  </si>
  <si>
    <t>RSCLND0068</t>
  </si>
  <si>
    <t>RBRAJ</t>
  </si>
  <si>
    <t>021, 022, 023, 024, 025, 026</t>
  </si>
  <si>
    <t>RSCLND0066</t>
  </si>
  <si>
    <t>RBRAB</t>
  </si>
  <si>
    <t>071, 072, 073, 074, 075, 076</t>
  </si>
  <si>
    <t>RSCLND0065</t>
  </si>
  <si>
    <t>MRDAA</t>
  </si>
  <si>
    <t>RSCAN01</t>
  </si>
  <si>
    <t>MRD23A</t>
  </si>
  <si>
    <t>RSCLND0062</t>
  </si>
  <si>
    <t>AZNADA</t>
  </si>
  <si>
    <t>RSCLND0063</t>
  </si>
  <si>
    <t>MDRACB</t>
  </si>
  <si>
    <t>RSCLND0064</t>
  </si>
  <si>
    <t>MNDAF</t>
  </si>
  <si>
    <t>111, 112, 113, 114</t>
  </si>
  <si>
    <t>RSCLND0073</t>
  </si>
  <si>
    <t>HMTAG</t>
  </si>
  <si>
    <t>RSCLND0081</t>
  </si>
  <si>
    <t>PRTAQ</t>
  </si>
  <si>
    <t>RSCLND0082</t>
  </si>
  <si>
    <t>PRTAS</t>
  </si>
  <si>
    <t>RSCLND0085</t>
  </si>
  <si>
    <t>RBRAK</t>
  </si>
  <si>
    <t>041, 042, 043, 044</t>
  </si>
  <si>
    <t>RSCLND0088</t>
  </si>
  <si>
    <t>EIOAA</t>
  </si>
  <si>
    <t>RSEIO01</t>
  </si>
  <si>
    <t>V3</t>
  </si>
  <si>
    <t>ESTEIO</t>
  </si>
  <si>
    <t xml:space="preserve"> </t>
  </si>
  <si>
    <t>RSCLND0079</t>
  </si>
  <si>
    <t>PRTAFA</t>
  </si>
  <si>
    <t>RSCLND0086</t>
  </si>
  <si>
    <t>RBRAM</t>
  </si>
  <si>
    <t>P2</t>
  </si>
  <si>
    <t>RSCLND0076</t>
  </si>
  <si>
    <t>MNDAS</t>
  </si>
  <si>
    <t>131, 132, 133</t>
  </si>
  <si>
    <t>RSCLND0071</t>
  </si>
  <si>
    <t>CNTAC</t>
  </si>
  <si>
    <t>091, 092</t>
  </si>
  <si>
    <t>RSCLND0084</t>
  </si>
  <si>
    <t>RBRAD</t>
  </si>
  <si>
    <t>RSCLND0078</t>
  </si>
  <si>
    <t>PDRAHA.F2</t>
  </si>
  <si>
    <t>RSCLND0074</t>
  </si>
  <si>
    <t>JCVADA</t>
  </si>
  <si>
    <t>RSCLND0070</t>
  </si>
  <si>
    <t>AZNAGA</t>
  </si>
  <si>
    <t>RSCLND0080</t>
  </si>
  <si>
    <t>PRTALA</t>
  </si>
  <si>
    <t>RSCLND0083</t>
  </si>
  <si>
    <t>091, 092, 093, 094, 095, 096</t>
  </si>
  <si>
    <t>RSCLND0075</t>
  </si>
  <si>
    <t>MNDAH</t>
  </si>
  <si>
    <t>091, 092, 093, 094, 095</t>
  </si>
  <si>
    <t>RSCLND0072</t>
  </si>
  <si>
    <t>FLOAF</t>
  </si>
  <si>
    <t>111, 112, 113,114, 115</t>
  </si>
  <si>
    <t>RSCLND0077</t>
  </si>
  <si>
    <t>IGAAA</t>
  </si>
  <si>
    <t>RSCAN04</t>
  </si>
  <si>
    <t>MRD11A</t>
  </si>
  <si>
    <t>RSCLND0089</t>
  </si>
  <si>
    <t>SPEAA</t>
  </si>
  <si>
    <t>PAE DAM</t>
  </si>
  <si>
    <t>SPEAC</t>
  </si>
  <si>
    <t>RSCLND0087</t>
  </si>
  <si>
    <t>RBTAI</t>
  </si>
  <si>
    <t>DZ.22</t>
  </si>
  <si>
    <t>RSCLND0095</t>
  </si>
  <si>
    <t>MNDAE</t>
  </si>
  <si>
    <t>0/12/2022</t>
  </si>
  <si>
    <t>RSCLND0096</t>
  </si>
  <si>
    <t>PBLAA</t>
  </si>
  <si>
    <t>RSCLND0107</t>
  </si>
  <si>
    <t>SRDAPA</t>
  </si>
  <si>
    <t>RSCLND0104</t>
  </si>
  <si>
    <t>RBTAM</t>
  </si>
  <si>
    <t>RSCLND0108</t>
  </si>
  <si>
    <t>TRZAA</t>
  </si>
  <si>
    <t>RSPSU11</t>
  </si>
  <si>
    <t>TRZAC</t>
  </si>
  <si>
    <t>RSCLND0106</t>
  </si>
  <si>
    <t>SRDAO</t>
  </si>
  <si>
    <t>RSCLND0097</t>
  </si>
  <si>
    <t>PDRACB</t>
  </si>
  <si>
    <t>RSCLND0103</t>
  </si>
  <si>
    <t>RBTAKB</t>
  </si>
  <si>
    <t>RSCLND0110</t>
  </si>
  <si>
    <t>TRZAJB</t>
  </si>
  <si>
    <t>101, 102</t>
  </si>
  <si>
    <t>RSCLND0101</t>
  </si>
  <si>
    <t>RBTAJA</t>
  </si>
  <si>
    <t>RSCLND0102</t>
  </si>
  <si>
    <t>RBTAKA</t>
  </si>
  <si>
    <t>RSCLND0109</t>
  </si>
  <si>
    <t>TLAE</t>
  </si>
  <si>
    <t>RSCLND0091</t>
  </si>
  <si>
    <t>BFMACB</t>
  </si>
  <si>
    <t>RSCLND0111</t>
  </si>
  <si>
    <t>VIPAF</t>
  </si>
  <si>
    <t>RSCLND0090</t>
  </si>
  <si>
    <t>AZNAF</t>
  </si>
  <si>
    <t>RSCLND0099</t>
  </si>
  <si>
    <t>SJEAA</t>
  </si>
  <si>
    <t>RSPLE23</t>
  </si>
  <si>
    <t>PRTAGA</t>
  </si>
  <si>
    <t>RSCLND0098</t>
  </si>
  <si>
    <t>PETAA</t>
  </si>
  <si>
    <t>RSPLE11</t>
  </si>
  <si>
    <t>PETAO</t>
  </si>
  <si>
    <t>RSCLND0093</t>
  </si>
  <si>
    <t>HPCAH</t>
  </si>
  <si>
    <t>RSCLND0105</t>
  </si>
  <si>
    <t>VIPAA</t>
  </si>
  <si>
    <t>RSPNO19</t>
  </si>
  <si>
    <t>SPEAH</t>
  </si>
  <si>
    <t>RSCLND0092</t>
  </si>
  <si>
    <t>GUAAB</t>
  </si>
  <si>
    <t>RSCLND0131</t>
  </si>
  <si>
    <t>VJDAH</t>
  </si>
  <si>
    <t>LUIZ FERNANDO</t>
  </si>
  <si>
    <t>CARLOS</t>
  </si>
  <si>
    <t>RSCLND0094</t>
  </si>
  <si>
    <t>JITAA</t>
  </si>
  <si>
    <t>JITAE</t>
  </si>
  <si>
    <t>RSCLND0100</t>
  </si>
  <si>
    <t>PAE IND</t>
  </si>
  <si>
    <t>RBRAR</t>
  </si>
  <si>
    <t>RSCLND0129</t>
  </si>
  <si>
    <t>TRLAF</t>
  </si>
  <si>
    <t>GLEIDSON</t>
  </si>
  <si>
    <t>PAULO</t>
  </si>
  <si>
    <t>RSCLND0118</t>
  </si>
  <si>
    <t>RSEIO04</t>
  </si>
  <si>
    <t>EIO11A</t>
  </si>
  <si>
    <t>MAICON NUNES</t>
  </si>
  <si>
    <t>RSCLND0114</t>
  </si>
  <si>
    <t>CMQAN</t>
  </si>
  <si>
    <t>GABRIEL</t>
  </si>
  <si>
    <t>RSCLND0117</t>
  </si>
  <si>
    <t>CNTADB</t>
  </si>
  <si>
    <t>BRUNO</t>
  </si>
  <si>
    <t>E-MAIL</t>
  </si>
  <si>
    <t>RSCLND0119</t>
  </si>
  <si>
    <t>EIO27A</t>
  </si>
  <si>
    <t>REPASSADO CONFORME BOM</t>
  </si>
  <si>
    <t>RSCLND0120</t>
  </si>
  <si>
    <t>RSCLND0132</t>
  </si>
  <si>
    <t>LPRAA</t>
  </si>
  <si>
    <t>RSPSU98</t>
  </si>
  <si>
    <t>AGRAD</t>
  </si>
  <si>
    <t>FAZER AS BUILTS DO TRONCAL 2020 144FO À CADA 500 M 1 SOBRA</t>
  </si>
  <si>
    <t>VALDIR PASSOS</t>
  </si>
  <si>
    <t>FÁBIO AMARILHO</t>
  </si>
  <si>
    <t>RSCLND0134</t>
  </si>
  <si>
    <t>CMQAA</t>
  </si>
  <si>
    <t xml:space="preserve"> MUDANÇA DE FIST E TRONCAL, EMAIL ENVIADO.</t>
  </si>
  <si>
    <t>NEIMAR LUCERO</t>
  </si>
  <si>
    <t>GABRIEL SANTOS</t>
  </si>
  <si>
    <t>AGUARDA JUMP DE CORDÕES</t>
  </si>
  <si>
    <t>RSCLND0144</t>
  </si>
  <si>
    <t>SPEADA.F2</t>
  </si>
  <si>
    <t>TELMO PEREIRA</t>
  </si>
  <si>
    <t>MÁRCIO ALVES</t>
  </si>
  <si>
    <t>RSCLND0122</t>
  </si>
  <si>
    <t>NSG16A</t>
  </si>
  <si>
    <t>IVANIR  DE OLIVEIRA</t>
  </si>
  <si>
    <t>RSCLND0130</t>
  </si>
  <si>
    <t>RSP09</t>
  </si>
  <si>
    <t>VIPAC.F2</t>
  </si>
  <si>
    <t>TESTADO FIST 4</t>
  </si>
  <si>
    <t>RSCLND0123</t>
  </si>
  <si>
    <t>PDRAHB</t>
  </si>
  <si>
    <t>ALEX</t>
  </si>
  <si>
    <t>RSCLND0127</t>
  </si>
  <si>
    <t>SRDAA</t>
  </si>
  <si>
    <t>GABRIEL BRITO SANTOS</t>
  </si>
  <si>
    <t>RSCLND0128</t>
  </si>
  <si>
    <t>RSPNO08</t>
  </si>
  <si>
    <t>SRDAHA</t>
  </si>
  <si>
    <t>RSCLND0116</t>
  </si>
  <si>
    <t>STAAA</t>
  </si>
  <si>
    <t>RSSPS02</t>
  </si>
  <si>
    <t>CNT06A</t>
  </si>
  <si>
    <t>RSCLND0125</t>
  </si>
  <si>
    <t>GRIAA</t>
  </si>
  <si>
    <t>RSNHO01</t>
  </si>
  <si>
    <t>SJOAFB</t>
  </si>
  <si>
    <t>GIOVANE DA SILVA</t>
  </si>
  <si>
    <t>RSCLND0113</t>
  </si>
  <si>
    <t>CCTAAA</t>
  </si>
  <si>
    <t>RSCLND0115</t>
  </si>
  <si>
    <t>RSPSU13</t>
  </si>
  <si>
    <t>CMQAQ</t>
  </si>
  <si>
    <t>RSCLND0126</t>
  </si>
  <si>
    <t>SPEACA</t>
  </si>
  <si>
    <t>WILLIAN ALVES</t>
  </si>
  <si>
    <t>RSCLND0124</t>
  </si>
  <si>
    <t>RBTAHA</t>
  </si>
  <si>
    <t>XXXSO</t>
  </si>
  <si>
    <t>RSCLND0112</t>
  </si>
  <si>
    <t>AZNAAF.F2</t>
  </si>
  <si>
    <t>RSCLND0121</t>
  </si>
  <si>
    <t>MQTAC</t>
  </si>
  <si>
    <t xml:space="preserve">MUDANÇA NO TRAJETO DO TRONCAL, MUDANÇA NA CAIXA T40 COBRAR. PASSADO EMAIL. CONFIRMAR KM DE CORDOALHA. </t>
  </si>
  <si>
    <t>RSCLND0135</t>
  </si>
  <si>
    <t>RSSPS01</t>
  </si>
  <si>
    <t>CNT08A</t>
  </si>
  <si>
    <t>RSCLND0143</t>
  </si>
  <si>
    <t>SPEACC</t>
  </si>
  <si>
    <t>JÁ FOI COBRADO</t>
  </si>
  <si>
    <t>RSCLND0142</t>
  </si>
  <si>
    <t>SJOAA</t>
  </si>
  <si>
    <t>CAN NET</t>
  </si>
  <si>
    <t>SJO12A</t>
  </si>
  <si>
    <t>MARCO BATISTA</t>
  </si>
  <si>
    <t>1702/2023</t>
  </si>
  <si>
    <t>RSCLND0133</t>
  </si>
  <si>
    <t>BLNAA</t>
  </si>
  <si>
    <t>RSPSU27</t>
  </si>
  <si>
    <t>BLANC</t>
  </si>
  <si>
    <t>PAULO GOMES</t>
  </si>
  <si>
    <t>RSCLND0140</t>
  </si>
  <si>
    <t>RSCLND0145</t>
  </si>
  <si>
    <t>STZAC</t>
  </si>
  <si>
    <t>RUA MILTON GUERREIRO</t>
  </si>
  <si>
    <t>RSCLND0138</t>
  </si>
  <si>
    <t>NVE02A</t>
  </si>
  <si>
    <t>NELSON TEIXEIRA</t>
  </si>
  <si>
    <t>ALEX DUTRA</t>
  </si>
  <si>
    <t>RSCLND0139</t>
  </si>
  <si>
    <t>PRTAR</t>
  </si>
  <si>
    <t>RSCLND0141</t>
  </si>
  <si>
    <t>SCT01A</t>
  </si>
  <si>
    <t>EVANDRO RAIMUNDI</t>
  </si>
  <si>
    <t>RSCLND0137</t>
  </si>
  <si>
    <t>JDM01A</t>
  </si>
  <si>
    <t>RSCLND0136</t>
  </si>
  <si>
    <t>CNUAB</t>
  </si>
  <si>
    <t>RSNHO09</t>
  </si>
  <si>
    <t>CNUAI</t>
  </si>
  <si>
    <t>011, 012, 013, 014, 015</t>
  </si>
  <si>
    <t>CABO DE 144 NÃO ESTÁ NO BOM, COBRAR 144 FUSÃO NA FRENTE DA ESTAÇÃO. + 144 FUSÃO NO ROMPIMENTO</t>
  </si>
  <si>
    <t>RSCLND0148</t>
  </si>
  <si>
    <t>AREAB</t>
  </si>
  <si>
    <t>RSPLT14</t>
  </si>
  <si>
    <t>CRZAAA</t>
  </si>
  <si>
    <t>PELOTAS</t>
  </si>
  <si>
    <t>SEM PRODUÇÃO DE L</t>
  </si>
  <si>
    <t>CRISTIANO LONGARAY</t>
  </si>
  <si>
    <t>RSCLND0150</t>
  </si>
  <si>
    <t>ARCAA</t>
  </si>
  <si>
    <t>CSL-AR</t>
  </si>
  <si>
    <t>CSAR2</t>
  </si>
  <si>
    <t>CAXIAS DO SUL</t>
  </si>
  <si>
    <r>
      <rPr>
        <sz val="11"/>
        <color theme="1"/>
        <rFont val="Calibri"/>
        <family val="2"/>
      </rPr>
      <t xml:space="preserve">PRODUÇÃO DE L PARCIALMENTE COMPLETA. </t>
    </r>
    <r>
      <rPr>
        <b/>
        <sz val="11"/>
        <color theme="1"/>
        <rFont val="Calibri"/>
        <family val="2"/>
      </rPr>
      <t xml:space="preserve">PRODUÇÃO DE L E F OK </t>
    </r>
  </si>
  <si>
    <t>JHONATAN</t>
  </si>
  <si>
    <t>RSCLND0153</t>
  </si>
  <si>
    <t>SER03</t>
  </si>
  <si>
    <r>
      <rPr>
        <sz val="11"/>
        <color theme="1"/>
        <rFont val="Calibri"/>
        <family val="2"/>
      </rPr>
      <t xml:space="preserve">ALTEÇÃO DE PROJETO - FALTA PRODUÇÃO DE L - </t>
    </r>
    <r>
      <rPr>
        <b/>
        <sz val="11"/>
        <color theme="1"/>
        <rFont val="Calibri"/>
        <family val="2"/>
      </rPr>
      <t xml:space="preserve">PRODUÇÃO DE F E L OK </t>
    </r>
  </si>
  <si>
    <t>RSCLND0154</t>
  </si>
  <si>
    <t>SPEADA.F3</t>
  </si>
  <si>
    <t>001,011,012</t>
  </si>
  <si>
    <t>ALTERAÇÃO NA AS BUILTS 12, 11, 01, 07</t>
  </si>
  <si>
    <t>MARCOS EMILIANO VIPAA.VIPAA.011,012</t>
  </si>
  <si>
    <t>PAULO GOMES VIPAA.001</t>
  </si>
  <si>
    <t>AGUARDANDO JUMPER DE CORDÕES</t>
  </si>
  <si>
    <t>RSCLND0155</t>
  </si>
  <si>
    <t>VIPAC.F3</t>
  </si>
  <si>
    <t>008,009,010</t>
  </si>
  <si>
    <t>COBRAR -  ALTERAÇÃO NA AS BUILTS COBRAR 08, 09</t>
  </si>
  <si>
    <t>RSCLND0156</t>
  </si>
  <si>
    <t>VIPAJ.F2</t>
  </si>
  <si>
    <r>
      <rPr>
        <sz val="11"/>
        <color theme="1"/>
        <rFont val="Calibri"/>
        <family val="2"/>
      </rPr>
      <t>ALTERAÇÃO NA AS BUILTS 04, 05, 03 -</t>
    </r>
    <r>
      <rPr>
        <b/>
        <sz val="11"/>
        <color theme="1"/>
        <rFont val="Calibri"/>
        <family val="2"/>
      </rPr>
      <t xml:space="preserve"> PRODUÇÃO RECEBIDA DE L E F REFERENTE A VIPAA.003.</t>
    </r>
  </si>
  <si>
    <t>WILLIAN ALVES 03</t>
  </si>
  <si>
    <t>MARCOS EMILIANO VIPAA.003</t>
  </si>
  <si>
    <t>RSCLND0146</t>
  </si>
  <si>
    <t>CENAB</t>
  </si>
  <si>
    <t>RSCSL05</t>
  </si>
  <si>
    <t>CENAC</t>
  </si>
  <si>
    <t>ALTERAÇÃO NA AS BUILTS/ EMAIL ENVIADO. PRODUÇÃO PELO BOM.</t>
  </si>
  <si>
    <t>LUCAS HOBERT</t>
  </si>
  <si>
    <t>RSCLND0147</t>
  </si>
  <si>
    <t>CENAJ</t>
  </si>
  <si>
    <t>RSCLND0149</t>
  </si>
  <si>
    <t>PLTQN</t>
  </si>
  <si>
    <t>CRZAB</t>
  </si>
  <si>
    <t>ALTERAÇÃO NA AS BUILTS</t>
  </si>
  <si>
    <t>ISMAEL ROMILIO</t>
  </si>
  <si>
    <t>RSCLND0151</t>
  </si>
  <si>
    <t>XLNAA</t>
  </si>
  <si>
    <t>CEO43</t>
  </si>
  <si>
    <t>ENS. XANGRILA</t>
  </si>
  <si>
    <t>XANGRILA</t>
  </si>
  <si>
    <t>ALTERAÇÃO NA AS BUILTS.</t>
  </si>
  <si>
    <t>JUAN NOGUEIRA</t>
  </si>
  <si>
    <t>ENSEADA XANGRILA</t>
  </si>
  <si>
    <t>RSCLND0152</t>
  </si>
  <si>
    <t>RBRAEA</t>
  </si>
  <si>
    <t>09, 10</t>
  </si>
  <si>
    <r>
      <rPr>
        <sz val="11"/>
        <color theme="1"/>
        <rFont val="Calibri"/>
        <family val="2"/>
      </rPr>
      <t xml:space="preserve">COBRAR SOMENTE A RBRAA.010, SINAL SAI DA 009. SEM BOM PARA LPU. - </t>
    </r>
    <r>
      <rPr>
        <sz val="11"/>
        <color indexed="2"/>
        <rFont val="Calibri"/>
        <family val="2"/>
      </rPr>
      <t>"DÁ PARA COBRAR"</t>
    </r>
  </si>
  <si>
    <t>RSCLND0158</t>
  </si>
  <si>
    <t>BVSAJA</t>
  </si>
  <si>
    <t>ALTERAÇÃO O CABO TRONCAL E NO LUGAR DA FIST.</t>
  </si>
  <si>
    <t>AGUARDANDO JUMPER DE CORDÕES - TESTE EM ANDAMENTO</t>
  </si>
  <si>
    <t>RSCLND0164</t>
  </si>
  <si>
    <t>PRTAEA.021</t>
  </si>
  <si>
    <t>17/04/202</t>
  </si>
  <si>
    <t>RSCLND0165</t>
  </si>
  <si>
    <t>SSOAAC</t>
  </si>
  <si>
    <t>RSCLND0163</t>
  </si>
  <si>
    <t>ALTERAÇÃO DE PROJETO - ALTERAÇÃO DE CABO TRONCAL</t>
  </si>
  <si>
    <t>RSCLND0162</t>
  </si>
  <si>
    <t>SJOAE FASE 2</t>
  </si>
  <si>
    <t>IVANIR DE OLIVEIRA</t>
  </si>
  <si>
    <t>AMPLIAÇÃO DE REDE PARA ATENDER NÚMERO 81</t>
  </si>
  <si>
    <t>19/04/202</t>
  </si>
  <si>
    <t>RSCLND0157</t>
  </si>
  <si>
    <t>141, 142, 143, 144, 145</t>
  </si>
  <si>
    <t>EVANDRO RAIMUNDI - IVANIR DE OLIVEIRA</t>
  </si>
  <si>
    <t>TESTE EM ANDMENTO</t>
  </si>
  <si>
    <t>RSCLND0167</t>
  </si>
  <si>
    <t>BGEDTC</t>
  </si>
  <si>
    <t>BGEAE</t>
  </si>
  <si>
    <t>BAGÉ</t>
  </si>
  <si>
    <t>ALTERAÇÃO DE PROJETO PROJETO COM ERRO EM NAP'S INVERTIDAS, LANÇADO 2 CABOS DE 72 NA EST.01.</t>
  </si>
  <si>
    <t>RSCLND0180</t>
  </si>
  <si>
    <t>XXXRK</t>
  </si>
  <si>
    <t>TRVABA</t>
  </si>
  <si>
    <t>RIO GRANDE</t>
  </si>
  <si>
    <t>RSCLND0160</t>
  </si>
  <si>
    <t>CSL_VS</t>
  </si>
  <si>
    <t>K</t>
  </si>
  <si>
    <t>LUCAS</t>
  </si>
  <si>
    <t>FABIO AMARILIO</t>
  </si>
  <si>
    <t>ALTERAÇÃO DE TRONCAL/ 600 METROS/ 40 METROS DE CORDOALHA</t>
  </si>
  <si>
    <t>RSCLND0159</t>
  </si>
  <si>
    <t>CAMAB</t>
  </si>
  <si>
    <t>RSSP02</t>
  </si>
  <si>
    <t>JDM04A</t>
  </si>
  <si>
    <t>SAPUCAIA DO SUL</t>
  </si>
  <si>
    <t>RSCLND0161</t>
  </si>
  <si>
    <t>MDRAA</t>
  </si>
  <si>
    <t>WILLIAM ALVES</t>
  </si>
  <si>
    <t>VERIFICAR SE ESTÁ ENERGIZADO</t>
  </si>
  <si>
    <t>RSCLND0168</t>
  </si>
  <si>
    <t>BGEAEA</t>
  </si>
  <si>
    <t>081-089</t>
  </si>
  <si>
    <t>RSCLND0172</t>
  </si>
  <si>
    <t>RSPNO11</t>
  </si>
  <si>
    <t>FLOAQ fase 2</t>
  </si>
  <si>
    <t>SIDCLEI ALMEIDA</t>
  </si>
  <si>
    <t>RSCLND0178</t>
  </si>
  <si>
    <t>SJO14A</t>
  </si>
  <si>
    <t>RSCLND0181</t>
  </si>
  <si>
    <t>nt</t>
  </si>
  <si>
    <t>RSCLND0177</t>
  </si>
  <si>
    <t>SANALA</t>
  </si>
  <si>
    <t>PAULO GASSEN</t>
  </si>
  <si>
    <t>RSCLND0175</t>
  </si>
  <si>
    <t>PRIAA</t>
  </si>
  <si>
    <t>RSNHO06</t>
  </si>
  <si>
    <t>PRIAH</t>
  </si>
  <si>
    <t>EVANDRO</t>
  </si>
  <si>
    <t>RSCLND0173</t>
  </si>
  <si>
    <t>GUAAD</t>
  </si>
  <si>
    <t>051, 052, 053, 054</t>
  </si>
  <si>
    <t>RSCLND0171</t>
  </si>
  <si>
    <t>RSCLND0179</t>
  </si>
  <si>
    <t>SRDAHB</t>
  </si>
  <si>
    <t>JACKSON</t>
  </si>
  <si>
    <t>JEFERSON</t>
  </si>
  <si>
    <t>RSCLND0182</t>
  </si>
  <si>
    <t>VNVAH</t>
  </si>
  <si>
    <t>092, 093</t>
  </si>
  <si>
    <t>22/05//2023</t>
  </si>
  <si>
    <t>EDUARDO</t>
  </si>
  <si>
    <t>ACABAMENTO DE ESPINAÇÃO</t>
  </si>
  <si>
    <t>RSCLND0166</t>
  </si>
  <si>
    <t>BFMACA</t>
  </si>
  <si>
    <t>141, 142, 143, 144, 145, 146</t>
  </si>
  <si>
    <t xml:space="preserve">ODIRLEI </t>
  </si>
  <si>
    <t>JEFERSON / JACKSON</t>
  </si>
  <si>
    <t>RSCLND0169</t>
  </si>
  <si>
    <t>RSBGE01</t>
  </si>
  <si>
    <t>BGEAG</t>
  </si>
  <si>
    <t>NODE SAIU DO SITE E ATENDEU O TRONCAL 132 E COBRAR TODOS OS SECUNDÁRIOS QUE SAI DELA</t>
  </si>
  <si>
    <t>RSCLND0170</t>
  </si>
  <si>
    <t>RSBGV25</t>
  </si>
  <si>
    <t>CENNA</t>
  </si>
  <si>
    <t>BENTO GONÇALVES</t>
  </si>
  <si>
    <t>FAVOR AGUARDAR PARA VERIFICAR PENDÊNCIAS DO NODE, PARA A COBRANÇA. NODE SAIU DO SITE E ATENDEU A TRONCAL 022, FOI FEITA SOMENTE FUSÃO RETA NA 023, COBRAR TODAS OS SECUNDÁRIOS QUE SAEM DA 022.</t>
  </si>
  <si>
    <t>RSCLND0174</t>
  </si>
  <si>
    <t>IPMAFA</t>
  </si>
  <si>
    <t>RSCLND0183</t>
  </si>
  <si>
    <t>BVSAGA</t>
  </si>
  <si>
    <t>VAI SER PAGO NO MÊS 06</t>
  </si>
  <si>
    <t>RSCLND0186</t>
  </si>
  <si>
    <t>CNT12A</t>
  </si>
  <si>
    <t>RSCLND0193</t>
  </si>
  <si>
    <t>MTSAK</t>
  </si>
  <si>
    <t>301, 032, 303, 304, 305, 306</t>
  </si>
  <si>
    <t>IVANIR</t>
  </si>
  <si>
    <t>PAULO GASEN</t>
  </si>
  <si>
    <t>TESTE EM ANDAMENTO</t>
  </si>
  <si>
    <t>RSCLND0197</t>
  </si>
  <si>
    <t>VIPAOA</t>
  </si>
  <si>
    <t xml:space="preserve">SIM </t>
  </si>
  <si>
    <t>NODE SAIU DA VIPAA.006.M010 COM O CABO 36FO , POREM TINHA FIBRA PARADA NA VIPAA.006.A010, E ATENDEU A TROCAL 041 E TODOS OS SECUNDÁRIOS.</t>
  </si>
  <si>
    <t>RSCLND0176</t>
  </si>
  <si>
    <t>PRTAFA.F2</t>
  </si>
  <si>
    <t>NODE SAIU DO TRONCAL PRTAB.034, COBRA TODOS OS SECUNDÁRIOS QUE SAI DA 033, 032, 031.</t>
  </si>
  <si>
    <t>RSCLND0185</t>
  </si>
  <si>
    <t>RSPAS03</t>
  </si>
  <si>
    <t>CENAS</t>
  </si>
  <si>
    <t>PASSO FUNDO</t>
  </si>
  <si>
    <t>SAIU DA TRONCAL CENAB.075 , E ATENDEU AS TRONCAIS CENAB.041, 042, 043 E 044, COBRAR TODOS OS SECUNDÁRIOS. OBS: AGUARDAR COBRANÇA PARA TIRAR AS PENDÊNCIAS</t>
  </si>
  <si>
    <t>RSCLND0187</t>
  </si>
  <si>
    <t>CNTAC fase 2</t>
  </si>
  <si>
    <t>093, 094</t>
  </si>
  <si>
    <t>ESTE NODE FOI CONTEMPLADO NO MESMO PROJETO DO CNTAH, FORAM FEITAS AS ATRONCAIS CNTAA.093 E CNTAA.094 E SUAS SECUNDÁRIAS, PARA ALIMENTAR ESSE NODE FOI PEGO SANGRIA DO CNTAA.144, QUE ATENDE O NODE CNTAH. OBS:FORAM LANÇADOS DOIS PEDAÇOS DE CABO 12 FO PARA ATENDER A CNTAA.093.M030, E CNTAA.093.M040.</t>
  </si>
  <si>
    <t>MARCOS EMILIANO (93%)</t>
  </si>
  <si>
    <t>RSCLND0188</t>
  </si>
  <si>
    <t>CNTAH</t>
  </si>
  <si>
    <t>171, 172, 173, 174, 175, 176</t>
  </si>
  <si>
    <t>ESTE NODE SAIU DO SITE, NO TRAJETO DO CNTAA.144 TEVE ALTERAÇÃO, TAMBEM TEVE ALTERAÇÃO NO CABO DE 12FO CNTAA.075.03.06, TEVE CORDOALHA NO NODE / NA PARTE DE FUSÃO TEVE O CORTE NO TRONCAL CNTAA.175, SENDO FEITA TODAS AS FUSÕES RETAS , 107 FUSÕES EXTRAS</t>
  </si>
  <si>
    <t>EVANDRO / NEIMAR</t>
  </si>
  <si>
    <t>NELSON</t>
  </si>
  <si>
    <t>PAULO GOMES / MARCOS EMILIANO</t>
  </si>
  <si>
    <t>LUCAS HOBERT / JEFERSON</t>
  </si>
  <si>
    <t>EMILIANO FEZ A ESTAÇÃO, A TRONCAL 176,93,174 / LUCAS FEZ A 94,175,173,T060,171 / JEFERSON FEZ A 172</t>
  </si>
  <si>
    <t>RSCLND0195</t>
  </si>
  <si>
    <t>SPEAI</t>
  </si>
  <si>
    <t>SAIU COM CABO DE 24FO DA TRONCAL VIPAA.022, COBRAR A VIPAA.034 E TODAS SUAS SECUNDÁRIAS.</t>
  </si>
  <si>
    <t>RSCLND0189</t>
  </si>
  <si>
    <t>CNUAC</t>
  </si>
  <si>
    <t>NODE SAIU DA CNUAB.T040 COM CABO DE 72FO, FOI FEITA A TRONCAL CNUAB.031 E TODAS SUAS SECUNDÁRIAS. TEVE CORDOALHA</t>
  </si>
  <si>
    <t>RSCLND0191</t>
  </si>
  <si>
    <t>CTLAI</t>
  </si>
  <si>
    <t>ESTE NODE SAIU DO SITE, MUDOU O TRAJETO DO CABO DE 48FO, FOI FEITO UMA PARTE AS. FAZER AS BUILTS</t>
  </si>
  <si>
    <t>RSCLND0192</t>
  </si>
  <si>
    <t>HPCAKB</t>
  </si>
  <si>
    <t>NODE SAIU DO SITE, TEVE OBSTRUÇÃO NA CANALIZAÇÃO, COBRAR PELO NODE , TEVE ALTERAÇÃO NO TRAJETO DO CABO, SENDO FEITO PELO OUTRO LADO DA RUA, FOI FEITA A TRONCAL HPCAA.053 E TODAS SUAS SECUNDÁRIAS.</t>
  </si>
  <si>
    <t>RSCLND0196</t>
  </si>
  <si>
    <t>SRDAF</t>
  </si>
  <si>
    <t>ESTE NODE SAIU DE UM CAIXA EXISTENTE DE MANUTENÇÃO NA AV. BERNARDINO S AMORIM, FORAM CORTADO AS 4 CAIXAS DO NODE, E FOI SUBSTITUIDA CABO DE 12FO DA CAIXA RBTAC.024 ATÉ A CAIXA RBTAC.023, FOI AUMENTADO O NUMERO DE FUSÃO.COBRAR 36 FUSÕES, QUE FOI ALIMENTADA NA CAIXA DE MANUTENÇÃO</t>
  </si>
  <si>
    <t>AGUARDANDO MANUTENÇÃO</t>
  </si>
  <si>
    <t>RSCLND0202</t>
  </si>
  <si>
    <t>JSOAAB</t>
  </si>
  <si>
    <t>NODE SAIU DO SITE E ATENDEU O TRONCAL061   E COBRAR TODOS OS SECUNDÁRIOS QUE SAI DELA</t>
  </si>
  <si>
    <t>JEFERSON SANTOS</t>
  </si>
  <si>
    <t>FINALIZANDO ACABAMENTO</t>
  </si>
  <si>
    <t>RSCLND0199</t>
  </si>
  <si>
    <t>AZNAB</t>
  </si>
  <si>
    <t xml:space="preserve">NODE SAIU DA TRONCAL 031 ,FOI FEITO A TRONCAL 061 COBRAR TODOS OS SEGUNDARIOS QUE SAE DELA ,OBS COBRAR MATERIAL PORQ TEVE UMA PARTE  QUE FOI FEITO AS </t>
  </si>
  <si>
    <t>RSCLND0190</t>
  </si>
  <si>
    <t>CNUAA</t>
  </si>
  <si>
    <t>RSNHO32</t>
  </si>
  <si>
    <t>CNUAD</t>
  </si>
  <si>
    <t xml:space="preserve">NODE SAIU DOS SITE E ATENDEU A TRONCAL 072  TEVE ALTERAÇÃO NO PROJETO FAZER AS BUITS E TMB COBRAR CORDOALHA </t>
  </si>
  <si>
    <t>FINALIZANDO TRONCAL</t>
  </si>
  <si>
    <t>RSCLND0203</t>
  </si>
  <si>
    <t>MDRAD</t>
  </si>
  <si>
    <t>NODE SAIU DA TRONCAL 071,FOI FEITO A TRONCAL 043COBRAR TODOS OS SEGUNDARIOS QUE SAE DELA ,</t>
  </si>
  <si>
    <t>RSCLND0184</t>
  </si>
  <si>
    <t>RSPAS01</t>
  </si>
  <si>
    <t>CENAP</t>
  </si>
  <si>
    <t>051, 052, 053, 054, 055, 056</t>
  </si>
  <si>
    <t xml:space="preserve">NODE SAIU DO DO SITE ATENDEU AS TRONCAIS  DE 51 A 56  COBRAR TODOS OS SEGUNDARIOS QUE SAE M DELA </t>
  </si>
  <si>
    <t>RSCLND0205</t>
  </si>
  <si>
    <t>SRDAM</t>
  </si>
  <si>
    <t xml:space="preserve">NODE SAIU  DA T 060 ,E ALIMENTOU  ATRONCAL 034,E 035  FORAM FEITO CORDOALHA E MUDOU TOTALMENTE  A ROTA DO 72 FO </t>
  </si>
  <si>
    <t>AGUARDANDO LIBERAÇÃO PARA FAZER O CONDOMINIO</t>
  </si>
  <si>
    <t>RSCLND0194</t>
  </si>
  <si>
    <t>RSCAN03</t>
  </si>
  <si>
    <t>MVL07</t>
  </si>
  <si>
    <t xml:space="preserve">NODE SAIU DOS  SITE NA CNTAB ,FOI CRIADO UMA EMENDA EXTRA NA CNTAB  E FORAM FEITAS TRONCAIS 071 E 072 E TODOS OS SEGUNDARIOS QUE SAI DELA  OBS TEVE CORDOALHA TMB </t>
  </si>
  <si>
    <t>LUCAS HOBERT
MARCOS EMILIANO
GIOVANE ALVES</t>
  </si>
  <si>
    <t>RSCLND0204</t>
  </si>
  <si>
    <t>RBTAP</t>
  </si>
  <si>
    <t xml:space="preserve">NODE SAIU DE UMA FIST EXISTENTE SAIU DA T 010 E ALIMENTOU A TRONCAL 071 E COBRAR TODOS OS SEGUNDARIOS QUE SAEM DELA </t>
  </si>
  <si>
    <t>RSCLND0206</t>
  </si>
  <si>
    <t>VNVAH fase 2</t>
  </si>
  <si>
    <t xml:space="preserve">NODE SAIU DE UMA FIST EXISTENTE  DA 032 E FOIRAM FEITAS TODOS OS SEGU NDARIO </t>
  </si>
  <si>
    <t>FALTA FINALIZAR TESTE/ TERMINANDO ARREMATE DE ESPINAÇÃO</t>
  </si>
  <si>
    <t>RSCLND0200</t>
  </si>
  <si>
    <t>CAPAA</t>
  </si>
  <si>
    <t>KDK DTC</t>
  </si>
  <si>
    <t>CAPAF</t>
  </si>
  <si>
    <t>CAPÃO DA CANOA</t>
  </si>
  <si>
    <t>NODE SAIU DO SITE, TEVE ALTERAÇÃO, FAZER O AS BUILTS</t>
  </si>
  <si>
    <t>RODRIGO JLE CURITIBA</t>
  </si>
  <si>
    <t>RSCLND0201</t>
  </si>
  <si>
    <t>JITAC</t>
  </si>
  <si>
    <t>NODE SAIU DO SITE, FIZEMOS DUAS VEZES O DGO E LANÇAMOS DUAS VEZES O CABO/ COBRAR DUAS VEZES/ TEVE DOIS LANCES AS/ NO DEMAIS FICOU MESMA COISA</t>
  </si>
  <si>
    <t>RSCLND0219</t>
  </si>
  <si>
    <t>JCVAA</t>
  </si>
  <si>
    <t>MSTABA</t>
  </si>
  <si>
    <t xml:space="preserve">NODE SAIU DA CAIXA EXISTENTE 092 E FOI CONSTRUIDO A FIST 91 E UM CABO SEGUNDARIO E UMA FOSC SOMENTE ,BEM PEQUENO O NODE </t>
  </si>
  <si>
    <t>RAFAEL</t>
  </si>
  <si>
    <t>RSCLND0222</t>
  </si>
  <si>
    <t>SPEAG</t>
  </si>
  <si>
    <t xml:space="preserve">NOD E SAIU DA CAIXA EXISTE 125 FOI SOMENTE A FIST 83 QUE ALIMENTOU A TRONCAL 101 E 102 E TODOS OS SEGUNDARIOS QUE SAE DELA  OBS TEVE CORDOALHA E O DESENHO DO PROJETO ESTAVA ERRADO </t>
  </si>
  <si>
    <t>RSCLND0213</t>
  </si>
  <si>
    <t>RSPSU87</t>
  </si>
  <si>
    <t>CMQAG</t>
  </si>
  <si>
    <t>NODE SAIU DO SITE, FOI FEITO MAIS OU MENOS 1500 METROS DE CORDOALHA</t>
  </si>
  <si>
    <t>JEFERSON/ RODRIGO JLE CURITIBA</t>
  </si>
  <si>
    <t>RSCLND0220</t>
  </si>
  <si>
    <t>NODE SAIU DO SITE, CABO 144FO TOTALMENTE AS, TEVE ALTERAÇÃO EM DUAS FIST.</t>
  </si>
  <si>
    <t>AUGUSTO/ LUIZ/ ALAN</t>
  </si>
  <si>
    <t>RSCLND0214</t>
  </si>
  <si>
    <t>031, 032, 033, 034</t>
  </si>
  <si>
    <t xml:space="preserve">NODE SAIU DE UMA CAIXA EXISTENTE  T050 E ALIMENTOU AS TRONCAIS 34 ,33,32,31  FORAM FEITOS TODOS OS SEGUNDARIOS QUE SAIRAM DELA OBS TEVE CORDOALHA E ADEQUAÇÃO DE POSTE </t>
  </si>
  <si>
    <t>LUIZ POMPEU</t>
  </si>
  <si>
    <t>RSCLND0221</t>
  </si>
  <si>
    <t>RSERE01</t>
  </si>
  <si>
    <t>S</t>
  </si>
  <si>
    <t>ERECHIM</t>
  </si>
  <si>
    <t xml:space="preserve">NODE SAIU DA CAIXA EXISTENTE CNTAA.T10 OBS O CABO TRONCAL TEVE MUDANÇA DE ROTA PEDIR AS BUITS PARA BRENDA ,ALIMENTOU A FIST 172 COBRAR TODOS OS SEGUNDARIOS QUE SAEM DELA .OBS TEVE UM ROMPIMENTO DEPOIS DE ENTREGUE COBRAR  MAIS 72 FUSÃO  E 250 METROS DE CABO DE 36 OBS FAZER AS BUITS DESTE ROMPIMENTO TMB </t>
  </si>
  <si>
    <t>ALEXANDRE TEDESCO</t>
  </si>
  <si>
    <t>RSCLND0212</t>
  </si>
  <si>
    <t>CENAD</t>
  </si>
  <si>
    <t>HE CAXIAS DO SUL</t>
  </si>
  <si>
    <t>CENBQ</t>
  </si>
  <si>
    <t>NODE SAIU DA CAIXA EXISTENTE CENAD 0.73  FOI FEITO A CAIXA CENAD.074 E APARTIR DAI ALIMENTOU A CEND033 FOI FEITO A 32 E A 31 E TODOS OS SEUS SEGUNDARIO</t>
  </si>
  <si>
    <t>MARCOS CAVALO</t>
  </si>
  <si>
    <t>RSCLND0223</t>
  </si>
  <si>
    <t>SSOAB FASE 2</t>
  </si>
  <si>
    <t xml:space="preserve">NODE SAIU da ssoa.t010  e alimentou a troncal 031  ,cobrar a 31 e todos os segundarios que saem dela </t>
  </si>
  <si>
    <t>RSCLND0216</t>
  </si>
  <si>
    <t>CENAA</t>
  </si>
  <si>
    <t>HEADEND FARROUPILHA</t>
  </si>
  <si>
    <t>G</t>
  </si>
  <si>
    <t>FARROUPILHA</t>
  </si>
  <si>
    <t>node saiu da t040  e alimentou a t030 ,e alimentou a 091 ,92 ,93 ,94 e todos os segundarios que saem dela .</t>
  </si>
  <si>
    <t>RSCLND0218</t>
  </si>
  <si>
    <t>IPMAA</t>
  </si>
  <si>
    <t>RSPSU19</t>
  </si>
  <si>
    <t>IPMADA</t>
  </si>
  <si>
    <t>VALDIR</t>
  </si>
  <si>
    <t>RSCLND0208</t>
  </si>
  <si>
    <t>AMCAA</t>
  </si>
  <si>
    <t xml:space="preserve">node saiu da caixa existente 193  e alimentou o node cobrar a t140 , e alimentou a troncal 172  cobrar todos os segundarios que saem dela </t>
  </si>
  <si>
    <t>RSCLND0211</t>
  </si>
  <si>
    <t>CDNAA</t>
  </si>
  <si>
    <t>RSRGR13</t>
  </si>
  <si>
    <t>CDNAAA</t>
  </si>
  <si>
    <t>011,013,014,015</t>
  </si>
  <si>
    <t xml:space="preserve">cdnaaa.node saiu de uma caixa existente saiu da t030 ,e atendeu a t010 e atendeu 015,014,011, tmb  foi abordado a 012  para atender a 013 </t>
  </si>
  <si>
    <t>RSCLND0225</t>
  </si>
  <si>
    <t>VIBAB</t>
  </si>
  <si>
    <t>RSCHN01</t>
  </si>
  <si>
    <t>VIB05A</t>
  </si>
  <si>
    <t>CACHOEIRINHA</t>
  </si>
  <si>
    <t xml:space="preserve">node saiu do site foi feito a emenda na frente do site ,a alimentou a t a fist ,65,63 e 62 cobrar todas as segundarias que saem dela obs teve cordoalha </t>
  </si>
  <si>
    <t>RSCLND0215</t>
  </si>
  <si>
    <t>D1</t>
  </si>
  <si>
    <t xml:space="preserve">node saiu do node da t120  e alimentou a troncal 163  cobrar todas os segundarios que saem dela   </t>
  </si>
  <si>
    <t>RSCLND0210</t>
  </si>
  <si>
    <t>BVSAHA</t>
  </si>
  <si>
    <t xml:space="preserve">NODE SAIU DA CAIXA EXISTENTE  BVSAB T020 E ALIMENTOU A TRONCAL 33,32,31 COBRAR TODOS OS SEGUNDARIOS QUE SAEM DELA OBS TEVE CORDOALHA </t>
  </si>
  <si>
    <t>RSCLND0209</t>
  </si>
  <si>
    <t>BGDTC</t>
  </si>
  <si>
    <t>BGEAE.F2</t>
  </si>
  <si>
    <t>072, 073, 074</t>
  </si>
  <si>
    <t xml:space="preserve">node saiu da caixa  existente 071 , e alimentou a fase 2cobrar  a caixa DA CAIXA 72 ,73,74 E TODOS OS SEGUNDARIOS QUE SAIU DELA OBS teve cordoalha </t>
  </si>
  <si>
    <t>ANDRÉ ZILIO</t>
  </si>
  <si>
    <t>RSCLND0217</t>
  </si>
  <si>
    <t xml:space="preserve">NODE SAIU DA CAIXA EXISTENTE GUAA.T010 ALIMENTOU AS PRIMARIAS  21,22,23 E 24 FORAM FEITO TODAS AS SEGUNDARIAS QUE SAEM DESTA TRONCAIS ,OBS TEVE CORDOALHA  </t>
  </si>
  <si>
    <t>RSCLND0232</t>
  </si>
  <si>
    <t>PETALB</t>
  </si>
  <si>
    <t>331, 332, 333, 334, 335</t>
  </si>
  <si>
    <t xml:space="preserve">NODE SAIU DA CAIXA EXISTE MSTAA.301 E ALIMENTOU TRONAIS MSTAA.331-335, COBRAR TODAS AS SECUNDARIAS QUE SAEM DELAS </t>
  </si>
  <si>
    <t>RSCLND0233</t>
  </si>
  <si>
    <t>PRIAD</t>
  </si>
  <si>
    <t>NODE SAIU DO SITE, COM CABO DE 12FO PASSOU PELA T010 E ALIMENTOU TRONCAL PRIAA.051, COBRAR TODAS AS SECUNDARIAS QUE SAIU DELA. A FIST T010 MUDOU DE LUGAR, POR MOTIVO DE ARVORE, FAZER AS BUILTS, FOI LANÇADO 284 METROS DE CORDOALHA</t>
  </si>
  <si>
    <t>MARCOS EMLIANO</t>
  </si>
  <si>
    <t>RSCLND0207</t>
  </si>
  <si>
    <t>A.F2</t>
  </si>
  <si>
    <t>081, 082, 084</t>
  </si>
  <si>
    <t xml:space="preserve">cobrar somente os segundarios que sairam da caixa cobrar ,81,82 e 84  obs teve cordoalha </t>
  </si>
  <si>
    <t>RSCLND0227</t>
  </si>
  <si>
    <t>BFMADA</t>
  </si>
  <si>
    <t>021, 022, 023</t>
  </si>
  <si>
    <t xml:space="preserve">NODE SAIU DA CAIXA EXISTENTE BFMAA.081 E ALIMENTOU TRONCAL BFMAA.021 / 022 E 023,  COBRAR TODAS AS SECUNDARIAS. </t>
  </si>
  <si>
    <t>RSCLND0236</t>
  </si>
  <si>
    <t>VJDAKA</t>
  </si>
  <si>
    <t>121, 122</t>
  </si>
  <si>
    <t>FOI FEITO UMA TAMPA NOVA PARA UMA R1, POIS ESTAVA OBSTRUIDA, NODE SAIU DO SITE E ALIMENTOU TRONCAL BVSAA.121 E 122, COBRAR TODAS AS SECUNDARIAS.</t>
  </si>
  <si>
    <t>ALAN ( LANÇOU O CABO DO SITE )</t>
  </si>
  <si>
    <t>PAULO GOMES ( 122 )</t>
  </si>
  <si>
    <t>MARCOS EMILIANO ( 121 )</t>
  </si>
  <si>
    <t>RSCLND0224</t>
  </si>
  <si>
    <t>TRVAB</t>
  </si>
  <si>
    <t>RSRGR15</t>
  </si>
  <si>
    <t>TRVACA.F2</t>
  </si>
  <si>
    <t>18/10//2023</t>
  </si>
  <si>
    <t>O NODE TEVE DOIS LADOS DE ALIMENTAÇÃO, UM LADO SAIU DA TRVAB.T010 E ALIMENTOU TRONCAL TRVAB.013 / 014 / 015 E 016. COBRAR A TRVAB.T010 E TODAS SUAS SECUNDARIAS. O OUTRO LADO TRVAB.012 JÁ EXISTIA, COBRAR TODAS AS SECUNDARIAS DESTA FIST. OBS TRVAB.011 JÁ FOI FEITA POR OUTRA PARCEIRA, NÃO COBRAR. OBS: TEVE CORDOALHAS.</t>
  </si>
  <si>
    <t>ALAN GOMES</t>
  </si>
  <si>
    <t>RSCLND0237</t>
  </si>
  <si>
    <t>CPNAA</t>
  </si>
  <si>
    <t>RSKDK04</t>
  </si>
  <si>
    <t>CAPAIA</t>
  </si>
  <si>
    <t>021, 022, 023, 024, 025</t>
  </si>
  <si>
    <t>VICTOR (22,21)</t>
  </si>
  <si>
    <t>IVANIR (23,24,25)</t>
  </si>
  <si>
    <t>JEFERSON (23,24,25)</t>
  </si>
  <si>
    <t>MARCOS EMILIANO (22.21.)</t>
  </si>
  <si>
    <t>RSCLND0238</t>
  </si>
  <si>
    <t>RSKDK05</t>
  </si>
  <si>
    <t>CAPAIB</t>
  </si>
  <si>
    <t>JEFERSON (11)</t>
  </si>
  <si>
    <t>MARCOS EMILIANO (12)</t>
  </si>
  <si>
    <t>RSCLND0228</t>
  </si>
  <si>
    <t>CBXAC</t>
  </si>
  <si>
    <t>031, 032, 033, 034, 035, 036, 037, 038</t>
  </si>
  <si>
    <t>O NODE SAIU DO SITE, E ALIMENTOU MNDAAB.031/032/033/034/035/036/037 E 038 COBRAR TODAS AS SECUNDARIAS QUE SAI DELAS. OBS: TEVE UMA PARTE AS DO CABO 144FO, COBRAR OS MATERIAS USADOS.</t>
  </si>
  <si>
    <t>RSCLND0229</t>
  </si>
  <si>
    <t>CENAE</t>
  </si>
  <si>
    <t>RSCSL03</t>
  </si>
  <si>
    <t>CENBLA</t>
  </si>
  <si>
    <t>011, 012, 013, 015</t>
  </si>
  <si>
    <t>NODE SAIU DA 014 EXISTENTE E ALIMENTOU O NODE, COBRAR 011, 012, 013 E 015. OBS: COBRAR CORDOALHA</t>
  </si>
  <si>
    <t>RSCLND0231</t>
  </si>
  <si>
    <t>HEADEND</t>
  </si>
  <si>
    <t>061, 062, 063, 065</t>
  </si>
  <si>
    <t>NODE SAIU DA CAIXA EXISTENTE CNTAA.T010 E ALIMENTOU A TRONCAL CNTAA.061 / 062 / 063 / E 065, COBRAR TODOS OS SECUNDARIOS QUE SAEM DAS FISTS. OBS: TEVE CORDOALHA, TEVE MANUTENÇÃO.</t>
  </si>
  <si>
    <t>VITOR</t>
  </si>
  <si>
    <t>ALANO</t>
  </si>
  <si>
    <t>RSCLND0239</t>
  </si>
  <si>
    <t>CENBNB</t>
  </si>
  <si>
    <t>P0</t>
  </si>
  <si>
    <t>NODE SAIU DA CAIXA EXISTENTE T020 E ALIMENTOU A 041 E 042, COBRAR TODAS AS SUAS SECUNDARIAS.</t>
  </si>
  <si>
    <t>RSCLND0198</t>
  </si>
  <si>
    <t>VNVAC (MORADA DO LAGO)</t>
  </si>
  <si>
    <t>node saiu da caixa  existente 071 , p alimentou j LAGO cobrar  j caixa 72 ,73,74</t>
  </si>
  <si>
    <t>THIAGO</t>
  </si>
  <si>
    <t>RSCLND0230</t>
  </si>
  <si>
    <t>CNUAC fase 2</t>
  </si>
  <si>
    <t>032, 033, 034</t>
  </si>
  <si>
    <t>NODE SAIU DA CAIXA EXISTENTE T040, ALIMENTANTO A 033,032 E 034, COBRAR APENAS OS CABOS DE 24FO E AS FOSCS. OBS TEVE CORDOALHA</t>
  </si>
  <si>
    <t>MARCOS EMILIANO/ EDUARDO</t>
  </si>
  <si>
    <t>RSCLND0234</t>
  </si>
  <si>
    <t>SSOAC</t>
  </si>
  <si>
    <t>R009/008</t>
  </si>
  <si>
    <t xml:space="preserve">O NODE SAIU DA CAIXA EXISTENTE 131 E ALIMENTOU 111, 112, 113, 114, 115, 116 E 117 COBRAR TODAS AS SECUNDRIAS QUE SAI DAS FISTS. OBS: TEVE CORDOALHA </t>
  </si>
  <si>
    <t>RSCLND0240</t>
  </si>
  <si>
    <t>MNDAO</t>
  </si>
  <si>
    <t>O NODE SAIU DA CAIXA EXISTENTE T020, ALIMENTANDO A FIST 071, COBRAR TODAS AS SECUNDARIAS QUE SAEM DA FIST 071</t>
  </si>
  <si>
    <t>RSCLND0235</t>
  </si>
  <si>
    <t>SSOAD</t>
  </si>
  <si>
    <t>141, 142</t>
  </si>
  <si>
    <t>NODE SAIU DA CAIXA EXISTENTE 131 E ALIMENTOU A 141 E 142, COBRAR TODAS AS SECUNDARIAS</t>
  </si>
  <si>
    <t>RSCLND0241</t>
  </si>
  <si>
    <t>IPMADB</t>
  </si>
  <si>
    <t>R000/001</t>
  </si>
  <si>
    <t>O NODE SAIU DO SITE, ALIMENTOU A FIST 071 E FOI ATÉ A T020, COBRAR TODAS AS SECUNDÁRIAS QUE SAEM DA 071, CANALIZAÇÃO NO SITE</t>
  </si>
  <si>
    <t>RSCLND0242</t>
  </si>
  <si>
    <t>MNDAE fase 2</t>
  </si>
  <si>
    <t>4 ABERTURA E FECHAMENTO, 3 CX NOVA, 72 FUSÃO- ( 36 FUSÃO INTERNA E 36 FUSÃO EXTERNA ), COBRAR 5:40  HORAS DE MOBILIZAÇÃO DE 2 EQUIPES, FOI LANÇADO 20 METROS DE CABO</t>
  </si>
  <si>
    <t>JLE (DIOGO)</t>
  </si>
  <si>
    <t>DIOGO</t>
  </si>
  <si>
    <t>AS HORAS COBRADAS FORAM POR A EQUIPE TER RETORNADO ( PRAIA DE BELAS )</t>
  </si>
  <si>
    <t>RSCLND0226</t>
  </si>
  <si>
    <t>AZNAAA</t>
  </si>
  <si>
    <t>071, 072, 073</t>
  </si>
  <si>
    <t>NODE SAIU DO SITE, ALIMENTOU A 071,072,073, COBRAR TODAS AS SUAS SECUNDARIAS</t>
  </si>
  <si>
    <t>FALTA AUTORIZAÇÃO PARA ENTRAR NO CONDOMINIO</t>
  </si>
  <si>
    <t>RSCLND0243</t>
  </si>
  <si>
    <t>HPCAE</t>
  </si>
  <si>
    <t>R001/006</t>
  </si>
  <si>
    <t>P6</t>
  </si>
  <si>
    <t>NODE SAIU DO SITE, ALIMENTOU AS CAIXAS 041 E 042, COBRAR TODAS AS SECUNDARIAS,TEVE ALTERAÇÃO NO TRAJETO DO CABO DE 48FO, FAZER AS BUILTS, TEVE 300 METROS DE CORDOALHA.</t>
  </si>
  <si>
    <t>NATANIEL</t>
  </si>
  <si>
    <t>RSCLND0244</t>
  </si>
  <si>
    <t>HPCACA</t>
  </si>
  <si>
    <t>R003/R000</t>
  </si>
  <si>
    <t>131, 132, 133, 134, 135, 136</t>
  </si>
  <si>
    <t>ALGUNS CONDOMINIOS NÃO FORAM CONSTRUÍDOS, NODE SAIU DO SITE,  ALIMENTOU A T030, T090, T040, T080, 131, 132, 133, 134, 135, E 136, COBRAR TODAS AS SECUNDARIAS, COBRAR UMA EMENDA EXTRA ( 144 FUSÃO), FAZER AS BUILTS, TEVE 300 METROS DE CORDOALHA</t>
  </si>
  <si>
    <t>IVANIR (133)</t>
  </si>
  <si>
    <t>VITOR (131,132,134)</t>
  </si>
  <si>
    <t>teste</t>
  </si>
  <si>
    <t>RSCLND0247</t>
  </si>
  <si>
    <t>MNDAK</t>
  </si>
  <si>
    <t>051, 052, 053</t>
  </si>
  <si>
    <r>
      <rPr>
        <sz val="11"/>
        <color indexed="2"/>
        <rFont val="Calibri"/>
        <family val="2"/>
      </rPr>
      <t>NODE SAIU DA FIST 071, ALIMENTOU AS FISTS 051,052,053,054, COBRAR TODAS AS SECUNDARIAS.</t>
    </r>
    <r>
      <rPr>
        <b/>
        <sz val="11"/>
        <color indexed="2"/>
        <rFont val="Calibri"/>
        <family val="2"/>
      </rPr>
      <t xml:space="preserve">  75 METROS DE CORDOALHA</t>
    </r>
  </si>
  <si>
    <t>RSCLND0249</t>
  </si>
  <si>
    <t>NODE SAIU DO SITE, ALIMENTOU AS CAIXAS 071 E 072, COBRAR TODAS AS SECUNDARIAS, TEVE 150 METROS DE CORDOALHA</t>
  </si>
  <si>
    <t>SUBTERRANEO</t>
  </si>
  <si>
    <t>RSCLND0250</t>
  </si>
  <si>
    <t>HPCAI</t>
  </si>
  <si>
    <t>NODE SAIU DA ESTAÇÃO 01  E ALIMENTOU A FIST 181, 184, 185, 187, COBRAR TODAS AS SECUNDARIAS</t>
  </si>
  <si>
    <t>RSCLND0245</t>
  </si>
  <si>
    <t>CTLAG</t>
  </si>
  <si>
    <t>061, 062, 063, 064, 065</t>
  </si>
  <si>
    <r>
      <rPr>
        <sz val="11"/>
        <color indexed="2"/>
        <rFont val="Calibri"/>
        <family val="2"/>
      </rPr>
      <t>NODE SAIU DA FIST T030, ALIMENTOU AS FISTS 061, 062, 063, 064, 065, COBRAR TODAS AS SECUNDARIAS.</t>
    </r>
    <r>
      <rPr>
        <b/>
        <sz val="11"/>
        <color indexed="2"/>
        <rFont val="Calibri"/>
        <family val="2"/>
      </rPr>
      <t xml:space="preserve"> TEVE 200 METROS DE CORDOALHA, TEVE ROMPIMENTO E FOI INSTALADO 2 CX DE ROMPIMENTO E LANÇADO METROS DE CABO DE 12FO</t>
    </r>
  </si>
  <si>
    <t>MAICON  / UBIRATÃ</t>
  </si>
  <si>
    <t>ESPINAÇÃO / ROMPIMENTO</t>
  </si>
  <si>
    <t>RSCLND0251</t>
  </si>
  <si>
    <t>RBTAE</t>
  </si>
  <si>
    <t>011, 012, 013, 014, 015, 016</t>
  </si>
  <si>
    <t xml:space="preserve">NODE SAIU DA FIST 063, ALIMENTOU A T050 E AS CAIXAS 011, 012, 013, 014, 015, 016  COBRAR TODAS AS  SECUNDARIAS. </t>
  </si>
  <si>
    <t>RSCLND0248</t>
  </si>
  <si>
    <t xml:space="preserve"> MNDAB</t>
  </si>
  <si>
    <t>061,062,063,064,065</t>
  </si>
  <si>
    <r>
      <rPr>
        <sz val="11"/>
        <color theme="1"/>
        <rFont val="Calibri"/>
        <family val="2"/>
      </rPr>
      <t>NODE SAIU DO SITE, ALIMENTOU AS CAIXAS 061, 062, 063, 064, 065, E COBRAR TODAS AS SECUNDARIAS.</t>
    </r>
    <r>
      <rPr>
        <b/>
        <sz val="11"/>
        <color indexed="2"/>
        <rFont val="Calibri"/>
        <family val="2"/>
      </rPr>
      <t xml:space="preserve"> </t>
    </r>
    <r>
      <rPr>
        <sz val="11"/>
        <color theme="1"/>
        <rFont val="Calibri"/>
        <family val="2"/>
      </rPr>
      <t>COBRAR 245 METROS DE CORDOALHA</t>
    </r>
  </si>
  <si>
    <t>RSCLND0246</t>
  </si>
  <si>
    <t>RBRAO</t>
  </si>
  <si>
    <t>121, 122, 123, 124, 125</t>
  </si>
  <si>
    <t>O NODE SAIU DO SITE, ALIMENTOU AS FISTS 121,122,123,124,125, COBRAR TODAS AS SECUNDARIAS.  COBRAR 120 METROS DE CORDOALHA</t>
  </si>
  <si>
    <t>MAICON</t>
  </si>
  <si>
    <t>RSCLND0252</t>
  </si>
  <si>
    <t>IPMAFB</t>
  </si>
  <si>
    <t>NODE SAIU DA FIST 042, ALIMENTOU FIST 011 E 012, COBRAR TODAS AS SECUNDARIAS DA FIST 012</t>
  </si>
  <si>
    <t>UBIRATAN</t>
  </si>
  <si>
    <t>RSCLND0256</t>
  </si>
  <si>
    <t>RBTAD</t>
  </si>
  <si>
    <t>NODE SAIU DA T010 EXISTENTE, ALIMENTOU A TROCAL T060 E A FIST 034, COBRAR TODAS AS SECUNDARIAS DA 034.</t>
  </si>
  <si>
    <t>RSCLND0253</t>
  </si>
  <si>
    <t>CQMAA</t>
  </si>
  <si>
    <t>CMQAD</t>
  </si>
  <si>
    <t>R000/R001</t>
  </si>
  <si>
    <t>NODE SAIU DO SITE, ALIMENTOU A FIST 105, 104 E 102, COBRAR TODAS AS SECUNDARIAS DA 102</t>
  </si>
  <si>
    <t>RSCLND0255</t>
  </si>
  <si>
    <t>RBTAAA</t>
  </si>
  <si>
    <t>NODE SAIU DO SITE</t>
  </si>
  <si>
    <t>RSCLND0262</t>
  </si>
  <si>
    <t>FLOAB fase 2</t>
  </si>
  <si>
    <t>101, 102, 103, 104, 105</t>
  </si>
  <si>
    <t>SAIU DA FIST 106, ALIMENTOU AS FISTS 101, 102, 103, 104 E 105, COBRAR TODAS AS  SECUNDARIAS, COBRAR 250 METROS DE CORDOALHA</t>
  </si>
  <si>
    <t>FABIO AMARILIO / MARCOS EMILIANO</t>
  </si>
  <si>
    <t>FOI COBRADO FASE 1, AGORA COBRAR FASE 2</t>
  </si>
  <si>
    <t>RSCLND0268</t>
  </si>
  <si>
    <t>FLOAD</t>
  </si>
  <si>
    <t>NODE SAIU DA T020, ALIMENTOU A FIST 053, 052 E 051, COBRAR TODAS SUAS SECUNDARIAS.</t>
  </si>
  <si>
    <t>RSCLND0269</t>
  </si>
  <si>
    <t>SJOAH</t>
  </si>
  <si>
    <t>NODE SAIU DO SITE, ALIMENTOU A T050, 062, 061, T010, 063, 064 E 065, COBRAR TODAS AS SECUNDARIAS DA 061 ATÉ A 065</t>
  </si>
  <si>
    <t>ALAN VASCONCELOS / VICTOR / LAMBRETA</t>
  </si>
  <si>
    <t>RSCLND0270</t>
  </si>
  <si>
    <t>UNIAA</t>
  </si>
  <si>
    <t>RSSCR07</t>
  </si>
  <si>
    <t>UNIAF</t>
  </si>
  <si>
    <t>SANTA CRUZ</t>
  </si>
  <si>
    <t>NODE SAIU DO SITE, ALIMENTOU A T050 , T040 E A 012, COBRAR TODAS AS SECUNDARIAS DA 012.</t>
  </si>
  <si>
    <t>ALANO / ALAN VASCONCELOS</t>
  </si>
  <si>
    <t>RSCLND0272</t>
  </si>
  <si>
    <t>AREAC</t>
  </si>
  <si>
    <t>RSPLT07</t>
  </si>
  <si>
    <t>AREAE</t>
  </si>
  <si>
    <t>NODE SAIU DO SITE, ALIMENTOU A FIST 113, COBRAR TODAS AS SECUNDARIAS.</t>
  </si>
  <si>
    <t>RSCLND0275</t>
  </si>
  <si>
    <t>PRLAA</t>
  </si>
  <si>
    <t>RSPLT08</t>
  </si>
  <si>
    <t xml:space="preserve">COND ALPHAVILLE </t>
  </si>
  <si>
    <t>R002/R001</t>
  </si>
  <si>
    <t>003, 004, 005</t>
  </si>
  <si>
    <t>NODE SAIU DA FIST PRLAA.002, ALIMENTOU A FIST PRLAA.003 , 004 e 005, COBRAR TODAS AS SECUNDARIAS das 003, 004 e 005</t>
  </si>
  <si>
    <t>RSCLND0274</t>
  </si>
  <si>
    <t>MSTAE</t>
  </si>
  <si>
    <t>NODE SAIU DO SITE, FOI LANÇADO 72 METROS DE CORDOALHA</t>
  </si>
  <si>
    <t>UBIRATAN / MARCOS EMILIANO</t>
  </si>
  <si>
    <t>RSCLND0267</t>
  </si>
  <si>
    <t>HPCAKA</t>
  </si>
  <si>
    <t>R002 / R004</t>
  </si>
  <si>
    <t>NODE SAIU DO FIST HPCAA.053, ALIMENTOU A FIST HPCAA.161, COBRAR TODAS AS SUAS SECUNDARIAS.</t>
  </si>
  <si>
    <t>RSCLND0271</t>
  </si>
  <si>
    <t>PDRAB</t>
  </si>
  <si>
    <t>081 - 086</t>
  </si>
  <si>
    <t>NODE SAIU DA FIST 084, ALIMENTOU A 083, 082 E 081, COBRAR TODAS AS SECUNDARIAS DA 081 ATÉ A 084</t>
  </si>
  <si>
    <t>RSCLND0281</t>
  </si>
  <si>
    <t>MNDAQA</t>
  </si>
  <si>
    <t>NODE SAIU DA T010 EXISTENTE, ALIMENTOU A 042 E 041, COBRAR TODAS AS SECUNDARIAS DA 041 .</t>
  </si>
  <si>
    <t>RSCLND0278</t>
  </si>
  <si>
    <t>RSKDK13</t>
  </si>
  <si>
    <t>CAPAR</t>
  </si>
  <si>
    <t>NODE SAIU DO SITE, ALIMENTOU A T040, 042 E 041, COBRAR TODAS AS SECUNDARIAS DA 041, FOI LANÇADO 340 METROS DE CORDOALHA</t>
  </si>
  <si>
    <t>RSCLND0276</t>
  </si>
  <si>
    <t>CAPAN</t>
  </si>
  <si>
    <t>091 - 099</t>
  </si>
  <si>
    <t>NODE SAIU DO SITE, ALIMENTOU A T050, T060, COBRAR TODAS AS SECUDADRIAS DA 091 ATÉ A 098</t>
  </si>
  <si>
    <t xml:space="preserve">ALAN VASCONCELOS  </t>
  </si>
  <si>
    <t>RSCLND0277</t>
  </si>
  <si>
    <t>CAPAO</t>
  </si>
  <si>
    <t>NODE SAIU DA T040 EXISTENTE, ALIMENTO A T030, 074 E 073, COBRAR TODAS AS SECUNDARIAS DA 073.</t>
  </si>
  <si>
    <t>RSCLND0279</t>
  </si>
  <si>
    <t>CAPAG</t>
  </si>
  <si>
    <t>NODE SAIU DA T040 EXISTENTE, ALIMENTOU A 134, 135, T020, 137 E 136, COBRAR TODAS AS SECUNDARIAS DA 136.COBRAR EMENDA EXTRA DE 72FO</t>
  </si>
  <si>
    <t>RSCLND0280</t>
  </si>
  <si>
    <t>NNIAC</t>
  </si>
  <si>
    <t>FUSÃO 90%</t>
  </si>
  <si>
    <t>NODE SAIU DO SITE, ALIMENTOU A FIST 081, COBRAR TODAS AS SECUNDARIAS DA 081, FOI LANÇADO 688 METROS DE CABO DE 12FO, PARA FAZER A INTERLIGAÇÃO DOS SITES HUB ZONA SUL COM RSPSU08.</t>
  </si>
  <si>
    <t>RSCLND0273</t>
  </si>
  <si>
    <t>VIPAHA</t>
  </si>
  <si>
    <t>NODE SAIU DO SITE, ALIMENTOU A T070, 071, T060, 074, 026, T050,025, 013 E 012, COBRA TODAS AS SECUNDARIAS DA FIST 012</t>
  </si>
  <si>
    <t>THIAGO LAMBRETA / UBIRATAN</t>
  </si>
  <si>
    <t>FABIO AMARILIO / UBIRATAN</t>
  </si>
  <si>
    <t>RSCLND0325</t>
  </si>
  <si>
    <t>LINK - ABORDAGEM DO SITE</t>
  </si>
  <si>
    <t>LINK</t>
  </si>
  <si>
    <t>RSCLND0288</t>
  </si>
  <si>
    <t>NAVAAA</t>
  </si>
  <si>
    <t>NODE SAI DA FIST  012 EXISTENTE, ALIMENTOU A 111, 112, T060 E 113, COBRAR TODAS AS SECUNDARIAS DA 113.</t>
  </si>
  <si>
    <t>RSCLND0285</t>
  </si>
  <si>
    <t>NAVAD</t>
  </si>
  <si>
    <t>NODE SAIU DO SITE, ALIMENTOU A FIST 093, T050, 094, 126, COBRAR TODAS AS SECUNDARIAS DA 126.</t>
  </si>
  <si>
    <t>RSCLND0289</t>
  </si>
  <si>
    <t>FLOAT</t>
  </si>
  <si>
    <t>NODE SAIU DA T010 EXISTENTE, ALIMENTOU A FIST 072, 071, COBRAR TODAS AS SECUNDARIAS DA 071 E 072.</t>
  </si>
  <si>
    <t>RSCLND0282</t>
  </si>
  <si>
    <t>IPMAB</t>
  </si>
  <si>
    <t>R001/R000</t>
  </si>
  <si>
    <t>NODE SAIU DA T030 EXISTENTE, ALIMENTOU A T060, 031 E 032, COBRAR TODAS AS SECUNDARIAS DA 031 E 032, COBRAR 250 CORDOALHA</t>
  </si>
  <si>
    <t>RSCLND0290</t>
  </si>
  <si>
    <t>CNT04A</t>
  </si>
  <si>
    <t>011 E 012</t>
  </si>
  <si>
    <t>NODE SAIU DO SITE, ALIMENTOU A T030, 012 E 011, COBRAR TODAS AS SECUNDARIAS DA 011 E 012.</t>
  </si>
  <si>
    <t>RSCLND0287</t>
  </si>
  <si>
    <t>SJOAB</t>
  </si>
  <si>
    <t>NODE SAIU DA CAIXA EXISTENTE T010, ALIMENTOU A FIST 082, T030, 045, 043, COBRAR TODAS AS SECUNDARIAS DA 043.</t>
  </si>
  <si>
    <t>MARCOS EMILIANO - ALEXANDRE</t>
  </si>
  <si>
    <t>RSCLND0286</t>
  </si>
  <si>
    <t>SJOAI</t>
  </si>
  <si>
    <t>021, 022, 023, 024, 025, 026 E 027</t>
  </si>
  <si>
    <t>NODE SAIU DA 082 EXISTENTE, ALIMENTOU A T030, T020, 022, 021. 023, 024, 025, 026 E 027, COBRAR TODAS AS SECUNDARIAS DA 021, 022, 023, 024, 025, 026 E 027.</t>
  </si>
  <si>
    <t>THIAGO LAMBRETA</t>
  </si>
  <si>
    <t>RSCLND0284</t>
  </si>
  <si>
    <t>R008</t>
  </si>
  <si>
    <t>131, 132, 133, 134, 135, 136, 137</t>
  </si>
  <si>
    <t>NODE SAIU DA T050 EXISTENTE, ALIMENTOU A T100, 137, 136, 135, 134,133,132,131, COBRAR TODAS AS SECUNDARIAS DAS FISTS 131, 132, 133, 134, 135, 136 E 137.</t>
  </si>
  <si>
    <t>RSCLND0291</t>
  </si>
  <si>
    <t>NODE SAIU DA FIST 081 EXISTENTE, ALIMENTOU A T040, 111, 112, 113 E 114, COBRAR TODAS AS SECUNDARIAS DA 111, 112, 113 E 114</t>
  </si>
  <si>
    <t>RSCLND0292</t>
  </si>
  <si>
    <t>BFMAE</t>
  </si>
  <si>
    <t>211, 212, 213, 214, 215</t>
  </si>
  <si>
    <t>NODE SAIU DA T010 EXISTENTE, ALIMENTOU AS FISTS 211, 212, 213, 214 E 215, COBRAR TODAS AS SECUNDARIAS DAS 211, 212, 213, 214 E 215 - COBRAR 307 FUSÃO EXTRA, 8 ABERTURA E FECHAMENTO, QUE FORAM FEITAS EM 8 CX DE ROMPIMENTO.</t>
  </si>
  <si>
    <t>RSCLND0293</t>
  </si>
  <si>
    <t>MNDAR</t>
  </si>
  <si>
    <t>11,12,13,14</t>
  </si>
  <si>
    <t>NODE SAIU DA FIST 061 EXISTENTE, ALIMENTOU A T070, 011, 012, 013 E 014, COBRAR TODAS AS SECUNDARIAS DAS 011, 012, 013 E 014</t>
  </si>
  <si>
    <t>RSCLND0294</t>
  </si>
  <si>
    <t>TRLADA</t>
  </si>
  <si>
    <t>FUSÃO 80%</t>
  </si>
  <si>
    <t>NODE SAIU DA FIST 075 EXISTENTE, ALIMENTOU A  FIST 111 E 112, COBRAR TODAS AS SECUNDARIAS DA 111 E 112</t>
  </si>
  <si>
    <t>RSCLND0298</t>
  </si>
  <si>
    <t>CAPAB</t>
  </si>
  <si>
    <t>RSXNL01</t>
  </si>
  <si>
    <t>NODE SAIU DO SITE, ALIMENTOU A T110, T040, T050, T070, 046, 045, 042, COBRAR TODAS AS SECUNDARIAS DA 042, FAZ AS BUILTS, ROTA DO 144 FOI ALTERADA, TROCA DE CABO DE 72FO POR 144FO, COBRAR UM CAIXA EXTRA E 144 FUSÕES EXTRAS</t>
  </si>
  <si>
    <t>CARLOS SENNA</t>
  </si>
  <si>
    <t>RSCLND0300</t>
  </si>
  <si>
    <t>XNLAB</t>
  </si>
  <si>
    <t>NODE SAIU DO SITE, ALIMENTOU A 022, T090, 023, T100 E 031, COBRAR TODAS AS SECUNDARIAS DA 031. FOI LANÇADO 200 METROS DE CORDOALHA, COBRAR 4 ABERTURA E FECHAMENTO, 61 FUSÕES EXTRA, REFERENTE AS CAIXAS CAPAB.T090, CAPAB.023, CAPAB.T100, CAPAB.031, POR ERRO DE PROJETO.</t>
  </si>
  <si>
    <t>RSCLND0296</t>
  </si>
  <si>
    <t>NSG10A</t>
  </si>
  <si>
    <t>NODE SAIU DO SITE, ALIMENTOU A T030, 011, COBRAR TODAS AS SECUNDARIAS DA 011</t>
  </si>
  <si>
    <t>RSCLND0301</t>
  </si>
  <si>
    <t>XNLAD</t>
  </si>
  <si>
    <t>NODE SAIU DO SITE, ALIMENTOU A T080, 082, 083, 084, COBRAR TODAS AS SECUNDARIAS DA 084. FOI LANÇADO 270 METROS DE CORDOALHA. E 10 EQUIPAGEM DE POSTE.</t>
  </si>
  <si>
    <t>RSCLND0299</t>
  </si>
  <si>
    <t>XNLAM</t>
  </si>
  <si>
    <t>NODE SAIU DA FIST EXISTENTE 031, ALIMENTOU A FIST 091, COBRAR TODAS AS SECUNDARIAS DA 091.</t>
  </si>
  <si>
    <t>RSCLND0283</t>
  </si>
  <si>
    <t>VIB03A</t>
  </si>
  <si>
    <t>NODE SAIU DO SITE, ALIMENTOU A FIST 141, 143 E 144, COBRAR TODAS AS SECUNDARIAS DA 144. FOI LANÇADO 530 METROS DE CORDOALHA.</t>
  </si>
  <si>
    <t>MARCO</t>
  </si>
  <si>
    <t>RSCLND0302</t>
  </si>
  <si>
    <t>ATLAC</t>
  </si>
  <si>
    <t>NODE DO SITE, ALIMENTOU A T010, 075, 074, T020, 076, 062, COBRAR TODAS AS SECUNDARIAS DA FIST 062. COBRAR 144 EMENDAS EXTRADAS DA FIST 074, POIS ERA FINAL DE BOBINA.COBRAR 980 METROS DE CORDOALHA</t>
  </si>
  <si>
    <t>SENA</t>
  </si>
  <si>
    <t>RSCLND0303</t>
  </si>
  <si>
    <t>VNVAB</t>
  </si>
  <si>
    <t>R004 / R005</t>
  </si>
  <si>
    <t>FUSÃO 60%</t>
  </si>
  <si>
    <t>NODE SAIU DA FIST 131 EXISTENTE, ALIMENTOU A FIST 151, COBRAR TODAS AS SECUNDARIAS DA 151. COBRAR 32 FUSÕES A MAIS E 4 ABERTURA E FECHAMENTO, POIS TINHA CAIXAS DE MANUTENÇÃO NO TRECHO.</t>
  </si>
  <si>
    <t>RSCLND0311</t>
  </si>
  <si>
    <t>VIPAG</t>
  </si>
  <si>
    <t>NODE SAIU DA FIS 124 EXISTENTE, ALIMENTOU A FIST 112, COBRAR TODAS AS SECUNDARIAS DA 112 ( CABO DE 144 VANDALIZADO, INSTALADA CAIXA EXTRA, COBRAR 84 FUSÃO)</t>
  </si>
  <si>
    <t>LUCAS HOBERT / PAULO GOMES</t>
  </si>
  <si>
    <t>RSCLND0305</t>
  </si>
  <si>
    <t>PETAX</t>
  </si>
  <si>
    <t>101, 102, 103</t>
  </si>
  <si>
    <t>SIM - ILUMINADO</t>
  </si>
  <si>
    <t>NODE SAIU DO SITE, ALIMENTOU AS FISTS 101, 102, 103, COBRAR TODAS AS SECUNDARIAS DA 101, 102,E 103. COBRAR 1 CX EXTRA E 36 FUSÕES.</t>
  </si>
  <si>
    <t>RSCLND0297</t>
  </si>
  <si>
    <t>DIE02A</t>
  </si>
  <si>
    <t>NODE SAIU DA FIST 091 EXISTENTE, ALIMENTOU A 092, T010, 041, 011, 012, COBRAR TODAS AS SECUNDARIAS DA 011 E 012. COBRAR 400 METROS A MAIS DE LANÇAMENTO, COBRAR 261 METROS DE CORDOALHA</t>
  </si>
  <si>
    <t>GIOVANE</t>
  </si>
  <si>
    <t>RSCLND0307</t>
  </si>
  <si>
    <t>TRLAD</t>
  </si>
  <si>
    <t>311, 312</t>
  </si>
  <si>
    <t>NODE SAIU DA FIST 291, ALIMENTOU AS CAIXAS T050, T120, 311 E 312, COBRAR TODAS AS SECUNDARIAS DA 312 E 311.</t>
  </si>
  <si>
    <t>RSCLND0316</t>
  </si>
  <si>
    <t>MTSAT</t>
  </si>
  <si>
    <t>191, 192</t>
  </si>
  <si>
    <t>NODE SAIU DA CAIXA EXISTENTE T020, ALIMENTOS AS FISTS 191 E 192, COBRAR TODAS AS SECUNDARIAS DA 191 E 192.</t>
  </si>
  <si>
    <t>RSCLND0319</t>
  </si>
  <si>
    <t>MNDAE 2 FASE</t>
  </si>
  <si>
    <t>R001/R002</t>
  </si>
  <si>
    <t>NODE SAIU DA FIST EXISTENTE 102, ALIMENTOU A FIST 101, COBRAR TODAS AS SECUNDARIAS DA 101.</t>
  </si>
  <si>
    <t>RSCLND0308</t>
  </si>
  <si>
    <t>STZAAB</t>
  </si>
  <si>
    <t>NODE SAIU DA CAIXA EXISTENTE T030, ALIMENTOU A FIST 161, COBRAR TODAS AS SECUNDARIAS DA 161.</t>
  </si>
  <si>
    <t>UBIRATAN / AUGUSTO</t>
  </si>
  <si>
    <t>RSCLND0315</t>
  </si>
  <si>
    <t>RBRAS</t>
  </si>
  <si>
    <t>271, 272</t>
  </si>
  <si>
    <t>NODE SAIU DA CAIXA EXISTENTE 093, ALIMENTOU AS FISTS 272 E 271, COBRAR TODAS AS SECUNDARIAS DA 271 E 272</t>
  </si>
  <si>
    <t>RSCLND0306</t>
  </si>
  <si>
    <t>IGA13A</t>
  </si>
  <si>
    <t>VAI SAIR DA ESTAÇÃO EXISTENTE</t>
  </si>
  <si>
    <t>NODE SAIU DA EST01 EXISTENTE, ALIMENTOU AS FISTS T060 E 041, COBRAR TODAS AS SECUNDARIAS DA 041.</t>
  </si>
  <si>
    <t>JOELSON SENA</t>
  </si>
  <si>
    <t>RSCLND0310</t>
  </si>
  <si>
    <t>CNT01A</t>
  </si>
  <si>
    <t>GRAVATAI</t>
  </si>
  <si>
    <t xml:space="preserve">DIO 1C, 1D </t>
  </si>
  <si>
    <t>NODE SAIU SO SITE, ALIMENTOU AS CAIXAS T030, T060, 047, 046, 045, 043, 041, COBRAR TODAS AS SECUNDARIAS DA FIST 041. COBRAR 675 METROS DE CORDOALHA</t>
  </si>
  <si>
    <t>RSCLND0295</t>
  </si>
  <si>
    <t>UMBAA</t>
  </si>
  <si>
    <t>RSAVA05</t>
  </si>
  <si>
    <t>UMBAL</t>
  </si>
  <si>
    <t>ALVORADA</t>
  </si>
  <si>
    <t>041, 042</t>
  </si>
  <si>
    <t>DIO 5E</t>
  </si>
  <si>
    <t>NODE SAIU DO SITE, ALIMENTOU T020, T030, 042, 041, COBRAR TODAS AS SECUNDARIAS DA 041 E 042. COBRAR 582 METROS DE CORDOALHAS</t>
  </si>
  <si>
    <t>RSCLND0314</t>
  </si>
  <si>
    <t>001, 002, 003, 004, 005, 006, 007, 008, 009</t>
  </si>
  <si>
    <t>NODE SAIU DA CAIXA EXISTENTE 212, ALIMENTOU AS FISTS 001 ATÉ A 009, COBRAR TODAS AS SECUNDARIAS DAS FISTS 001, 002, 003, 004, 005, 006, 007,008 E 009 ( COBRAR MAIS 3 ABERTURA E FECHAMENTO E 50 FUSÕES EXTRAS)</t>
  </si>
  <si>
    <t>TIAGO FERREIRA / VICTOR</t>
  </si>
  <si>
    <t>ANDERSON / PAULO GOMES</t>
  </si>
  <si>
    <t>RSCLND0321</t>
  </si>
  <si>
    <t>PETAF</t>
  </si>
  <si>
    <t>LANÇAR CABO DE 12FO DA CEO02 ATÉ A CEO20, LANÇAR CABO DE 12FO DA CEO27 ATÉ A CEO30.</t>
  </si>
  <si>
    <t>RSCLND0304</t>
  </si>
  <si>
    <t>JITAK</t>
  </si>
  <si>
    <t>031, 032, 033, 034, 035, 036</t>
  </si>
  <si>
    <t>NODE SAIU DA FIST 153 EXISTENTE, ALIMENTOU AS FISTS 031, 032, 033, 034, 035, 036, COBRAR TODAS AS SECUNDARIAS DA 031, 032, 033, 034, 035, 036. COBRAR 290 METROS DE CABO DE 144FO A MAIS, 6 ABERTURA E FECHAMENTO, 6 DERIVAÇÃO, 372 FUSÃO, 1 CX NOVA, 80 METROS DE CABO REPUXADO, 4 TESTES.</t>
  </si>
  <si>
    <t>RSCLND0322</t>
  </si>
  <si>
    <t>BVTAA</t>
  </si>
  <si>
    <t>RSERE21</t>
  </si>
  <si>
    <t>T</t>
  </si>
  <si>
    <t>NODE SAIU DA CAIXA EXISTENTE T010, ALIMENTOU A T0120 E A FIST 184, COBRAR TODAS AS SECUNDARIAS DA FIST 184. COBRAR 1 ABERTURA E FECHAMENTO, 2 CX NOVAS , 204 FUSÕES EXTRAS, 1 DERIVAÇÃO, E MAIS 50 METROS DE CABO DE 12FO ADICIONAL.</t>
  </si>
  <si>
    <t>THIAGO CURITIBA</t>
  </si>
  <si>
    <t>RSCLND0320</t>
  </si>
  <si>
    <t>RSCAN05</t>
  </si>
  <si>
    <t>MRD01A</t>
  </si>
  <si>
    <t>018, 019</t>
  </si>
  <si>
    <t>DIO 1B</t>
  </si>
  <si>
    <t>NODE SAIU DO SITE, ALIMENTOU AS CAIXAS T020, 011 E 012, COBRAR TODAS AS SECUNDARIAS DAS CAIXAS 011 E 012. TRONCAL FOI ALTERADO PARA CABO DE 24FO ( TRONCAL FOI SUBSTITUIDO POR 24FO)</t>
  </si>
  <si>
    <t>RSCLND0317</t>
  </si>
  <si>
    <t>SANACA</t>
  </si>
  <si>
    <t>DIO C, DIO D</t>
  </si>
  <si>
    <t>NODE SAIU DO SITE, ALIMENTOU AS FISTS 021, 022, 023 E 024, COBRAR TODAS AS SECUNDARIAS DA CAIXA 024.</t>
  </si>
  <si>
    <t>RSCLND0318</t>
  </si>
  <si>
    <t>NODE SAIU DO SITE, ALIMENTOU A FIST 051, COBRAR TODAS AS SECUNDARIAS DA 051. COBRAR 300 METROS DE CORDOALHA</t>
  </si>
  <si>
    <t>RSCLND0323</t>
  </si>
  <si>
    <t>RSPLE78</t>
  </si>
  <si>
    <t>RBRAFA/FLOAM</t>
  </si>
  <si>
    <t>FOI LANÇADO 320 METROS DE CABO DE 12FO</t>
  </si>
  <si>
    <t>RSCLND0335</t>
  </si>
  <si>
    <t>PETADA</t>
  </si>
  <si>
    <t>R000/R004</t>
  </si>
  <si>
    <t>NODE SAIU DA CAIXA T090 EXISTENTE, ALIMENTOU A FIST 091, COBRAR TODAS AS SECUNDARIAS DA 091. FOI LANÇADO 178 METROS DE CORDOALHA</t>
  </si>
  <si>
    <t>RSCLND0336</t>
  </si>
  <si>
    <t>CNTAL</t>
  </si>
  <si>
    <t>NODE SAIU DA CAIXA EXISTENTE T020, ALIMENTOU AS FISTS 084, 082 E 081, COBRAR TODAS AS SECUNDARIAS DA 081. COBRAR 580 METROS DE CORDOALHA.</t>
  </si>
  <si>
    <t>RICARDO BLESSED</t>
  </si>
  <si>
    <t>COBRADO NO ACESSO</t>
  </si>
  <si>
    <t>RSCLND0329</t>
  </si>
  <si>
    <t>BVSAC</t>
  </si>
  <si>
    <t>R000, R002</t>
  </si>
  <si>
    <t xml:space="preserve">NODE SAIU DA FIST EXISTENTE T020, ALIMENTOU AS FISTS 101, 102, COBRAR TODAS AS SECUNDARIAS DAS FISTS 101, 102. COBRAR 7 ABERTURA E FECHAMENTO, 84 FUSÕES, 1100 METROS DE CABO LANÇADO, 35 METROS DE CABO REPUXADO, 429 METROS DE CABO RETIRADO. </t>
  </si>
  <si>
    <t>VICTOR / MAICON</t>
  </si>
  <si>
    <t>RSCLND0324</t>
  </si>
  <si>
    <t>EIO06A</t>
  </si>
  <si>
    <t>NODE SAIU DO SITE, ALIMENTOU AS CAIXAS T030, T040, 102 E 101, COBRAR TODAS AS SECUNDARIAS DAS FISTS 101 E 102, COBRAR 240 METROS DE CORDOALHA</t>
  </si>
  <si>
    <t>RSCLND0326</t>
  </si>
  <si>
    <t>SANAG fase 2</t>
  </si>
  <si>
    <t>051,052,053,054</t>
  </si>
  <si>
    <t>NODE SAIU DA FIST EXISTENTE 055, ALIMENTOU AS FISTS 051, 052, 053 E 054, COBRAR TODAS AS SECUNDARIAS</t>
  </si>
  <si>
    <t>RSCLND0338</t>
  </si>
  <si>
    <t>BVSAHB</t>
  </si>
  <si>
    <t>R000, R010</t>
  </si>
  <si>
    <t>NODE SAIU DA CX EXISTENTE T020, ALIMENTOU A FIST 021, COBRAR TODAS AS SECUNDARIA DA 021. COBRAR MAIS 4 ABERTURA E FECHAMENTO E 14 FUSÕES EXTRAS.</t>
  </si>
  <si>
    <t>CESAR LEANDRO</t>
  </si>
  <si>
    <t>RSCLND0334</t>
  </si>
  <si>
    <t>TRZAH</t>
  </si>
  <si>
    <t>NODE SAIU DA FIST EXISTENTE 104, ALIMENTOU AS FISTS 141, 142, COBRAR TODAS AS SECUNDARIAS DAS FISTS 141 E 142.</t>
  </si>
  <si>
    <t>RSCLND0313</t>
  </si>
  <si>
    <t>RBRAFA</t>
  </si>
  <si>
    <t>GERENCIAL (AGOSTO)</t>
  </si>
  <si>
    <t>DIO 2B</t>
  </si>
  <si>
    <t>NODE SAIU DO SITE, ALIMENTOU AS FISTS 091, 092, COBRAR TODAS AS SECUNDARIAS DA 091 E 092.</t>
  </si>
  <si>
    <t>19/08/2025 - SAMURAI</t>
  </si>
  <si>
    <t>RSCLND0312</t>
  </si>
  <si>
    <t>FLOAM</t>
  </si>
  <si>
    <t>241, 242, 243</t>
  </si>
  <si>
    <t>DIO 2A</t>
  </si>
  <si>
    <t>NODE SAIU DO SITE, ALIMENTO A FIST 081, 082, 083, COBRAR TODAS AS SECUNDARIAS DA 081, 082, 083</t>
  </si>
  <si>
    <t>JOSUÉ</t>
  </si>
  <si>
    <t>14/08/2025 - SAMURAI</t>
  </si>
  <si>
    <t>RSCLND0309</t>
  </si>
  <si>
    <t>RBTAF</t>
  </si>
  <si>
    <t>R004/R006</t>
  </si>
  <si>
    <t>081, 082, 083, 084, 085, 086, 087, 088</t>
  </si>
  <si>
    <t>DIO 1E</t>
  </si>
  <si>
    <t>NODE SAIU DO SITE, ALIMENTOU A T100, T110, 081, 082, 083, 084, 085, 086, 087, 088, COBRAR TODAS AS SECUNDARIAS DAS 081, 082, 083, 084, 085, 086, 087 E 088. COBRAR 100 METROS DE CORDOALHA</t>
  </si>
  <si>
    <t>RSCLND0328</t>
  </si>
  <si>
    <t>NODE SAIU DA FIST EXISTENTE T030, ALIMENTOU A T040, 041, 042, 043 E 044, COBRAR TODAS AS SECUNDARIAS DAS FISTS 041, 042, 043, 044.</t>
  </si>
  <si>
    <t>RSCLND0330</t>
  </si>
  <si>
    <t>SJOAG</t>
  </si>
  <si>
    <t>ILUMINADO (SAIU GERENCIAL)</t>
  </si>
  <si>
    <t>R000, R002, R003</t>
  </si>
  <si>
    <t>NODE SAIU DA CX EXISTENTE T050, 071, 072, COBRAR TODAS AS SECUNDARIAS DAS FISTS 071, 072.</t>
  </si>
  <si>
    <t>RSCLND0331</t>
  </si>
  <si>
    <t>PETAU</t>
  </si>
  <si>
    <t>081, 082, 083</t>
  </si>
  <si>
    <t>NODE SAIU DA T050 EXISTENTE, ALIMENTOU A 083, T090, 081 E 082, COBRAR TODAS AS SECUNDARIAS DAS FISTS 081, 082, 083.</t>
  </si>
  <si>
    <t>FERNANDO</t>
  </si>
  <si>
    <t>RSCLND0337</t>
  </si>
  <si>
    <t>PDRAD FASE 2</t>
  </si>
  <si>
    <t>NODE SAIU DA CAIXA EXISTENTE T020, ALIMENTOU A FIST 014, COBRAR TODAS AS SECUNDARIAS DA 014.</t>
  </si>
  <si>
    <t>RSCLND0333</t>
  </si>
  <si>
    <t>TRZAD</t>
  </si>
  <si>
    <t>NODE SAIU DA FISTE EXISTENTE 163, ALIMENTOU AS FISTS 152, 151, COBRAR TODAS AS SECUNDARIAS DAS FISTS 151 E 152.</t>
  </si>
  <si>
    <t>RSCLND0345</t>
  </si>
  <si>
    <t>CENBNA</t>
  </si>
  <si>
    <t>NODE SAIU DA CAIXA EXISTENTE T020, ALIMENTOS AS FISTS 033,034 E 032, COBRAR TODAS AS SECUNDARIAS DA FIST 032.</t>
  </si>
  <si>
    <t>SIDNEI</t>
  </si>
  <si>
    <t>RSCLND0327</t>
  </si>
  <si>
    <t>PETAB</t>
  </si>
  <si>
    <t>NODE SAIU DA CAIXA EXISTENTE 081, COBRAR TODAS AS SECUNDARIAS DA FIST 081.</t>
  </si>
  <si>
    <t>RSCLND0340</t>
  </si>
  <si>
    <t>RBTABA</t>
  </si>
  <si>
    <t>NODE SAIU DA CAIXA EXISTENTE T030, ALIMENTO A CAIXA  091, COBRAR TODAS AS SECUNDARIAS DA 091</t>
  </si>
  <si>
    <t>21/01/025</t>
  </si>
  <si>
    <t>RSCLND0332</t>
  </si>
  <si>
    <t>TRZAE</t>
  </si>
  <si>
    <t>R000, R003</t>
  </si>
  <si>
    <t>161, 162, 163</t>
  </si>
  <si>
    <t>NODE SAIU DA ESTAÇÃO 02 EXISTENTE, ALIMENTOU AS FISTS 163, 162, 161, COBRAR TODAS AS SECUNDARIAS DAS FISTS 161, 162, 163.</t>
  </si>
  <si>
    <t>RSCLND0343</t>
  </si>
  <si>
    <t>RECAC</t>
  </si>
  <si>
    <t>NODE SAIU DA CAIXA EXISTENTE T010, ALIMENTOU AS FISTS 011 E 012, COBRAR TODAS AS SECUNDARIAS DAS 011 E 012.</t>
  </si>
  <si>
    <t>RSCLND0346</t>
  </si>
  <si>
    <t>IPMAE</t>
  </si>
  <si>
    <t>021, 022</t>
  </si>
  <si>
    <t>NODE SAIU DA CAIXA EXISTENTE 061, ALIMENTOU AS FISTS 021,022, COBRAR TODAS AS SECUNDARIAS DA 021 E 022.</t>
  </si>
  <si>
    <t>RSCLND0348</t>
  </si>
  <si>
    <t>PETAV</t>
  </si>
  <si>
    <t>INSTALADO</t>
  </si>
  <si>
    <t>NODE SAIU DO SITE, ALIMENTOU A FIST 041 E 042, COBRAR TODAS AS SECUNDARIAS DA 041 E 042. COBRAR A MAIS 75 METROS DE CABO DE 12FO , 19 FUSÕES, 1 DERIVAÇÃO, 1 CX NOVA</t>
  </si>
  <si>
    <t>RSCLND0342</t>
  </si>
  <si>
    <t xml:space="preserve">GUAAB FASE2 </t>
  </si>
  <si>
    <t>012,013,014,015,016</t>
  </si>
  <si>
    <t>NODE SAIU DA FIST EXISTENTE 011, ALIMENTOU AS FISTS 013,015,012,014,016, COBRAR TODAS AS SECUNDARIAS DAS CAIXAS 012,013,014,015 E 016, COBRAR 96 METROS DE CORDOALHA</t>
  </si>
  <si>
    <t>RSCLND0341</t>
  </si>
  <si>
    <t>PAE MF</t>
  </si>
  <si>
    <t>CBXAE FASE 2</t>
  </si>
  <si>
    <t>SOLICITADO</t>
  </si>
  <si>
    <t>NODE SAIU DA FIST EXISTENTE 252, ALIMENTOU A FIST 253, COBRAR TODAS AS SECUNDARIAS DA 253.</t>
  </si>
  <si>
    <t>RSCLND0350</t>
  </si>
  <si>
    <t>MTSAC</t>
  </si>
  <si>
    <t>R013</t>
  </si>
  <si>
    <t>011,012,013,014,015,016,017,018</t>
  </si>
  <si>
    <t>NODE SAIU DA FISTS EXISTENTE 071, ALIMENTOU AS CAIXAS 011, 012, 013, 014, 015, 016, 017, E 018, COBRAR TODAS AS SECUNDARIAS DAS 011, 012, 013, 014, 015,016,017 E 018.</t>
  </si>
  <si>
    <t>RSCLND0344</t>
  </si>
  <si>
    <t>SANAH FASE2</t>
  </si>
  <si>
    <t>061,062,063,065,066</t>
  </si>
  <si>
    <t>NODE SAIU DA FIST EXISTENTE 064, ALIMENTOU AS FISTS 061, 062, 063, 065, 066, COBRAR TODAS AS SECUNDARIAS DAS CXS 061, 062, 063, 065, 066.</t>
  </si>
  <si>
    <t>RSCLND0366</t>
  </si>
  <si>
    <t>VASAE</t>
  </si>
  <si>
    <t>NODE SAIU DA CAIXA EXISTENTE 111, ALIMENTOU A T040 E A 128, COBRAR TODAS AS SECUNDARIAS DA 128.</t>
  </si>
  <si>
    <t>RSCLND0347</t>
  </si>
  <si>
    <t>PETAY</t>
  </si>
  <si>
    <t>NODE SAIU DA CAIXA EXISTENTE 041, ALIMENTOU AS FISTS 021  E 022, COBRAR TODAS AS SECUDADRIAS DA 021 E 022.</t>
  </si>
  <si>
    <t>ALEXANDRE</t>
  </si>
  <si>
    <t>RSCLND0394</t>
  </si>
  <si>
    <t>RNDAA</t>
  </si>
  <si>
    <t>RSNHO12</t>
  </si>
  <si>
    <t>RNDAH</t>
  </si>
  <si>
    <t>FOI LANÇADO 819 METROS DE CABO DE 12FO, 1 CX NOVA, 12 ABERTURA E FECHAMENTO, 27 FUSÕES, 1 DGO NOVO, 1 DERIVAÇÃO.</t>
  </si>
  <si>
    <t>COBRADOO PELA MANUTENÇÃOO</t>
  </si>
  <si>
    <t>RSCLND0359</t>
  </si>
  <si>
    <t>HEADEND ERECHIM</t>
  </si>
  <si>
    <t>C</t>
  </si>
  <si>
    <t>ERECHIN</t>
  </si>
  <si>
    <t>NODE SAIU DA CAIXA EXISTENTE T010, ALIMENTOU AS CAIXAS 061,062,063,064,065, COBRAR TODAS AS SECUNDARIAS 061,062,063,064,065. COBRAR 3 ABERTURA E FECHAMENTO A MAIS E  192 FUSÕES A MAIS.</t>
  </si>
  <si>
    <t>JOLVANI</t>
  </si>
  <si>
    <t>RSCLND0363</t>
  </si>
  <si>
    <t>VASAD</t>
  </si>
  <si>
    <t>NODE SAIU DA CAIXA EXISTENTE 128, ALIMENTOU A FIST 031, COBRAR TODAS AS SECUNDARIAS DA 031.</t>
  </si>
  <si>
    <t>RSCLND0357</t>
  </si>
  <si>
    <t>CNT03A</t>
  </si>
  <si>
    <t>051,052,053,054,055</t>
  </si>
  <si>
    <t>NODE SAIU DA CAIXA EXISTENTE T060, ALIMENTOU AS FISTS 051,052,053,054,055, COBRAR TODAS AS SECUNDARIAS DAS CAIXAS 051,052,053,054,055. FOI LANÇADO 150 METROS DE CORDOALHA</t>
  </si>
  <si>
    <t>22//02/2025</t>
  </si>
  <si>
    <t>RSCLND0356</t>
  </si>
  <si>
    <t xml:space="preserve">CMQAN FASE 2 </t>
  </si>
  <si>
    <t>101,102,103,104,105,106,108</t>
  </si>
  <si>
    <t>NODE SAIU DA FIST EXISTENTE 107, ALIMENTOU 101,102,103,104,105,106,108, COBRAR TODAS AS SECUNDARIAS DAS 101,102,103,104,105,106,108. COBRAR 8 ABERTURA E FECHAMENTO A MAIS E 229 FUSÕES A MAIS.</t>
  </si>
  <si>
    <t>RSCLND0368</t>
  </si>
  <si>
    <t>TRZADA</t>
  </si>
  <si>
    <t>NODE SAIU DO SITE, ALIMENTOU AS CAIXAS T030,151,152, COBRAR TODAS AS SECUNDARIAS DAS 151 E 152.</t>
  </si>
  <si>
    <t>LUIS SCHUCH</t>
  </si>
  <si>
    <t>RSCLND0349</t>
  </si>
  <si>
    <t>RBRAP</t>
  </si>
  <si>
    <t>351,352,353,354</t>
  </si>
  <si>
    <t>DIO 3A, DIO 3B</t>
  </si>
  <si>
    <t>NODE SAIU DO SITE, ALIMENTOS AS CAIXAS 351, 352, 353 E 354, COBRAR TODAS AS SECUNDARIAS DAS FISTS 351, 352, 353 E 354. COBRAR 165 METROS DE CORDOALHA</t>
  </si>
  <si>
    <t>RSCLND0354</t>
  </si>
  <si>
    <t>RBRAEA FASE 2</t>
  </si>
  <si>
    <t>08,07,06,05,04,03,02,01</t>
  </si>
  <si>
    <t>DIO 1G</t>
  </si>
  <si>
    <t>UMA PARTE DO NODE SAIU DA FIST EXISTENTE 008, ALIMENTOU A 007, COBRAR TODAS AS SECUNDARIAS DAS FISTS 008 E 007, OUTRA PARTE DO NODE SAIU DO SITE ALIMENTOU AS FISTS 005,T010,004,003,002,001, COBRAR TODAS AS SECUNDARIAS DAS FISTS 001,002,003,004,005,006,007,008.</t>
  </si>
  <si>
    <t>GABRIEL BRITO SANTOS / LUIS SCHUCH</t>
  </si>
  <si>
    <t>VICTOR / UBIRATAN</t>
  </si>
  <si>
    <t>RSCLND0370</t>
  </si>
  <si>
    <t>ATLAC FASE 2</t>
  </si>
  <si>
    <t>GERENCIAL (JUNHO)</t>
  </si>
  <si>
    <t>NODE SAIU DA CAIXA EXISTENTE 062, ALIMENTOU A 061, COBRAR TODAS AS SECUNDARIAS DA 061.</t>
  </si>
  <si>
    <t>RSCLND0365</t>
  </si>
  <si>
    <t>VASAC</t>
  </si>
  <si>
    <t>NODE SAIU DA CAIXA EXISTENTE  044, ALIMENTOU A FIST 161, COBRAR TODAS AS SECUNDARIAS DA 161.</t>
  </si>
  <si>
    <t>RSCLND0360</t>
  </si>
  <si>
    <t>011,012,013,014,015,016,017,018,019</t>
  </si>
  <si>
    <t>DIO 1C, DIO 1D</t>
  </si>
  <si>
    <t>NODE SAIU DO SITE, ALIMENTOU AS CAIXAS 011,012,013,014,015,016,017,018,019, COBRAR TODAS AS SECUNDARIAS DAS FISTS  011,012,013,014,015,016,017,018,019.</t>
  </si>
  <si>
    <t>RSCLND0361</t>
  </si>
  <si>
    <t>RSNHOLO</t>
  </si>
  <si>
    <t>CNTAF</t>
  </si>
  <si>
    <t>NODE SAIU DA CAIXA EXISTENTE 171, ALIMENTOU A FIST 201, COBRAR TODAS AS SECUNDARIAS DA 201.</t>
  </si>
  <si>
    <t>RSCLND0358</t>
  </si>
  <si>
    <t>CNTAKA</t>
  </si>
  <si>
    <t>NODE SAIU DA FIST EXISTENTE 043, ALIMENTOU AS FISTS 011,012,013,014,015,016,017,018,019, COBRAR TODAS AS SECUNDARIAS DAS FISTS 011,012,013,014,015,016,017,018,019.</t>
  </si>
  <si>
    <t>RSCLND0375</t>
  </si>
  <si>
    <t>CMQAO</t>
  </si>
  <si>
    <t>CORDOALHA 90%</t>
  </si>
  <si>
    <t>NODE SAIU DA CAIXA EXISTENTE 094, ALIMENTOU A FIST 171, COBRAR TODAS AS SECUNDARIAS DA 171, FOI LANÇADO 900 METROS DE CORDOALHA</t>
  </si>
  <si>
    <t>RSCLND0362</t>
  </si>
  <si>
    <t>MNDAAA</t>
  </si>
  <si>
    <t>071,072,073,074,075</t>
  </si>
  <si>
    <t>NODE SAIU DA CAIXA EXISTENTE T020, ALIMENTOU AS FISTS 071,072,073,074,075, COBRAR TODAS AS SECUNDARIAS DAS 071,072,073,074,075.</t>
  </si>
  <si>
    <t>RSCLND0353</t>
  </si>
  <si>
    <t>PRTAQ FASE 2</t>
  </si>
  <si>
    <t>052,052,053,054,055</t>
  </si>
  <si>
    <t>NODE SAIU DA FIST EXISTENTE 051, ALIMENTOU AS CAIXAS 052,053,054,055, COBRAR TODAS AS SECUNDARIAS DA 052,053,054,055.</t>
  </si>
  <si>
    <t>.</t>
  </si>
  <si>
    <t>RSCLND0372</t>
  </si>
  <si>
    <t>PETAG</t>
  </si>
  <si>
    <t>141,142,143</t>
  </si>
  <si>
    <t>NODE SAIU DA CAIXA EXISTENTE 051, ALIMENTOU AS CAIXAS 141,142,143, COBRAR TODAS AS SECUNDARIAS DA 141,142,143. FOI LANÇADO 1500 METROS DE CORDOALHA.</t>
  </si>
  <si>
    <t>RSCLND0376</t>
  </si>
  <si>
    <t>VIPAD</t>
  </si>
  <si>
    <t>R001,R002</t>
  </si>
  <si>
    <t>131,132,133,</t>
  </si>
  <si>
    <t>CORDOALHA 50%</t>
  </si>
  <si>
    <t>NODE SAIU DA CAIXA EXISTENTE 124 ALIMENTOU A T020 E AS FISTS 131,132,133, COBRAR TODAS AS SECUNDARIAS DAS 131,132,133.</t>
  </si>
  <si>
    <t>RSCLND0377</t>
  </si>
  <si>
    <t>SPEAH FASE 2</t>
  </si>
  <si>
    <t>NODE SAIU A CAIXA EXISTENTE T030, ALIMENTOU A FIST 022. COBRAR TODAS AS SECUNDARIAS DA  022.</t>
  </si>
  <si>
    <t>RSCLND0380</t>
  </si>
  <si>
    <t>BVSAGB</t>
  </si>
  <si>
    <t>NODE SAIU DA CAIXA EXISTENTE 092, ALIMENTOU A FIST 171, COBRAR TODAS AS SECUNDARIAS DA 171.</t>
  </si>
  <si>
    <t>RSCLND0383</t>
  </si>
  <si>
    <t>VIPAN</t>
  </si>
  <si>
    <t>GERENCIAL (MAIO)</t>
  </si>
  <si>
    <t>NODE SAIU DA CAIXA EXISTENTE T080, ALIMENTOU A FIST 111, COBRAR TODAS AS SECUNDARIAS DA 111.</t>
  </si>
  <si>
    <t>RSCLND0364</t>
  </si>
  <si>
    <t>VASAA</t>
  </si>
  <si>
    <t>041,042,043,044,045</t>
  </si>
  <si>
    <t>NODE SAIU DA CAIXA EXISTENTE 101, ALIMENTOU AS FISTS 041,042,043,044,045, COBRAR TODAS AS SECUNDARIAS DAS 041,042,043,044,045. FOI LANÇADO 350 METROS DE CORDOALHA</t>
  </si>
  <si>
    <t>RSCLND0384</t>
  </si>
  <si>
    <t>VJDAL</t>
  </si>
  <si>
    <t>NODE SAIU DA CAIXA EXISTENTE 121, ALIMENTOU A FIST 131, COBRAR TODAS AS SECUNDARIAS DA 131.</t>
  </si>
  <si>
    <t>RSCLND0369</t>
  </si>
  <si>
    <t>VNVAN</t>
  </si>
  <si>
    <t>R001, R003</t>
  </si>
  <si>
    <t>101,102,103,104,105</t>
  </si>
  <si>
    <t>NODE SAIU DA CAIXA EXISTENTE T020, ALIMENTOU AS FISTS 101,102,103,104,105, COBRAR TODAS AS SECUNDARIAS DA 101,102,103,104,105.</t>
  </si>
  <si>
    <t>RSCLND0386</t>
  </si>
  <si>
    <t>BVSAN</t>
  </si>
  <si>
    <t>R017</t>
  </si>
  <si>
    <t>NODE SAIU DA CAIXA EXISTENTE 221, ALIMENTOU AS CXS T110 E 051, COBRAR TODAS AS SECUNDARIAS DA 051.</t>
  </si>
  <si>
    <t>RSCLND0378</t>
  </si>
  <si>
    <t>CNTAE FASE 2</t>
  </si>
  <si>
    <t>NODE SAIU DA CAIXA EXISTENTE T010, ALIMENTOU AS FISTS  171,172,173, COBRAR TODAS AS SECUNDARIAS DAS 171,172,173.</t>
  </si>
  <si>
    <t>RSCLND0264</t>
  </si>
  <si>
    <t>NSG16A fase 2</t>
  </si>
  <si>
    <t>NODE SAIU DA FIST EXISTENTE 191, ALIMENTOU A FIST 192, COBRAR TODAS AS SECUNDARIAS DA 192.</t>
  </si>
  <si>
    <t>RSCLND0387</t>
  </si>
  <si>
    <t>FLOAG</t>
  </si>
  <si>
    <t>NODE SAIU DA CAIXA EXISTENTE 092, ALIMENTOU AS FISTS 101,102, COBRAR TODAS AS SECUNDARIAS DAS 101,102. COBRAR 1 ABERTURA E FECHAMENTO E 12 FUSÕES A MAIS.</t>
  </si>
  <si>
    <t>11/04/20255</t>
  </si>
  <si>
    <t>RSCLND0371</t>
  </si>
  <si>
    <t>JBOAG</t>
  </si>
  <si>
    <t>021,022,023,024</t>
  </si>
  <si>
    <t>NODE SAIU DA CAIXA EXISTENTE T010, ALIMENTOU AS FISTS 021,022,023,024, COBRAR TODAS AS SECUNDARIAS DAS FISTS 021,022,023,024. COBRAR 2800 METROS DE CORDOALHA</t>
  </si>
  <si>
    <t>01/04//2025</t>
  </si>
  <si>
    <t>RSCLND0381</t>
  </si>
  <si>
    <t>BVSAO</t>
  </si>
  <si>
    <t>NODE SAIU DA CX EXISTENTE EST01, ALIMENTOU AS FISTS, 151,152, COBRAR TODAS AS SECUNDARIAS DAS 151 E 152.COBRAR ABERTURA E FECHAMENTO DE DGO, 140 FUSÕES A MAIS, UMA CX NOVA.</t>
  </si>
  <si>
    <t>RSCLND0391</t>
  </si>
  <si>
    <t>BVSAR</t>
  </si>
  <si>
    <t>NODE SAIU DA CAIXA EXISTENTE 051, ALIMENTOU AS CXS 041 E 042, COBRAR TODAS AS SECUNDARIAS DAS 041 E 042.</t>
  </si>
  <si>
    <t>RSCLND0351</t>
  </si>
  <si>
    <t>061, 062, 063, 064</t>
  </si>
  <si>
    <t>DIO 1A, DIO 1B</t>
  </si>
  <si>
    <t>NODE SAIU DO SITE, ALIMENTOU AS FISTS 061, 062, 063 E 064, COBRAR TODAS AS SECUNDARIAS DAS FISTS 061, 062, 063,E 064. COBRAR 179 METROS DE CORDOALHA</t>
  </si>
  <si>
    <t>RSCLND0352</t>
  </si>
  <si>
    <t>RSRGR01</t>
  </si>
  <si>
    <t xml:space="preserve">CNTAB FASE 2 </t>
  </si>
  <si>
    <t>021-029</t>
  </si>
  <si>
    <t>NODE SAIU DA T010, ALIMENTOU AS FISTS 012,013,014,015,016,017,018,019, COBRAR TODAS AS SECUNDARIAS DAS 012,013,014,015,016,017,018,019.COBRAR 266 METROS DE CORDOALHA</t>
  </si>
  <si>
    <t>RSCLND0374</t>
  </si>
  <si>
    <t>VIPAE</t>
  </si>
  <si>
    <t>NODE SAIU DA CAIXA EXISTENTE T030, ALIMENTOU A 071 E 072, COBRAR TODAS AS SECUNDARIAS DA 071 E 072. COBRAR 110 METROS DE CORDOALHA</t>
  </si>
  <si>
    <t>RSCLND0409</t>
  </si>
  <si>
    <t xml:space="preserve">PRTANB FASE 2 </t>
  </si>
  <si>
    <t>NODE SAIU DA CX EXISTENTE 012, ALIMENTOU A FIST 011, COBRAR TODAS AS SECUNDARIAS DA 011.</t>
  </si>
  <si>
    <t>RSCLND0382</t>
  </si>
  <si>
    <t>BVSAP</t>
  </si>
  <si>
    <t>NODE SAIU DA CAIXA EXISTENTE T030, ALIMENTOU AS FISTS 031,032, COBRAR TODAS AS SECUNDARIAS DAS 031,032.</t>
  </si>
  <si>
    <t>RSCLND0388</t>
  </si>
  <si>
    <t>MTSAI</t>
  </si>
  <si>
    <t>181,182,183</t>
  </si>
  <si>
    <t>NODE SAIU DA CAIXA EXISTENTE 351, ALIMENTOU AS CAIXAS T060, 181, 182, 183, COBRAR TODAS AS SECUNDARIAS DAS 181, 182, 183.</t>
  </si>
  <si>
    <t>RSCLND0397</t>
  </si>
  <si>
    <t>MTSARB</t>
  </si>
  <si>
    <t>161,162,163,164</t>
  </si>
  <si>
    <t>NODE SAIU DA CAIXA EXISTENTE 152, ALIMENTOU AS CXS 161,162,163,164, COBRAR TODAS AS SECUNDRIAS DA 161,162,163,164.</t>
  </si>
  <si>
    <t>RSCLND0393</t>
  </si>
  <si>
    <t>CTLAD</t>
  </si>
  <si>
    <t>091,092,093,094</t>
  </si>
  <si>
    <t>NODE SAIU DA CAIXA EXISTENTE T020, ALIMENTOU AS FISTS 091,092,093,094, COBRAR TODAS AS SECUNDARIAS DAS 091,092,093,094.</t>
  </si>
  <si>
    <t>RSCLND0389</t>
  </si>
  <si>
    <t>MTSAL</t>
  </si>
  <si>
    <t>NODE SAIU DA CAIXA EXISTENTE T040, ALIMENTOU A FIST 021, COBRAR TODAS AS SECUNDARIAS DA 021.</t>
  </si>
  <si>
    <t>MARCOS EMIIANO</t>
  </si>
  <si>
    <t>RSCLND0407</t>
  </si>
  <si>
    <t>PETAC</t>
  </si>
  <si>
    <t>NODE SAIU DA CAIXA EXISTENTE 051, ALIMENTOU AS FISTS 041,042, COBRAR TODAS AS SECUNDARIAS DA 041,042.</t>
  </si>
  <si>
    <t>RSCLND0395</t>
  </si>
  <si>
    <t>HPCACA FASE 2</t>
  </si>
  <si>
    <t>R000/R006</t>
  </si>
  <si>
    <t>FUSÃO 40%</t>
  </si>
  <si>
    <t>FOI LANÇADO 1165 METROS DE CABO DE 12FO, 1 ABERTURA E FECHAMENTO, 1 CX NOVA, 17 NAP NOVA, 48 FUSÕES, 3 DERIVAÇÕES.</t>
  </si>
  <si>
    <t>RSCLND0401</t>
  </si>
  <si>
    <t>MTSAB</t>
  </si>
  <si>
    <t>NODE SAIU DA CAIXA EXISTENTE 212, ALIMENTOU A FIST 241, COBRAR TODAS AS SECUNDARIAS DA 241.</t>
  </si>
  <si>
    <t>RSCLND0392</t>
  </si>
  <si>
    <t>VJDANA</t>
  </si>
  <si>
    <t>191,192,193</t>
  </si>
  <si>
    <t>NODE SAIU DA CAIXA EXISTENTE 221, ALIMENTOU AS CXS T130, 191,192 E 193, COBRAR TODAS AS SECUNDARIAS DA 191,192 E 193. COBRAR 41 METROS DE CORDOALHA</t>
  </si>
  <si>
    <t>RSCLND0398</t>
  </si>
  <si>
    <t>MTSAJ</t>
  </si>
  <si>
    <t>291,292,293,294,295</t>
  </si>
  <si>
    <t>NODE SAIU DA CX EXISTENTE T040, ALIMENTOU AS FISTS 291,292,293,294,295, COBRAR TODAS AS SECUNDARIAS DA 291,292,293,294,295</t>
  </si>
  <si>
    <t>RSCLND0403</t>
  </si>
  <si>
    <t>MTSAF</t>
  </si>
  <si>
    <t>NODE SAIU DA CX EXISTENTE 071, ALIMENTOU A FIST 041, COBRAR TODAS AS SECUNDARIAS DA 041.</t>
  </si>
  <si>
    <t>RSCLND0406</t>
  </si>
  <si>
    <t>GUAAC</t>
  </si>
  <si>
    <t>R000,R001</t>
  </si>
  <si>
    <t>041,042,043</t>
  </si>
  <si>
    <t>NODE SAIU DA CAIXA EXISTENTE T020, ALIMENTOU AS FISTS 041,042,043, COBRAR TODAS AS SECUNDARIAS DA 041,042,043.</t>
  </si>
  <si>
    <t>RODRIGO NUNES</t>
  </si>
  <si>
    <t>04/06/2025 - JUNHO</t>
  </si>
  <si>
    <t>RSCLND0412</t>
  </si>
  <si>
    <t>NODE SAIU DA CX EXISTENTE T020, ALIMENTOU AS FISTS 137,139 E 138, COBRAR TODAS AS SECUNDARIAS DA 138.</t>
  </si>
  <si>
    <t>FABIO AMARILHO</t>
  </si>
  <si>
    <t>RSCLND0385</t>
  </si>
  <si>
    <t>BVSAF</t>
  </si>
  <si>
    <t>NODE SAIU DA CAIXA EXISTENTE 025, ALIMENTOU AS CXS 351,352,353,354, COBRAR TODAS AS SECUNDARIAS 351,352,353 E 354.COBRAR MAIS 173 FUSÕES E 6 ABERTURA E FECHAMENTO</t>
  </si>
  <si>
    <t>12/08/2025 - SAMURAI</t>
  </si>
  <si>
    <t>03/06/2025 - JUNHO</t>
  </si>
  <si>
    <t>RSCLND0402</t>
  </si>
  <si>
    <t>MTSAH</t>
  </si>
  <si>
    <t>NODE SAIU DA CX EXISTENTE 351, ALIMENTOU AS CXS T180, 131,132, COBRAR TODAS AS SECUNDARIAS DA 131,132.</t>
  </si>
  <si>
    <t>RSCLND0355</t>
  </si>
  <si>
    <t xml:space="preserve">CTLAE FASE 2 </t>
  </si>
  <si>
    <t>051,052,054,055</t>
  </si>
  <si>
    <t>DIO 1F</t>
  </si>
  <si>
    <t>NODE SAIU DA CAIXA EXISTENTE 053, ALIMENTOU A T010, 054 E 055, COBRAR TODAS AS SECUNDARIAS DA 054 E 055, FOI LANÇADO 1887 METROS DE CORDOALHA</t>
  </si>
  <si>
    <t>RSCLND0379</t>
  </si>
  <si>
    <t>CAPAM</t>
  </si>
  <si>
    <t>R000,R005</t>
  </si>
  <si>
    <t>NODE SAIU DO SITE, ALIMENTOU AS FISTS 131,132, COBRAR  TODAS AS SECUNDARIAS DAS 131,132. COBRAR 1000 METROS DE CORDOALHA</t>
  </si>
  <si>
    <t>ALAN VASCOCELOS</t>
  </si>
  <si>
    <t>RSCLND0390</t>
  </si>
  <si>
    <t>RBRAQA</t>
  </si>
  <si>
    <t>NODE SAIU DA CAIXA EXISTENTE 351, ALIMENTOU A FIST 281, COBRAR TODAS AS SECUNDARIAS DA 281.</t>
  </si>
  <si>
    <t>RSCLND0399</t>
  </si>
  <si>
    <t>PETAN</t>
  </si>
  <si>
    <t>NODE SAIU DA CAIXA EXISTENTE 321, ALIMENTOU AS FISTS 311 E 312, COBRAR TODAS AS SECUNDARIAS DA 311,312. COBRAR MAIS 5 ABERTURA E FECHAMENTO, 84 FUSÕES, E 1660 METROS DE CABO DE 72FO.</t>
  </si>
  <si>
    <t>RSCLND0404</t>
  </si>
  <si>
    <t>MTSAG</t>
  </si>
  <si>
    <t>NODE SAIU DA CAIXA EXISTENTE 351, ALIMENTOU A FIST 081, COBRAR TODAS AS SECUNDARIAS DA 081.</t>
  </si>
  <si>
    <t>RSCLND0400</t>
  </si>
  <si>
    <t>MTSACA</t>
  </si>
  <si>
    <t>261,262,263</t>
  </si>
  <si>
    <t>NODE SAIU DA CAIXA EXISTENTE T060, ALIMENTOU AS FISTS 261,262,263, COBRAR TODAS AS SECUNDARIAS DA 261,262,263.</t>
  </si>
  <si>
    <t>RSCLND0396</t>
  </si>
  <si>
    <t>PDRAE</t>
  </si>
  <si>
    <t>NODE SAIU DA CX EXISTENTE 082, ALIMENTOU A CX 051, COBRAR TODAS AS SECUNDARIAS DA 051.</t>
  </si>
  <si>
    <t>08/08/2025 - SAMURAI</t>
  </si>
  <si>
    <t>RSCLND0411</t>
  </si>
  <si>
    <t>PETALA</t>
  </si>
  <si>
    <t>321,322,323</t>
  </si>
  <si>
    <t>NODE SAIU DA CX EXISTENTE 331, ALIMENTOU AS CXS T100, T130, 321,322,323, COBRAR TODAS AS SECUNDARIAS DAS 321,322,323.</t>
  </si>
  <si>
    <t>RSCLND0408</t>
  </si>
  <si>
    <t>IPMAI</t>
  </si>
  <si>
    <t>071,072,073</t>
  </si>
  <si>
    <t>NODE SAIU DA CX EXISTENTE T030, ALIMENTOU AS FISTS 071,072,073, COBRAR TODAS AS SECUNDARIAS DA 071,072,073. COBRAR 39 METROS DE CORDOALHA.</t>
  </si>
  <si>
    <t>ALMIR</t>
  </si>
  <si>
    <t>07/06/2025 - JUNHO</t>
  </si>
  <si>
    <t>RSCLND0405</t>
  </si>
  <si>
    <t>VNVAF</t>
  </si>
  <si>
    <t>041,042,043,044</t>
  </si>
  <si>
    <t>CORDOALHA 100%</t>
  </si>
  <si>
    <t>NODE SAIU DA CAIXA EXISTENTE 026, ALIMNETOU AS FISTS 025,024,023,022,021,041,042,043,044, COBRAR TODAS AS SECUNDARIAS DAS 041,042,043,044. COBRAR 373 METROS DE CORDOALHAS, 6 ABERTURA E FECHAMENTO A MAIS E 75 FUSÕES A MAIS. COBRAR AS BUILTS, . COBRAR METROS DE CORDOALHA E 8 SOLDAS NAS TAMPAS SUBTERRANEAS</t>
  </si>
  <si>
    <t>RSCLND0414</t>
  </si>
  <si>
    <t>FLOAHA</t>
  </si>
  <si>
    <t xml:space="preserve">NODE SAIU DO SITE, ALIMENTOU AS FISTS 151,152,153,154, COBRAR TODAS AS SECUNDARIAS DAS 151,152,153,154. COBRAR 1200 METROS DE CORDOALHAS, 250 METROS DE CABO REPULXADO, </t>
  </si>
  <si>
    <t>13/08/2025 - SAMURAI</t>
  </si>
  <si>
    <t>RSCLND0418</t>
  </si>
  <si>
    <t>TRZAG</t>
  </si>
  <si>
    <t>NODE SAIU DO SITE, ALIMENTOU A FIST 131, COBRAR TODAS AS SECUNDARIAS DA 131</t>
  </si>
  <si>
    <t>JUNHO</t>
  </si>
  <si>
    <t>RSCLND0417</t>
  </si>
  <si>
    <t>TRZAL</t>
  </si>
  <si>
    <t>NODE SAIU DA CAIXA EXISTENTE 011, ALIMENTOU A FIST 021, COBRAR TODAS AS SECUNDARIAS DA 021. FOI LANÇADO 400 METROS DE CORDOALHA</t>
  </si>
  <si>
    <t>RSCLND0415</t>
  </si>
  <si>
    <t>FLOAHB</t>
  </si>
  <si>
    <t>NODE SAIU DA CX EXISTENTE 151, ALIMENTOU AS FISTS 141,142,143, COBRAR TODAS AS SECUNDARIAS DA 141,142,143.</t>
  </si>
  <si>
    <t>RSCLND0423</t>
  </si>
  <si>
    <t>PDRAG</t>
  </si>
  <si>
    <t>031,032,033,034,035,036</t>
  </si>
  <si>
    <t>NODE SAIU DO SITE, ALIMENTOU AS FISTS 031,032,033,034,035,036, COBRAR TODAS AS SECUNDARIAS DAS 031,032,033,034,035,036.</t>
  </si>
  <si>
    <t>RSCLND0421</t>
  </si>
  <si>
    <t>VJDAP</t>
  </si>
  <si>
    <t>R021</t>
  </si>
  <si>
    <t>NODE SAIU DA CX EXISTENTE T120, ALIMENTOU A FIST 201, COBRAR TODAS AS SECUNDARIAS DA 201.</t>
  </si>
  <si>
    <t>RSCLND0416</t>
  </si>
  <si>
    <t>FLOAEB</t>
  </si>
  <si>
    <t>NODE SAIU DA CX EXISTENTE T060, ALIMENTOU AS CXS T060,081,082, COBRAR TODAS AS SECUNDARIAS DAS 081,082. COBRAR 400 METROS DE CORDOALHA</t>
  </si>
  <si>
    <t>RSCLND0419</t>
  </si>
  <si>
    <t>PRTAIA</t>
  </si>
  <si>
    <t>011,012,013,014,015</t>
  </si>
  <si>
    <t>NODE SAIU DA CX EXISTENTE T010, ALIMENTOU AS FISTS 011,012,013,014,015, COBRAR TODAS AS SECUNDARIAS DAS 011,012,013,014,015.</t>
  </si>
  <si>
    <t>RSCLND0429</t>
  </si>
  <si>
    <t>RBRATA</t>
  </si>
  <si>
    <t>GERENCIAL (JULHO)</t>
  </si>
  <si>
    <t>NODE SAIU DA CX EXISTENTE T180, ALIMENTOU A FIST 341, COBRAR TODAS AS SECUNDARIAS DA 341. FOI LANÇADO 340 METROS DE CORDOALHA</t>
  </si>
  <si>
    <t>RSCLND0430</t>
  </si>
  <si>
    <t>VJDAO</t>
  </si>
  <si>
    <t>NODE SAIU DA CX EXISTENTE 201, ALIMENTOU A FIST 181, COBRAR TODAS AS SECUNDARIAS DA 181.</t>
  </si>
  <si>
    <t>RSCLND0413</t>
  </si>
  <si>
    <t>SPEAE</t>
  </si>
  <si>
    <t>NODE SAIU DA CX EXISTENTE 005, ALIMENTOU A FIST 051, COBRAR TODAS AS SECUNDARIAS DA 051. COBRAR AS BUILTS, COBRAR 612 METROS DE CABO DE 24FO, COBRAR 5 ABERTURA E FECHAMENTO A MAIS E 70 FUSÕES A MAIS, COBRAR 500 METROS A MAIS DE CABO DE 24FO.</t>
  </si>
  <si>
    <t>RODRIGO (LUCIANO)</t>
  </si>
  <si>
    <t>RSCLND0431</t>
  </si>
  <si>
    <t>PETADC</t>
  </si>
  <si>
    <t>NODE SAIU DO SITE, ALIMENTOU AS FISTS 231,232, COBRAR TODAS AS SECUNDARIAS DAS 231,232. COBRAR 400 METROS DE CORDOALHA, COBRAR 460 METROS DE CABO A MAIS</t>
  </si>
  <si>
    <t>RSCLND0456</t>
  </si>
  <si>
    <t xml:space="preserve">HPCAE FASE 2 </t>
  </si>
  <si>
    <t>R001/R003</t>
  </si>
  <si>
    <t>NODE SAIU DA CAIXA EXISTENTE 042, COBRAR TODAS AS SECUNDARIAS DA 042. RETIRADO 130 METROS DE CABO</t>
  </si>
  <si>
    <t>RSCLND0427</t>
  </si>
  <si>
    <t>MTSAN</t>
  </si>
  <si>
    <t>NODE SAIU DA CX EXISTENTE T010, ALIMENTOU A FIST 361, COBRAR AS SECUNDARIAS DA 361.</t>
  </si>
  <si>
    <t>RSCLND0458</t>
  </si>
  <si>
    <t xml:space="preserve">CAPAB </t>
  </si>
  <si>
    <t>ATLAG</t>
  </si>
  <si>
    <t>NODE SAIU DA CAIXA EXISTENTE 076, ALIMENTOU A FIST 181, COBRAR TODAS AS SECUNDARIAS DA 181.</t>
  </si>
  <si>
    <t>RSCLND0426</t>
  </si>
  <si>
    <t>IPMAC</t>
  </si>
  <si>
    <t>R001,R006</t>
  </si>
  <si>
    <t>NODE SAIU DA CX EXISTENTE 042, ALIMENTOU AS FISTS 051 E 052, COBRAR TODAS AS SECUNDARIAS DA 051 E 052. COBRAR MAIS 2 ABERTURA E FECHAMENTO E 24 FUSÕES.COBRAR 404 METROS DE CORDOALHA.</t>
  </si>
  <si>
    <t>RSCLND0432</t>
  </si>
  <si>
    <t>TRZAAB</t>
  </si>
  <si>
    <t>R015/R013</t>
  </si>
  <si>
    <t>NODE SAIU DA CAIXA EXISTENTE 111, ALIMENTOU A FIST 141, COBRAR TODAS AS SECUNDRIAS DA 141. FOI LANÇADO 700 METROS DE CORDOALHA, 450 METROS DE PODA, 250 DE RETENCIONAMENTO DE CORDOALHA, 4 EQUIPAGEM DE POSTES</t>
  </si>
  <si>
    <t>RSCLND0435</t>
  </si>
  <si>
    <t xml:space="preserve">SANACA FASE 2 </t>
  </si>
  <si>
    <t>021,022,023</t>
  </si>
  <si>
    <t>RSCLND0433</t>
  </si>
  <si>
    <t>TRZAIB</t>
  </si>
  <si>
    <t>NODE SAIU DA CAIXA EXISTENTE T040, ALIMENTOU A FIST 181, COBRAR TODAS AS SECUNDARIAS DA 181.</t>
  </si>
  <si>
    <t>RSCLND0420</t>
  </si>
  <si>
    <t>VJDANB</t>
  </si>
  <si>
    <t>211,212,213,214,215</t>
  </si>
  <si>
    <t>NODE SAIU DA CX EXISTENTE T120, ALIMENTOU AS FISTS 211,212,213,214,215, COBRAR TODAS AS SECUNDARIAS DAS 211,212,213,214,215.</t>
  </si>
  <si>
    <t>RSCLND0448</t>
  </si>
  <si>
    <t>PETATA</t>
  </si>
  <si>
    <t>NODE SAIU DA CAIXA EXISTENTE 181, ALIMENTOU A FIST 161, COBRAR TODAS AS SECUNDARIAS DA 161.</t>
  </si>
  <si>
    <t>RSCLND0434</t>
  </si>
  <si>
    <t>TRZAIA</t>
  </si>
  <si>
    <t>NODE SAIU DA CAIXA EXISTENTE T040, ALIMENTOU AS FIST 151,152, COBRAR TODAS AS SECUNDARIAS DAS 151,152.COBRAR 400 METROS DE  CORDOALHA</t>
  </si>
  <si>
    <t>RSCLND0443</t>
  </si>
  <si>
    <t>TRZAO</t>
  </si>
  <si>
    <t>NODE SAIU DA T040 EXISTENTE, ALIMENTOU A FIST 051, COBRAR TODAS AS SECUNDARIAS DA 051. COBRAR 1 ADEQUAÇÃO DE POSTE, 400 METROS DE PODA, 200 METROS DE RETENCIONAMENTO</t>
  </si>
  <si>
    <t>RSCLND0442</t>
  </si>
  <si>
    <t>TRZAS</t>
  </si>
  <si>
    <t>NODE SAIU DA CAIXA EXISTENTE T040, ALIMENTOU A FIST 061, COBRAR TODAS AS SECUNDARIAS DA 061.</t>
  </si>
  <si>
    <t>RSCLND0424</t>
  </si>
  <si>
    <t>VNVAS</t>
  </si>
  <si>
    <t>081,082,083,084,085,086</t>
  </si>
  <si>
    <t>NODE SAIU DA CX EXISTENTE T020, ALIMENTOU AS FISTS 081 ATÉ A 086, COBRAR TODAS AS SECUNDARIAS DAS 081,082,083,084,085,086. COBRAR 800 METROS DE CORDOALHA, COBRAR MAIS 1 ABERTURA E FECHAMENTO E 60 FUSÕES, COBRAR AS BUILTS</t>
  </si>
  <si>
    <t>RSCLND0428</t>
  </si>
  <si>
    <t>MTSAP</t>
  </si>
  <si>
    <t>NODE SAIU DA CX EXISTENTE 121, ALIMENTOU A FIST 371, COBRAR TODAS AS SECUNDARIAS DA 371. COBRAR 89 METROS DE CORDOALHA, COBRAR MAIS 430 METROS DE CABO DE 12FO</t>
  </si>
  <si>
    <t>RSCLND0440</t>
  </si>
  <si>
    <t>TRZAQ</t>
  </si>
  <si>
    <t>DIO 1C</t>
  </si>
  <si>
    <t>NODE SAIU DO SITE, ALIMENTOU AS CXS T050, 091 E 092, COBRAR TODAS AS SECUNDARIAS DA 091 E 092.COBRAR AS BUILTS</t>
  </si>
  <si>
    <t>RSCLND0457</t>
  </si>
  <si>
    <t>SPEAC FASE 2</t>
  </si>
  <si>
    <t xml:space="preserve">NODE SAIU DA CAIXA EXISTENTE T090, ALIMNETOU AS FISTS 059 E 060, COBRAR TODAS AS SECUNDARIAS DAS 059 E 060. FOI LANÇADO 120 METROS DE CORDOALHA, COBRAR 450 METROS DE PODAS, 250 METROS DE RETENCIONAMENTO DE CORDOALHA, 2 ADEQUAÇÃO DE POSTE, </t>
  </si>
  <si>
    <t>RSCLND0451</t>
  </si>
  <si>
    <t>PETAM</t>
  </si>
  <si>
    <t xml:space="preserve">NODE SAIU DA CAIXA EXISTENTE 121, ALIMENTOUS A FIST 071, COBRAR TODAS AS SECUNDARIAS DA 071.COBRAR MAIS 8 ABERTURA E FECHAMENTO E 227 FUSÕES </t>
  </si>
  <si>
    <t>RSCLND0453</t>
  </si>
  <si>
    <t>PETAZ</t>
  </si>
  <si>
    <t>031,032,033,034,035,036,037,038</t>
  </si>
  <si>
    <t>NODE SAIU DA CAIXA EXISTENTE T030, ALIMENTOU AS FISTS 031,032,033,034,035,036,037,038, COBRAR TODAS AS SECUNDARIAS DAS 031,032,033,034,035,036,037,038.</t>
  </si>
  <si>
    <t>RSCLND0444</t>
  </si>
  <si>
    <t>TRZAOB</t>
  </si>
  <si>
    <t>NODE SAIU DA CAIXA EXISTENTE 051, ALIMENTOU A FIST 021, COBRAR TODAS AS SECUNDARIAS DA 021.COBRAR AS BUILTS</t>
  </si>
  <si>
    <t>RSCLND0447</t>
  </si>
  <si>
    <t>PETATB</t>
  </si>
  <si>
    <t>NODE SAIU DA CX EXISTENTE 041, ALIMENTOU A FIST 181, COBRAR TODAS AS SECUNDARIAS DA 181.</t>
  </si>
  <si>
    <t>RSCLND0425</t>
  </si>
  <si>
    <t>IPMAG</t>
  </si>
  <si>
    <t>NODE SAIU DA CX EXISTENTE 011, ALIMENTOU A FIST 001, COBRAR TODAS AS SECUNDARIAS DA 001.</t>
  </si>
  <si>
    <t>RSCLND0441</t>
  </si>
  <si>
    <t>TRZANA</t>
  </si>
  <si>
    <t>NODE SAIU DA CAIXA EXISTENTE 061, ALIMENTOU A FIST 071, COBRAR TODAS AS SECUNDARIAS DA 071.COBRAR 2600 METROS DE CORDOALHA, 12 METROS DE PODA</t>
  </si>
  <si>
    <t>RSCLND0449</t>
  </si>
  <si>
    <t>PETAQ</t>
  </si>
  <si>
    <t>NODE SAIU DA CAIXA EXISTENTE 133, ALIMENTOU A FIST 121, COBRAR TODAS AS SECUNDARIAS DA 121.</t>
  </si>
  <si>
    <t>RSCLND0450</t>
  </si>
  <si>
    <t>PETAR</t>
  </si>
  <si>
    <t>151,152,153,154,155,156</t>
  </si>
  <si>
    <t>NODE SAIU DA CAIXA EXISTENTE T010, ALIMENTOU AS FISTS 151,152,153,154,155,156  COBRAR TODAS AS SECUNDARIAS DAS 151,152,153,154,155,156.</t>
  </si>
  <si>
    <t>CLEVERSON / AUGUSTO</t>
  </si>
  <si>
    <t>RSCLND0446</t>
  </si>
  <si>
    <t>PETAW</t>
  </si>
  <si>
    <t>061,062,063</t>
  </si>
  <si>
    <t>NODE SAIU DA CAIXA EXISTENTE 042, ALIMENTOU AS FISTS 061,062,063, COBRAR TODAS AS SECUNDARIAS DA 061,062,063. COBRAR MAIS 2 ABERTURA E FECHAMENTO E 24 FUSÕES</t>
  </si>
  <si>
    <t>RSCLND0410</t>
  </si>
  <si>
    <t>VIPAF FASE 2</t>
  </si>
  <si>
    <t>122,123,124</t>
  </si>
  <si>
    <t>COBRAR OS CABOS E CAIXAS SECUNDARIAS DAS 122, 123 E 124, COBRAR 200 METROS DE CORDOALHA, COBRAR 80 METROS DE PODA</t>
  </si>
  <si>
    <t>RSCLND0455</t>
  </si>
  <si>
    <t>PETAS</t>
  </si>
  <si>
    <t>051,052,053</t>
  </si>
  <si>
    <t>NODE SAIU DA CAIXA EXISTENTE T010, ALIMENTOU AS FISTS 051,052,053, COBRAR TODAS AS SECUNDARIAS DAS 051,052,053.</t>
  </si>
  <si>
    <t>RSCLND0460</t>
  </si>
  <si>
    <t>SJOAA FASE 2</t>
  </si>
  <si>
    <t>NODE SAIU DA CX EXISTENTE T040, ALIMENTOU A CX, 020, COBRAR TODAS AS SECIUNDARIAS DA 020, COBRAR 372 METROS DE CORODALHA</t>
  </si>
  <si>
    <t>RSCLND0438</t>
  </si>
  <si>
    <t>FLOALA</t>
  </si>
  <si>
    <t>052,053,054</t>
  </si>
  <si>
    <t>NODE SAIU DA CAIXA EXISTENTE T090, ALIMNETOU AS FISTS 052,053,054, COBRAR TODAS AS SECUNDARIAS DAS 052,053,054.</t>
  </si>
  <si>
    <t>RSCLND0454</t>
  </si>
  <si>
    <t>MTSAM</t>
  </si>
  <si>
    <t>NODE SAIU DA CAIXA EXISTENTE 017, ALIMENTOU A FIST 171, COBRAR TODAS AS SECUNDARIAS DA 171.</t>
  </si>
  <si>
    <t>THIAGO FERREIRA</t>
  </si>
  <si>
    <t>RSCLND0445</t>
  </si>
  <si>
    <t>MTSAU</t>
  </si>
  <si>
    <t>NODE SAIU DO SITE, ALIMENTOU AS FISTS 011,012,013,014,015,016,017, COBRAR TODAS AS SECUNDARIAS DAS 011,012,013,014,015,016,017. COBRAR 3 ABERTURA E FECHAMENTO A MAIS.</t>
  </si>
  <si>
    <t>RSCLND0477</t>
  </si>
  <si>
    <t>FLOAI</t>
  </si>
  <si>
    <t>R0013</t>
  </si>
  <si>
    <t>NODE SAIU DA CX EXISTENTE 053, ALIMENTOU AS FISTS 061,062,063, COBRAR TODAS AS SECUNDARIAS DAS 061,062,063.</t>
  </si>
  <si>
    <t>RSCLND0461</t>
  </si>
  <si>
    <t xml:space="preserve">NAVAD FASE 2 </t>
  </si>
  <si>
    <t>121,122,123,124,125</t>
  </si>
  <si>
    <t>NODE SAIU DA CX EXISTENTE 126, ALIMENTOU AS FISTS 121,122,123,124 E 125, COBRAR TODAS AS SECUNDARIAS DAS 121,122,123,124 E 125. COBRAR 7 ABERTURA E FECHAMENTO E 30 FUSÕES A MAIS, COBRAR 300 METROS DE CORDOALHAS</t>
  </si>
  <si>
    <t>RSCLND0464</t>
  </si>
  <si>
    <t>JBOABA</t>
  </si>
  <si>
    <t>R0025</t>
  </si>
  <si>
    <t>NODE SAIU DA CX EXISTENTE 137, ALIMENTOU A FIST 161, COBRAR TODAS AS SECUNDARIAS DA 161.COBRAR 5 ABERTURA E FECHAMENTO E 110 FUSÕES A MAIS.</t>
  </si>
  <si>
    <t>RSCLND0465</t>
  </si>
  <si>
    <t>JBOADA</t>
  </si>
  <si>
    <t>361,362,363</t>
  </si>
  <si>
    <t>NODE SAIU DA CX EXISTENTE 137, ALIMENTOU AS FISTS 361,362 E 363, COBRAR TODAS AS SECUNDARIAS DAS 361,362 E 363. COBRAR 80 METROS DE PODA,</t>
  </si>
  <si>
    <t>RSCLND0436</t>
  </si>
  <si>
    <t>RBRAL</t>
  </si>
  <si>
    <t>NODE SAIU DA CAIXA EXISTENTE 181, ALIMNETOU AS FISTS 171, COBRAR TODAS AS SECUNDARIAS DA 171.</t>
  </si>
  <si>
    <t>RSCLND0468</t>
  </si>
  <si>
    <t xml:space="preserve">FLOAEA FASE 2 </t>
  </si>
  <si>
    <t>NODE SAIU DA CX EXISTENTE T020, ALIMENTOU AS FISTS 041,042,043,044,045, COBRAR TODAS AS SECUNDARIAS DA 041,042,043,044,045. COBRAR 179 METROS DE CORDOALHAS, COBRAR MAIS 13 ABERTURA E FECHAMENTO E 269 FUSÕES A MAIS E 1 DERIVAÇÃO, E MAIS 130 METROS DE CABO DE 36FO E 321 DE CABO DE 12 FO</t>
  </si>
  <si>
    <t>RSCLND0470</t>
  </si>
  <si>
    <t>RBRAI</t>
  </si>
  <si>
    <t>NODE SAIU DA CAIXA EXISTENTE 166, ALIMENTOU AS FISTS 181,182,183, COBRAR TODAS AS SECUNDARIAS DA 181,182,183. COBRAR 300 METROS DE PODA</t>
  </si>
  <si>
    <t>RSCLND0452</t>
  </si>
  <si>
    <t>PETAPB</t>
  </si>
  <si>
    <t>NODE SAIU DA T010, ALIMENTOU A FIST 091, COBRAR TODAS AS SECUNDARIAS DA 091.COBRAR 450 METROS DE CORDOALHA</t>
  </si>
  <si>
    <t>PAULO VOLTZ</t>
  </si>
  <si>
    <t>RSCLND0472</t>
  </si>
  <si>
    <t>JBOABB</t>
  </si>
  <si>
    <t>DIO 1C E 1D</t>
  </si>
  <si>
    <t>NODE SAIU DO SITE , ALIMENTOU A FIST 131, COBRAR TODAS AS SECUNDARIAS DA 131.</t>
  </si>
  <si>
    <t>RSCLND0471</t>
  </si>
  <si>
    <t>RBRAKA</t>
  </si>
  <si>
    <t>NODE SAIU DA CX EXISTENTE 043, ALIMENTOU A FIST 031, COBRAR TODAS AS SECUNDARIAS DA 031.COBRAR 4 ABERTURA E FECHAMENTO E 30 FUSÕES A MAIS.</t>
  </si>
  <si>
    <t>RSCLND0463</t>
  </si>
  <si>
    <t>DIO 1E, DIO 1F</t>
  </si>
  <si>
    <t>NODE SAIU DA CX EXISTENTE T050, ALIMENTOU AS FISTS 091,092, COBRAR TODAS SECUNDARIAS DA 091 E 092.COBRAR 3 ADEQUAÇÃO DE POSTES, 240 METROS DE PODA E 120 METROS DE RETENCIONAMENTO</t>
  </si>
  <si>
    <t>RSCLND0437</t>
  </si>
  <si>
    <t>RBRAH</t>
  </si>
  <si>
    <t>161,162,163,164,165,166</t>
  </si>
  <si>
    <t>NODE SAIU DA CAIXA EXISTENTE 092, ALIMNETOU AS CXS T090,161,162,163,164,165,166, COBRAR TODAS AS SECUNDARIAS DAS 161,162,163,164,165,166. COBRAR 300 METROS DE PODA</t>
  </si>
  <si>
    <t>RSCLND0476</t>
  </si>
  <si>
    <t>CBXAB</t>
  </si>
  <si>
    <t>NODE SAIU DA CX EXISTENTE 011, ALIMENTOU A FIST 021, COBRAR TODAS AS SECUNDARIAS DA 021.COBRAR 9 ABERTURAS E FECHAMENTOS A MAIS, 211 FUSÕES, 1 DERIVAÇÃO</t>
  </si>
  <si>
    <t>RSCLND0466</t>
  </si>
  <si>
    <t>MNDAFA</t>
  </si>
  <si>
    <t>NODE SAIU DA CX EXISTENTE 054, ALIMENTOU A FIST 021, COBRAR TODAS AS SECUNDARIAS DA 021. COBRAR MAIS 5 ABERTURA E FECHAMENTO, 28 FUSÕES</t>
  </si>
  <si>
    <t>RSCLND0467</t>
  </si>
  <si>
    <t>PBLAB</t>
  </si>
  <si>
    <t>RSCLND0469</t>
  </si>
  <si>
    <t>TRLAC</t>
  </si>
  <si>
    <t>R0012/R0013</t>
  </si>
  <si>
    <t>GERENCIAL (SETEMBRO)</t>
  </si>
  <si>
    <t>NODE SAIU DA CAIXA EXISTENTE T050, ALIMENTOU AS FISTS 301,191, 192 E 211, COBRAR TODAS AS SECUNDARIAS DA 211.</t>
  </si>
  <si>
    <t>RSCLND0474</t>
  </si>
  <si>
    <t>CBXAA</t>
  </si>
  <si>
    <t>NODE SAIU DA CX EXISTENTE 031, ALIMENTOU AS FISTS, 011,012,013,014,015, COBRAR TODAS AS SECUNDARIAS DA 011,012,013,014,015. COBRAR 35 METROS DE CORDOALHA, COBRAR 10 ABERTURA E FECHAMENTO, 152 FUSÕES, 3 DERIVAÇÕES</t>
  </si>
  <si>
    <t>fibra ok</t>
  </si>
  <si>
    <t>RSCLND0475</t>
  </si>
  <si>
    <t>NODE SAIU DA CX EXISTENTE T020, ALIMENTOU AS FISTS, 081 E 082, COBRAR TODAS AS SECUNDARIAS DA 081,082. COBRA 1 ABERTURA E FECHAMENTO E 24 FUSÕES A MAIS</t>
  </si>
  <si>
    <t>RSCLND0480</t>
  </si>
  <si>
    <t>PRTAP</t>
  </si>
  <si>
    <t>R0018</t>
  </si>
  <si>
    <t>NODE SAIU DA CAIXA EXISTENTE 051, ALIMENTOU A FIST 031, COBRAR TODAS AS SECUNDARIAS DA 031. COBRAR 1 ABERTURA E FECHAMENTO E 24 FUSÕES A MAIS.</t>
  </si>
  <si>
    <t>RSCLND0459</t>
  </si>
  <si>
    <t>SPEAAA</t>
  </si>
  <si>
    <t>9, 010,011, 012,013,014</t>
  </si>
  <si>
    <t>NODE SAIU DA CX EXISTENTE T060, ALIMENTOU A 009, 010, 011, 012,013 E 014, COBRAR AS SECUNDARIAS DA  009. 010, 011, 012, 013, 014. COBRAR 428 METROS DE CORDOALHA, 280 METROS DE PODA, 150 METROS DE RETENCIONAMENTO DE CORDOALHA</t>
  </si>
  <si>
    <t>RSCLND0481</t>
  </si>
  <si>
    <t>NNIAH</t>
  </si>
  <si>
    <t>R005/R002</t>
  </si>
  <si>
    <t>RSCLND0473</t>
  </si>
  <si>
    <t>CNT09A</t>
  </si>
  <si>
    <t>NODE SAIU DA CX EXISTENTE T030, ALIMENTOU AS CXS 023, T010, 021 E 022, COBRAR TODAS AS SECUNDARIAS DAS 021,022,023.</t>
  </si>
  <si>
    <t>RSCLND0490</t>
  </si>
  <si>
    <t>CNTACB</t>
  </si>
  <si>
    <t>R001/R0010</t>
  </si>
  <si>
    <t>NODE SAIU DA CX EXISTENTE T030, ALIMENTOU AS FISTS 121,122,123, COBRAR TODAS AS SECUNDARIAS DAS 121,122,123. COBRAR MAIS 6 ABERTURA E FECHAMANETO, 37 FUSÕES E 2 TESTE DE OTDR.</t>
  </si>
  <si>
    <t>RUA WASHIGTON LUIZ X DEMÉTRIO</t>
  </si>
  <si>
    <t>RSCLND0488</t>
  </si>
  <si>
    <t>CNTAFB</t>
  </si>
  <si>
    <t>NODE SAIU DA CX EXISTENTE T020, ALIMENTOU A FIST 081, COBRAR TODAS AS SECUNDARIAS DA 081</t>
  </si>
  <si>
    <t>GEN. AUTO X DUQUE DE CAXIAS</t>
  </si>
  <si>
    <t>RSCLND0489</t>
  </si>
  <si>
    <t>CNTAFA</t>
  </si>
  <si>
    <t>NODE SAIU DA CX EXISTENTE T020, ALIMENTOU AS FISTS 141,142, COBRAR TODAS AS SECUNDARIAS DAS 141,142.</t>
  </si>
  <si>
    <t>RUA DEMÉTRIO RIBEIRO X GEN. AUTO</t>
  </si>
  <si>
    <t>RSCLND0495</t>
  </si>
  <si>
    <t>FLOAN</t>
  </si>
  <si>
    <t>R014</t>
  </si>
  <si>
    <t>NODE SAIU DA CX EXISTENTE T080, ALIMENTOU AS FISTS 351 E 352, COBRAR TODAS AS SECUNDARIAS DAS 251 E 252. COBRAR AS BUILTS E PROJETO, COBRAR 1 ABERTURA E FECHAMENTO E 27 FUSÕES E 1 DERIVAÇÃO A MAIS. 650 METROS DE CABO DE 36FO</t>
  </si>
  <si>
    <t>RSCLND0528</t>
  </si>
  <si>
    <t>SJOAA FASE 3</t>
  </si>
  <si>
    <t>EXISNTENTE</t>
  </si>
  <si>
    <t>NODE SAIU DA CX EXISNTENTE 020, ALIMENTOU A FIST 021,022,023,024. COBRAR TODAS AS SECUNDARIAS DA 021,022,023,024.</t>
  </si>
  <si>
    <t>RSCLND0479</t>
  </si>
  <si>
    <t>CNTAM</t>
  </si>
  <si>
    <t>NODE DA CX EXISTENTE DA 081, ALIMENTOU AS CXS T120 E 141, COBRAR TODAS AS SECUNDARIAS DA 141.COBRAR 180 METROS DE CORDOALHAS, COBRAR MAIS 2 ABERTURA E FECHAMENTO, 59 FUSÕES, 2 DERIVAÇÃO, COBRAR AS BUILTS E PROJETO, COBRAR 210 METROS DE CABO DE 72FO, MAIS 1115 METROS DE CABO DE 36FO. MAIS METROS DE REPULXAMENTO.</t>
  </si>
  <si>
    <t>ALBERTO BINS (CENTRO)</t>
  </si>
  <si>
    <t>RSCLND0497</t>
  </si>
  <si>
    <t>PETAO FASE 2</t>
  </si>
  <si>
    <t>131,132,133,135,136,137</t>
  </si>
  <si>
    <t>NODE SAIU DA CX EXISTENTE 133, ALIMENTOU 131,132,135,136,137, COBRAR TODAS AS SECUNDARIAS DAS 131,132,133,135,136,137. COBRAR 13 ABERTURA E FECHAMENTO, 488 FUSÕES, 1 CX NOVA 3 DERIVAÇÕES E 95 METROS DE CABO DE 144FO, A MAIS.</t>
  </si>
  <si>
    <t>RSCLND0478</t>
  </si>
  <si>
    <t>CNTAN</t>
  </si>
  <si>
    <t>151, 652</t>
  </si>
  <si>
    <t xml:space="preserve">NODE SAIU DA CX EXISTENTE 141, ALIMENTOU A FIST 151,652 COBRAR TODAS AS SECUNDARIAS DA 151 E DA 652. COBRAR AS BUILTS E PROJETO. COBRAR 1 ABERTURA E FECHAMENTO, 24 FUSÕES E 1 DERIVAÇÃO A MAIS. </t>
  </si>
  <si>
    <t>RSCLND0494</t>
  </si>
  <si>
    <t>LPRAB</t>
  </si>
  <si>
    <t>RSPSU100</t>
  </si>
  <si>
    <t>NODE SAIU DA CX EXISTENTE T030, ALIMENTOU AS FISTS 021 E 022, COBRAR TODAS AS SECUNDARIAS DA 021,022, COBRAR 2 ABERTURA E FECHAMENTO, 96 FUSÕES, 1 DERIVAÇÃO, A MAIS E 2470 METROS DE CABO DE 72FO.COBRAR 699 METROS DE CORDOALHA</t>
  </si>
  <si>
    <t>RSCLND0462</t>
  </si>
  <si>
    <t>VASAB</t>
  </si>
  <si>
    <t>NODE SAIU DA CX EXISTENTE T040, ALIMENTOU AS FISTS 191, 192 E 193, COBRAR TODAS AS SECUNDARIAS DAS 191, 192 E 193. FOI LANÇADO 400 METROS DE CORDOALHA, COBRAR 3 ABERTURA E FECHAMENTO A MAIS E 58 FUSÕES A MAIS</t>
  </si>
  <si>
    <t>RSCLND0492</t>
  </si>
  <si>
    <t>NODE SAIU DA CX EXISTENTE 021, ALIMENTOU AS FISTS 031 E 032, COBRAR TODAS AS SECUNDARIAS DA 031,032</t>
  </si>
  <si>
    <t>RSCLND0491</t>
  </si>
  <si>
    <t>CNTACA</t>
  </si>
  <si>
    <t>131,132,133</t>
  </si>
  <si>
    <t>NODE SAIU DA CX EXISTENTE 014, ALIMENTOU AS FISTS 131,132,133, COBRAR TODAS AS SECUNDARIAS DAS 131,132,133.</t>
  </si>
  <si>
    <t>RUA DEMÉTRIO RIBEIRO</t>
  </si>
  <si>
    <t>RSCLND0493</t>
  </si>
  <si>
    <t>RSPSU99</t>
  </si>
  <si>
    <t>AGRAC</t>
  </si>
  <si>
    <t xml:space="preserve">ILUMINADO </t>
  </si>
  <si>
    <t>41,042,503</t>
  </si>
  <si>
    <t>NODE SAIU DO SITE ALIMENTOU AS FISTS 041 E 042,503, COBRAR TODAS AS SECUNDARIAS DAS 041 E 042 E 503.</t>
  </si>
  <si>
    <t>RSCLND0484</t>
  </si>
  <si>
    <t>STZAAA</t>
  </si>
  <si>
    <t>NODE SAIU DA CX EXISTENTE T030, ALIMENTOU AS FISTS 131,132, COBRAR TODAS AS SECUNDARIAS DAS 131,132. COBRAR 383 METROS DE CORDOALHA, COBRAR 2 ABERTURA E FECHAMENTO, 72 FUSÕES  A MAIS</t>
  </si>
  <si>
    <t>pendencia</t>
  </si>
  <si>
    <t>REFAZER DIO / MINI HUB</t>
  </si>
  <si>
    <t>RSCLND0525</t>
  </si>
  <si>
    <t>PDRAD FASE 3</t>
  </si>
  <si>
    <t>NODE SAIU DA CX EXISTENTE 015, COBRAR TODAS AS SECUNDARIAS DA 015.COBRAR 50 METROS DE CORDOALHA</t>
  </si>
  <si>
    <t>SRDAL FASE 2</t>
  </si>
  <si>
    <t>INSERIDO POSIÇÕES</t>
  </si>
  <si>
    <t>101, 103</t>
  </si>
  <si>
    <t>NODE SAIU DA CX EXISTENTE 102, ALIMENTOU A FIST 103,101.COBRAR TODAS AS SECUNDARIAS DA 103 E 101.</t>
  </si>
  <si>
    <t>RSCLND0499</t>
  </si>
  <si>
    <t>081,082,083</t>
  </si>
  <si>
    <t>NODE SAIU DA CX T020, ALIMENTOU AS FISTS 081,082,083, COBRAR TODAS AS SECUNDARIAS DAS 081,082,083.</t>
  </si>
  <si>
    <t>RSCLND0496</t>
  </si>
  <si>
    <t xml:space="preserve">IPMAFA FASE 2 </t>
  </si>
  <si>
    <t>R001/R008</t>
  </si>
  <si>
    <t>NODE SAIU DA CAIXA EXISTENTE 172, ALIMENTOU A FIST 171, COBRAR TODAS AS SECUNDARIAS DA 171. COBRAR 350 METROS DE CORDOALHA</t>
  </si>
  <si>
    <t>MARCOS VINICIOS</t>
  </si>
  <si>
    <t>RSCLND0483</t>
  </si>
  <si>
    <t>RBRAN</t>
  </si>
  <si>
    <t>R0013,R0014</t>
  </si>
  <si>
    <t>NODE SAIU DA CAIXA EXISTENTE 023, ALIMENTOU A FIST 061, COBRAR TODAS AS SECUNDARIAS DA 061.</t>
  </si>
  <si>
    <t>RSCLND0482</t>
  </si>
  <si>
    <t>VJPAC</t>
  </si>
  <si>
    <t>011,012,013,014,015,016</t>
  </si>
  <si>
    <t>MODE SAIU DO SITE, ALIMENTOU A CX T020 E AS FISTS 011,012,013,014,015,016, COBRAR TODAS AS SECUNDARIAS DAS 011,012,013,014,015,016. COBRAR 175 METROS DE CORDOALHA, COBRAR 300 METROS A MAIS DE 24FO</t>
  </si>
  <si>
    <t>AFONSO 012/ ANDERSON 014 / GILSON 015 E 016</t>
  </si>
  <si>
    <t>LUCAS HOBERT 011 / PABLO 013</t>
  </si>
  <si>
    <t>RSCLND0530</t>
  </si>
  <si>
    <t xml:space="preserve">BVSAF FASE 2 </t>
  </si>
  <si>
    <t>R0029</t>
  </si>
  <si>
    <t>NODE SAIU DA FIST 025, COBRAR TODAS AS SECUNDARIAS DA 355.</t>
  </si>
  <si>
    <t>RSCLND0506</t>
  </si>
  <si>
    <t>JBOABC</t>
  </si>
  <si>
    <t>NODE SAIU DA CX EXISTENTE 131, ALIMENTOU AS FISTS 111 E 112, COBRAR TODAS AS SECUNDARIAS DAS 111 E 112.</t>
  </si>
  <si>
    <t>EVERTON</t>
  </si>
  <si>
    <t>RSCLND0531</t>
  </si>
  <si>
    <t>RECAA</t>
  </si>
  <si>
    <t>R001/R004</t>
  </si>
  <si>
    <t>NODE SAIU DA EST01 EXISTENTE, ALIMENTOU AS FISTS 021,022,023, COBRAR TODAS AS SECUNDARIAS DA 021,022,023. COBRAR 200 METROS A MAIS DE CABO E 2 CX NOVAS E 48 FUSÕES</t>
  </si>
  <si>
    <t>JHONATAS</t>
  </si>
  <si>
    <t>RSCLND0498</t>
  </si>
  <si>
    <t>XNLAG</t>
  </si>
  <si>
    <t>NODE SAIU DA CX EXISTENTE T010, ALIMENTOU AS FISTS 011 E 012, COBRAR TODAS AS SECUNDARIAS DA 011 E 012.</t>
  </si>
  <si>
    <t>ALAN GALVÃO</t>
  </si>
  <si>
    <t>RSCLND0515</t>
  </si>
  <si>
    <t>SJOAF</t>
  </si>
  <si>
    <t>R000/R003</t>
  </si>
  <si>
    <t>NODE SAIUDA DA CX EXISTENTE T050, ALIMENTOU AS FISTS 031,032,033,034,035,036, COBRAR TODAS AS SECUNDARIAS DAS 031,032,033,034,035,036. COBRAR 1 ABERTURA E FECHAMENTO A MAIS, 2 CX NOVAS E 67 FUSÕES.</t>
  </si>
  <si>
    <t>RSCLND0504</t>
  </si>
  <si>
    <t>PETAI</t>
  </si>
  <si>
    <t>NODE SAIU DA CX EXISTENTE 051, ALIMENTOU AS FISTS 031,032,033,034 E A T020, COBRAR TODAS AS SECUNDARIAS DAS 031,032,033,034. COBRAR 554 METROS DE CABO DE 24FO.</t>
  </si>
  <si>
    <t>RSCLND0503</t>
  </si>
  <si>
    <t>JBOAE</t>
  </si>
  <si>
    <t>NODE SAIU DA CX EXISTENTE 111, ALIMENTOU AS FISTS 121,122,123,124,125, COBRAR TODAS AS SECUNDARIAS DAS 121,122,123,124,125. COBRAR 500 METROS DE CORDOALHAS, COBRAR 1 ABERTURA E FECHAMENTO E 36 FUSÕES A MAIS.</t>
  </si>
  <si>
    <t>ANDERSON (121,122,123,124)</t>
  </si>
  <si>
    <t>GILSON (125)</t>
  </si>
  <si>
    <t>RSCLND0367</t>
  </si>
  <si>
    <t>IPMAFB FASE 2</t>
  </si>
  <si>
    <t>R001/R009</t>
  </si>
  <si>
    <t>NODE SAIU DA CX EXISTENTE 011, ALIMENTOU A FIST 013, COBRAR TODAS AS SECUNDARIAS DA 011 E 013.</t>
  </si>
  <si>
    <t>RSCLND0505</t>
  </si>
  <si>
    <t>PETAH</t>
  </si>
  <si>
    <t>NODE SAIU DA CX EXISTENTE 111, ALIMENTOU AS FISTS 071,072,073,074,075, COBRAR TODAS AS SECUNDARIAS DAS 071,072,073,074,075.COBRAR 68 METROS DE CORDOALHA</t>
  </si>
  <si>
    <t>PABLO (073,074,075)</t>
  </si>
  <si>
    <t>AFONSO (071,072)</t>
  </si>
  <si>
    <t>RSCLND0526</t>
  </si>
  <si>
    <t>061,062,063,064</t>
  </si>
  <si>
    <t>YURI (064)</t>
  </si>
  <si>
    <t>GILSON (061,062,063)</t>
  </si>
  <si>
    <t>RSCLND0538</t>
  </si>
  <si>
    <t>JSOAAA</t>
  </si>
  <si>
    <t xml:space="preserve">071,072,073 </t>
  </si>
  <si>
    <t>RSCLND0500</t>
  </si>
  <si>
    <t>SJOAC</t>
  </si>
  <si>
    <t>SILVIO</t>
  </si>
  <si>
    <t>NODE SAIU DA CX EXISTENTE T030, ALIMENTOU AS FISTS 051,052, COBRAR TODAS AS SECUNDARIAS DA 051 E 052.</t>
  </si>
  <si>
    <t>2 caixa</t>
  </si>
  <si>
    <t>RSCLND0533</t>
  </si>
  <si>
    <t xml:space="preserve">NAVAB </t>
  </si>
  <si>
    <t xml:space="preserve">SJOAIA </t>
  </si>
  <si>
    <t>NODE SAIU DA CX EXISTENTE T020, ALIMENTOU A FIST 031, COBRAR TODAS AS SECUNDARIAS DA 031.COBRAR 1 ABERTURA E FECHAMENTO E 1 FUSÃO A MAIS</t>
  </si>
  <si>
    <t>RSCLND0516</t>
  </si>
  <si>
    <t>SJOAIB</t>
  </si>
  <si>
    <t>NODE SAIU DA CX EXISTENTE T020, ALIMENTOU AS FISTS 011,012, COBRAR TODAS AS SECUNDARIAS DAS 011,012. COBRAR 2 ABERTURA E FECHAMENTO E 10 FUSÕES A MAIS.</t>
  </si>
  <si>
    <t>RSCLND0501</t>
  </si>
  <si>
    <t>SJEAAA</t>
  </si>
  <si>
    <t>NODE SAIU DA T020, ALIMENTOU A FIST 071 E 072, COBRAR TODAS AS SECUNDARIAS DAS 071 E 072.</t>
  </si>
  <si>
    <t xml:space="preserve">CARLOS </t>
  </si>
  <si>
    <t>RSCLND0520</t>
  </si>
  <si>
    <t>CBXAD</t>
  </si>
  <si>
    <t>R001,R005</t>
  </si>
  <si>
    <t>001, 002</t>
  </si>
  <si>
    <t>NODE SAIU DA CX EXISTENTE 065, ALIMENTOU AS FISTS 001,002, COBRAR TODAS AS SECUNDARIAS DAS 001,002.COBRAR 230 METROS DE CORDOALHA.</t>
  </si>
  <si>
    <t>RSCLND0532</t>
  </si>
  <si>
    <t>RBRAC</t>
  </si>
  <si>
    <t>R015/R016</t>
  </si>
  <si>
    <t>NODE SAIU DA CX EXISTENTE T040, ALIMENTOU A FIST 101, COBRAR TODAS AS SECUNDARIAS DA 101.COBRAR 4 ABERTURA E FECHAMENTO E 4 FUSÕES A MAIS</t>
  </si>
  <si>
    <t>RSCLND0422</t>
  </si>
  <si>
    <t>HZS</t>
  </si>
  <si>
    <t>STZAD</t>
  </si>
  <si>
    <t>NODE SAIU DA CX EXISTE 171, ALIMENTOU AS FIST 143, COBRAR TODAS AS SECUNDARIAS DA 143. LANÇADO 734 METROS DE 144FO 3 ABERTURAS E FECHAMENTO, 2 DERIVAÇÃO E 164 FUSÕES. COBRAR 348 METROS DE CORDOALHAS E 12 ADEQUAÇÃO DE POSTES</t>
  </si>
  <si>
    <t xml:space="preserve">SOMENTE A 143 </t>
  </si>
  <si>
    <t>RSCLND0539</t>
  </si>
  <si>
    <t>FLOACA</t>
  </si>
  <si>
    <t>NODE SAIU DA CX EXISTENTE T030, ALIMENTOU A FIST 063, COBRAR TODAS AS SECUNDARIAS DA 063.COBRAR 2 ABERTURA E FECHAMENTO E 24 FUSÕES.</t>
  </si>
  <si>
    <t>RSCLND0536</t>
  </si>
  <si>
    <t>JITAG</t>
  </si>
  <si>
    <t>NODE SAIU DA CX EXISTENTE T070, ALIMENTOU AS FISTS 101 E 102, COBRAR TODAS AS SECUNDARIAS DA 101 E 102.COBRAR 3 ABERTURA E FECHAMENTO E 30 FUSÕES A MAIS.</t>
  </si>
  <si>
    <t>RSCLND0519</t>
  </si>
  <si>
    <t>SSOAI</t>
  </si>
  <si>
    <t>NODE SAIU DA CX EXISTENTE T020, ALIMENTOU A FIST 071, COBRAR TODAS AS SECUNDARIAS DA 071.COBRAR 150 METROS DE CORDOALHA, COBRAR 4 ABERTURA E FECHAMENTO E 20 FUSÕES A MAIS.</t>
  </si>
  <si>
    <t>RSCLND0487</t>
  </si>
  <si>
    <t>CNTAQ</t>
  </si>
  <si>
    <t>NODE SAIU DA CX EXISTENTE T010, ALIMENTOU A FIST 641, COBRAR TODAS AS SECUNDARIAS DA 641. COBRAR AS BUILTS</t>
  </si>
  <si>
    <t>RUA RIACHUELPO, 1070 - GRAND HOTEL (RUA DA PRAIA FUNDOS)</t>
  </si>
  <si>
    <t>RSCLND0485</t>
  </si>
  <si>
    <t>CNTAS</t>
  </si>
  <si>
    <t>NODE SAIU DA CX EXISTENTE 641, ALIMENTOU A FIST 601, COBRAR TODAS AS SECUNDARIAS DA 601, COBRAR AS BUILTS</t>
  </si>
  <si>
    <t>GEN ANDRADE NEVES, 14 ED MANHATANN</t>
  </si>
  <si>
    <t>RSCLND0518</t>
  </si>
  <si>
    <t>SSOAG</t>
  </si>
  <si>
    <t>NODE SAIU DA CX EXISTENTE T030, ALIMENTOU AS FISTS 061,062,063, COBRAR TODAS AS SECUNDARIAS DAS 061,062,063.</t>
  </si>
  <si>
    <t>RSCLND0513</t>
  </si>
  <si>
    <t>NODE SAIU DA CX EXISTENTE T030, ALIMENTOU AS FISTS 091,092,093,094, COBRAR TODAS AS SECUNDARIAS DAS 091,092,093,094. COBRAR 1 ABERTURA E FECHAMENTO E 12 FUSÕES A MAIS E 800 METROS DE CORDOALHA.</t>
  </si>
  <si>
    <t>RSCLND0502</t>
  </si>
  <si>
    <t>EIO01A</t>
  </si>
  <si>
    <t>081, 082</t>
  </si>
  <si>
    <t>NODE SAIU DA CX EXISTENTE T040, ALIMENTOU AS FISTS 081,082, COBRAR TODAS AS SECUNDARIAS DAS 081,082.</t>
  </si>
  <si>
    <t>RSCLND0512</t>
  </si>
  <si>
    <t>TRLAB</t>
  </si>
  <si>
    <t>RSCLND0522</t>
  </si>
  <si>
    <t>AEROPORTO</t>
  </si>
  <si>
    <t>RSCLND0537</t>
  </si>
  <si>
    <t>CNTAI</t>
  </si>
  <si>
    <t>R001/R013</t>
  </si>
  <si>
    <t>NODE SAIU DA EST01 , ALIMENTOU A FIST 181, COBRAR TODAS AS SECUNDARIAS DA 181.COBRAR 60 METROS DE CORDOALHA</t>
  </si>
  <si>
    <t>RSCLND0580</t>
  </si>
  <si>
    <t>RSPNO24</t>
  </si>
  <si>
    <t>JVCACB FASE 2</t>
  </si>
  <si>
    <t>Ñ GERENCIAL (OUTUBRO)</t>
  </si>
  <si>
    <t>NODE SAIU DA FIST 101 EXISTENTE, ALIMENTOU AS CTOS JCVAA.101.06.08, JCVAA.101.06.07, JCVAA.101.06.06, JCVAA.101.06.05, JCVAA.101.06.04, JCVAA.101.06.03, JCVAA.101.06.02, JCVAA.101.06.01.</t>
  </si>
  <si>
    <t>RSCLND0535</t>
  </si>
  <si>
    <t>JITAD</t>
  </si>
  <si>
    <t>NODE SAIU DA CX EXISTENTE 051, ALEMENTOU AS FISTS 031,032,033,034,035,036, COBRAR TODAS AS SECUNDARIAS DAS 031,032,033,034,035,036.COBRAR 4 ABERTURA E FECHAMENTO E 65 FUSÕES A MAIS.</t>
  </si>
  <si>
    <t>RSCLND0540</t>
  </si>
  <si>
    <t>FLOACB</t>
  </si>
  <si>
    <t>NODE SAIU DA CX EXISTENTE 063, ALIMENTOU AS FISTS 062,061, COBRAR TODAS AS SECUNDARIAS DA 061  E 062.</t>
  </si>
  <si>
    <t>FLOAKA</t>
  </si>
  <si>
    <t>102,103,104</t>
  </si>
  <si>
    <t>NODE SAIU DO SITE, ALIMENTOU A T080 E AS FISTS 102,103,104, COBRAR TODAS AS SECUNDARIAS DA 102,103,104</t>
  </si>
  <si>
    <t>RSCLND0529</t>
  </si>
  <si>
    <t>BFMAB</t>
  </si>
  <si>
    <t>NODE SAIU DA CAIXA EXISTENTE T120, ALIMENTOU A FIST 221, COBRAR TODAS AS SECUNDARIAS DA 221</t>
  </si>
  <si>
    <t>RSCLND0508</t>
  </si>
  <si>
    <t>MDRAG</t>
  </si>
  <si>
    <t>NODE SAIU DA CAIXA EXISTENTE 031, ALIMENTOU A FIST 051, COBRAR TODAS AS SECUNDARIAS DA 051.</t>
  </si>
  <si>
    <t>RSCLND0534</t>
  </si>
  <si>
    <t>FLOAO</t>
  </si>
  <si>
    <t>NODE SAIU DA CX EXISTENTE T010, ALIMENTOU AS FISTS 031,032,033,034,035,036, COBRAR TODAS AS SECUNDARIAS DAS 031,032,033,034,035,036. COBRAR 510 METROS DE CABO DE 72FO, 3 ABERTURA E FECHAMENTO,34 FUSÕES A MAIS</t>
  </si>
  <si>
    <t>LANÇAR CABO DE 72F POS AS CAIXAS DE MANUTENÇÃO NAO VAI NO CHÃO</t>
  </si>
  <si>
    <t>RSCLND0509</t>
  </si>
  <si>
    <t>MDRAF</t>
  </si>
  <si>
    <t>NODE SAIU DA CX EXISTENTE T070, ALIMENTOU AS FISTS 031 E 032, COBRAR TODAS AS SECUNDARIAS DAS 031,032.</t>
  </si>
  <si>
    <t>RSCLND0510</t>
  </si>
  <si>
    <t>MDRAE</t>
  </si>
  <si>
    <t>NODE SAIU DA CX EXISTENTE 061, COBRAR TODAS AS SECUNDARIAS DA 061.</t>
  </si>
  <si>
    <t xml:space="preserve">YURI   </t>
  </si>
  <si>
    <t>RSCLND0486</t>
  </si>
  <si>
    <t>CNTAR</t>
  </si>
  <si>
    <t>NODE SAIU DA CX EXISTENTE 601, ALIMENTOU A FIST 521, COBRAR TODAS AS SECUNDARIAS DA 521. COBRAR AS BUILTS</t>
  </si>
  <si>
    <t>GEN ANDRADE NEVES, 150 HOTEL LIDO - SEM AUTORIZAÇÃO</t>
  </si>
  <si>
    <t>ANDAMENTO</t>
  </si>
  <si>
    <t>RSCLND0571</t>
  </si>
  <si>
    <t>RBRAQB</t>
  </si>
  <si>
    <t>RSCLND0578</t>
  </si>
  <si>
    <t>VJDAM</t>
  </si>
  <si>
    <t>391,392,393,394</t>
  </si>
  <si>
    <t>BARRETO VIANA X MATIAS JOSÉ BINS</t>
  </si>
  <si>
    <t>BVSAJB</t>
  </si>
  <si>
    <t>NODE SAIU DA CX EXISTENTE 082, ALIMENTOU A FIST 071, COBRAR TODAS AS SECUNDARIAS DA 071.</t>
  </si>
  <si>
    <t>PETADB</t>
  </si>
  <si>
    <t>R0017</t>
  </si>
  <si>
    <t>411, 412, 413</t>
  </si>
  <si>
    <t>FELIZARDO X BARÃO DO AMAZONAS/ IVO CORCEU 408</t>
  </si>
  <si>
    <t>BVSAM</t>
  </si>
  <si>
    <t>R044</t>
  </si>
  <si>
    <t>310, 311</t>
  </si>
  <si>
    <t>RSCLND0558</t>
  </si>
  <si>
    <t>MNDAGB</t>
  </si>
  <si>
    <t>NODE SAIU DA FIST 101 EXISTENTE, COBRAR TODAS AS SECUNDARIAS DA 101.</t>
  </si>
  <si>
    <t>STZAF</t>
  </si>
  <si>
    <t>131, 132, 133, 134, 135</t>
  </si>
  <si>
    <t>RUA SINKE 233, CONDOMINIO NÃO AUTORIZADO</t>
  </si>
  <si>
    <t>SJOAJ</t>
  </si>
  <si>
    <t>NODE SAIU DA CX EXISTENTE T010, ALIMENTOU AS FISTS 041 E 042, COBRAR TODAS AS SECUNDARIAS DAS 041 E 042.</t>
  </si>
  <si>
    <t>POMPEU</t>
  </si>
  <si>
    <t xml:space="preserve">REDE ENERGIZADA </t>
  </si>
  <si>
    <t>RSCLND0565</t>
  </si>
  <si>
    <t>271,272,273,274,275,276</t>
  </si>
  <si>
    <t>GERENCIAL (JANEIRO)</t>
  </si>
  <si>
    <t>RSCLND0583</t>
  </si>
  <si>
    <t>MNDAL</t>
  </si>
  <si>
    <t>041, 042, 043, 044, 045</t>
  </si>
  <si>
    <t>RSCLND0585</t>
  </si>
  <si>
    <t>NITAA</t>
  </si>
  <si>
    <t>RSCAN40</t>
  </si>
  <si>
    <t>NIT26A</t>
  </si>
  <si>
    <t>DEIVID 144F</t>
  </si>
  <si>
    <t>RSCLND0582</t>
  </si>
  <si>
    <t>MNDAMB</t>
  </si>
  <si>
    <t>RSCLND0584</t>
  </si>
  <si>
    <t>MNDAJ</t>
  </si>
  <si>
    <t>031,032,033</t>
  </si>
  <si>
    <t>RSCLND0586</t>
  </si>
  <si>
    <t>BFMAH</t>
  </si>
  <si>
    <t>R033</t>
  </si>
  <si>
    <t>JBOADB</t>
  </si>
  <si>
    <t>R046</t>
  </si>
  <si>
    <t>RSCLND0590</t>
  </si>
  <si>
    <t>PDRAHB FASE 2</t>
  </si>
  <si>
    <t>R0003/R0010</t>
  </si>
  <si>
    <t>MNDAMA</t>
  </si>
  <si>
    <t>RSCLND0588</t>
  </si>
  <si>
    <t>MQTAE</t>
  </si>
  <si>
    <t>R0002</t>
  </si>
  <si>
    <t>RSCLND0589</t>
  </si>
  <si>
    <t>NAVACA</t>
  </si>
  <si>
    <t>R018</t>
  </si>
  <si>
    <t>VICTOR (061,062,063,064)</t>
  </si>
  <si>
    <t>TIAGO FERREIRA (065,066)</t>
  </si>
  <si>
    <t>SERTÓRIO X DONA</t>
  </si>
  <si>
    <t>RSCLND0587</t>
  </si>
  <si>
    <t>BFMAI</t>
  </si>
  <si>
    <t>FLOALB</t>
  </si>
  <si>
    <t>RSCLND0591</t>
  </si>
  <si>
    <t>VJDAEB</t>
  </si>
  <si>
    <t>NODE SAI DA FIST 322, ALIMENTA  A CAIXA 312, COBRAR TODAS AS SECUNDARIAS DA 312.</t>
  </si>
  <si>
    <t>RSCLND0564</t>
  </si>
  <si>
    <t>CNTAV</t>
  </si>
  <si>
    <t>LANÇAMENTO 0%</t>
  </si>
  <si>
    <t>IBOPE</t>
  </si>
  <si>
    <t>RSCLND0592</t>
  </si>
  <si>
    <t>SPEAF</t>
  </si>
  <si>
    <t>NODE SAIU DA CX EXISTENTE 081.A010, ALIMENTOU A FIST 061, COBRAR TODAS AS SECUNDARIAS DA 061.</t>
  </si>
  <si>
    <t>RSCLND0593</t>
  </si>
  <si>
    <t>VIPAB</t>
  </si>
  <si>
    <t>R025</t>
  </si>
  <si>
    <t>NODE SAIU DA CX EXISTENTE 081.A010, ALIMENTOU A FIST 091, COBRAR TODAS AS SECUNDARIAS DA 091.</t>
  </si>
  <si>
    <t>RSCLND0594</t>
  </si>
  <si>
    <t>081,082,083,084</t>
  </si>
  <si>
    <t>RSCLND0595</t>
  </si>
  <si>
    <t>CNTAJ</t>
  </si>
  <si>
    <t>101,102,103,104</t>
  </si>
  <si>
    <t>NODE SAIU DO SITE, ALIMENTOU AS FISTS 101,102,103,104, COBRAR TODAS AS SECUNDARIAS DAS 101,102,103,104.</t>
  </si>
  <si>
    <t>RSCLND0596</t>
  </si>
  <si>
    <t>CNTAD</t>
  </si>
  <si>
    <t>R018/R000</t>
  </si>
  <si>
    <t>51,052,053</t>
  </si>
  <si>
    <t>RSCLND0597</t>
  </si>
  <si>
    <t>CNTAO</t>
  </si>
  <si>
    <t>RSCLND0598</t>
  </si>
  <si>
    <t>IDLAA</t>
  </si>
  <si>
    <t>RSNHO11</t>
  </si>
  <si>
    <t>IDLAG</t>
  </si>
  <si>
    <t>RSCLND0599</t>
  </si>
  <si>
    <t>IDLAF</t>
  </si>
  <si>
    <t xml:space="preserve"> 031,032,033,034,035,036,037</t>
  </si>
  <si>
    <t>RSCLND0600</t>
  </si>
  <si>
    <t>IDLAE</t>
  </si>
  <si>
    <t>RSCLND0601</t>
  </si>
  <si>
    <t>RSCLND0602</t>
  </si>
  <si>
    <t>GRIAAA</t>
  </si>
  <si>
    <t xml:space="preserve">051,052,053,054,055 </t>
  </si>
  <si>
    <t>RSCLND0603</t>
  </si>
  <si>
    <t>GRIAC</t>
  </si>
  <si>
    <t>RSCLND0604</t>
  </si>
  <si>
    <t>GRIAD</t>
  </si>
  <si>
    <t xml:space="preserve">091,092,093,094,095 </t>
  </si>
  <si>
    <t>NODE SAIU DA CX EXISTENTE 075, ALIMENTOU A FIST 091,092,093,094,095, COBRAR TODAS AS SECUNDARIAS DA 091,092,093,094,095.</t>
  </si>
  <si>
    <t>RSCLND0605</t>
  </si>
  <si>
    <t>PBLAC</t>
  </si>
  <si>
    <t>R000/R008</t>
  </si>
  <si>
    <t xml:space="preserve">091,092,093 </t>
  </si>
  <si>
    <t>NODE SAIU DA CX EXISTENTE 111, ALIMENTOU A FIST 091,092,093, COBRAR TODAS AS SECUNDARIAS DA 091,092,093.</t>
  </si>
  <si>
    <t>BORGES DE MEDEIROS x DOLORES ALCARAZ CALDAZ (FÓRUM)</t>
  </si>
  <si>
    <t>RSCLND0606</t>
  </si>
  <si>
    <t>STZAG</t>
  </si>
  <si>
    <t> RUA OTÁVIO DUTRA</t>
  </si>
  <si>
    <t>RSCLND0607</t>
  </si>
  <si>
    <t xml:space="preserve">SSOAA </t>
  </si>
  <si>
    <t>SSOAJ</t>
  </si>
  <si>
    <t>NODE SAIU DA CAIXA T030 EXISTENTE, ALIMENTOU A FIST 051, COBRAR TODAS AS SECUNDARIAS DA 051.</t>
  </si>
  <si>
    <t>RSCLND0608</t>
  </si>
  <si>
    <t>SSOAH</t>
  </si>
  <si>
    <t>NODE SAIU DO SITE, ALIMENTOU A FIST 161, COBRAR TODAS AS SECUNDARIAS DA 161.</t>
  </si>
  <si>
    <t>PANAMERICANA</t>
  </si>
  <si>
    <t>RSCLND0609</t>
  </si>
  <si>
    <t>CTLAK</t>
  </si>
  <si>
    <t xml:space="preserve">041,042,043,044 </t>
  </si>
  <si>
    <t>BARRA SHOPPING E PONTAL</t>
  </si>
  <si>
    <t>RSCLND0610</t>
  </si>
  <si>
    <t>CTLAHB</t>
  </si>
  <si>
    <t>AV.CAPIVARI</t>
  </si>
  <si>
    <t>RSCLND0611</t>
  </si>
  <si>
    <t>CTLAHA</t>
  </si>
  <si>
    <t>AV.CAÍ</t>
  </si>
  <si>
    <t>RSCLND0612</t>
  </si>
  <si>
    <t>CTLAJ</t>
  </si>
  <si>
    <t>NODE SAIU DA CAIXA 033 EXISTENTE, ALIMENTOU A FIST 011, COBRAR TODAS AS SECUNDARIAS DA 011.</t>
  </si>
  <si>
    <t>AV CAÍ</t>
  </si>
  <si>
    <t>RSCLND0613</t>
  </si>
  <si>
    <t>PRTAD</t>
  </si>
  <si>
    <t>GONÇALVES LEDO X IPIRANGA X BENTO</t>
  </si>
  <si>
    <t>RSCLND0614</t>
  </si>
  <si>
    <t>HPCAF</t>
  </si>
  <si>
    <t>R00/R011</t>
  </si>
  <si>
    <t>COND ALTOS DO LAGO</t>
  </si>
  <si>
    <t>RSCLND0615</t>
  </si>
  <si>
    <t>HPCADB</t>
  </si>
  <si>
    <t>NODE SAIU DA CAIXA 042 EXISTENTE, ALIMENTOU A FIST 071, COBRAR TODAS AS SECUNDARIAS DA 071.</t>
  </si>
  <si>
    <t>ALTOS DO LAGO (RUA)</t>
  </si>
  <si>
    <t>RSCLND0616</t>
  </si>
  <si>
    <t>RSCLND0617</t>
  </si>
  <si>
    <t>RSCLND0618</t>
  </si>
  <si>
    <t>RSCLND0619</t>
  </si>
  <si>
    <t>RSCLND0620</t>
  </si>
  <si>
    <t>RSCLND0254</t>
  </si>
  <si>
    <t>NODE SAIU DO SITE, ALIMENTOU A FIST 041 E 035, COBRAR TODAS AS SECUDARIA DA 035</t>
  </si>
  <si>
    <t>CANCELADO, AREA DE RISCO</t>
  </si>
  <si>
    <t>CANCELADO</t>
  </si>
  <si>
    <t>RSCLND0257</t>
  </si>
  <si>
    <t>POAHZS</t>
  </si>
  <si>
    <t>VJPAA</t>
  </si>
  <si>
    <t>node saiu iz caixa  existente 071 , p alimentou j VJPAA cobrar  j caixa 72 ,73,74</t>
  </si>
  <si>
    <t>AGUARDANDO AUTORIZAÇÃO PARA INICIO</t>
  </si>
  <si>
    <t>RSCLND0258</t>
  </si>
  <si>
    <t>BLNAC fase 2</t>
  </si>
  <si>
    <t>RSCLND0259</t>
  </si>
  <si>
    <t>CENBPN</t>
  </si>
  <si>
    <t>PARALIZADO ATÉ SEGUNDA ORDEM</t>
  </si>
  <si>
    <t>RSCLND0260</t>
  </si>
  <si>
    <t>CNT06A fase 2</t>
  </si>
  <si>
    <t>RSCLND0261</t>
  </si>
  <si>
    <t>EIO27A fase 2</t>
  </si>
  <si>
    <t>RSCLND0263</t>
  </si>
  <si>
    <t>JDM04A fase 2</t>
  </si>
  <si>
    <t>RSCLND0265</t>
  </si>
  <si>
    <t>PRIAH fase 2</t>
  </si>
  <si>
    <t>RSCLND0266</t>
  </si>
  <si>
    <t>RSCSLAR</t>
  </si>
  <si>
    <t>SER03 FASE 2</t>
  </si>
  <si>
    <t>RSCLND0439</t>
  </si>
  <si>
    <t>RBRAFB</t>
  </si>
  <si>
    <t>NODE SAIU DA CX EXISTENTE 092, ALIMENTOU A FIST 071, COBRAR TODAS AS SECUNDARIAS DA 071.</t>
  </si>
  <si>
    <t>RSCLND0507</t>
  </si>
  <si>
    <t>BFJAA</t>
  </si>
  <si>
    <t xml:space="preserve">JCVACA FASE 2 </t>
  </si>
  <si>
    <t>041, 042, 043, 044, 045, 047</t>
  </si>
  <si>
    <t>NODE SAIU DA CX EXISTENTE 046, ALIMENTOU AS FISTS 041,042,043,044,045,047, COBRAR TODAS AS SECUNDARIAS DAS 041,042,043,044,045,047.</t>
  </si>
  <si>
    <t>PARALIZADO</t>
  </si>
  <si>
    <t>RSCLND0517</t>
  </si>
  <si>
    <t>SJOAIC</t>
  </si>
  <si>
    <t>NODE SAIU DA CX EXISTENTE T030, ALIMENTOU AS FISTS 0131,0132, COBRAR TODAS AS SECUNDARIAS DAS 0131,0132.</t>
  </si>
  <si>
    <t>NODE SOBREPOSTO AO NODE SJOAH</t>
  </si>
  <si>
    <t>RSCLND0523</t>
  </si>
  <si>
    <t>051,052,053,054,055,056,057,058</t>
  </si>
  <si>
    <t>NODE SAIU DA CX EXISTENTE T010, ALIMENTOU AS CXS 051,052,053,054,055,056,057,058,T020, COBRAR TODAS AS SECUNDARIAS DAS 051,052,053,054,055,056,057,058.</t>
  </si>
  <si>
    <t>RBRAGB</t>
  </si>
  <si>
    <t>NODE SAIU DA CX EXISTENTE T160, ALIMENTOU AS FISTS 111 E 112, COBRAR TODAS AS SECUNDARIAS DAS 111 E 112.</t>
  </si>
  <si>
    <t>AGUARDANDO MIGRAÇÃO DE NODES PARA LIBERAR PORTAS (NODE SOBREPOSTO AO NODE RBRAGA)</t>
  </si>
  <si>
    <t>RSCLND0541</t>
  </si>
  <si>
    <t xml:space="preserve">STZAE </t>
  </si>
  <si>
    <t>STATUS CONSTRUÇÃO - PROJETO AMPLIAÇÃO MDU</t>
  </si>
  <si>
    <t>Executores</t>
  </si>
  <si>
    <t>JLE</t>
  </si>
  <si>
    <t>AREA TECNICA</t>
  </si>
  <si>
    <t>NODE</t>
  </si>
  <si>
    <t>SITE</t>
  </si>
  <si>
    <t>COMDOMÍNIO</t>
  </si>
  <si>
    <t>ENDEREÇO</t>
  </si>
  <si>
    <t>CAIXA MDU</t>
  </si>
  <si>
    <t>Situação</t>
  </si>
  <si>
    <t>Relatório Fotográfico</t>
  </si>
  <si>
    <t>PROJETADO</t>
  </si>
  <si>
    <t>EXECUTADO</t>
  </si>
  <si>
    <t>Serviço</t>
  </si>
  <si>
    <t>Data de entrada</t>
  </si>
  <si>
    <t>REVISÃO NOVA PREVISÃO</t>
  </si>
  <si>
    <t>Relatorio PPT</t>
  </si>
  <si>
    <t>RSCLER0715</t>
  </si>
  <si>
    <t>STD</t>
  </si>
  <si>
    <t>RSETA03</t>
  </si>
  <si>
    <t>ESTRELA</t>
  </si>
  <si>
    <t>RUA TIRADENTES 451</t>
  </si>
  <si>
    <t>STD.022.M020</t>
  </si>
  <si>
    <t>CONCLUÍDO</t>
  </si>
  <si>
    <t>SEM LANÇAMENTO</t>
  </si>
  <si>
    <t>RSCLER0738</t>
  </si>
  <si>
    <t>CLC</t>
  </si>
  <si>
    <t>RSTES02</t>
  </si>
  <si>
    <t>TORRES</t>
  </si>
  <si>
    <t>RUA BORGES DE MEDEIRO, 212</t>
  </si>
  <si>
    <t>CLC022-M6</t>
  </si>
  <si>
    <t>MAQUENZE</t>
  </si>
  <si>
    <t>RSCLER0739</t>
  </si>
  <si>
    <t xml:space="preserve">BVSAB </t>
  </si>
  <si>
    <t>PAE NR</t>
  </si>
  <si>
    <t>RUA ARARUAMA, 805</t>
  </si>
  <si>
    <t>BVSAB.301.M010</t>
  </si>
  <si>
    <t>COBRAR DENTRO DO NODE VJDAEA</t>
  </si>
  <si>
    <t>RSCLER0747</t>
  </si>
  <si>
    <t>R Itaboraí 101</t>
  </si>
  <si>
    <t>JBOAA.102.M010</t>
  </si>
  <si>
    <t>COBRAR DENTRO DO NODE PETAE</t>
  </si>
  <si>
    <t>RSCLER0750</t>
  </si>
  <si>
    <t xml:space="preserve">TORRES </t>
  </si>
  <si>
    <t>AV ALFIEIRO ZANARDI -135</t>
  </si>
  <si>
    <t>CLC012-M7</t>
  </si>
  <si>
    <t>3 ABERTURA E FECHAMENTO, 6 FUSÕES, 2 TESTES, 2 TESTES OTDR</t>
  </si>
  <si>
    <t>RSCLER0751</t>
  </si>
  <si>
    <t>Avenida Cristóvão Colombo, 1319/1311 - Floresta</t>
  </si>
  <si>
    <t>FLOAA.031.M030</t>
  </si>
  <si>
    <t xml:space="preserve">7 ABERTURA E FECHAMENTO, 13 FUSÃO, 4 TESTE, </t>
  </si>
  <si>
    <t>RSCLER0757</t>
  </si>
  <si>
    <t>Rua Julio de Castilhos, 270</t>
  </si>
  <si>
    <t>CNTAA.061.M050</t>
  </si>
  <si>
    <t>RSCLER0754</t>
  </si>
  <si>
    <t>Rua Ivo Corseuil, 408</t>
  </si>
  <si>
    <t>BVSAB.413.M010</t>
  </si>
  <si>
    <t xml:space="preserve">CATIA  </t>
  </si>
  <si>
    <t>COBRAR DENTRO DO NODE PETADB</t>
  </si>
  <si>
    <t>RSCLER0761</t>
  </si>
  <si>
    <t>RUA ITABORAÍ, 123</t>
  </si>
  <si>
    <t>CNT</t>
  </si>
  <si>
    <t>R Leonardo Truda N;531</t>
  </si>
  <si>
    <t>CNT07-M1</t>
  </si>
  <si>
    <t xml:space="preserve">MAQUENZE  </t>
  </si>
  <si>
    <t>8 ABERTURA E FECHAMENTO, 11 FUSÕES, 2 TESTES.2 TESTES OTDR</t>
  </si>
  <si>
    <t>RSCLER0758</t>
  </si>
  <si>
    <t>R Porto Alegre N;235</t>
  </si>
  <si>
    <t>CLC011-M5</t>
  </si>
  <si>
    <t>FOI LANÇADO 146 METROS DE CABO 12FO AS, 7 ABERTURA E FECHAMENTO, 16 FUSÕES, 2 TESTES E 5 ADEQUAÇÕES DE POSTES.2 TESTES OTDR</t>
  </si>
  <si>
    <t>RSCLER0752</t>
  </si>
  <si>
    <t>VIPAA.041.M010</t>
  </si>
  <si>
    <t>RSCLER0767</t>
  </si>
  <si>
    <t>RUA ITABORAI, 123</t>
  </si>
  <si>
    <t>3 ABERTURA E FECHAMENTO, 9 FUSÕES, 4 TESTES</t>
  </si>
  <si>
    <t>RSCLER0760</t>
  </si>
  <si>
    <t>RUA CHILE, 827</t>
  </si>
  <si>
    <t>JBOAA.081.M040</t>
  </si>
  <si>
    <t>4 ABERTURA E FECHAMENTO, 6 FUSÕES, 2 TESTES</t>
  </si>
  <si>
    <t>RSCLER0753</t>
  </si>
  <si>
    <t>JBQAA</t>
  </si>
  <si>
    <t>RSCHN05</t>
  </si>
  <si>
    <t>CACHOERINHA</t>
  </si>
  <si>
    <t>Rua Eugenio Monteiro, 335</t>
  </si>
  <si>
    <t>JBQAA.021.02.07</t>
  </si>
  <si>
    <t>RUA CEL MANOEL PY, 222</t>
  </si>
  <si>
    <t>CONCLUIDO</t>
  </si>
  <si>
    <t>COBRAR DENTRO DO NODE SJOADB</t>
  </si>
  <si>
    <t>RSCLER0763</t>
  </si>
  <si>
    <t xml:space="preserve">CANOAS </t>
  </si>
  <si>
    <t>LINK RSCAN40</t>
  </si>
  <si>
    <t>RSCLER0764</t>
  </si>
  <si>
    <t>MANOBRA VISIUM (REPETTO)</t>
  </si>
  <si>
    <t>AV TULIO DE ROSE 330, 400</t>
  </si>
  <si>
    <t>VIPAA.041.M020</t>
  </si>
  <si>
    <t>RSCLER0769</t>
  </si>
  <si>
    <t>AV PROTASIO ALVES, 440</t>
  </si>
  <si>
    <t>RBRAA.051.M040</t>
  </si>
  <si>
    <t>RSCLER0001</t>
  </si>
  <si>
    <t>FLOA</t>
  </si>
  <si>
    <t>COND. TREND24</t>
  </si>
  <si>
    <t>AVENIDA 24 DE OUTUBRO, 1440</t>
  </si>
  <si>
    <t>100% - OK</t>
  </si>
  <si>
    <t>-</t>
  </si>
  <si>
    <t>ALINHAMENTO DE FIBRA</t>
  </si>
  <si>
    <t>RSCLER0002</t>
  </si>
  <si>
    <t>COND. BELVEDERE HILLS</t>
  </si>
  <si>
    <t xml:space="preserve">CRISTIANO FISCHER, 590 </t>
  </si>
  <si>
    <t>RSCLER0003</t>
  </si>
  <si>
    <t>MTSAE</t>
  </si>
  <si>
    <t>COND. VENEZA</t>
  </si>
  <si>
    <t xml:space="preserve">RUA ANITA GARIBALDI, 520 </t>
  </si>
  <si>
    <t>RSCLER0004</t>
  </si>
  <si>
    <t>ED. DOM ALBERTO</t>
  </si>
  <si>
    <t>RUA AVAI, 241</t>
  </si>
  <si>
    <t>MARCOS</t>
  </si>
  <si>
    <t>LANÇAMENTO DE 546m (12FO)  E INSTALAÇÃO DE CAIXA NOVA</t>
  </si>
  <si>
    <t>RSCLER0005</t>
  </si>
  <si>
    <t xml:space="preserve">RES. SOLAR MERIDIEN </t>
  </si>
  <si>
    <t>RUA AVAI, 250</t>
  </si>
  <si>
    <t>LANÇAMENTO DE 142m (12FO) E FUSÕES EM CAIXAS EXISTENTES</t>
  </si>
  <si>
    <t>RSCLER0006</t>
  </si>
  <si>
    <t>CNTADBB</t>
  </si>
  <si>
    <t xml:space="preserve">ED. IMPERADOR </t>
  </si>
  <si>
    <t xml:space="preserve">RUA CRISTOVÃO COLOMBO, 516 </t>
  </si>
  <si>
    <t xml:space="preserve">LANÇAMENTO DE 340m (12FO) </t>
  </si>
  <si>
    <t>COBRADO</t>
  </si>
  <si>
    <t>RSCLER0007</t>
  </si>
  <si>
    <t>COND. SÃO JOSÉ</t>
  </si>
  <si>
    <t>RUA DOM JOÃO BECKER, 1852</t>
  </si>
  <si>
    <t>LANÇAMENTO DE 1663m (12FO)  E  INSTALAÇÃO DE CAIXA NOVA</t>
  </si>
  <si>
    <t>RSCLER0008</t>
  </si>
  <si>
    <t>COND. LIFT RESIDENCE</t>
  </si>
  <si>
    <t>RUA FAGUNDES VARELA, 200</t>
  </si>
  <si>
    <t>RSCLER0009</t>
  </si>
  <si>
    <t>MURANO RESIDENCE</t>
  </si>
  <si>
    <t>RUA GOMES PORTINHO, 637</t>
  </si>
  <si>
    <t>LANÇAMENTO DE 356m (12FO) E  E INSTALAÇÃO DE CAIXA NOVA</t>
  </si>
  <si>
    <t>RSCLER0010</t>
  </si>
  <si>
    <t xml:space="preserve">ED. JARDIM VILA ROSA </t>
  </si>
  <si>
    <t>RUA JOAQUIM MANOEL MACEDO, 33</t>
  </si>
  <si>
    <t>LANÇAMENTO DE 171m (12FO) E  E INSTALAÇÃO DE CAIXA NOVA</t>
  </si>
  <si>
    <t>RSCLER0011</t>
  </si>
  <si>
    <t>RES. LONDON</t>
  </si>
  <si>
    <t>RUA JULIO BIRCKS, 620</t>
  </si>
  <si>
    <t>2 ABERTURA E EFECHAMENTO,  6 FUSÕES, 5 TETES</t>
  </si>
  <si>
    <t>RSCLER0012</t>
  </si>
  <si>
    <t>PREVIDENCIA</t>
  </si>
  <si>
    <t>RUA JULIO DE CASTILHO, 250</t>
  </si>
  <si>
    <t>LANÇAMENTO DE 96m (12FO) E  E INSTALAÇÃO DE CAIXA NOVA</t>
  </si>
  <si>
    <t>RSCLER0013</t>
  </si>
  <si>
    <t>GALERIA ACI-NHO</t>
  </si>
  <si>
    <t>RUA JULIO DE CASTILHO, 351</t>
  </si>
  <si>
    <t>RSCLER0014</t>
  </si>
  <si>
    <t xml:space="preserve">TORRE CORAL </t>
  </si>
  <si>
    <t>RUA PEDRO ADAMS FILHO, 5757</t>
  </si>
  <si>
    <t>LANÇAMENTO DE 151m (12FO) E  E INSTALAÇÃO DE CAIXA NOVA</t>
  </si>
  <si>
    <t>RSCLER0015</t>
  </si>
  <si>
    <t>ED. SAINT PAUL</t>
  </si>
  <si>
    <t>RUA PEDRO ALVARES CABRAL, 590</t>
  </si>
  <si>
    <t>LANÇAMENTO DE 342m (12FO) E  E INSTALAÇÃO DE CAIXA NOVA</t>
  </si>
  <si>
    <t>RSCLER0016</t>
  </si>
  <si>
    <t>COND. PEDRO ALVARES CABRAL</t>
  </si>
  <si>
    <t>RUA PEDRO ALVARES CABRAL, 608</t>
  </si>
  <si>
    <t>RSCLER0017</t>
  </si>
  <si>
    <t>EDIFICO SÃO GABRIEL</t>
  </si>
  <si>
    <t>RUA PEDRO ALVARES CABRAL, 638</t>
  </si>
  <si>
    <t>RSCLER0018</t>
  </si>
  <si>
    <t>COND. SÃO MATHEUS II</t>
  </si>
  <si>
    <t>RUA SÃO MATHEUS, 456</t>
  </si>
  <si>
    <t>RSCLER0019</t>
  </si>
  <si>
    <t xml:space="preserve">COND. ATILA PAIVA </t>
  </si>
  <si>
    <t>RUA SILVERIO, 373</t>
  </si>
  <si>
    <t>RSCLER0020</t>
  </si>
  <si>
    <t>PARQUE PORTO MARABELLA</t>
  </si>
  <si>
    <t>RUA VISCONDE DE SÃO LEOPOLDO, 266</t>
  </si>
  <si>
    <t>JORGE MATHEUS</t>
  </si>
  <si>
    <t>LANÇAMENTO DE 400m (12FO) E  E INSTALAÇÃO DE CAIXA NOVA</t>
  </si>
  <si>
    <t>RSCLER0021</t>
  </si>
  <si>
    <t>COTIZA FLORESTA</t>
  </si>
  <si>
    <t>AVENIDA CRISTOVÃO COLOMBO, 1800</t>
  </si>
  <si>
    <t>3 ABERTURA E FECHAMENTO, 3 FUSÕES, 2 TESTE, 1 TESTE  COM OTDR, 1  CEO, 1 DERIVAÇÃO. ( FIBRA ESTAVA PARADA NO CAMINHO0.</t>
  </si>
  <si>
    <t>RSCLER0022</t>
  </si>
  <si>
    <t>CLTAA</t>
  </si>
  <si>
    <t>RESCIDENCE DU LAC</t>
  </si>
  <si>
    <t>AVENIDA DIÁRIO DE NOTICIAS, 200</t>
  </si>
  <si>
    <t>RODRIGO PEREIRA</t>
  </si>
  <si>
    <t>INSTALAÇÃO DE CAIXA NOVA</t>
  </si>
  <si>
    <t>RSCLER0023</t>
  </si>
  <si>
    <t>AVENIDA DIÁRIO DE NOTICIAS, 400</t>
  </si>
  <si>
    <t>LANÇAMENTO DE 1900m (24FO) E INSTALAÇÃO DE CAIXA NOVA</t>
  </si>
  <si>
    <t>RSCLER0024</t>
  </si>
  <si>
    <t>AVENIDA DIÁRIO DE NOTICIAS, 500</t>
  </si>
  <si>
    <t>LANÇAMENTO DE 250m (24FO)  E INSTALAÇÃO DE CAIXA NOVA</t>
  </si>
  <si>
    <t>RSCLER0025</t>
  </si>
  <si>
    <t>ED. DIAMANTINA</t>
  </si>
  <si>
    <t>AVENIDA MARIANTE, 1076</t>
  </si>
  <si>
    <t>RSCLER0026</t>
  </si>
  <si>
    <t>RES. FOUR SEASONS RESIDENCE</t>
  </si>
  <si>
    <t>AVENIDA MAURICIO CARDOSO, 2002</t>
  </si>
  <si>
    <t>1 ABERTURA E FECHAMENTO, 8 FUSÕES, 1 DERIVAÇÃO , 1  INST. CEO  4 TESTES, 250M 12FO - NECESSÁRIO FAZER AS BUILT</t>
  </si>
  <si>
    <t>RSCLER0027</t>
  </si>
  <si>
    <t>COND. VIVENDA ECOVILLE</t>
  </si>
  <si>
    <t>AVENIDA WILLY EUGÊNIO FLECK, 1500</t>
  </si>
  <si>
    <t>IVANIR - NEYMAR</t>
  </si>
  <si>
    <t>1 ABERTURA E FECHAMENTO, 12 FUSÕES, 1 INST. CEO, 6 TESTES, 980M 12FO</t>
  </si>
  <si>
    <t>RSCLER0028</t>
  </si>
  <si>
    <t>CLUBE FARRAPOS</t>
  </si>
  <si>
    <t>CRISTIANO FISCHER, 1331</t>
  </si>
  <si>
    <t>LANÇAMENTO DE 850m (12FO) E INSTALAÇÃO DE CAIXA NOVA</t>
  </si>
  <si>
    <t>RSCLER0029</t>
  </si>
  <si>
    <t>CMQAJ</t>
  </si>
  <si>
    <t>COND. THE SUN</t>
  </si>
  <si>
    <t>DR. BARCELOS, 2434</t>
  </si>
  <si>
    <t xml:space="preserve">PAULO GOMES </t>
  </si>
  <si>
    <t>1 ABERTURA E FECHAMENTO, 4 FUSÕES, 2 DERIVAÇÃO, 1 INST. CEO, 4 TESTES, 1 TESTE COM OTDR, 250M 12FO</t>
  </si>
  <si>
    <t>RSCLER0030</t>
  </si>
  <si>
    <t>MTSAOB</t>
  </si>
  <si>
    <t>ED. ROVENA</t>
  </si>
  <si>
    <t xml:space="preserve">DR. NILO PEÇANHA, 550 </t>
  </si>
  <si>
    <t>MTSAA.152.M060</t>
  </si>
  <si>
    <t>LANÇAMENTO DE 496m (12FO) E INSTALAÇÃO DE CAIXA NOVA</t>
  </si>
  <si>
    <t>RSCLER0031</t>
  </si>
  <si>
    <t>RES. MARIO QUINTANA</t>
  </si>
  <si>
    <t>ENG. FERNANDO MENDES RIBEIRO. 250</t>
  </si>
  <si>
    <t>LANÇAMENTO DE 296m (12FO) E INSTALAÇÃO DE CAIXA NOVA</t>
  </si>
  <si>
    <t>RSCLER0032</t>
  </si>
  <si>
    <t>RES. PARTHENON</t>
  </si>
  <si>
    <t>JOAQUIM PEDRO SORARES, 175</t>
  </si>
  <si>
    <t>3 ABERTURA E FECHAMENTO, 5 FUSÕES, 1 DERIVAÇÃO, 1 CEO, 5 TESTES, 2 TESTES COM OTDR, 339M 12FO. ( FOI TESTADO COM OTDR, FIBRA ESTAVA ABERTA E QUEBRADA NA ESTÇÃO</t>
  </si>
  <si>
    <t>RSCLER0033</t>
  </si>
  <si>
    <t>CARLOS KONRDORFER</t>
  </si>
  <si>
    <t>JOAQUIM PEDRO SORARES, 246</t>
  </si>
  <si>
    <t>1 ABERTURA E FECHAMENTO, 3 FUSÕES, 3 TESTES</t>
  </si>
  <si>
    <t>RSCLER0034</t>
  </si>
  <si>
    <t xml:space="preserve">CALÇADÃO OSVALDO CRUZ (GAL. NETO) </t>
  </si>
  <si>
    <t>PASSEIO CALÇADÃO OSVALDO CRUZ, 26</t>
  </si>
  <si>
    <t>TESTE DE FIBRA</t>
  </si>
  <si>
    <t>RSCLER0035</t>
  </si>
  <si>
    <t>PASSEIO CALÇADÃO OSVALDO CRUZ, 39</t>
  </si>
  <si>
    <t>RSCLER0036</t>
  </si>
  <si>
    <t>PASSEIO CALÇADÃO OSVALDO CRUZ, 40</t>
  </si>
  <si>
    <t>RSCLER0037</t>
  </si>
  <si>
    <t>PASSEIO CALÇADÃO OSVALDO CRUZ, 54</t>
  </si>
  <si>
    <t>LANÇAMENTO DE 200m (12FO) E INSTALAÇÃO DE CAIXA NOVA</t>
  </si>
  <si>
    <t>RSCLER0038</t>
  </si>
  <si>
    <t>COND. AUGUSTO MEIRELES DE CARVALHO</t>
  </si>
  <si>
    <t>RUA ANITA GARIBALDI, 2541</t>
  </si>
  <si>
    <t>LANÇAMENTO DE 220m (12FO)  E FUSÕES EM CAIXAS EXISTENTES</t>
  </si>
  <si>
    <t>RSCLER0039</t>
  </si>
  <si>
    <t>RUA BAGÉ, 81</t>
  </si>
  <si>
    <t>2 ABERTURA E FECHAMENTO, 6 FUSÕES, 3 TESTES, 1 TESTE COM OTDR</t>
  </si>
  <si>
    <t>RSCLER0040</t>
  </si>
  <si>
    <t>COND. CRISTAL DA LAGOA</t>
  </si>
  <si>
    <t>RUA CEL. MASSOT, 520</t>
  </si>
  <si>
    <t>FÁBIO AMARILIO</t>
  </si>
  <si>
    <t>LANÇAMENTO DE 600m (12FO) E INSTALAÇÃO DE CAIXA NOVA</t>
  </si>
  <si>
    <t>RSCLER0041</t>
  </si>
  <si>
    <t>COND. YELLOW RESIDENCE</t>
  </si>
  <si>
    <t>RUA CRISTIANO FISCHER, 1362</t>
  </si>
  <si>
    <t>NEIMAR LUCERO - VANIR DE OLIVEIRA</t>
  </si>
  <si>
    <t>LANÇAMENTO DE 200m (12FO)  E INSTALAÇÃO DE CAIXA NOVA</t>
  </si>
  <si>
    <t>RSCLER0042</t>
  </si>
  <si>
    <t>COND. GOMES DE FREITAS</t>
  </si>
  <si>
    <t>RUA GOMES DE FREITAS, 315</t>
  </si>
  <si>
    <t>PAULO GOMEES</t>
  </si>
  <si>
    <t>1 ABERTURA E FECHAMENTO, 12 FUSÕES, 1 DERIVAÇÃO, 1 CEO, 6 TESTES, 118M DE 12FO, 2 TESTES COM OTDR. ( FIBRA ESTAVA PARADA NO SITE)</t>
  </si>
  <si>
    <t>RSCLER0043</t>
  </si>
  <si>
    <t>HUMBERTO DE CAMPOS</t>
  </si>
  <si>
    <t>RUA HUMBERTO DE CAMPOS, 601</t>
  </si>
  <si>
    <t>LANÇAMENTO DE 629m (12FO) E INSTALAÇÃO DE CAIXA NOVA</t>
  </si>
  <si>
    <t>RSCLER0044</t>
  </si>
  <si>
    <t>COND. RESERVA ITAPEVA</t>
  </si>
  <si>
    <t>RUA ITAPEVA, 151</t>
  </si>
  <si>
    <t>NÃO TEVE LANÇAMENTO/ 2 ABERTURA E FECHAMENTO / 2 FUSÃO / 2 TESTE</t>
  </si>
  <si>
    <t>RSCLER0045</t>
  </si>
  <si>
    <t>ED. MINUETO</t>
  </si>
  <si>
    <t>RUA JACINTO GOMES, 194 - SANTANA</t>
  </si>
  <si>
    <t>RSCLER0046</t>
  </si>
  <si>
    <t>COND. BARBIERI</t>
  </si>
  <si>
    <t>RUA MARCÍLIO DIAS, 1500</t>
  </si>
  <si>
    <t>RSCLER0047</t>
  </si>
  <si>
    <t>ED. MARCO POLO</t>
  </si>
  <si>
    <t>RUA MARCO POLO, 360</t>
  </si>
  <si>
    <t>RSCLER0048</t>
  </si>
  <si>
    <t>CNTAK</t>
  </si>
  <si>
    <t>COND. TOCANTINS</t>
  </si>
  <si>
    <t>RUA MARECHAL FLORIANO PEIXOTO, 501</t>
  </si>
  <si>
    <t>LANÇAMENTO DE 215m (12FO) E FUSÕES EM CAIXAS EXISTENTES</t>
  </si>
  <si>
    <t>RSCLER0049</t>
  </si>
  <si>
    <t>COND. LA SCULTURA</t>
  </si>
  <si>
    <t>RUA MARILAND, 136</t>
  </si>
  <si>
    <t>EM ANDAMENTO</t>
  </si>
  <si>
    <t>RSCLER0050</t>
  </si>
  <si>
    <t>COND. RESERVA PETRÓPOLIS</t>
  </si>
  <si>
    <t>RUA MARIO LEITÃO, 60</t>
  </si>
  <si>
    <t>LANÇAMENTO DE 600m (12FO) E FUSÕES EM CAIXAS EXISTENTES</t>
  </si>
  <si>
    <t>RSCLER0051</t>
  </si>
  <si>
    <t>MORADA DA ENCOSTA</t>
  </si>
  <si>
    <t>RUA MONROE, 179</t>
  </si>
  <si>
    <t>LANÇAMENTO DE 870m (12FO) E INSTALAÇÃO DE CAIXA NOVA</t>
  </si>
  <si>
    <t>RSCLER0052</t>
  </si>
  <si>
    <t>RUA MONROE, 181</t>
  </si>
  <si>
    <t>RSCLER0053</t>
  </si>
  <si>
    <t>COND. ILHAS DO SUL</t>
  </si>
  <si>
    <t>RUA PA. JOÃO BATISTA RÉUS, 3647</t>
  </si>
  <si>
    <t>RSCLER0054</t>
  </si>
  <si>
    <t>ED. LUIZ AUGUSTO</t>
  </si>
  <si>
    <t>RUA PRIMEIRO DE SETEMBRO, 166</t>
  </si>
  <si>
    <t>LANÇAMENTO DE 300m (12FO) E INSTALAÇÃO DE CAIXA NOVA</t>
  </si>
  <si>
    <t>RSCLER0055</t>
  </si>
  <si>
    <t>COND. LE PREMIER</t>
  </si>
  <si>
    <t>RUA SÃO LUIS, 686</t>
  </si>
  <si>
    <t>?</t>
  </si>
  <si>
    <t>2 ABERTURA E FECHAMENTO, 5 FUSÕES, 5 TESTES</t>
  </si>
  <si>
    <t>RSCLER0056</t>
  </si>
  <si>
    <t>ED. FIRENZE</t>
  </si>
  <si>
    <t>RUA SILVERIO, 344</t>
  </si>
  <si>
    <t>PAULO GOMES/FABIO AMARILHO</t>
  </si>
  <si>
    <t>2 ABERTURA E FECHAMENTO, 2 FUSÕES, 1 TESTE</t>
  </si>
  <si>
    <t>RSCLER0057</t>
  </si>
  <si>
    <t>abela</t>
  </si>
  <si>
    <t>COND. VICTORIA HOUSES</t>
  </si>
  <si>
    <t>RUA TOCANTINS, 1120</t>
  </si>
  <si>
    <t xml:space="preserve">LANÇAMENTO DE 500 (12FO) </t>
  </si>
  <si>
    <t>RSCLER0058</t>
  </si>
  <si>
    <t>COND. CONDADO DOS SONHOS</t>
  </si>
  <si>
    <t>RUA TOCANTINS, 600</t>
  </si>
  <si>
    <t xml:space="preserve">LANÇAMENTO DE 975m (12FO) </t>
  </si>
  <si>
    <t>RSCLER0059</t>
  </si>
  <si>
    <t>COND. GRUNWALD</t>
  </si>
  <si>
    <t>RUA TOCANTINS, 869</t>
  </si>
  <si>
    <t xml:space="preserve">LANÇAMENTO DE 785m (12FO) </t>
  </si>
  <si>
    <t>RSCLER0060</t>
  </si>
  <si>
    <t>COND. LA VILLE</t>
  </si>
  <si>
    <t>RUA TOCANTINS, 937</t>
  </si>
  <si>
    <t xml:space="preserve">LANÇAMENTO DE 220m (12FO)   </t>
  </si>
  <si>
    <t>RSCLER0061</t>
  </si>
  <si>
    <t>RES. VISCONDE DE PELOTAS</t>
  </si>
  <si>
    <t>RUA VISCONDE DE PELOTAS, 259</t>
  </si>
  <si>
    <t>RSCLER0062</t>
  </si>
  <si>
    <t>COND. SWITCH</t>
  </si>
  <si>
    <t>AVENIDA INDEPENDENCIA, 1053</t>
  </si>
  <si>
    <t>LANÇAMENTO DE 200 METROS (12FO) / 4 FUSÃO / 2 TESTE / 2 ABERTURA E FECHAMENTO / 1 CX NOVA</t>
  </si>
  <si>
    <t>RSCLER0063</t>
  </si>
  <si>
    <t>TRZAK</t>
  </si>
  <si>
    <t xml:space="preserve">OTTO 2500 SHOPPING </t>
  </si>
  <si>
    <t>AVENIDA OTTO NIEMEYER, 2500</t>
  </si>
  <si>
    <t>NEYMAR</t>
  </si>
  <si>
    <t>1 ABERTURA E FECHAMENTO, 10 FUSÕES, 4 TESTES, 1 CEO, 1 DERIVAÇÃO. ( COBRAR MANUTENÇÃO, TIVEMOS QUE VOLTAR E FAZER FUSÃO E MDU).</t>
  </si>
  <si>
    <t>RSCLER0064</t>
  </si>
  <si>
    <t>LIFE SQUARE</t>
  </si>
  <si>
    <t>AVENIDA PLINIO BRASIL MILANO, 1310</t>
  </si>
  <si>
    <t>531  METROS DE CABO/ 4 FUSÃO / 2 TESTE / 1 CX NOVA / 2 ABERTURA E FECHAMENTO</t>
  </si>
  <si>
    <t>RSCLER0065</t>
  </si>
  <si>
    <t>FABIANO - COOP MATALÚRGICOS</t>
  </si>
  <si>
    <t>RUA 3112, LOT COOMETAL 36</t>
  </si>
  <si>
    <t>1 ABERTURA E FECHAMENTO, 2 FUSÕES, 1 TESTE, 1 DERIVAÇÃO, 1 CTO, 350M 12FO</t>
  </si>
  <si>
    <t>RSCLER0066</t>
  </si>
  <si>
    <t>COND. LIVILE</t>
  </si>
  <si>
    <t>RUA CAEMIRO DE ABREU, 1655</t>
  </si>
  <si>
    <t>2 ABERTURA E FECHAMENTO, 8 FUSÕES, 1 DERIVAÇÃO, 1 CEO, 4 TESTES, 145M DE 12FO, 2 TESTES COM OTDR. ( FIBRA ESTAVA PARADA NO CAMINHO)</t>
  </si>
  <si>
    <t>RSCLER0067</t>
  </si>
  <si>
    <t xml:space="preserve">ED. SOLAR BÉLDEVERE </t>
  </si>
  <si>
    <t>RUA CASEMIRO DE ABREU, 1668</t>
  </si>
  <si>
    <t>1 ABERTURA E FECHAMENTO, 8 FUSÕES, 4 TETES. ( ALINHAMENTO DE FIBRA)</t>
  </si>
  <si>
    <t>RSCLER0068</t>
  </si>
  <si>
    <t>GERIATRIA</t>
  </si>
  <si>
    <t>RUA DOM DIOGO DE SOUZA, 680</t>
  </si>
  <si>
    <t>4 ABERTURA E FECHAMENTO, 5 FUSÕES, 3 TESTE COM OTDR. ( FIBRA PARADA EM 2 CAIXA E 1 FIBRA NO SITE)</t>
  </si>
  <si>
    <t>RSCLER0069</t>
  </si>
  <si>
    <t>EDF. TEENÁ</t>
  </si>
  <si>
    <t>RUA ENG. ILDEFONSO SIMÕES LOPES, 190</t>
  </si>
  <si>
    <t>LANÇAMENTO DE 600 METROS (12FO)  / 2 ABERTURA E FECHAMENTO / 6 FUSÃO / 3 TESTE / 1 CX NOVA.</t>
  </si>
  <si>
    <t>RSCLER0070</t>
  </si>
  <si>
    <t>COND. BELO MORANO</t>
  </si>
  <si>
    <t>RUA JEAN VARDARAMATOS, 130</t>
  </si>
  <si>
    <t>JUAN</t>
  </si>
  <si>
    <t>1 ABERTO E FECHAMENTO,  13 FUSÕES, 1 DERIVAÇÃO, 1 INST. NOVA, 6 CTOS, 6 TESTES, 896M 12FO</t>
  </si>
  <si>
    <t>12/042023</t>
  </si>
  <si>
    <t>RSCLER0071</t>
  </si>
  <si>
    <t>COND. MARIO TOTTA</t>
  </si>
  <si>
    <t>RUA MARIO TOTTA, 382</t>
  </si>
  <si>
    <t>1 FUSÃO,  1 CEO</t>
  </si>
  <si>
    <t>RSCLER0072</t>
  </si>
  <si>
    <t>COND. PORTO CRISTAL</t>
  </si>
  <si>
    <t>RUA MONTE ARRAES, 300</t>
  </si>
  <si>
    <t xml:space="preserve">LANÇAMENTO DE 305 METROS (12FO) / 2 ABERTURA E FECHAMENTO                                                                                                                                                                                                                                                                                                                                                                                                                                                                                                                                                                             / 4 FUSÃO / 2 TESTE / 1 CX NOVA. </t>
  </si>
  <si>
    <t>RSCLER0073</t>
  </si>
  <si>
    <t>COND. ÁGUAS CLARAS</t>
  </si>
  <si>
    <t>RUA MSN VERAS, 412</t>
  </si>
  <si>
    <t>2 ABERTURA E FECHAMENTO, 1 FUSÃO, 1 TESTE</t>
  </si>
  <si>
    <t>RSCLER0074</t>
  </si>
  <si>
    <t>COND. CASA VISTA</t>
  </si>
  <si>
    <t>RUA PEDRO CHAVES BARCELOS, 655</t>
  </si>
  <si>
    <t>LANÇADO 158 METROS DE CABO 12FO / 1 ABERTURA E FECHAMENTO / 6 FFUSÃO / 3 TESTE OBS: FOI LANÇADO CABO PORQUE A CAIXA NÃO ESTAV NO LOCAL CORRETO</t>
  </si>
  <si>
    <t>RSCLER0075</t>
  </si>
  <si>
    <t>COND. PORTO DO PLANALTO</t>
  </si>
  <si>
    <t>RUA TENENTE ARY TARRAGO, 2080</t>
  </si>
  <si>
    <t>LANÇAMENTO DE 199 METROS (12FO) / 3 ABERTURA E FECHAMENTO / 8 FUSÃO / 4 TESTE / 1 CX NOVA</t>
  </si>
  <si>
    <t>RSCLER0076</t>
  </si>
  <si>
    <t>ZNAA</t>
  </si>
  <si>
    <t>COND. ENERGIE</t>
  </si>
  <si>
    <t>RUA VEREADOR PORTO, 753</t>
  </si>
  <si>
    <t>3 ABERTURA E FECHAMENTO,  12 FUSÕES,  1 DERIVAÇÃO, 1 INST. CEO, 5 TESTES, 42M 12FO. ( TINHA 1 FIBRA SECUNDÁRIA QUEBRADA, FEITO 1 FUSÃO A MAIS )</t>
  </si>
  <si>
    <t>RSCLER0077</t>
  </si>
  <si>
    <t>PARQUE PANAMBI</t>
  </si>
  <si>
    <t xml:space="preserve"> R NICOLA MATHIAS FALCI 151</t>
  </si>
  <si>
    <t>RSCLER0078</t>
  </si>
  <si>
    <t>BASE CANOAS</t>
  </si>
  <si>
    <t>RUA DOUTOR SEZEFREDO AZAMBUZA VIEIRA</t>
  </si>
  <si>
    <t>1 ABERTURA E FECHAMENTO, 2 FUSÕES, 1 CTO, 1 DERIVAÇÃO, 339M  DE 12FO</t>
  </si>
  <si>
    <t>RSCLER0079</t>
  </si>
  <si>
    <t>SRDAAL</t>
  </si>
  <si>
    <t>COND. JARDINS DO NORTE</t>
  </si>
  <si>
    <t>RUA ROBERTO JUNG, 130</t>
  </si>
  <si>
    <t>4 ABERTURA E FECHAMENTO, 1 CEO, 7 FUSÕES, 3 TESTES, 1 TESTE COM OTDR, 1 DERIVAÇÃO, 75M 24FO. ( FOI SOLICITADO PARA FAZER RUA NOBERTO JUNG, FOI ACRESCENTADO A RUA PROFESSOR JOABER PEREIRA, PARA O ALINHAMENTO DA FIBFRA RBTAA.102.13 )</t>
  </si>
  <si>
    <t>RSCLER0080</t>
  </si>
  <si>
    <t xml:space="preserve">SJOAF </t>
  </si>
  <si>
    <t>PRIME WISH</t>
  </si>
  <si>
    <t>AV CEARÁ 1664</t>
  </si>
  <si>
    <t>510 METROS LANÇADO E ESPINADO / 1 ABERTURA E FECHAMENTO/ 3 FUSÃO / 2 CX NOVA / 3 TESTE OBS: TEVE 2 CX NOVAS, POIS CRIAMOS OUTRA  T010</t>
  </si>
  <si>
    <t>RSCLER0081</t>
  </si>
  <si>
    <t>CBXAIB</t>
  </si>
  <si>
    <t xml:space="preserve"> ALBERTO TORRES, 134</t>
  </si>
  <si>
    <t>R ALBERTO TORRES 134</t>
  </si>
  <si>
    <t>2 ABERTURA E FECHAMENTO / 4 FUSÃO / 4 TESTE</t>
  </si>
  <si>
    <t>RSCLER0082</t>
  </si>
  <si>
    <t>SOLAR WALLIG - TUMELERO</t>
  </si>
  <si>
    <t xml:space="preserve"> RUA JOÃO WALLIG, 306</t>
  </si>
  <si>
    <t>225 METROS CABO 12FO LANÇADO E ESPINADO / 2 ABERTURA E FECHAMENTO / 4 FUSÃO / 4 TESTE / 1 CX NOVA</t>
  </si>
  <si>
    <t>RSCLER0083</t>
  </si>
  <si>
    <t>SSOAFA</t>
  </si>
  <si>
    <t>COND. ED. CENNARIO LINDOIA</t>
  </si>
  <si>
    <t xml:space="preserve"> RUA LUIZ SIEGMANN, 160</t>
  </si>
  <si>
    <t>2 ABERTURA E FECHAMENTO / 4 FUSÃO / 1 CX NOVA / 2 TESTE</t>
  </si>
  <si>
    <t>RSCLER0084</t>
  </si>
  <si>
    <t>COND. PATEO LINDOIA</t>
  </si>
  <si>
    <t xml:space="preserve"> RUA LUIZ SIEGMANN, 30</t>
  </si>
  <si>
    <t>190 METROS LANÇADO / 190 METROS ESPINADO / 1 ABERTURA E FECHAMENTO /  1 CX NOVA / 2 FUSÃO / 1 TESTE</t>
  </si>
  <si>
    <t>RSCLER0085</t>
  </si>
  <si>
    <t xml:space="preserve"> COND. ED. MONTREAL</t>
  </si>
  <si>
    <t>RUA MARIZ E BARROS, 62</t>
  </si>
  <si>
    <t>2 ABERTURA E FECHAMENTO / 2 FUSÃO / 2 TESTE</t>
  </si>
  <si>
    <t>RSCLER0086</t>
  </si>
  <si>
    <t xml:space="preserve">COND. URUGUAI </t>
  </si>
  <si>
    <t>RUA PALMIRA GOBBI 855/885/925/945</t>
  </si>
  <si>
    <t>RSCLER0087</t>
  </si>
  <si>
    <t xml:space="preserve"> WASHINGTON LUIZ; 756</t>
  </si>
  <si>
    <t>RUA WASHINGTON LUIZ, 756</t>
  </si>
  <si>
    <t>218 METROS DE 12FO / 2 ABERTURA E FECHAMENTO / 8 FUSÃO /8 TESTE / 1 CX NOVA</t>
  </si>
  <si>
    <t>RSCLER0088</t>
  </si>
  <si>
    <t>FEEIA</t>
  </si>
  <si>
    <t>SÃO LEOPOLDO</t>
  </si>
  <si>
    <t xml:space="preserve"> NAP LOTADA</t>
  </si>
  <si>
    <t>RUA JOÃO CARLOS  LOUREIRO DE ARAUJO, 55 - FEITORIA</t>
  </si>
  <si>
    <t>RSCLER0089</t>
  </si>
  <si>
    <t>CONDOMINIO PALA I</t>
  </si>
  <si>
    <t>RUA PORTUGAL, 1297</t>
  </si>
  <si>
    <t>FALTA TESTE/ 2 ABERTURA E FECHAMENTO / 5 FUSÃO / 4 TESTE/ LANÇADO 150 METROS DE CABO 24FO</t>
  </si>
  <si>
    <t>RSCLER0090</t>
  </si>
  <si>
    <t>COD. RESIDENCIAL DALTO FILHO</t>
  </si>
  <si>
    <t>AV. GEN DALTO FILHO 1575</t>
  </si>
  <si>
    <t xml:space="preserve">2 ABERTURA E FECHAMENTO / 2 FUSÃO / 2 TESTE </t>
  </si>
  <si>
    <t>RSCLER0091</t>
  </si>
  <si>
    <t>TREND 24 RESIDENCE</t>
  </si>
  <si>
    <t xml:space="preserve"> RUA MARILAND, 707 - 777</t>
  </si>
  <si>
    <t>710 METROS DE CABO 48FO / 4 ABERTURA E FECHAMENTO / 6 FUSÃO / 2 TESTE / 2 DERIVAÇÃO</t>
  </si>
  <si>
    <t>RSCLER0092</t>
  </si>
  <si>
    <t>JCVAB</t>
  </si>
  <si>
    <t xml:space="preserve">COND. LUGGO JARDIM CARVALHO </t>
  </si>
  <si>
    <t>RUA MARIA QUEITÉRIA DE JESUS, 215</t>
  </si>
  <si>
    <t>534 METROS / 3 ABERTURA E FECHAMENTO / 3 FUSÃO / 1 CX NOVA / 1 TESTE / 1 DERIVAÇÃO</t>
  </si>
  <si>
    <t>RSCLER0093</t>
  </si>
  <si>
    <t>COND. URBANO</t>
  </si>
  <si>
    <t>RUA SÃO MANOEL 2061</t>
  </si>
  <si>
    <t xml:space="preserve">JEFERSON </t>
  </si>
  <si>
    <t>ESTA ATENUADO, VOLTAR PARA TESTAR / 185 METROS DE CABO LANÇADO E ESPINADO / 6 FUSÃO / 3 TESTE / 1 CX NOVA / 1 DERIVAÇÃO / 2 ABERTURA E FECHAMENTO.</t>
  </si>
  <si>
    <t>RSCLER0094</t>
  </si>
  <si>
    <t xml:space="preserve"> R JOSE DO PATROCINIO 132</t>
  </si>
  <si>
    <t>A FIBRA ESTA FUSIONADA RETA, DEIXANDO O CABO DE 12 FO COM INSUFICIENCIA PARA ATENDER E NA FOSC M TA QUEBRADA NO PÉ, 2 ABERTURA E FECHAMENTO / 9 FUSÃO / 4 TESTE / 1 DERIVAÇÃO.</t>
  </si>
  <si>
    <t>RSCLER0095</t>
  </si>
  <si>
    <t>ATMOSFERA</t>
  </si>
  <si>
    <t>AV. PRAIA DE BELAS, 2024</t>
  </si>
  <si>
    <t>ESSE MDU ESTA COM INSUFICIENCIA DE FIBRA / PARA FINALIZAR ESSE MDU SERÁ NECESSARIO LANÇAR OUTRO CABO DE 24FO DA CAIXA TRONCAL MNDAA112 ATÉ A MNDAA.115, POIS NA EPOCA FOI CONSTRUIDO COM UM CABO DE 12FO. 347 METROS DE CABO 24FO, 200 METROS DE CABO 24FO / 15 FUSÃO / 5 TESTE / 3 DERIVAÇÃO / 2 ABERTURA E FECHAMENTO</t>
  </si>
  <si>
    <t>RSCLER0096</t>
  </si>
  <si>
    <t>COND. RESERVA DOS EUCALIPTOS II</t>
  </si>
  <si>
    <t xml:space="preserve"> RUA ANTÔNIOLOURENÇO ROSA,  187</t>
  </si>
  <si>
    <t>JORGE MATEUS (350 METROS) / JEFERSON (725 METROS)</t>
  </si>
  <si>
    <t>LANÇADO 1072 METROS CABO 12FO  / LANÇADO 300 METROS DE CORDOALHA / 1 ABERTURA E FECHAMENTO / 1 DERIVAÇÃO / 4 FUSÃO / 1 CX NOVA OBS: FOI LANÇADO CABO DE 12FO ATÉ A TRONCAL 111, POIS 111 A020 FOI CANCELADA.</t>
  </si>
  <si>
    <t>RSCLER0097</t>
  </si>
  <si>
    <t xml:space="preserve"> VIVENDAS DO PARQUE</t>
  </si>
  <si>
    <t>R ANITA GARIBALDI 2340</t>
  </si>
  <si>
    <t>3 ABERTURA E FECHAMENTO, 2 FUSÃO , 1 TESTE</t>
  </si>
  <si>
    <t>RSCLER0098</t>
  </si>
  <si>
    <t xml:space="preserve">MARACAIBO, 95 </t>
  </si>
  <si>
    <t xml:space="preserve">RUA MARACAIBO, 95 </t>
  </si>
  <si>
    <t>3 ABERTURA E FECHAMENTO / 8 FUSÃO / 4 TESTE</t>
  </si>
  <si>
    <t>RSCLER0099</t>
  </si>
  <si>
    <t xml:space="preserve">COND. JARDIM MARQUESA DE SANTOS </t>
  </si>
  <si>
    <t>RUA SAPE 425</t>
  </si>
  <si>
    <t xml:space="preserve">2 ABERTURA E FECHAMENTO, 3 FUSÃO , 3 TESTE </t>
  </si>
  <si>
    <t>RSCLER0100</t>
  </si>
  <si>
    <t>PLENO HOME LIVING</t>
  </si>
  <si>
    <t>AV. ANDARAI, 566</t>
  </si>
  <si>
    <t xml:space="preserve">LANÇADO 320 METROS DE CABO 24FO, 5 ABERTURA E FECHAMENTO, 15 FUSÃO/ 1 CX NOVA / 3 TESTE / 2 TESTE COM OTDR/ FIBRA ESTAVA PARADA NO SITE/ 1 DERIVAÇÃO/ </t>
  </si>
  <si>
    <t>RSCLER0101</t>
  </si>
  <si>
    <t>COND. MANHATTAN</t>
  </si>
  <si>
    <t xml:space="preserve"> RUA SANTA CECÍLIA, 2282</t>
  </si>
  <si>
    <t xml:space="preserve"> LANÇADO 340 MTS DE CABO DE 12FO, 3 ABERTURA E FECHAMENTO, 16 FUSÃO, 1 DERIVAÇÃO, 1 CX NOVA.</t>
  </si>
  <si>
    <t>RSCLER0102</t>
  </si>
  <si>
    <t xml:space="preserve">COOP. HABIT GERALDO SANTANA </t>
  </si>
  <si>
    <t xml:space="preserve"> RUA JOAQUIM DE CARVALHO, 700</t>
  </si>
  <si>
    <t xml:space="preserve"> LANÇADO 534 METROS tmb foi repuxado 300 metros de cabo de 72 para fazer a fist para alimentar o mdu foi feito 2 caixas novas 1 fusão 1 teste 1 derivação</t>
  </si>
  <si>
    <t>RSCLER0103</t>
  </si>
  <si>
    <t xml:space="preserve">Cond Vida Viva Canoas </t>
  </si>
  <si>
    <t>Av Dr Sezefredo Azambuja Vieira 2277</t>
  </si>
  <si>
    <t xml:space="preserve">foi lançado um cabo de 12 ,lançado 650 metros de cabo ,tmb foi lancado 78 metros de cordoalha cobrar da claro ,4 abertura e fechamento foram aberta mrdaa.m010,mrd23,mrd01.m020  foram feito 24 fusão porq todas as caixas que foram aberta estava sem fusão  foi feito uma caixa nova tmb e e 7 teste 1 com otdr </t>
  </si>
  <si>
    <t>RSCLER0104</t>
  </si>
  <si>
    <t xml:space="preserve"> APÓSTOLOS, 403 PARTE 1</t>
  </si>
  <si>
    <t>Rua dos Apóstolos 403 PARTE 1</t>
  </si>
  <si>
    <t>LANÇADO 902 METROS DE CABO DE 12FO ESPINADO, 6 ABERTURA E FECHAMENTO, 3 DERIVAÇÃO, 6 FUSÃO , 1 CX NOVA E 1 TESTE</t>
  </si>
  <si>
    <t>RSCLER0105</t>
  </si>
  <si>
    <t>AZNAH</t>
  </si>
  <si>
    <t>ED. GREENWICH</t>
  </si>
  <si>
    <t xml:space="preserve"> AV. ERICO VERISSIMO, 595</t>
  </si>
  <si>
    <t>JORGE MATHUES</t>
  </si>
  <si>
    <t>OBS FOI FEITA  5 ABERTURA E FECHAMENTO , 5 FUSÃO  , 5 TESTE  1 CX NOVA,72 MTS DE CABO DE 12FO ESPINADO</t>
  </si>
  <si>
    <t>RSCLER0112</t>
  </si>
  <si>
    <t xml:space="preserve"> COND. JARDIM MARQUESA DOS SANTOS</t>
  </si>
  <si>
    <t>Gaston Englert 655 a 785</t>
  </si>
  <si>
    <t xml:space="preserve"> lançado 249 metros de cabo de 24 fo foram feitos 5 abertura e fechamentos,12 fusão 1 caixa nova  1 derivação  e 3 testes ,obs fibra tava parado no site por isto teve 5 abertura </t>
  </si>
  <si>
    <t>RSCLER0113</t>
  </si>
  <si>
    <t xml:space="preserve"> COND. ED. RESID MAIS ALTO PETRÓPOLIS</t>
  </si>
  <si>
    <t xml:space="preserve"> AV. GERMANO SCMARCZEK, 100 - MORRO SANTANA</t>
  </si>
  <si>
    <t>JORGE MATEUS</t>
  </si>
  <si>
    <t>FOI LANÇADO 329 METROS DE CABO DE 12FO, 1 CX NOVA, 3 ABERTURA E FECHAMENTO, 12 FUSÃO, 4 TESTE, 1 DERIVAÇÃO.</t>
  </si>
  <si>
    <t>RSCLER0114</t>
  </si>
  <si>
    <t xml:space="preserve">COND. THE ARCH </t>
  </si>
  <si>
    <t>RUA JARDIM SILVA, 785</t>
  </si>
  <si>
    <t>VINICIUS/ DIOGO/ JEFFERSON</t>
  </si>
  <si>
    <t>273 MTS DE CABO DE 12FO ESPINADO / 1 CX NOVA , 3 ABERTURA E FECHAMENTO , 2 DERIVAÇÃO , 4 FUSÃO. OBS: ESSE MDU TEVE ALTERAÇÃO NO PROJETO UNIFILAR, FOI FEITO 2 VEZES, TEVE ALTERAÇÕA DE FIBRA NOVAMENTO</t>
  </si>
  <si>
    <t>RSCLER0115</t>
  </si>
  <si>
    <t>The Highlands</t>
  </si>
  <si>
    <t>Av. Eng Ary de Abreu Lima 500,</t>
  </si>
  <si>
    <t>JORGE MATHEUS/ ALAN GOMES</t>
  </si>
  <si>
    <t>3 ABERTURA  E FECHAMENTO, 3 FUSÃO, 2 CX NOVA, 1 TESTE, LANÇADO 374 METROS DE CABO DE 12FO</t>
  </si>
  <si>
    <t>RSCLER0116</t>
  </si>
  <si>
    <t>SPEADA</t>
  </si>
  <si>
    <t>COND. THE AMBASSADOR</t>
  </si>
  <si>
    <t>R ALBERTO SILVA 355</t>
  </si>
  <si>
    <t xml:space="preserve">NÃO TEVE LANÇAMENTO ,FOI 2 ABERTURA E FECHAMENTO 3 FUSÃO , 3 TETES </t>
  </si>
  <si>
    <t>31/09/2023</t>
  </si>
  <si>
    <t>RSCLER0117</t>
  </si>
  <si>
    <t xml:space="preserve"> COND. SUPREME </t>
  </si>
  <si>
    <t>RUA GRACILIANO RAMOS, 501</t>
  </si>
  <si>
    <t>VINICIUS/ JEFERSON</t>
  </si>
  <si>
    <t>OBS ESTAVA ERRADO O PROJETO  ,VEIO ATUALIZAÇAÕ DIA 04/09 316 MTS DE CABO 12FO ESPINADO, 6 FUSÃO , 3 ABERTURA E FECHAMENTO/ 150 METROS DE CABO DE 12FO ESPINADO /8 ABERTURA E FECHAMENTO / 27 FUSÃO / 1 DERIVAÇÃO / 2 CX NOVA, FOI REPULXADO 312 METROS DE CABO DE 12FO</t>
  </si>
  <si>
    <t>RSCLER0118</t>
  </si>
  <si>
    <t>SEDE OAB</t>
  </si>
  <si>
    <t xml:space="preserve"> AV. CEL MARCOS, 2179</t>
  </si>
  <si>
    <t xml:space="preserve">5 ABERTURA E FECHAMENTO /   5 FUSÃO / 4 TESTE / 1 DERIVAÇÃO / FIZEMOS A FUSÃO DO MDU  </t>
  </si>
  <si>
    <t>RSCLER0119</t>
  </si>
  <si>
    <t>COND. GUARUJÁ</t>
  </si>
  <si>
    <t>AV. ORLEAES, 105</t>
  </si>
  <si>
    <t>MARCOS DUTRA (JLE)</t>
  </si>
  <si>
    <t xml:space="preserve">180 metros de cabo de 12 fo tmb foi lançado 105 metros de cordoalhas cobrar feragem e cordoalha ,foi feita 3 abertura e fechamento 24 fusão  uma fosc nova e 5 teste ,,,obs foi tudo isto de fusão póis o alex pediu para lançar o cabo da cto 23.01.04 deixar sangria na m e fusão na 23.01.05 </t>
  </si>
  <si>
    <t>RSCLER0120</t>
  </si>
  <si>
    <t xml:space="preserve"> MAGUALHÕES CALVET</t>
  </si>
  <si>
    <t xml:space="preserve"> RUA MAGALHÕES CALVET, 251</t>
  </si>
  <si>
    <t xml:space="preserve">2 ABERTURA E FECHAMENTO / 1 FUSÃO  / 2 TESTE /  1 COM OTDR </t>
  </si>
  <si>
    <t>RSCLER0121</t>
  </si>
  <si>
    <t xml:space="preserve"> COND. ALLURE</t>
  </si>
  <si>
    <t xml:space="preserve">RUA FELIZARDO, 491 •JARDIM BOTÂNICO </t>
  </si>
  <si>
    <t>FOI LANÇADO 285 METROS DE CABO 12FO,150 METROS DE CORDOALHA, 3 ABERTURA E FECHAMENTO, 1 DERIVAÇÃO, 1 CX NOVA, 9 FUSÃO, 3 TESTE</t>
  </si>
  <si>
    <t>RSCLER0122</t>
  </si>
  <si>
    <t xml:space="preserve">POA - Cond. Morada do Norte </t>
  </si>
  <si>
    <t xml:space="preserve"> Av Dom Claudio Jose Goncalves Ponce De Leão </t>
  </si>
  <si>
    <t>BRUNO MACIEL</t>
  </si>
  <si>
    <t xml:space="preserve">1 ABERTURA E FECHAMENTO, 3 TESTE </t>
  </si>
  <si>
    <t>RSCLER0123</t>
  </si>
  <si>
    <t xml:space="preserve"> APARICIO BORGES </t>
  </si>
  <si>
    <t>R CEL APARICIO BORGES 1568</t>
  </si>
  <si>
    <t>3 ABERTURA E FECHAMENTO, 9 FUSÃO, 1 CX NOVA, 1 DERIVAÇÃO, 3 TESTE, FOI LANÇADO 452 METROS DE CABO DE 12FO, 27 METROS DE CORDOALHA.</t>
  </si>
  <si>
    <t>RSCLER0124</t>
  </si>
  <si>
    <t>COND. TERRARA</t>
  </si>
  <si>
    <t xml:space="preserve"> RUA GRALHA AZUL, 555</t>
  </si>
  <si>
    <t>VALDIR PASSOS ( ADRIANO)</t>
  </si>
  <si>
    <t>FOI LANÇADO 284 METROS DE CABO DE 12FO, 2 CX NOVA, 4 FUSÃO, 1 DERIVAÇÃO E 2 ABERTURA E FECHAMENTO</t>
  </si>
  <si>
    <t>RSCLER0125</t>
  </si>
  <si>
    <t>JARDIM SABARÁ</t>
  </si>
  <si>
    <t xml:space="preserve">alan gomes </t>
  </si>
  <si>
    <t>LANÇADO 513 METROS DE CABO DE 12FO, 1 ABERTURA E FECHAMENTO, 3 FUSÃO , 3 TESTE , 1 CX NOVA , 1 DERIVAÇÃO / Este mdu teve mudança mandar email pra Brenda mudou conforme o print 
Mudou o unifilar criar um cabo saindo da fist pegando as mesmas fibras em roxo e levando até a m</t>
  </si>
  <si>
    <t>RSCLER0126</t>
  </si>
  <si>
    <t xml:space="preserve"> COND. MONREALE</t>
  </si>
  <si>
    <t>Centro RUA DOMINGOS DE ALMEIDA, 522 CENTRO</t>
  </si>
  <si>
    <t>2 ABERTURA E FECHAMENTO, 5 FUSÃO,  5 TESTE</t>
  </si>
  <si>
    <t>RSCLER0127</t>
  </si>
  <si>
    <t>COND. FLOAT RESIDENCE</t>
  </si>
  <si>
    <t xml:space="preserve"> AV. SENADOR TARSO DUTRA, 431</t>
  </si>
  <si>
    <t>FOI LANÇADO 360 METROS DE CABO DE 12FO, 2 ABERTURA E FECHAMENTO, 1 CX NOVA, 6 FUSÃO, 2 DERIVAÇÃO, 2 TESTE</t>
  </si>
  <si>
    <t>RSCLER0128</t>
  </si>
  <si>
    <t>COND. LIKE</t>
  </si>
  <si>
    <t>CAP. PEDRO WERLANG, 1066</t>
  </si>
  <si>
    <t>6 ABERTURA E FECHAMENTO, 10 FUSÃO, 1 DERIVAÇÃO, 2 TESTE E 1 CX NOVA</t>
  </si>
  <si>
    <t>RSCLER0129</t>
  </si>
  <si>
    <t xml:space="preserve"> GO RIO BRANCO </t>
  </si>
  <si>
    <t>R PRF DUPLAN 60</t>
  </si>
  <si>
    <t>5 ABERTURA E FECHAMENTO, 9 FUSÃO , 3 TESTE</t>
  </si>
  <si>
    <t>RSCLER0130</t>
  </si>
  <si>
    <t>COND. RESD. RIO DE JANEIRO</t>
  </si>
  <si>
    <t>AV. DONA ADDA MASCARENHAS DE MORAES, 286</t>
  </si>
  <si>
    <t>VALDIR PASSOS (ADRIANO)</t>
  </si>
  <si>
    <t>MARCOS EMILIANO/ VINICIUS</t>
  </si>
  <si>
    <t>FOI LANÇADO 123 METROS DE CABO DE 12FO, 2 ABERTURA E FECHAMENTO, 1 DERIVAÇÃO, 1 CX NOVA, 6 FUSÃO, 5 TESTE.</t>
  </si>
  <si>
    <t>RSCLER0131</t>
  </si>
  <si>
    <t>MDU RAFAEL KOLORASH</t>
  </si>
  <si>
    <t xml:space="preserve">RUA BOM JESUS </t>
  </si>
  <si>
    <t>NEIMAR</t>
  </si>
  <si>
    <t xml:space="preserve">FOI LANÇADO 174 METROS DE CABO DE 12FO, FOI REPUXADO 50 METROS DE CABO, 1 NAP NOVA, 5 ABERTURA E FECHAMENTO, 3 DERIVAÇÃO, 5 FUSÃO E 1 TESTE. </t>
  </si>
  <si>
    <t>RSCLER0132</t>
  </si>
  <si>
    <t>COND. VIVENDA DAS FLORES</t>
  </si>
  <si>
    <t>RUA. JOÃO FERREIRA JARDIM N°:700</t>
  </si>
  <si>
    <t>INSUFICIÊNCIA DE FIBRA, FAZER AS BULTS</t>
  </si>
  <si>
    <t>RSCLER0133</t>
  </si>
  <si>
    <t xml:space="preserve">RESID VILLAGGIO BRASIL </t>
  </si>
  <si>
    <t>R BRASIL 121</t>
  </si>
  <si>
    <t>MARCOS EMILIANO/ FELIPE</t>
  </si>
  <si>
    <t>1 ABERTURA E FECHAMENTO, 9 FUSÃO</t>
  </si>
  <si>
    <t>RSCLER0134</t>
  </si>
  <si>
    <t>Rua Josemaria Escriva 741</t>
  </si>
  <si>
    <t>4 ABERTURA E FECHAMENTO, 2 DERIVAÇÃO, 8 FUSÃO,  2 TESTE  1 CX NOVA</t>
  </si>
  <si>
    <t>RSCLER0135</t>
  </si>
  <si>
    <t>Cond. Scenario</t>
  </si>
  <si>
    <t xml:space="preserve"> R Dr Dias de Carvalho 530</t>
  </si>
  <si>
    <t>ALAN</t>
  </si>
  <si>
    <t>FOI LANÇADO 105 METROS DE CABO DE 12FO, 3 ABERTURA E FECHAMENTO, 12 FUSÃO, 3 DERIVAÇÃO , 1 CX NOVA E 3 TESTE</t>
  </si>
  <si>
    <t>RSCLER0136</t>
  </si>
  <si>
    <t>Cond Ef Finkler</t>
  </si>
  <si>
    <t>AV CAIRÚ 856</t>
  </si>
  <si>
    <t xml:space="preserve"> 2 ABERTURA E FECHAMENTO, 6 FUSÃO , 1 DERIVAÇÃO , 1 CAIXA  NOVA 3 TESTE</t>
  </si>
  <si>
    <t>RSCLER0137</t>
  </si>
  <si>
    <t xml:space="preserve"> Edf Teená </t>
  </si>
  <si>
    <t>R Eng Ildefonso Simões Lopes 190</t>
  </si>
  <si>
    <t xml:space="preserve"> LUCAS HOBERT</t>
  </si>
  <si>
    <t>SEM SINAL/ INSUFICIÊNCIA DE FIBRA, SERÁ NECESSARIO OUTRO CABO DE 12FO, FAZER AS BULTS 3 ABERTURA E FECHAMENTO, 3 FUSÃO , 1 TESTE</t>
  </si>
  <si>
    <t>RSCLER0138</t>
  </si>
  <si>
    <t>Cond Edifício Maira</t>
  </si>
  <si>
    <t>Rua Garibaldi, 920 - Independência</t>
  </si>
  <si>
    <t xml:space="preserve">3 ABERTURA E FECHAMENTO, 4 FUSÃO, 2 TESTE </t>
  </si>
  <si>
    <t>RSCLER0139</t>
  </si>
  <si>
    <t>Cond Ef Sonata</t>
  </si>
  <si>
    <t>AV CAIRÚ 992</t>
  </si>
  <si>
    <t xml:space="preserve"> 2 ABERTURA E FECHAMENTO, 4 FUSÃO , 1 DERIVAÇÃO , 1 CAIXA  NOVA 2 TESTE</t>
  </si>
  <si>
    <t>RSCLER0140</t>
  </si>
  <si>
    <t>Edf Prime</t>
  </si>
  <si>
    <t>R Nunes Machado 76</t>
  </si>
  <si>
    <t>2 ABERTURA E FECHAMENTO, 2 FUSÃO, 2 TESTE</t>
  </si>
  <si>
    <t>RSCLER0141</t>
  </si>
  <si>
    <t>Edf Santa Lucia</t>
  </si>
  <si>
    <t>R Cel Genuino 280</t>
  </si>
  <si>
    <t xml:space="preserve">2 ABERTURA E FECHAMENTO, 4 FUSÃO, 2 DERIVAÇÃO, 100 METROS DE CABO </t>
  </si>
  <si>
    <t>RSCLER0142</t>
  </si>
  <si>
    <t>Curaçao Acqua Home</t>
  </si>
  <si>
    <t xml:space="preserve"> Rua Edmundo Bastian 1012</t>
  </si>
  <si>
    <t>foi lançado 50 metros  de sobras feita 2 abertura  11 fusão 5 teste OBS: FOI FEITO FUSÃO NO MDU</t>
  </si>
  <si>
    <t>RSCLER0143</t>
  </si>
  <si>
    <t>RES. PARQUE IGUATEMI</t>
  </si>
  <si>
    <t>AV NILO PEÇANHA 2863</t>
  </si>
  <si>
    <t xml:space="preserve">2 ABERTURA E FECHAMENTO, 2 FUSÃO, 2 TESTE </t>
  </si>
  <si>
    <t>RSCLER0144</t>
  </si>
  <si>
    <t>CORTE REAL, 310</t>
  </si>
  <si>
    <t>CORTE REAL; 310</t>
  </si>
  <si>
    <t>180 METROS DE CABO LANÇADO , 12 FUSÃO , 1CX NOVA, 2 ABERTURA E FECHAMENTO , 4 TESTE OBS: FOI FEITO FUSÃO DO MDU</t>
  </si>
  <si>
    <t>RSCLER0145</t>
  </si>
  <si>
    <t>Cond. Astley</t>
  </si>
  <si>
    <t>Rua Jaraguá, 38</t>
  </si>
  <si>
    <t xml:space="preserve">3 ABERTURA E FECHAMENTO, 3 FUSÃO, 1 TESTE </t>
  </si>
  <si>
    <t>RSCLER0146</t>
  </si>
  <si>
    <t>Av Pernambuco 1634</t>
  </si>
  <si>
    <t>2 ABERTURA E FECHAMENTO, 2 FUSÃO , 1 TESTE</t>
  </si>
  <si>
    <t>RSCLER0147</t>
  </si>
  <si>
    <t xml:space="preserve">Res. Toledo </t>
  </si>
  <si>
    <t>Av. Getúlio Vargas, 1026</t>
  </si>
  <si>
    <t>2 ABERTURA E FECHAMENTO, 5 FUSÃO, 5 TESTE</t>
  </si>
  <si>
    <t>RSCLER0148</t>
  </si>
  <si>
    <t>Cond Ed Dr Jose Ricaldone</t>
  </si>
  <si>
    <t>Santo Antônio, 505</t>
  </si>
  <si>
    <t>2 ABERTURA E FECHAMENTO -4 FUSÃO, 2 TESTE</t>
  </si>
  <si>
    <t>RSCLER0149</t>
  </si>
  <si>
    <t xml:space="preserve">ED. LUXOR </t>
  </si>
  <si>
    <t>R ENG FERNANDO ABREU PEREIRA 710</t>
  </si>
  <si>
    <t>RSCLER0150</t>
  </si>
  <si>
    <t>RES. VILLAGIO DI FIRENZE</t>
  </si>
  <si>
    <t>R ESTÁCIO DE SÁ 905</t>
  </si>
  <si>
    <t>LUCAS HOBERT/ PAULO GOMES</t>
  </si>
  <si>
    <t>5 ABERTURA E FECHAMENTO, 7 FUSÃO , OBS: HAVIAMOS QUEBRADO O SPLITTER PARA USAR A FIBRA RETA, MAIS TINHA SINAL, TIVEMOS QUE REFAZER E AGUARDAR ATÉ A SEGUNDA ORDEM, POR ISSO DEU MAIS FUSÕES E ABERTURA.</t>
  </si>
  <si>
    <t>RSCLER0151</t>
  </si>
  <si>
    <t>Cap. 1 Três Figueiras</t>
  </si>
  <si>
    <t>RUA CARLOS HUBER 200</t>
  </si>
  <si>
    <t>FOI LANÇADO 278 METROS DE CABO DE 12FO, 3 ABERTURA E FECHAMENTO, 6 FUSÃO, 1 DERIVAÇÃO, 2 TESTE, 1 CX NOVA</t>
  </si>
  <si>
    <t>RSCLER0152</t>
  </si>
  <si>
    <t xml:space="preserve"> Cond do Edifício Parque das Flores</t>
  </si>
  <si>
    <t>Av. Baltazar de Oliveira Garcia, 2770 a 2870</t>
  </si>
  <si>
    <t>2 ABERTURA E FECHAMENTO , 2 FUSÃO , 1 TESTE</t>
  </si>
  <si>
    <t>RSCLER0153</t>
  </si>
  <si>
    <t>FATAA</t>
  </si>
  <si>
    <t>R. Butenbender, 155</t>
  </si>
  <si>
    <t>Bairro Fátima, Canoas - Res. Pedro Gomes - FATAA</t>
  </si>
  <si>
    <t>LANÇADO 922 METROS DE CABO DE 12FO, 1 ABERTURA E FECHAMENTO, 15 FUSÃO , 1 DERIVAÇÃO, 2 CX NOVA, 2 TESTE, DEVIDO A UM ROMPIMENTO TEVE UMA EMENDA EXTRA COM 12 FUSÕES. FAZER AS BUILTS</t>
  </si>
  <si>
    <t>RSCLER0154</t>
  </si>
  <si>
    <t>Edifício New Life</t>
  </si>
  <si>
    <t>AV ATTILIO BILIBIO 251</t>
  </si>
  <si>
    <t>LUCAS HOBERT/MARCOS EMILIANO</t>
  </si>
  <si>
    <t>420 MTS DE CABO DE 12FO AS, 3 ABERTURA E FECHAMENTO, 12 FUSÃO, 4 TESTE, 1 CX NOVA</t>
  </si>
  <si>
    <t>RSCLER0155</t>
  </si>
  <si>
    <t xml:space="preserve">Cond. Ed. Aspen </t>
  </si>
  <si>
    <t>R. Jaraguá, 192</t>
  </si>
  <si>
    <t>2 ABERTURA E FECHAMENTO, 3 FUSÃO, 1 TESTE</t>
  </si>
  <si>
    <t>RSCLER0156</t>
  </si>
  <si>
    <t>RUA PAULINO TEIXEIRA N°400</t>
  </si>
  <si>
    <t>2 ABERTURA E FECHAMENTO, 2 FUSÃO, 1 TESTE</t>
  </si>
  <si>
    <t>RSCLER0157</t>
  </si>
  <si>
    <t>Res. Guaíba</t>
  </si>
  <si>
    <t>R Gen. Rondon 1044 / 1050</t>
  </si>
  <si>
    <t xml:space="preserve">2 ABERTURA E FECHAMENTO, 2 FUSÃO, 1 TESTE </t>
  </si>
  <si>
    <t>RSCLER0158</t>
  </si>
  <si>
    <t>Porto Bahamas</t>
  </si>
  <si>
    <t>R Imo Francisco Rauch 575 TOR 2</t>
  </si>
  <si>
    <t xml:space="preserve">4 ABERTURA E FECHAMENTO, 3 FUSÃO , 1 TESTE </t>
  </si>
  <si>
    <t>RSCLER0159</t>
  </si>
  <si>
    <t>Cond. Edf. Mundial</t>
  </si>
  <si>
    <t>Av Pe Cacique 740</t>
  </si>
  <si>
    <t>1 ABERTURA E FECHAMENTO, 2 CAIXA NOVA, 24 FUSÃO , 4 TESTE , 50 METROS DE CABO DE 12FO</t>
  </si>
  <si>
    <t>RSCLER0160</t>
  </si>
  <si>
    <t>Cond. Ed . Maryland village</t>
  </si>
  <si>
    <t>AV. Maryland 1462</t>
  </si>
  <si>
    <t>2 ABERTURA E FECHAMENTO, 1 FUSÃO , 1 TESTE</t>
  </si>
  <si>
    <t>RSCLER0161</t>
  </si>
  <si>
    <t>RUA TIRADENTES, 670</t>
  </si>
  <si>
    <t>3 ABERTURA E FECHAMENTO, 1 CX NOVA. 1 DERIVAÇÃO, 6 FUSÃO , 2 TESTE, 20 MTS CABO DE 12FO OBS: COBRAR ESSE MDU POR EMAIL DO VELEDA.</t>
  </si>
  <si>
    <t>RSCLER0162</t>
  </si>
  <si>
    <t xml:space="preserve"> Cond. Io Boa Vista</t>
  </si>
  <si>
    <t xml:space="preserve"> R Francisco Petuco 288</t>
  </si>
  <si>
    <t>RSCLER0163</t>
  </si>
  <si>
    <t>Cond. Ubah Bela Vista</t>
  </si>
  <si>
    <t>R BR DE UBA 23</t>
  </si>
  <si>
    <t>2 ABERTURA E FECHAMENTO, 3 FUSÃO, 3 TESTE</t>
  </si>
  <si>
    <t>RSCLER0164</t>
  </si>
  <si>
    <t>Cond. Patio Costa Menino Deus</t>
  </si>
  <si>
    <t>R Costa 419</t>
  </si>
  <si>
    <t>SAMURAI</t>
  </si>
  <si>
    <t>PAULO GOMES / LUCAS HOBERT</t>
  </si>
  <si>
    <t>260 METROS DE CABO DE 12FO, 16 ABERTURA E FECHAMENTO, 25 FUSÃO, 2 DERIVAÇÃO, 1 CX NOVA OBS TEVE BASTANTE ABERTURA E FECHAMENTO, POIS TINHA MUITA FIBRA QUEBRADA E MUITA CAIXA DE MANUTENÇÃO.</t>
  </si>
  <si>
    <t>RSCLER0165</t>
  </si>
  <si>
    <t>Cond. Ed. Mirage</t>
  </si>
  <si>
    <t>R Anita Garibaldi 2298</t>
  </si>
  <si>
    <t>2 ABERTURA E FECHAMENTO, 4 FUSÃO, 4 TESTE</t>
  </si>
  <si>
    <t>RSCLER0166</t>
  </si>
  <si>
    <t xml:space="preserve">Bistek </t>
  </si>
  <si>
    <t>Juca Batista, 1870</t>
  </si>
  <si>
    <t>LUCAS HOBET/ PAULO GOMES</t>
  </si>
  <si>
    <t>280 METROS DE CABO DE 12FO, 4 ABERTURA E FECHAMENTO, 8 FUSÃO , 2 DERIVAÇÃO, 2 TESTE</t>
  </si>
  <si>
    <t>RSCLER0167</t>
  </si>
  <si>
    <t>Cond Solar Demetrio Residence</t>
  </si>
  <si>
    <t>R DEMETRIO RIBEIRO 870</t>
  </si>
  <si>
    <t>LUCAS HOBERT/PAULO GOMES</t>
  </si>
  <si>
    <t>280 METROS DE CABO DE 12FO, FAZER AS BUILTS 1 ABERTURA E FECHAMENTO, 4 FUSÃO, 1 CX NOVA, 4 TESTE</t>
  </si>
  <si>
    <t>RSCLER0168</t>
  </si>
  <si>
    <t xml:space="preserve">Condomínio Edifício Alice </t>
  </si>
  <si>
    <t>Rua Garibaldi, 867</t>
  </si>
  <si>
    <t>4 ABERTURA E FECHAMENTO, 6 FUSÃO, 2 TESTE , FOI INSTALADO UM SPLITTER</t>
  </si>
  <si>
    <t>RSCLER0169</t>
  </si>
  <si>
    <t>Cond. Pituba</t>
  </si>
  <si>
    <t>R. Luís Lederman, 360</t>
  </si>
  <si>
    <t>DIOGO/GABRIEL/ MARCOS EMILIANO</t>
  </si>
  <si>
    <t xml:space="preserve">2 ABERTURA E FECHAMENTO, 3 FUSÃO, 3 TESTE </t>
  </si>
  <si>
    <t>RSCLER0170</t>
  </si>
  <si>
    <t>Centro Empresarial Veyron</t>
  </si>
  <si>
    <t>Av. Plínio Brasil Milano, 567</t>
  </si>
  <si>
    <t>RSCLER0171</t>
  </si>
  <si>
    <t xml:space="preserve">Cond Ed Reserva Maccari </t>
  </si>
  <si>
    <t>Av Aparicio Borges 1463 / 1495/ PART 1</t>
  </si>
  <si>
    <t>PAULO GOMES/LUCAS HOBERT</t>
  </si>
  <si>
    <t>185 METROS DE CABO DE 12FO, 9 ABERTURA E FECHAMENTO, 6 FUSÃO, 2  DERIVAÇÃO, 2 CX NOVA, FAZER AS BUILTS, 1 TESTE</t>
  </si>
  <si>
    <t>RSCLER0172</t>
  </si>
  <si>
    <t>Cond. Hillside</t>
  </si>
  <si>
    <t xml:space="preserve">R Santa Cecilia 2230 </t>
  </si>
  <si>
    <t xml:space="preserve">3 ABERTURA E FECHAMNETO, 11 FUSÃO, 5 TESTE </t>
  </si>
  <si>
    <t>RSCLER0173</t>
  </si>
  <si>
    <t>Carlos Gomes</t>
  </si>
  <si>
    <t>R Anita Garibaldi 1325</t>
  </si>
  <si>
    <t>BVSAB.031.M050</t>
  </si>
  <si>
    <t>315 METROS DE CABO DE 12FO, 2 ABERTURA E FECHAMENTO, 2 FUSÃO, 1 TESTE</t>
  </si>
  <si>
    <t>RSCLER0174</t>
  </si>
  <si>
    <t xml:space="preserve">Cond. Edifício Santa Cecília </t>
  </si>
  <si>
    <t>R Santa Cecília 2043</t>
  </si>
  <si>
    <t>320 METROS DE CABO DE 12FO, 3 ABERTURA E FECHAMENTO, 3 FUSÃO, 1 DERIVAÇÃO, 1 CX NOVA, 1 TESTE</t>
  </si>
  <si>
    <t>RSCLER0175</t>
  </si>
  <si>
    <t>Condomínio Conjunto Jardim Guanabara</t>
  </si>
  <si>
    <t>R. Marcone, 470</t>
  </si>
  <si>
    <t>RSCLER0176</t>
  </si>
  <si>
    <t>Tribeca Residences</t>
  </si>
  <si>
    <t xml:space="preserve">R. Artur Rocha 530 </t>
  </si>
  <si>
    <t>TEVE MUDANÇA DE FIBRA, 2 ABERTURA E FECHAMENTO, 3 FUSÃO, FAZER AS BUILTS DAS FIBRAS</t>
  </si>
  <si>
    <t>RSCLER0177</t>
  </si>
  <si>
    <t xml:space="preserve">Cond Hari Menino Deus </t>
  </si>
  <si>
    <t>Tv. Dirceu 80</t>
  </si>
  <si>
    <t xml:space="preserve"> PAULO GOMES</t>
  </si>
  <si>
    <t xml:space="preserve">3 ABERTURA E FECHAMENTO, 13 FUSÃO </t>
  </si>
  <si>
    <t>RSCLER0178</t>
  </si>
  <si>
    <t>Condomínio Edificio Azalea</t>
  </si>
  <si>
    <t>R. Barão do Amazonas, 1559</t>
  </si>
  <si>
    <t>RSCLER0179</t>
  </si>
  <si>
    <t>Res. Botanique</t>
  </si>
  <si>
    <t>R MARIZ E BARROS 580</t>
  </si>
  <si>
    <t>FOI LANÇADO 120 METROS DE CABO DE 12FO, TEVE ALTERAÇÃO NO PROJETO, FOI LANÇADO MAIS UM TRAJETO DE 250 METROS DE CABO DE 12FO, 3 ABERTURA E FECHAMENTO, 3 DERIVAÇÃO, 2 CX NOVA, 8 FUSÃO, 2 TESTE, FAZER AS BUILTS</t>
  </si>
  <si>
    <t>RSCLER0180</t>
  </si>
  <si>
    <t>Reserva San Mateo</t>
  </si>
  <si>
    <t>R. João Francisco Martin 80</t>
  </si>
  <si>
    <t>2 ABERTURA E FECHAMENTO, 6 FUSÕES, 5 TESTE</t>
  </si>
  <si>
    <t>RSCLER0181</t>
  </si>
  <si>
    <t>COND. PONTAL DO ACAPULCO</t>
  </si>
  <si>
    <t>AV FARIA LOBATO 1120</t>
  </si>
  <si>
    <t>190 METROS DE CABO DE 12FO, TEVE DIVERGENCIA NO PROJETO, SERA LANÇADO NOVAMENTO O CABO , 213 METROS DE CABO DE 24FO, 1 CAIXA NOVA, 24 FUSÃO, 16 TESTE, 1 DERIVAÇÃO</t>
  </si>
  <si>
    <t>RSCLER0182</t>
  </si>
  <si>
    <t>Cond. Riservatto</t>
  </si>
  <si>
    <t>Rua Fernando Cortez 222</t>
  </si>
  <si>
    <t>ALEXANDRE/ MARCOS EMILIANO</t>
  </si>
  <si>
    <t>LANÇADO 380 METROS DE CABO DE 12FO, FAZER AS BUILTS, CABO EXISTENTE É 24FO E NÃO 36FO , 3 ABERTURA E FECHAMENTO, 12 FUSÃO, 1 CX NOVA, 1 DERIVAÇÃO,</t>
  </si>
  <si>
    <t>RSCLER0183</t>
  </si>
  <si>
    <t>Cond. Res Porto Verissimo</t>
  </si>
  <si>
    <t>R Ernesto Neugebauer 1820</t>
  </si>
  <si>
    <t xml:space="preserve">FOI LANÇADO 964 METROS DE CABO DE 12FO, 2 ABERTURA E FECHAMENTO, 1 DERIVAÇÃO, 2 CX NOVA, 20 FUSÃO, 4 TESTE, </t>
  </si>
  <si>
    <t>RSCLER0184</t>
  </si>
  <si>
    <t>Edificio Welcome</t>
  </si>
  <si>
    <t>R Ferreira Viana 279</t>
  </si>
  <si>
    <t xml:space="preserve"> MARCOS EMILIANO</t>
  </si>
  <si>
    <t xml:space="preserve">7 ABERTURA E FECHAMENTO, 13 FUSÃO, 1 SPLITTER, 3 TESTE, </t>
  </si>
  <si>
    <t>RSCLER0185</t>
  </si>
  <si>
    <t>Residencial José Gomes</t>
  </si>
  <si>
    <t>R Jose Gomes 26</t>
  </si>
  <si>
    <t>2  ABERTURA E FECHAMENTO, 2 FUSÕES , 2 TESTE</t>
  </si>
  <si>
    <t>RSCLER0186</t>
  </si>
  <si>
    <t>CEL GENUINO 433</t>
  </si>
  <si>
    <t xml:space="preserve">2 ABERTURA E FECHAMENTO, 1 FUSÃO, 1 TESTE </t>
  </si>
  <si>
    <t>RSCLER0187</t>
  </si>
  <si>
    <t>Condomínio Costa Esmeralda</t>
  </si>
  <si>
    <t xml:space="preserve"> Rua Jacunda, 183</t>
  </si>
  <si>
    <t>2 ABERTURA E FECHAMENTO, 1 FUSÃO , 1 CAIXA NOVA , 1 DERIVAÇÃO</t>
  </si>
  <si>
    <t>RSCLER0188</t>
  </si>
  <si>
    <t>UNIK STUDIOS</t>
  </si>
  <si>
    <t>Av Protásio Alves, 1291</t>
  </si>
  <si>
    <t>2 ABERTURA E FECHAMENTO, 4 FUSÕES,</t>
  </si>
  <si>
    <t>RSCLER0189</t>
  </si>
  <si>
    <t>Cond Due Fratelli</t>
  </si>
  <si>
    <t>Rua General João Telles, 393</t>
  </si>
  <si>
    <t>RODRIGO RODRIGUES</t>
  </si>
  <si>
    <t>FOI LANÇADO 260 METROS DE CABO DE 12FO  ,  2 ABERTURA E FECHAMENTO, 1 CX NOVA, 1 DERIVAÇÃO, 1 TESTE , 3 FUSÃO</t>
  </si>
  <si>
    <t>RSCLER0190</t>
  </si>
  <si>
    <t>Residencial Giotto</t>
  </si>
  <si>
    <t>R Santos Netto 98</t>
  </si>
  <si>
    <t>2 ABERUTA E FECHAMENTO, 9 FUSÃO, 3 TESTE</t>
  </si>
  <si>
    <t>RSCLER0191</t>
  </si>
  <si>
    <t xml:space="preserve"> Condomínio Edificio Elias</t>
  </si>
  <si>
    <t>Rua São Mateus, 443</t>
  </si>
  <si>
    <t>RSCLER0192</t>
  </si>
  <si>
    <t>Cond. Vidaviva Linked</t>
  </si>
  <si>
    <t>R Antonio Sereno Moretto 55</t>
  </si>
  <si>
    <t>310 METROS DE CABO 12FO, 70 METROS DE CORDOALHA, FAZER AS BUILTS, 1 ABERTURA E FECHAMENTO, 6 FUSÃO, 1 CX NOVA, 1 DERIVAÇÃO, 3 TESTE</t>
  </si>
  <si>
    <t>RSCLER0193</t>
  </si>
  <si>
    <t xml:space="preserve">RESID. VARANDA </t>
  </si>
  <si>
    <t xml:space="preserve"> R JOÃO OBINO 285</t>
  </si>
  <si>
    <t>4 ABERTURA E FECHAMENTO, 12 FUSÃO, 4 TESTE. OBS: ESTE MDU FOI CANCELADO, POIS SERIA FEITA MUITA ABERTURA E FECHAMENTO, FOI ABORDADO EM CAIXA NET, PELA PROPRIA NET.</t>
  </si>
  <si>
    <t>RSCLER0194</t>
  </si>
  <si>
    <t>HPCAB</t>
  </si>
  <si>
    <t>Condomínio Ipanema Mountain Ville</t>
  </si>
  <si>
    <t>Av. Edgar Píres de Castro, 540</t>
  </si>
  <si>
    <t>DIRETORIA</t>
  </si>
  <si>
    <t>HPCAA.054</t>
  </si>
  <si>
    <t>OK - ENVIADO</t>
  </si>
  <si>
    <t>FOI LANÇADO 1615 METROS DE CABO DE 24FO, E 650 METROS DE CABO DE 12FO,  2 ABERTURA E FECHAMENTO, 1 CX NOVA, 8 NAP NOVA, 35 FUSÃO, 30 TESTES, 1 DERIVAÇÃO</t>
  </si>
  <si>
    <t>RSCLER0195</t>
  </si>
  <si>
    <t>Res. San Vicente</t>
  </si>
  <si>
    <t>Av Otto Niemeyer 1025</t>
  </si>
  <si>
    <t>RSCLER0196</t>
  </si>
  <si>
    <t>Cond. Villa Bella</t>
  </si>
  <si>
    <t xml:space="preserve"> Rua Soledade 126</t>
  </si>
  <si>
    <t>1 ABERTURA E FECHAMENTO, 4 FUSÃO, 1 CX NOVA, 2 TESTE</t>
  </si>
  <si>
    <t>RSCLER0197</t>
  </si>
  <si>
    <t>Prime Wallig</t>
  </si>
  <si>
    <t>Av Francisco Trein, 116</t>
  </si>
  <si>
    <t>2 ABERTURA E FECHAMENTO, 4 FUSÃO, 2 TESTE</t>
  </si>
  <si>
    <t>RSCLER0198</t>
  </si>
  <si>
    <t>PLANALTO GARDEMNS</t>
  </si>
  <si>
    <t>RUA WALIR ZOTTIS 625</t>
  </si>
  <si>
    <t>3 ABERTURA E FECHAMENTO, 1 DERIVAÇÃO, 6 FUSÃO, 1 CX NOVA, 3 TESTE</t>
  </si>
  <si>
    <t>RSCLER0199</t>
  </si>
  <si>
    <t xml:space="preserve">Oxy Home Resort </t>
  </si>
  <si>
    <t>R Silvio Silveira Soares 2589</t>
  </si>
  <si>
    <t>MARCOS EMILIANO / LUCAS HOBERT</t>
  </si>
  <si>
    <t>FOI LANÇADO 270 METROS DE CABO DE 12FO, 8 ABERTURA E FECHAMENTO, 8 FUSÃO , 1 CX NOVA, 1 DERIVAÇÃO, 1 TESTE</t>
  </si>
  <si>
    <t>RSCLER0200</t>
  </si>
  <si>
    <t>NODE SSOAC</t>
  </si>
  <si>
    <t>AV PASTOR ERNESTO SCHLIEPER 45</t>
  </si>
  <si>
    <t>3 ABERTURA E FECHAMENTO, 1 DERIVAÇÃO, 26 FUSÃO, 1 CX NOVA, 2 TESTE</t>
  </si>
  <si>
    <t>RSCLER0201</t>
  </si>
  <si>
    <t>Galeria Luiz Henrique</t>
  </si>
  <si>
    <t xml:space="preserve"> R Mario Totta 648</t>
  </si>
  <si>
    <t>2 ABERTURA E FECHAMENTO, 6 FUSÃO, 4 TESTE</t>
  </si>
  <si>
    <t>RSCLER0202</t>
  </si>
  <si>
    <t xml:space="preserve"> Cond. Fit Jardins</t>
  </si>
  <si>
    <t>R. Monsenhor Antonio Guilherme Grings, 51</t>
  </si>
  <si>
    <t>288 METROS DE CABO 12FO, 5 ABERTURA E FECHAMENTO, 7 FUSÃO, 1 DERIVAÇÃO, 3 TESTE, 1 CX NOVA</t>
  </si>
  <si>
    <t>RSCLER0203</t>
  </si>
  <si>
    <t>R JOSÉ DE ALENCAR 1276</t>
  </si>
  <si>
    <t>3 ABERTURA E FECHAMENTO, 6 FUSÃO, 3 TESTE</t>
  </si>
  <si>
    <t>RSCLER0204</t>
  </si>
  <si>
    <t>Edifício Aschneider Absolut Business</t>
  </si>
  <si>
    <t>Av. Cristóvão Colombo, 2948</t>
  </si>
  <si>
    <t>4 ABERTURA E FECAHMENT, 3FUSÃO, 2 TESTE</t>
  </si>
  <si>
    <t>RSCLER0205</t>
  </si>
  <si>
    <t>Condomínio Edificio Enea</t>
  </si>
  <si>
    <t>R GEN COUTO DE MAGALHAES 495</t>
  </si>
  <si>
    <t>5 ABERTURA E FECHAMENTO, 5 FUSÃO, 2 TESTE</t>
  </si>
  <si>
    <t>RSCLER0206</t>
  </si>
  <si>
    <t xml:space="preserve"> Cond. Residencial Daltro Filho</t>
  </si>
  <si>
    <t>Av Gen Daltro Filho 1575</t>
  </si>
  <si>
    <t>RSCLER0207</t>
  </si>
  <si>
    <t>Karen Hernandes</t>
  </si>
  <si>
    <t xml:space="preserve"> R. Vital Brasil 69</t>
  </si>
  <si>
    <t>FOI LANÇADO 390 METROS DE CABO DE 12FO, 2 ABERTURA E FECHAMENTO, 3 FUSÃO, UMA NAP, 1 DERIVAÇÃO, 1 TESTE</t>
  </si>
  <si>
    <t>RSCLER0208</t>
  </si>
  <si>
    <t>Cond Ed Resid Hundred</t>
  </si>
  <si>
    <t>R. Dr. Lauro de Oliveira, 100</t>
  </si>
  <si>
    <t>311 METROS DE CABO LANÇADO , 2 ABERTURA E FECHAMENTO, 8 FUSÃO, 2 DERIVAÇÃO, 1 CAIXA NOVA, 4 TESTE</t>
  </si>
  <si>
    <t>RSCLER0209</t>
  </si>
  <si>
    <t xml:space="preserve"> Conj. Bartolomeu de Gusmão 230 e 240</t>
  </si>
  <si>
    <t>1 ABERTURA E FECHAMENTO, 3 FUSÃO, 1 CX NOVA, 1 DERIVAÇÃO, 2 TESTE</t>
  </si>
  <si>
    <t>RSCLER0210</t>
  </si>
  <si>
    <t>CNT-20</t>
  </si>
  <si>
    <t>ELDORADO</t>
  </si>
  <si>
    <t>CONDOMINIO PENINSULA PONTA DA FIGUEIRA N3500</t>
  </si>
  <si>
    <t>CONDOMINIO PENINSULA PONTA DA FIGUEIRA N3501</t>
  </si>
  <si>
    <t>FOI LANÇADO 1968 METROS  DE CABO DE 12FO, 8 NAP NOVA, 1 FOSC NOVA, 1 FIST NOVA, 2 DERIVAÇÃO, 41 FUSÃO, 24 TESTE, 550 METROS DE CORDOALHA</t>
  </si>
  <si>
    <t>RSCLER0211</t>
  </si>
  <si>
    <t xml:space="preserve">Res Porto Aurora </t>
  </si>
  <si>
    <t>R Família Gonçalves Carneiro, 201</t>
  </si>
  <si>
    <t>FOI LANÇADO 373 METROS DE CABO DE 12FO, 1 CX NOVA, 1 DERIVAÇÃO , 5 ABERTURA E FECHAMENTO, 30 FUSÃO, 5 TESTE</t>
  </si>
  <si>
    <t>RSCLER0212</t>
  </si>
  <si>
    <t>Cond Ed Via Veneto</t>
  </si>
  <si>
    <t xml:space="preserve"> Rua Vicente da Fontoura, 595 - 605</t>
  </si>
  <si>
    <t xml:space="preserve">NATANIEL </t>
  </si>
  <si>
    <t>FOI LANÇANDO 250 METROS DE CABO DE 12FO,  1 CX NOVA, 6 ABERTURA E FECHAMENTO, 4 FUSÃO, 1 DERIVAÇÃO, TEVE 2 CX DE ROMPIMENTO NO TRECHO, 1 TESTE  ( TEVE 2 ABERTURA E FECHAMENTO A MAIS POIS ELE FOI 3 VEZES TESTAR POR FALTA DO CORDÃO NO SITE)</t>
  </si>
  <si>
    <t>RSCLER0213</t>
  </si>
  <si>
    <t>Condomínio Edificio Urbano Station</t>
  </si>
  <si>
    <t>Av. da Azenha, 680</t>
  </si>
  <si>
    <t>FOI  LANÇADO 228 METROS DE CABO DE 12FO, 1 CX NOVA, 2 ABERTURA E FECHAMENTO, 1 DERIVAÇÃO, 4 FUSÃO, 2 TESTE</t>
  </si>
  <si>
    <t>RSCLER0214</t>
  </si>
  <si>
    <t xml:space="preserve"> Academia Eng. do Corpo</t>
  </si>
  <si>
    <t xml:space="preserve"> Av Baltazar de Oliveira Garcia 2274 </t>
  </si>
  <si>
    <t>FOI  LANÇADO  377 METROS DE CABO DE 12FO, 1 NAP NOVA, 1 DERIVAÇÃO, 4 ABERTURA E FECHAMENTO, 2 FUSÃO, 3 TESTE  ( TEVE 2 ABERTURA E FECHAMENTO A MAIS POIS ELE FOI 3 VEZES TESTAR POR FALTA DO CORDÃO NO SITE)</t>
  </si>
  <si>
    <t>RSCLER0215</t>
  </si>
  <si>
    <t>R Santa Cecilia, 2149</t>
  </si>
  <si>
    <t>FOI LANÇADO 669 METROS DE CABO 8FO, 2 ABERTURA E FECHAMENTO, 4 FUSÃO, 1 DERIVAÇÃO, 2 TESTE, FAZER AS BUILTS</t>
  </si>
  <si>
    <t>RSCLER0216</t>
  </si>
  <si>
    <t>Projeto Condomínio Porto Smart</t>
  </si>
  <si>
    <t>Av Padre Cacique, 1820</t>
  </si>
  <si>
    <t>CTLAA.053.M070</t>
  </si>
  <si>
    <t>FOI LANÇADO 1171 METROS DE CABO DE 8FO, FOI RETIRADO 250 METROS DE CABO , FOI LANÇADO MAIS 350 METROS DE CABO, 3 CX NOVA, 16 FUSÃO, 5 ABERTURA E FECHAMENTO, 1 DERIVAÇÃO, 2 TESTE</t>
  </si>
  <si>
    <t>RSCLER0217</t>
  </si>
  <si>
    <t>RESIDENCIAL COHAJUDA</t>
  </si>
  <si>
    <t>RUA CEL. MASSOT, 685/691</t>
  </si>
  <si>
    <t>CTLAA.107.M020</t>
  </si>
  <si>
    <t>JEFERSON / PAULO GOMES</t>
  </si>
  <si>
    <t>3 ABERTURA E FECHAMENTO , 15 FUSÃO, 3 TESTE</t>
  </si>
  <si>
    <t>RSCLER0218</t>
  </si>
  <si>
    <t xml:space="preserve">Edifício Nova Era </t>
  </si>
  <si>
    <t>Rua Furriel Luiz Antônio Vargas. 380</t>
  </si>
  <si>
    <t>FOI LANÇADO 571 METROS DE CABO DE 8 VIAS, 2 ABERTURA E FECHAMENTO, 1 DERIVAÇÃO, 9 FUSÃO, 3 TESTE, 1 CX NOVA</t>
  </si>
  <si>
    <t>RSCLER0219</t>
  </si>
  <si>
    <t>Edifício Jardins De Provence</t>
  </si>
  <si>
    <t>Rua Cel Massot 214/228</t>
  </si>
  <si>
    <t>CTLAA.107.M050</t>
  </si>
  <si>
    <t>JEFERSON / NATANIEL</t>
  </si>
  <si>
    <t>FOI LANÇADO 150 METROS DE CABO DE 12FO, 10 ABERTURA E FECHAMENTO,33 FUSÃO, 1 CX NOVA, 1 DERIVAÇÃO, 3 TESTE.</t>
  </si>
  <si>
    <t>RSCLER0220</t>
  </si>
  <si>
    <t>Condomínio Edifício Green Park</t>
  </si>
  <si>
    <t>Rua Silva Jardim, 966</t>
  </si>
  <si>
    <t>3  ABERTURA E FECHAMENTO , 2 FUSÃO, 1 TESTE ( CAIXA DUPLICADA )</t>
  </si>
  <si>
    <t>RSCLER0221</t>
  </si>
  <si>
    <t>AV COPACABANA, 421</t>
  </si>
  <si>
    <t>TRZAA.101.M040</t>
  </si>
  <si>
    <t>FOI LANÇADO 722 METROS DE CABO DE 12FO, 3 ABERTURA E FECHAMENTO, 1 CX NOVA, 2 DERIVAÇÃO, 3 FUSÃO, 1 TESTE</t>
  </si>
  <si>
    <t>RSCLER0222</t>
  </si>
  <si>
    <t>Cond. Clarity</t>
  </si>
  <si>
    <t xml:space="preserve"> R. Landel de Moura, 1541 </t>
  </si>
  <si>
    <t>FOI  LANÇADO 332 METROS DE CABO DE 12FO, 3 ABERTURA E FECHAMENTO , 6 FUSÃO , 1 DERIVAÇÃO, 1 CX NOVA , 3 TESTE</t>
  </si>
  <si>
    <t>RSCLER0223</t>
  </si>
  <si>
    <t>RESID CURCEL</t>
  </si>
  <si>
    <t xml:space="preserve">R PRF CRISTIANO FISCHER 2272 </t>
  </si>
  <si>
    <t>FOI LANÇADO 265 METRNOS DE CABO DE 12FO, 6 ABERTURA E FECHAMENTIO, 5 FUSÃO, 1 CX NOVA, 1 DERIVAÇÃO, 1 TESTE</t>
  </si>
  <si>
    <t>RSCLER0224</t>
  </si>
  <si>
    <t xml:space="preserve">CONDOMINIO VIVERDES CLUBLE RESIDENCIAL </t>
  </si>
  <si>
    <t>ESTRADA CRISTIANO KRAEMER, 5080</t>
  </si>
  <si>
    <t>FOI LANÇADO 234 METROS DE CABO DE 12FO, 10 ABERTURA E FECHAMENTO DE GUARITAS, 1 GUARITA DESOBSTRUIDA, 5 GUARITAS TESTADAS DE 10 MTS CADA, 2 GUARITAS DE 10 MTS GUIADAS A PEDIDO DO CONDOMINIO, 50 MTS DE RESERVA NA 1° GUARITA APÓS LATERAL DO CONDOMINIO</t>
  </si>
  <si>
    <t>RSCLER0225</t>
  </si>
  <si>
    <t xml:space="preserve">Condomínio Edifício Cantegril </t>
  </si>
  <si>
    <t>Av Protásio Alves, 4000</t>
  </si>
  <si>
    <t>2 ABERTURA E FECHAMENTO, 2 TESTE</t>
  </si>
  <si>
    <t>RSCLER0226</t>
  </si>
  <si>
    <t>Condomínio Royal Park</t>
  </si>
  <si>
    <t xml:space="preserve"> Rua Fernando Cortez, 195</t>
  </si>
  <si>
    <t xml:space="preserve">5 ABERTURA E FECHAMENTO, 12 FUSÃO, 4 TESTE </t>
  </si>
  <si>
    <t>RSCLER0227</t>
  </si>
  <si>
    <t xml:space="preserve"> Paseo Cittá</t>
  </si>
  <si>
    <t xml:space="preserve">Tv Herbert, 26 </t>
  </si>
  <si>
    <t>CNTAA.011.M020</t>
  </si>
  <si>
    <t>DIOGO / MARCO EMILIANO</t>
  </si>
  <si>
    <t>FOI LANÇADO 1100 METROS DE CABO DE 12FO, 4 ABERTURA E FECHAMENTO, 24 FUSÃO , 1 CX NOVA, 1 DERIVAÇÃO, 6 TESTE</t>
  </si>
  <si>
    <t>RSCLER0228</t>
  </si>
  <si>
    <t xml:space="preserve"> Pe. Joao Batista Reus 2163 - 2173</t>
  </si>
  <si>
    <t>FOI LANÇADO 590 METROS DE CABO DE 12FO, 4 ABERTURA E FECHAMENTO, 6 FUSÃO, 3 DERIVAÇÃO, 1 CX NOVA, 2 TESTE</t>
  </si>
  <si>
    <t>RSCLER0229</t>
  </si>
  <si>
    <t xml:space="preserve"> Projeto ABRAHAM GOLDZTEIN</t>
  </si>
  <si>
    <t>FOI LANÇADO 18 METROS DE CABO DE 12FO, 3 ABERTURA E FECHAMENTO, 4 FUSÃO, 1 DERIVAÇÃO, 1 NAP NOVA, 1 TESTE</t>
  </si>
  <si>
    <t>RSCLER0230</t>
  </si>
  <si>
    <t>MC DONALDS</t>
  </si>
  <si>
    <t>FOI 750 METROS DE CABO 12FO , 1 ABERTURA E FECHAMENTO , 1 FOSC NOVA, 1 NAP NOVA, 4 FUSÃO, 1 DERIVAÇÃO</t>
  </si>
  <si>
    <t>RSCLER0231</t>
  </si>
  <si>
    <t>RESIDENCIAL PORTO SINAI</t>
  </si>
  <si>
    <t>RUA ADA VAZ CABEDA, 400</t>
  </si>
  <si>
    <t>2 ABERTURA E FECHAMENTO, 1 DERIVAÇÃO, 4 FUSÃO, 2 TESTE</t>
  </si>
  <si>
    <t>RSCLER0232</t>
  </si>
  <si>
    <t xml:space="preserve"> RESIDENCIAL PORTO LAÇADOR </t>
  </si>
  <si>
    <t>RUA ADA VAZ CABEDA, 340</t>
  </si>
  <si>
    <t>FOI LANÇADO 430 METROS DE CABO DE 12FO, 1 ABERTURA E FECHAMENTO, 1 CX NOVA, 2 DERIVAÇÃO, 8 FUSÕES, 4 TESTES</t>
  </si>
  <si>
    <t>RSCLER0233</t>
  </si>
  <si>
    <t>CONDOMÍNIO SENSE  CANOAS</t>
  </si>
  <si>
    <t>Rua Carlos Drumond de Andrade, 188</t>
  </si>
  <si>
    <t>FOI LANÇADO 115 METROS DE CABO DE 24FO DA 111 ATÉ A 111.M020, FOI LANÇADO 270 METROS DE CABO DE 8 VIAS, 3 ABERTURA E FECHAMENTO, 3 DERIVAÇÃO, 9 FUSÕES,  1 CX NOVA, 3 TESTE.</t>
  </si>
  <si>
    <t>RSCLER0234</t>
  </si>
  <si>
    <t>Pq Porto Las Palmas</t>
  </si>
  <si>
    <t>Tv Esporte Clube Cruzeiro 200</t>
  </si>
  <si>
    <t>FOI LANÇADO 365 METROS DE CABO DE 8VIAS, 1 ABERTURA E FECHAMENTO, 1 CX NOVA, 6 FUSÕES, 2 DERIVAÇÕES</t>
  </si>
  <si>
    <t>RSCLER0235</t>
  </si>
  <si>
    <t>Cond Edifício Rosa dos Ventos II</t>
  </si>
  <si>
    <t>Av Sarandi, 905</t>
  </si>
  <si>
    <t>FOI LANÇADO 70 METROS DE CABO DE 8VIAS, 2 ABERTURA E FECHAMENTO, 4 FUSÃO, 1 DERIVAÇÃO, 1 CX NOVA, 2 TESTE</t>
  </si>
  <si>
    <t>RSCLER0236</t>
  </si>
  <si>
    <t>Residencial Hemingway</t>
  </si>
  <si>
    <t xml:space="preserve">Rua Guilherme Morsh, 111 </t>
  </si>
  <si>
    <t xml:space="preserve">FOI LANÇADO 260 METROS DE CABO DE 8 VIAS, 2 ABERTURA E FECHAMENTO, 1 DERIVAÇÃO, 8 FUSÕES, 4 TESTE </t>
  </si>
  <si>
    <t>RSCLER0237</t>
  </si>
  <si>
    <t>Condomínio Altos da Chácara</t>
  </si>
  <si>
    <t>Rua Pe. João Batista Reus, 173</t>
  </si>
  <si>
    <t xml:space="preserve">3 ABERTURA E FECHAMENTO, 5 FUSÕES, 3 TESTE </t>
  </si>
  <si>
    <t>RSCLER0238</t>
  </si>
  <si>
    <t>Edifício Verona</t>
  </si>
  <si>
    <t>Rua Augusto Jung, 80</t>
  </si>
  <si>
    <t>FOI LANÇADO 153 METROS DE CABO DE 12FO ,2 ABERTURA E FECHAMENTO, 1 DERIVAÇÃO, 1 CX NOVA, 3FUSÃO, 1 TESTE</t>
  </si>
  <si>
    <t>RSCLER0239</t>
  </si>
  <si>
    <t xml:space="preserve"> Edifício </t>
  </si>
  <si>
    <t>Rua Augusto Jung, 70</t>
  </si>
  <si>
    <t xml:space="preserve">3 ABERTURA E FECHAMENTO, 1 SPLITTER NOVO, 7 FUSÃO, 2 TESTE </t>
  </si>
  <si>
    <t>RSCLER0240</t>
  </si>
  <si>
    <t>Allegro Residencial</t>
  </si>
  <si>
    <t>Rua Augusto Jung, 65</t>
  </si>
  <si>
    <t xml:space="preserve">3 ABERTURA E FECHAMENTO, 6 FUSÃO, 2 TESTE </t>
  </si>
  <si>
    <t>RSCLER0241</t>
  </si>
  <si>
    <t>Cond. Empresarial Harpia</t>
  </si>
  <si>
    <t xml:space="preserve">Sergio Jungblut Dieterich, 604 </t>
  </si>
  <si>
    <t>FOI LANÇADO 517 METROS DE CABO DE 12FO, 2 ABERTURA E FECHAMENTO, 6 FUSÃO, 1 DERIVAÇÃO, 1 CX NOVA 1 TESTE</t>
  </si>
  <si>
    <t>RSCLER0242</t>
  </si>
  <si>
    <t xml:space="preserve">Condomínio Terrabela Planalto </t>
  </si>
  <si>
    <t>Rua Tenente Ary Tarrago, 1680</t>
  </si>
  <si>
    <t>UBIRATÃ / THIAGO</t>
  </si>
  <si>
    <t>FOI LANÇADO 647 METROS DE CABO DE 12FO, 6 ABERTURA E FECHAMENTO, 20 FUSÃO, 4 DERIVAÇÃO, 2 CX NOVA, ( 1 DE ROMPIMENTO), 4 TESTE</t>
  </si>
  <si>
    <t>RSCLER0244</t>
  </si>
  <si>
    <t>Edifício Maison Du Soleil</t>
  </si>
  <si>
    <t>AV ITAJAÍ, 496</t>
  </si>
  <si>
    <t>FOI LANÇADO 712 METROS DE CABO DE 12FO, 4 ABERTURA E FECHAMENTO, 9 FUSÃO, 1 DERIVAÇÃO, 1 CX NOVA, 1 TESTE - FAZER AS BULTS DE JOGADA DE FIBRAS</t>
  </si>
  <si>
    <t>RSCLER0245</t>
  </si>
  <si>
    <t>CNUAB.012.M030</t>
  </si>
  <si>
    <t>Rua Bartolomeu de Gusmão 230 e 240</t>
  </si>
  <si>
    <t>VINICIUS / RODRIGO</t>
  </si>
  <si>
    <t>ESTAVA CONSTRU</t>
  </si>
  <si>
    <t>JÁ ESTAVA CONSTRUÍDO</t>
  </si>
  <si>
    <t>RSCLER0246</t>
  </si>
  <si>
    <t>CNUAB.013.M020</t>
  </si>
  <si>
    <t>Rua Barão de Guaíba 211</t>
  </si>
  <si>
    <t>MALCOLN</t>
  </si>
  <si>
    <t>VINICIUS / TAYLLER</t>
  </si>
  <si>
    <t xml:space="preserve">FOI LANÇADO 260 METROS DE CABO DE 12FO, 3 ABERTURA E FECHAMENTO, 1 SPLITTER, 13 FUSÃO, 1 DERIVAÇÃO, 4 TESTE </t>
  </si>
  <si>
    <t>RSCLER0247</t>
  </si>
  <si>
    <t>CNTAA.119.M030</t>
  </si>
  <si>
    <t xml:space="preserve"> Rua Lavras do Sul 1 NHO</t>
  </si>
  <si>
    <t>RSCLER0248</t>
  </si>
  <si>
    <t xml:space="preserve">Condomínio Cascais </t>
  </si>
  <si>
    <t>Avenida Cascais, 99</t>
  </si>
  <si>
    <t>CNUAB.013.M020.</t>
  </si>
  <si>
    <t>FOI LANÇADO 721 METROS DE CABO DE 12 FO, 1 ABERTURA E FECHAMENTO, 1 DERIVAÇÃO, 8 FUSÃO, 1 CX NOVA, 4 TESTE</t>
  </si>
  <si>
    <t>RSCLER0249</t>
  </si>
  <si>
    <t xml:space="preserve"> MAISON MARYLAND </t>
  </si>
  <si>
    <t>AV MARILAND 1060</t>
  </si>
  <si>
    <t>FOI LANÇADO 175 METROS DE CABO DE 12FO, 2 ABERTURA E FECHAMENTO, 1 FUSÃO, 1 DERIVAÇÃO, 1 TESTE, 1 CX NOVA</t>
  </si>
  <si>
    <t>RSCLER0250</t>
  </si>
  <si>
    <t xml:space="preserve">Condomínio Guarapari </t>
  </si>
  <si>
    <t>Rua Alberto Silva, 397</t>
  </si>
  <si>
    <t>VINICIUS / FELIPE</t>
  </si>
  <si>
    <t xml:space="preserve">2 ABERTURA E FECHAMENTO, 6 FUSÃO, 1 SPLITTER , 5 TESTE </t>
  </si>
  <si>
    <t>RSCLER0251</t>
  </si>
  <si>
    <t>Condomínio Tivoli</t>
  </si>
  <si>
    <t xml:space="preserve">Rua Vicente da Fontoura, 612 </t>
  </si>
  <si>
    <t xml:space="preserve">3 ABERTURA E FECHAMENTO, 3 FUSÃO, 1 DERIVAÇÃO, 1 TESTE </t>
  </si>
  <si>
    <t>RSCLER0252</t>
  </si>
  <si>
    <t>Edifício Terrazas Mirador</t>
  </si>
  <si>
    <t xml:space="preserve"> Rua Diário de Notícias, 1555</t>
  </si>
  <si>
    <t>CTLAA.107.M060</t>
  </si>
  <si>
    <t>DIOGO / MARCOS EMILIANO</t>
  </si>
  <si>
    <t>FOI LANÇADO 800 METROS DE CABO DE 12FO, 3 ABERTURA E FECHAMENTO, 1 DERIVAÇÃO, 2 FUSÃO, 1 TESTE</t>
  </si>
  <si>
    <t>RSCLER0253</t>
  </si>
  <si>
    <t>Condomínio Edifício Garden Place Cristal</t>
  </si>
  <si>
    <t xml:space="preserve">Rua Diário de Notícias, 1625 </t>
  </si>
  <si>
    <t>CTLAA.107.M060.</t>
  </si>
  <si>
    <t>RSCLER0254</t>
  </si>
  <si>
    <t xml:space="preserve"> Condomínio do Edifício Brindisi </t>
  </si>
  <si>
    <t xml:space="preserve">Av. Nilópolis, 473 </t>
  </si>
  <si>
    <t>PAULO GOMES / FABIO AMARILIO</t>
  </si>
  <si>
    <t>FOI LANÇADO  105 METROS DE CABO DE 12FO, A TRAVESSIA FOI FEITO AUTO SUSTENTAVÉL, 23 ABERTURA E FECHAMENTO, 2 DERIVAÇÃO 9 FUSÃO, 3 TESTE, 1 CX NOVA</t>
  </si>
  <si>
    <t>RSCLER0255</t>
  </si>
  <si>
    <t xml:space="preserve"> Condomínio Edifício Vangard</t>
  </si>
  <si>
    <t>Rua São Luis, 662</t>
  </si>
  <si>
    <t>5 ABERTURA E FECHAMENTO , 4 FUSÃO, 1 TESTE</t>
  </si>
  <si>
    <t>RSCLER0256</t>
  </si>
  <si>
    <t xml:space="preserve"> Cond Edifício Residencial Freitas</t>
  </si>
  <si>
    <t xml:space="preserve"> Rua Freitas e Castro, 300</t>
  </si>
  <si>
    <t>RSCLER0257</t>
  </si>
  <si>
    <t>NAP lotada</t>
  </si>
  <si>
    <t>Rua Cabral, 201</t>
  </si>
  <si>
    <t>1 ABERTURA E FECHAMENTO, 1 SPLITTER NOVO, 2 FUSÃO, 1 TESTE</t>
  </si>
  <si>
    <t>RSCLER0258</t>
  </si>
  <si>
    <t>Cond Edifício Boulevard Saint James I</t>
  </si>
  <si>
    <t>Rua Costa, 361</t>
  </si>
  <si>
    <t>TAYLLER / VINICIUS</t>
  </si>
  <si>
    <t xml:space="preserve">2 ABERTURA E FECHAMENTO, 6 FUSÃO, 1 DERIVAÇÃO, 3 TESTE </t>
  </si>
  <si>
    <t>RSCLER0259</t>
  </si>
  <si>
    <t xml:space="preserve">Cond Edifício Residencial Porto Pacífico </t>
  </si>
  <si>
    <t>Rua Cel. Aparício Borges, 910</t>
  </si>
  <si>
    <t>TRLAA.261.M060</t>
  </si>
  <si>
    <t>FOI LANÇANDO 195 METROS DE CABO DE 12FO, 2 ABERRTURA E FECHAMENTO, 2 DERIVAÇÃO, 4 FUSÃO, 1 CX NOVA, 2 TESTE</t>
  </si>
  <si>
    <t>RSCLER0260</t>
  </si>
  <si>
    <t xml:space="preserve"> Life.Co - Infinita </t>
  </si>
  <si>
    <t>R São Mateus 611</t>
  </si>
  <si>
    <t>RICARDO</t>
  </si>
  <si>
    <t>FOI LANÇADO 19 METROS DE CABO, 4 ABERTURA E FECHAMENTO, 1 DERIVAÇÃO, 4 FUSÃO, 1 CX NOVA, 2 TESTE</t>
  </si>
  <si>
    <t>RSCLER0261</t>
  </si>
  <si>
    <t xml:space="preserve">PARQUE VENTURA I </t>
  </si>
  <si>
    <t xml:space="preserve">R AFONSO PENA 340 </t>
  </si>
  <si>
    <t>FOI LANÇADO 770 METROS DE CABO DE 12FO, 1 ABERTURA E FECHAMENTO, 1 CX NOVA, 1 DERIVAÇÃO, 8 FUSÃO, 4 TESTE</t>
  </si>
  <si>
    <t>RSCLER0262</t>
  </si>
  <si>
    <t xml:space="preserve">PARQUE VENTURA II </t>
  </si>
  <si>
    <t>RUA AFONSO PENA 380</t>
  </si>
  <si>
    <t>2 ABERTURA E FECHAMENTO, 8 FUSÃO, 4 TESTE</t>
  </si>
  <si>
    <t>RSCLER0263</t>
  </si>
  <si>
    <t xml:space="preserve"> Condomínio Edifício Braz de Faria </t>
  </si>
  <si>
    <t xml:space="preserve">Rua Gal. Lima e Silva, 117 </t>
  </si>
  <si>
    <t>MARCIO</t>
  </si>
  <si>
    <t>4 ABERTURA E FECHAMENTO, 3 FUSÃO, 1 SPLITTER, 1 TESTE</t>
  </si>
  <si>
    <t>RSCLER0264</t>
  </si>
  <si>
    <t>Edifício Carlos Carone</t>
  </si>
  <si>
    <t xml:space="preserve">Rua José do Patrocínio, 693 </t>
  </si>
  <si>
    <t>RSCLER0265</t>
  </si>
  <si>
    <t xml:space="preserve"> Miguel Couto, 714</t>
  </si>
  <si>
    <t>FOI LANÇADO 105 METROS DE CABO DE 12FO, 7 ABERTURA E FECHAMENTO, 1 CX NOVA, 1 DERIVAÇÃO, 7 FUSÃO, 1 TESTE</t>
  </si>
  <si>
    <t>RSCLER0266</t>
  </si>
  <si>
    <t>Rua Dr Eduardo Chartier, 190</t>
  </si>
  <si>
    <t>RODRIGO</t>
  </si>
  <si>
    <t>FOI LANÇADO 583 METROS DE CABO DE 12FO, 1 ABERTURA E FECHAMENTO, 5 FUSÃO, 5 TESTE 1 CX NOVA, 1 DERIVAÇÃO</t>
  </si>
  <si>
    <t>RSCLER0267</t>
  </si>
  <si>
    <t>Rua Quintino Bocaiuva, 159</t>
  </si>
  <si>
    <t>FOI LANÇADO 498 METROS DE CABO DE 12FO, 4 ABERTURA E FECHAMENTO, 8 FUSÃO, 1 DERIVAÇÃO, 2 TESTE, 1 CX NOVA</t>
  </si>
  <si>
    <t>RSCLER0268</t>
  </si>
  <si>
    <t xml:space="preserve">Rua Tito Lívio Zambecari, 332 </t>
  </si>
  <si>
    <t>VINICIUS</t>
  </si>
  <si>
    <t>FOI LANÇADO 119 METROS DE CABO DE 12FO, 1 ABERTURA E FECHAMENTO, 7 FUSÃO, 1 DERIVAÇÃO, 1 CX NOVA, 7 TESTE</t>
  </si>
  <si>
    <t>RSCLER0269</t>
  </si>
  <si>
    <t>Rua Visconde Do Herval, 900</t>
  </si>
  <si>
    <t>WESLEY/ VINICIUS</t>
  </si>
  <si>
    <t>FOI LANÇADO 197 METROS DE CABO DE 12FO, 1 ABERTURA E FECHAMENTO, 1 DERIVAÇÃO, 8 FUSÃO, 4 TESTE , 1 CX NOVA</t>
  </si>
  <si>
    <t>RSCLER0270</t>
  </si>
  <si>
    <t>Rua André Puente, 344</t>
  </si>
  <si>
    <t>BFMAA.023.M060</t>
  </si>
  <si>
    <t xml:space="preserve">FOI LANÇADO 170 METROS DE CABO DE 12FO, 4 ABERTURA E FECHAMENTO, 12 FUSÃO, 2 CX NOVA, 2 DERIVAÇÃO, 2 TESTE </t>
  </si>
  <si>
    <t>RSCLER0271</t>
  </si>
  <si>
    <t>Rua Dr Eduardo Chartier,195</t>
  </si>
  <si>
    <t>RSCLER0272</t>
  </si>
  <si>
    <t>Rua Dr Eduardo Chartier, 585</t>
  </si>
  <si>
    <t>FOI LANÇADO 195 METROS DE CABO DE 12FO, 12 ABERTURA E FECHAMENTO, 1 CX NOVA, 21 FUSÃO, 2 DERIVAÇÃO</t>
  </si>
  <si>
    <t>RSCLER0273</t>
  </si>
  <si>
    <t>Rua Afonso Taunay, 180</t>
  </si>
  <si>
    <t>FOI LANÇADO 211 METROS DE CABO DE 12 FO,  3 ABERTURA E FECHAMENTO, 9 FUSÃO, 1 DERIVAÇÃO, 1 CX NOVA, 3 TESTE</t>
  </si>
  <si>
    <t>RSCLER0274</t>
  </si>
  <si>
    <t xml:space="preserve">Avenida Padre Cacique, 266 </t>
  </si>
  <si>
    <t>MNDAC.071.M020</t>
  </si>
  <si>
    <t>FOI LANÇADO 424 METROS DE CABO DE 12FO - 8 ABERTURA E FECHAMENTO, 1 DERIVAÇÃO, 1 CX NOVA , 8 FUSÃO, 3 TESTE</t>
  </si>
  <si>
    <t>RSCLER0275</t>
  </si>
  <si>
    <t>PAE MAD</t>
  </si>
  <si>
    <t xml:space="preserve"> Avenida Borges de Medeiros, 3200</t>
  </si>
  <si>
    <t>MNDAA.115.M050</t>
  </si>
  <si>
    <t>2 FUSÃO, 1 TESTE</t>
  </si>
  <si>
    <t>RSCLER0276</t>
  </si>
  <si>
    <t xml:space="preserve"> Avenida Borges de Medeiros, 3160</t>
  </si>
  <si>
    <t>MNDAA.115.M050.</t>
  </si>
  <si>
    <t>FOI LANÇADO 252 METROS DE CABO DE 12FO, 2 ABERTURA E FECHAMENTO, 2 FUSÃO, 1 DERIVAÇÃO, 1 CX NOVA, 1 TESTE, COBRAR CORDOALHA</t>
  </si>
  <si>
    <t>RSCLER0277</t>
  </si>
  <si>
    <t xml:space="preserve"> Rua Américo Vespúcio, 1099</t>
  </si>
  <si>
    <t>NAVAA.145.M050</t>
  </si>
  <si>
    <t>FOI LANÇADO 240 METROS DE CABO DE 12FO, 2 ABERTURA E FECHAMENTO, 2 FUSÃO, 1 DERIVAÇÃO, 1 CX NOVA , 1 TESTE</t>
  </si>
  <si>
    <t>RSCLER0278</t>
  </si>
  <si>
    <t>Rua Ary Marinho, 11</t>
  </si>
  <si>
    <t xml:space="preserve">THIAGO </t>
  </si>
  <si>
    <t>FOI LANÇADO 382 METROS DE CABO DE 12FO, 1 CX NOVA, 1 TESTE, 1 DERIVAÇÃO,13 ABERTURA E FECHAMENTO, 20 FUSÃO</t>
  </si>
  <si>
    <t>RSCLER0279</t>
  </si>
  <si>
    <t xml:space="preserve"> Rua Cel Bordini, 1800 </t>
  </si>
  <si>
    <t>MTSAA.304.M050</t>
  </si>
  <si>
    <t>TIAGO LAMBRETA</t>
  </si>
  <si>
    <t>FOI LANÇADO 353 CABO DE 12FO, 3 ABERTURA E FECHAMENTO,4 FUSÃO, 2 DERIVAÇÃO, 1 CX NOVA, 1 TESTE</t>
  </si>
  <si>
    <t>RSCLER0280</t>
  </si>
  <si>
    <t xml:space="preserve">Cond Ed Jardim Guaira </t>
  </si>
  <si>
    <t>Rua Santa Cecília, 1373</t>
  </si>
  <si>
    <t>RBRAA.075.M050</t>
  </si>
  <si>
    <t>FOI LANÇADO 170 METROS DE CABO DE 12 FO, 3 ABERTURA E FECHAMENTO, 8 FUSÃO, 1 DERIVAÇÃO, 1 CX NOVA, 2 TESTE</t>
  </si>
  <si>
    <t>RSCLER0281</t>
  </si>
  <si>
    <t>Rua Ary Marinho, 14</t>
  </si>
  <si>
    <t>ESSA OS É JUNTO COM A RSCLER0278</t>
  </si>
  <si>
    <t>16/05/024</t>
  </si>
  <si>
    <t>RSCLER0282</t>
  </si>
  <si>
    <t>Travessa Jaguarão, 45</t>
  </si>
  <si>
    <t>NAVAA.145.M060</t>
  </si>
  <si>
    <t>FOI LANÇADO 350 METROS DE CABO DE 12FO, 2 ABERTURA E FECHAMENTO, 3 FUSÃO, 1 DERIVAÇÃO, 1 CX NOVA, 1 TESTE</t>
  </si>
  <si>
    <t>RSCLER0283</t>
  </si>
  <si>
    <t>BVSAIA</t>
  </si>
  <si>
    <t xml:space="preserve"> Anita Gardibaldi, 1418</t>
  </si>
  <si>
    <t>BVSAA.081.M030</t>
  </si>
  <si>
    <t>POMPEU / MALCOLN</t>
  </si>
  <si>
    <t xml:space="preserve">OK - ENVIADO </t>
  </si>
  <si>
    <t>FOI LANÇADO 163 METROS DE CABO DE 12 FO, FOI LANÇADO 174 METROS DE CABO DE 12FO , 2 LANÇAMENTOS POIS HAVIA ERRO NO PROJETO,.4 ABERTURA E FECHAMENTO, 18 FUSÃO, 2 DERIVAÇÃO, 5 TESTE</t>
  </si>
  <si>
    <t>RSCLER0284</t>
  </si>
  <si>
    <t xml:space="preserve"> Cel Marcos 2447 </t>
  </si>
  <si>
    <t>TRZAB.109.M020</t>
  </si>
  <si>
    <t>FOI LANÇADO 300 METROS DE CABO DE 12FO, 2 ABERTURA E FECHAMENTO, 1 DERIVAÇÃO, 1 CX NOVA , 2 TESTE, 4 FUSÃO</t>
  </si>
  <si>
    <t>RSCLER0285</t>
  </si>
  <si>
    <t>Alameda Eduardo Guimarães, 135</t>
  </si>
  <si>
    <t>BVSAB.033.M050</t>
  </si>
  <si>
    <t xml:space="preserve">FOI LANÇADO 150 METROS DE CABO DE 12FO, 3 ABERTURA E FECHAMENTO, 6 FUSÃO, 1 DERIVAÇÃO, 1 CX NOVA, 2 TESTE, </t>
  </si>
  <si>
    <t>RSCLER0286</t>
  </si>
  <si>
    <t>Adão Baino, 261</t>
  </si>
  <si>
    <t>VIPAA.021.M060</t>
  </si>
  <si>
    <t>ALAN / LAMBRETA / THIAGO</t>
  </si>
  <si>
    <t>FOI LANÇADO 323 METROS DE CABO DE 12FO, LANÇADO 209 METROS DE CABO DE 12FO-FOI LANÇADO 405 METROS DE CABO DE 12FO,  FOI FEITO 3 LANÇAMENTOS POR ERRO DE PROJETO, 3 ABERTURA E FECHAMENTO, 6 DERIVAÇÃO, 12 FUSÃO , 1 CX NOVA , 3 TESTE</t>
  </si>
  <si>
    <t>17/0/2024</t>
  </si>
  <si>
    <t>RSCLER0287</t>
  </si>
  <si>
    <t>Adão Baino, 274</t>
  </si>
  <si>
    <t>VIPAA.021.M060.</t>
  </si>
  <si>
    <t>OS COBRADA JUNTAMENTO COM A OS RSCLER0283</t>
  </si>
  <si>
    <t>17/0/2025</t>
  </si>
  <si>
    <t>RSCLER0288</t>
  </si>
  <si>
    <t>Gomes de Freitas, 524</t>
  </si>
  <si>
    <t>JITAB.094.M040</t>
  </si>
  <si>
    <t>FOI LANÇADO 83 METROS DE CABO DE 12FO, 2 ABERTURA E FECHAMENTO,1 DERIVAÇÃO, 1 CX NOVA, 1 TESTE, 2 FUSÃO</t>
  </si>
  <si>
    <t>RSCLER0289</t>
  </si>
  <si>
    <t>R Carvalho Monteiro</t>
  </si>
  <si>
    <t>MTSAA.151.M050</t>
  </si>
  <si>
    <t>FOI LANÇADO 347 METROS DE CABO DE 12FO, 3 ABERTURA E FECHAMENTO, 16 FUSÃO, 1 CX NOVA, 1 DERIVAÇÃO, 7 TESTE</t>
  </si>
  <si>
    <t>RSCLER0290</t>
  </si>
  <si>
    <t>ED FERRAZES</t>
  </si>
  <si>
    <t>ACIONAMENTO PILOTTI</t>
  </si>
  <si>
    <t>RSCLER0291</t>
  </si>
  <si>
    <t>Eça de Queiroz, 867</t>
  </si>
  <si>
    <t>RBRAA.093.M102</t>
  </si>
  <si>
    <t>6 FUSÕES, 1 CX NOVA, 2 TESTE</t>
  </si>
  <si>
    <t>RSCLER0292</t>
  </si>
  <si>
    <t xml:space="preserve"> Reis Louzada, 189 </t>
  </si>
  <si>
    <t>RBRAA.093.M101</t>
  </si>
  <si>
    <t>FOI LANÇADO 771 METROS DE CABO DE 12 FO, 5 ABERTURA E FECHAMENTO, 1 DERIVAÇÃO, 1 CX NOVA, 2 TESTE, 12 FUSÃO</t>
  </si>
  <si>
    <t>RSCLER0293</t>
  </si>
  <si>
    <t>SLSAA</t>
  </si>
  <si>
    <t>VIAMÃO</t>
  </si>
  <si>
    <t xml:space="preserve"> TV Silveira 82</t>
  </si>
  <si>
    <t>SLSAA.004.03.07</t>
  </si>
  <si>
    <t>EMILIANO</t>
  </si>
  <si>
    <t xml:space="preserve">FOI LANÇADO 800 METROS DE CABO DE 12FO,  3 ABERTURA E FECHAMENTO, 6 FUSÃO, 1 DERIVAÇÃO, 1 NAP NOVA, 3 TESTE </t>
  </si>
  <si>
    <t>RSCLER0294</t>
  </si>
  <si>
    <t>Otto Niemeyer, 1702</t>
  </si>
  <si>
    <t>5 ABERTURA E FECHAMENTO, 20 FUSÃO, 5 TESTE</t>
  </si>
  <si>
    <t>RSCLER0295</t>
  </si>
  <si>
    <t>HUB ZONA SUL</t>
  </si>
  <si>
    <t>Costa Lima, 790</t>
  </si>
  <si>
    <t>TRLAA.221.M010</t>
  </si>
  <si>
    <t>UBIRATAN / VICTOR</t>
  </si>
  <si>
    <t>FOI LANÇADO 994 METROS DE CABO DE 12FO TERÁ DOIS LANÇAMENTOS, POR MUDANÇA DE PROJETO, FOI LANÇADO 437 METROS DE CABO DE 12FO, 6 ABERTURA E FECHAMENTO, 24 FUSÃO, 2 DERIVAÇÃO, 1 CX NOVA, 4 TESTE</t>
  </si>
  <si>
    <t>RSCLER0296</t>
  </si>
  <si>
    <t>TRZAF</t>
  </si>
  <si>
    <t>Dr Pereira Neto, 620 600 640</t>
  </si>
  <si>
    <t>TRZAA.052.M080</t>
  </si>
  <si>
    <t>FOI LANÇADO 186 METROS DE CABO DE 12FO, FOI LANÇADO 159 METROS DE CABO DE 12FO, TEVE 2 LANÇAMENTOS POR INSUFICIENCIA DE FIBRA, 4 ABERTURA E FECHAMENTO, 4 DERIVAÇÃO,11 FUSÃO, 1 CX NOVA, 3 TESTE</t>
  </si>
  <si>
    <t>RSCLER0297</t>
  </si>
  <si>
    <t>MNDAM</t>
  </si>
  <si>
    <t xml:space="preserve"> Otávio Dutra, 164 174</t>
  </si>
  <si>
    <t>MNDAC.081.M030</t>
  </si>
  <si>
    <t>FOI LANÇADO 149 METROS DE CABO DE 24FO, 8 ABERTURA E FECHAMENTO, 25 FUSÃO, 1 DERIVAÇÃO, 1 SPLITTER NOVO, 1 CX NOVA, 4 TESTE</t>
  </si>
  <si>
    <t>RSCLER0298</t>
  </si>
  <si>
    <t>Panamericana, 101</t>
  </si>
  <si>
    <t>SSOAA.091.M090</t>
  </si>
  <si>
    <t>FOI LANÇADO 471 METROS DE CABO DE 12FO,8 ABERTURA E FECHAMENTO,1 DERIVAÇÃO, 1 CX NOVA 3 TESTE, 16 FUSÃO</t>
  </si>
  <si>
    <t>RSCLER0299</t>
  </si>
  <si>
    <t>Sertório, 9200</t>
  </si>
  <si>
    <t>RBTAA.102.M040</t>
  </si>
  <si>
    <t>4 ABERTURA E FECHAMENTO, 6 FUSÕES, 2 TESTE</t>
  </si>
  <si>
    <t>RSCLER0300</t>
  </si>
  <si>
    <t>Wensceslau Escobar, 1086</t>
  </si>
  <si>
    <t>CTLAA.107.M070</t>
  </si>
  <si>
    <t>FOI LANÇADO 320 METROS DE CABO DE 12FO, 8 ABERTURA E FECHAMENTO, 18 FUSÃO, 1 DERIVAÇÃO, 1 CX NOVA, 4 TESTE</t>
  </si>
  <si>
    <t>RSCLER0301</t>
  </si>
  <si>
    <t>Augusto Severo, 125</t>
  </si>
  <si>
    <t>NAVAA.017.M080</t>
  </si>
  <si>
    <t>FOI LANÇADO 530 METROS DE CABO DE 12FO, e ABERTURA E FECHAMENTO, 1 DERIVAÇÃO, 6 FUSÃO, 1 CX NOVA, 3 TESTE</t>
  </si>
  <si>
    <t>RSCLER0302</t>
  </si>
  <si>
    <t>Buenos Aires, 520</t>
  </si>
  <si>
    <t>BVSAB.111.M070</t>
  </si>
  <si>
    <t>FOI LANÇADO 550 METROS DE CABO DE 12 FO,  4 ABERTURA E FECHAMENTO, 20 FUSÃO, 4 DERIVAÇÃO, 1 CX NOVA, 4 TESTE</t>
  </si>
  <si>
    <t>RSCLER0303</t>
  </si>
  <si>
    <t xml:space="preserve"> Copérnico, 50_55</t>
  </si>
  <si>
    <t>JITAB.153.M060</t>
  </si>
  <si>
    <t>FOI LANÇADO 278 METROS DE CABO DE 24FO, 2 ABERTURA E FECHAMENTO, 1 DERIVAÇÃO, 14 FUSÃO, 1 CX NOVA, 6 TESTE</t>
  </si>
  <si>
    <t>RSCLER0304</t>
  </si>
  <si>
    <t>Gen. Couto de Magalhães, 1876</t>
  </si>
  <si>
    <t>NAVAA.121.M010</t>
  </si>
  <si>
    <t>3 ABERTURA E FECHAMENTO, 10 FUSÃO, 5 TESTE</t>
  </si>
  <si>
    <t>RSCLER0305</t>
  </si>
  <si>
    <t xml:space="preserve">Jarii, 359 </t>
  </si>
  <si>
    <t>PDRAA.062.M080</t>
  </si>
  <si>
    <t>FOI LANÇADO 300 METROS DE CABO DE 12 FO, FOI LANÇADO MAIS 361 METROS DE CABO DE 12FO, POR INSUFICIENCIA DE FIBRA TEVE 2 LANÇAMENTOS, 6 ABERTURA E FECHAMENTO, 1 CX NOVA, 20 FUSÃO, 3 DERIVAÇÃO,  2 TESTE</t>
  </si>
  <si>
    <t>RSCLER0306</t>
  </si>
  <si>
    <t>Prof. Fitzgerald, 101</t>
  </si>
  <si>
    <t>MTSAA.331.M050</t>
  </si>
  <si>
    <t>FOI LANÇADO 909 METROS DE CABO DE 12FO, 2 ABERTURA E FECHAMENTO, 1 DERIVAÇÃO, 1 CX NOVA, 6 FUSÃO, 3 TESTE</t>
  </si>
  <si>
    <t>RSCLER0307</t>
  </si>
  <si>
    <t>Silva Jardim, 768</t>
  </si>
  <si>
    <t xml:space="preserve">6 ABERTURA E FECHAMENTO, 8 FUSÃO, 2 TESTE </t>
  </si>
  <si>
    <t>RSCLER0308</t>
  </si>
  <si>
    <t xml:space="preserve">Dário de Bittencourt, 300 </t>
  </si>
  <si>
    <t xml:space="preserve">4 ABERTURA E FECHAMENTO, 6 FUSÃO, 2 TESTE </t>
  </si>
  <si>
    <t>RSCLER0309</t>
  </si>
  <si>
    <t>AV CRISTIANO FISCHER 818</t>
  </si>
  <si>
    <t>BVSAB.272.M020</t>
  </si>
  <si>
    <t>2 ABERTURA E FECHAMENTO, 2 FUSÃO, 1 TESTE -</t>
  </si>
  <si>
    <t>RSCLER0310</t>
  </si>
  <si>
    <t xml:space="preserve"> Rua Couto de Magalhães, 736 e 756</t>
  </si>
  <si>
    <t>RSCLER0311</t>
  </si>
  <si>
    <t xml:space="preserve">PINHEIRO MACHADO 282 </t>
  </si>
  <si>
    <t>RSCLER0312</t>
  </si>
  <si>
    <t>CEE</t>
  </si>
  <si>
    <t>PRTAA.091.M030</t>
  </si>
  <si>
    <t>KM</t>
  </si>
  <si>
    <t>6 ABERTURA E FECHAMENTO, 4 TESTE, 7 FUSÃO, 1 CX NOVA, 1 DERIVAÇÃO</t>
  </si>
  <si>
    <t>RSCLER0313</t>
  </si>
  <si>
    <t>Jardim Botanico</t>
  </si>
  <si>
    <t>BVSAB.274.04.05</t>
  </si>
  <si>
    <t>FOI LANÇADO 674 METROS DE CABO DE 12FO, 2 ABERTURA E FECHAMENTO, 3 FUSÃO, 1 DERIVAÇÃO, 1 NAP NOVA, 1 TESTE</t>
  </si>
  <si>
    <t>RSCLER0314</t>
  </si>
  <si>
    <t xml:space="preserve"> Condomínio Aris </t>
  </si>
  <si>
    <t>Rua Evaldo Campos, 79</t>
  </si>
  <si>
    <t>BVSAB.032.M050</t>
  </si>
  <si>
    <t>FOI LANÇADO 1110 METROS DE CABO DE 12FO, 4 ABERTURA E FECHAMENTO, 5 FUSÕES, 1 DERIVAÇÃO, 1 CX NOVA, 1 TESTE</t>
  </si>
  <si>
    <t>RSCLER0315</t>
  </si>
  <si>
    <t>DEIC</t>
  </si>
  <si>
    <t>PRTAA.091.M030.</t>
  </si>
  <si>
    <t xml:space="preserve">4 ABERTURA E FECHAMENTO, 4 FUSÃO, 2 TESTE </t>
  </si>
  <si>
    <t>RSCLER0316</t>
  </si>
  <si>
    <t xml:space="preserve">AV IPIRANGA </t>
  </si>
  <si>
    <t>RBRAA.074.02.07</t>
  </si>
  <si>
    <t>FOI LANÇADO 207 MTEROS DE CABO DE 12FO, 3 ABERTURA E FECHAMENTO, 4 FUSÃO, 1 DERIVAÇÃO, 1 NAP NOVA, 1 TESTE</t>
  </si>
  <si>
    <t>RSCLER0317</t>
  </si>
  <si>
    <t>Costa E Silva - RBTAA</t>
  </si>
  <si>
    <t>R. Jaíro Gondin da Silva, 255</t>
  </si>
  <si>
    <t>RBTAA.164.M040</t>
  </si>
  <si>
    <t>FOI LANÇADO 383 METROS DE CABO DE 12FO, REPUXOU 230 METROS DE CABO, 45 METROS DE CORDOALHA, 45 ESPINADO, 5 ABERTURA E FECHAMENTO, 4 FUSÃO, 1 DERIVAÇÃO, 1 CX NOVA, 2 TESTE</t>
  </si>
  <si>
    <t>RSCLER0318</t>
  </si>
  <si>
    <t xml:space="preserve"> Yvy Lindóia Vanguard</t>
  </si>
  <si>
    <t>Rua Emilio Muler N°55</t>
  </si>
  <si>
    <t>SSOAA.091.M100</t>
  </si>
  <si>
    <t>ALAN / MALCOLN</t>
  </si>
  <si>
    <t>FOI LANÇADO 108 METROS DE CABO DE 12FO , 6 ABERTURA E FECHAMENTO, 16 FUSÃO, 1 CX NOVA, 4 DERIVAÇÃO,  2 TESTE</t>
  </si>
  <si>
    <t>RSCLER0319</t>
  </si>
  <si>
    <t>AV Cavalhada, 6021</t>
  </si>
  <si>
    <t>IPMAA.071.M020</t>
  </si>
  <si>
    <t>FOI LANÇADO 130 METROS DE CABO DE 12FO</t>
  </si>
  <si>
    <t>RSCLER0320</t>
  </si>
  <si>
    <t>MVL07A</t>
  </si>
  <si>
    <t>Canoas Happynes</t>
  </si>
  <si>
    <t>Av Dr Barcelos 97</t>
  </si>
  <si>
    <t>CNTAB.072.M030</t>
  </si>
  <si>
    <t>FOI LANÇADO 494 METROS DE CABO DE 12FO, 1 ABERTURA E FECHAMENTO, 4 FUSÃO, 1 DERIVAÇÃO, 4 TESTE, 1 CX NOVA</t>
  </si>
  <si>
    <t>RSCLER0321</t>
  </si>
  <si>
    <t>PRTANA</t>
  </si>
  <si>
    <t>Residencial Frei Germano</t>
  </si>
  <si>
    <t xml:space="preserve">R Frei Germano 138 </t>
  </si>
  <si>
    <t>PRTAA.001.M110</t>
  </si>
  <si>
    <t>FOI LANÇADO 250 METROS DE CABO DE 12FO, 3 ABERRTURA E FECHAMENTO, 3 FUSÃO, 2 DERIVAÇÃO, 1 CX NOVA, 1 TESTE</t>
  </si>
  <si>
    <t>RSCLER0322</t>
  </si>
  <si>
    <t xml:space="preserve"> conj 1206, 1207, 1208 e 1209</t>
  </si>
  <si>
    <t>Praça Osvaldo Cruz 15</t>
  </si>
  <si>
    <t>2 ABERTURA E FECHAMENTO, 2 DERIVAÇÃO, 3 FUSÃO ( APOIO A KM )</t>
  </si>
  <si>
    <t>RSCLER0323</t>
  </si>
  <si>
    <t xml:space="preserve">PORTO SANTIAGO </t>
  </si>
  <si>
    <t xml:space="preserve">RUA JOÃO DA SILVA BUENO 100 </t>
  </si>
  <si>
    <t>MSTAA.051.M020</t>
  </si>
  <si>
    <t>FOI LANÇADO 370 METROS DE CABO DE 36FO, 3 ABERTURA E FECHAMENTO, 2 DERIVAÇÃO, 8 FUSÃO, 4 TESTE</t>
  </si>
  <si>
    <t>RSCLER0324</t>
  </si>
  <si>
    <t xml:space="preserve"> Cond. Ed. Faria Santos</t>
  </si>
  <si>
    <t>R Faria Santos 230</t>
  </si>
  <si>
    <t>RBRAA.093.M060</t>
  </si>
  <si>
    <t>FOI INSTALADO UM SPLITTER 1X8, 8 ABERTURA E FECHAMENTO, 18 FUSÃO, 4 TESTE</t>
  </si>
  <si>
    <t>RSCLER0325</t>
  </si>
  <si>
    <t>Riserva Menino Deus</t>
  </si>
  <si>
    <t>Rua Marcílio Dias, 589</t>
  </si>
  <si>
    <t>MNDAB.051.M080</t>
  </si>
  <si>
    <t>FOI LANÇADO 305 METROS DE CABO DE 12FO, 2 ABERTURA E FECHAMENTO, 3 FUSÃO, 1 DERIVAÇÃO, 1 CX NOVA, 1 TESTE</t>
  </si>
  <si>
    <t>RSCLER0326</t>
  </si>
  <si>
    <t>RBTAGB</t>
  </si>
  <si>
    <t xml:space="preserve"> Cond Vivaz Santa Fé - </t>
  </si>
  <si>
    <t>R Rev. Olavo Nunes 280</t>
  </si>
  <si>
    <t>RBTAC.101.M010</t>
  </si>
  <si>
    <t>FOI LANÇADO 485 METROS DE CABO DE 12FO, 3 ABERTURA E FECHAMENTO, 1 CX NOVA, 1 DERIVAÇÃO, 21 FUSÃO, 7 TESTE - FOI LANÇADO 137 METROS DE CORDOALHA</t>
  </si>
  <si>
    <t>RSCLER0327</t>
  </si>
  <si>
    <t>AMERICA RESIDENCE</t>
  </si>
  <si>
    <t>R. Irmão Norberto Francisco Rauch 101</t>
  </si>
  <si>
    <t>JCVAA.121.M060</t>
  </si>
  <si>
    <t>FOI LANÇADO 228 METROS DE CABO DE 12FO, 4 ABERTURA E FECHAMENTO, 1 DERIVAÇÃO, 8 FUSÃO, 1 CX NOVA 2 TESTE</t>
  </si>
  <si>
    <t>RSCLER0328</t>
  </si>
  <si>
    <t>NEW HORIZON</t>
  </si>
  <si>
    <t xml:space="preserve">R CEL FEIJO 516 </t>
  </si>
  <si>
    <t>NAVAA.123.M070</t>
  </si>
  <si>
    <t>FOI LANÇADO 220 METROS DE CABO DE 12FO, 3 ABERTURA E FECHAMENTO, 1 DERIVAÇÃO, 1 CX NOVA, 6 FUSÃO, 2 TESTE</t>
  </si>
  <si>
    <t>RSCLER0329</t>
  </si>
  <si>
    <t>DARIO PEDERNEIRAS 328</t>
  </si>
  <si>
    <t>RBRAA.093.M103</t>
  </si>
  <si>
    <t>FOI LANÇADO 203 METROS DE CABO DE 12FO, FOI LANÇADO 207 METROS DE CABO DE 24FO, TEVE DOIS LANÇAMENTOS POR INSUFICIENCIA DE FIBRA, 3 ABERTURA E FECHAMENTO, 6 FUSÃO, 3 DERIVAÇÃO, 1 CX NOVA, 2 TESTE</t>
  </si>
  <si>
    <t>RSCLER0330</t>
  </si>
  <si>
    <t>DIEGO MEDEIROS VELLEDA</t>
  </si>
  <si>
    <t>STAAA.221.02.08</t>
  </si>
  <si>
    <t>FOI LANÇADO 480 METROS DE CABO DE 12FO, 2 ABERTURA E FECHAMENTO, 1 DERIVAÇÃO, 3 FUSÃO, 1 NAP NOVA, 3 TESTE</t>
  </si>
  <si>
    <t>RSCLER0331</t>
  </si>
  <si>
    <t>Edifício 4 de maio</t>
  </si>
  <si>
    <t xml:space="preserve"> Rua Cel. Paulino Teixeira, 341</t>
  </si>
  <si>
    <t>RBRAA.021.M010</t>
  </si>
  <si>
    <t>2 ABRTURA E FECHAMENTO, 3 FUSÃO, 3 TESTE</t>
  </si>
  <si>
    <t>RSCLER0332</t>
  </si>
  <si>
    <t xml:space="preserve"> Condomínio Reserva Petrópolis</t>
  </si>
  <si>
    <t>Rua Mário Leitão, 60</t>
  </si>
  <si>
    <t>BVSAB.081.M010</t>
  </si>
  <si>
    <t>4 ABERTURA E FECHAMENTO, 2 FUSÃO, 1 TESTE</t>
  </si>
  <si>
    <t>RSCLER0333</t>
  </si>
  <si>
    <t>Cond. Porto Bahamas.</t>
  </si>
  <si>
    <t>R. Irmão Norberto Francisco Rauch, 575 BL 02</t>
  </si>
  <si>
    <t>JCVAA.121.M050</t>
  </si>
  <si>
    <t>FOI LANÇADO 206 METROS DE CABO DE 12FO, 3 ABERTURA E FECHAMENTO, 4 FUSÃO, 2 DERIVAÇÃO, 2 TESTE</t>
  </si>
  <si>
    <t>RSCLER0334</t>
  </si>
  <si>
    <t xml:space="preserve">Le Pierre </t>
  </si>
  <si>
    <t>RUA ARTHUR ROCHA, 1111</t>
  </si>
  <si>
    <t>MTSAA.302.M090</t>
  </si>
  <si>
    <t>FOI LANÇADO 305 METROS DE CABO DE 12FO, 4 ABERTURA E FECHAMENTO, 1 DERIVAÇÃO, 1 CX NOVA, 8 FUSÃO, 2 TESTE</t>
  </si>
  <si>
    <t>RSCLER0335</t>
  </si>
  <si>
    <t xml:space="preserve">MONTE POLLINO </t>
  </si>
  <si>
    <t>AV VENANCIO AIRES 177</t>
  </si>
  <si>
    <t>SANAA.031.M020</t>
  </si>
  <si>
    <t>RSCLER0336</t>
  </si>
  <si>
    <t>Condomínio Edifício Morada do Parque</t>
  </si>
  <si>
    <t>AV. JOÃO PESSOA, 1091</t>
  </si>
  <si>
    <t>SANAA.031.M010</t>
  </si>
  <si>
    <t>3 ABERTURA E FECHAMENTO, 9 FUSÃO, 1 TESTE</t>
  </si>
  <si>
    <t>RSCLER0337</t>
  </si>
  <si>
    <t>CONDOMINIO VIVER ZONA SUL</t>
  </si>
  <si>
    <t>AVENIDA OTTO NIEMEYER, 1702</t>
  </si>
  <si>
    <t>CMQAA.091.M020</t>
  </si>
  <si>
    <t xml:space="preserve">FOI LANÇADO 50 METROS DE CABO DE 12FO, 2 ABERTURA E FECHAMENTO, 1 DERIVAÇÃO, 1 CX NOVA, 18 FUSÃO, 5 TESTE </t>
  </si>
  <si>
    <t>RSCLER0338</t>
  </si>
  <si>
    <t xml:space="preserve"> Condomínio Rossi Fiateci </t>
  </si>
  <si>
    <t>Av Polonia 255 Planner</t>
  </si>
  <si>
    <t>NAVAA.011.M060</t>
  </si>
  <si>
    <t xml:space="preserve">FOI LANÇADO 497 METROS DE CABO DE 12FO, 3 ABERTURA E FECHAMENTO, 24 FUSÃO, 1 CX NOVA, 1 DERIVAÇÃO, 8 TESTE </t>
  </si>
  <si>
    <t>RSCLER0339</t>
  </si>
  <si>
    <t>Cond. Kristal</t>
  </si>
  <si>
    <t xml:space="preserve">R. Cel. Bordini, 980 </t>
  </si>
  <si>
    <t>MTSAA.092.M050</t>
  </si>
  <si>
    <t>4 ABERTURA E FECHAMENTO, 4 FUSÃO, 1 TESTE</t>
  </si>
  <si>
    <t>RSCLER0340</t>
  </si>
  <si>
    <t>BFMADB</t>
  </si>
  <si>
    <t>Cond Edificio Saintjames Park</t>
  </si>
  <si>
    <t>Av. Independência, 879</t>
  </si>
  <si>
    <t>BFMAA.081.M010</t>
  </si>
  <si>
    <t>2 ABERTURA E FECHAMENTO , 2 FUSÃO , 2 TESTE</t>
  </si>
  <si>
    <t>RSCLER0341</t>
  </si>
  <si>
    <t>Cond. Ed Urbano Petrópolis</t>
  </si>
  <si>
    <t>R Corte Real 82</t>
  </si>
  <si>
    <t>RBRAA.094.M040</t>
  </si>
  <si>
    <t xml:space="preserve">FOI LANÇADO 170 METROS DE CABO DE 12FO, 3 ABERTURA E FECHAMENTO, 4 FUSÃO, 1 DERIVAÇÃO, 1 CX NOVA, 2 TESTE </t>
  </si>
  <si>
    <t>RSCLER0342</t>
  </si>
  <si>
    <t>Condomínio Edificio Malaga</t>
  </si>
  <si>
    <t>Rua Ramiro Barcelos, 1450</t>
  </si>
  <si>
    <t>RBRAA.013.M070</t>
  </si>
  <si>
    <t xml:space="preserve">FOI LANÇADO 100 METROS DE CABO DE 12FO, 2 ABERTURA E FECHAMENTO, 1 CX NOVA, 1 DERIVÇÃO, 5 FUSÃO, 4 TESTE </t>
  </si>
  <si>
    <t>RSCLER0343</t>
  </si>
  <si>
    <t>Ed. Wolfgang Amadeus Mozart</t>
  </si>
  <si>
    <t>R. Ramiro Barcelos, 1515</t>
  </si>
  <si>
    <t>RBRAA.013.M080</t>
  </si>
  <si>
    <t>FOI LANÇADO 155 METROS DE CABO DE 12FO, 2 ABERTURA E FECHAMENTO, 1 CX NOVA, 8 FUSÃO, 4 TESTE</t>
  </si>
  <si>
    <t>RSCLER0344</t>
  </si>
  <si>
    <t xml:space="preserve">Ed San Sebastian </t>
  </si>
  <si>
    <t xml:space="preserve"> Av Goethe 21 </t>
  </si>
  <si>
    <t>BFMAA.013.M060</t>
  </si>
  <si>
    <t>FOI LANÇADO 320 METROS DE CABO DE 12FO, 4 ABERTURA E FECHAMENTO, 4 FUSÃO, 1 DERIVAÇÃO, 1 CX NOVA , 1 TESTE</t>
  </si>
  <si>
    <t>RSCLER0345</t>
  </si>
  <si>
    <t>TRZAJA</t>
  </si>
  <si>
    <t>Cestto Atacadista</t>
  </si>
  <si>
    <t>Av. Wenceslau Escobar, 1286</t>
  </si>
  <si>
    <t>TRZAA.014.M020</t>
  </si>
  <si>
    <t>3 ABERTURA E FECHAMENTO, 2 FUSÃO, 1 TESTE</t>
  </si>
  <si>
    <t>RSCLER0346</t>
  </si>
  <si>
    <t>Rua Joaquim Nabuco, 1746,1776,1786,1685,1721</t>
  </si>
  <si>
    <t>CNTAA.033.M040</t>
  </si>
  <si>
    <t xml:space="preserve">FOI LANÇADO 311 METROS DE CABO DE 24FO, 1 CX NOVA, 1 DERIVAÇÃO, 1 ABERTURA E FECHAMENTO, 33  FUSÃO, 8 TESTE </t>
  </si>
  <si>
    <t>RSCLER0347</t>
  </si>
  <si>
    <t>Rua Joaquim Nabuco, 1830,1848,1055</t>
  </si>
  <si>
    <t>CNTAA.033.M050</t>
  </si>
  <si>
    <t>FOI LANÇADO 195 METROS DE CABO DE 24FO, 1 CX NOVA, 1 ABERTURA E FECHAMENTO, 7 TESTE</t>
  </si>
  <si>
    <t>RSCLER0348</t>
  </si>
  <si>
    <t>Medplex Torre A e B</t>
  </si>
  <si>
    <t xml:space="preserve">Rua Gomes Jardim, 201 </t>
  </si>
  <si>
    <t>SANAA.062.M050</t>
  </si>
  <si>
    <t xml:space="preserve">TIAGO FERREIRA / ALAN </t>
  </si>
  <si>
    <t>440/195</t>
  </si>
  <si>
    <t>FOI LANÇADO 440 METROS DE CABO DE 12FO, FOI LANÇADO 195 METROS DE CABO DE 12FO, 3 ABERTURA E FECHAMENTO, 3 DERIVAÇÃO, 18 FUSÃO, 1 CX NOVA, 8 TESTE</t>
  </si>
  <si>
    <t>RSCLER0349</t>
  </si>
  <si>
    <t>MTSAOA</t>
  </si>
  <si>
    <t xml:space="preserve"> Condomínio Edificio New England</t>
  </si>
  <si>
    <t>R. Carlos Von Koseritz, 700</t>
  </si>
  <si>
    <t>MTSAA.216.M070</t>
  </si>
  <si>
    <t>FOI LANÇADO 409 METROS DE CABO DE 12FO, 4 ABERTURA E FECHAMENTO, 12 FUSÃO, 1 DERIVAÇÃO, 1 CX NOVA, 3 TESTE</t>
  </si>
  <si>
    <t>RSCLER0350</t>
  </si>
  <si>
    <t>R Aldo Menoti Sirângelo 40</t>
  </si>
  <si>
    <t>BVSAB.274.M080</t>
  </si>
  <si>
    <t>RSCLER0351</t>
  </si>
  <si>
    <t>VIPAJ</t>
  </si>
  <si>
    <t xml:space="preserve"> Cond Edificio Vista Flamboyant </t>
  </si>
  <si>
    <t>Avenida Benno Mentz 885/855</t>
  </si>
  <si>
    <t>VIPAA.004.M050</t>
  </si>
  <si>
    <t>FOI LANÇADO 210 METROS DE CABO DE 12FO, 3 ABERTURA E FECHAMENTO, 1 DERIVAÇÃO, 1 TESTE, 3 FUSÃO, 1 CX NOVA</t>
  </si>
  <si>
    <t>RSCLER0352</t>
  </si>
  <si>
    <t>CAMPOS DO SUL</t>
  </si>
  <si>
    <t>RUA FAMILIA GONÇALVES CARNEIRO 441</t>
  </si>
  <si>
    <t>VNVAA.131.M030</t>
  </si>
  <si>
    <t>UBIRATAN / ALAN</t>
  </si>
  <si>
    <t xml:space="preserve">FOI LANÇADO 411 METROS DE CABO DE 12FO, FOI LANÇADO 426 METROS DE CABO DE 12FO, 5 ABERTURA E FECHAMENTO, 3 DERIVAÇÃO, 28 FUSÃO, 1 CX NOVA, 7 TESTE </t>
  </si>
  <si>
    <t>RSCLER0353</t>
  </si>
  <si>
    <t>CAZA SCENARIO</t>
  </si>
  <si>
    <t>R GOMES FREIRE DE ANDRADE 126</t>
  </si>
  <si>
    <t>MRDAA.191.M020</t>
  </si>
  <si>
    <t>FOI LANÇADO 350 METROS DE CABO DE 12FO, 3 ABERTURA E FECHAMENTO, 2 FUSÃO, 1 TESTE</t>
  </si>
  <si>
    <t>RSCLER0354</t>
  </si>
  <si>
    <t>Medplex</t>
  </si>
  <si>
    <t xml:space="preserve">Rua Gomes Jardim, 301 </t>
  </si>
  <si>
    <t>SANAA.062.M050.</t>
  </si>
  <si>
    <t>COBRAR JUNTO COM A OS RSCLER0344</t>
  </si>
  <si>
    <t>RSCLER0355</t>
  </si>
  <si>
    <t>Verde Ipanema</t>
  </si>
  <si>
    <t>R PERCIO FREITAS MAESTRI 388</t>
  </si>
  <si>
    <t>IPMAA.071.M040</t>
  </si>
  <si>
    <t>FOI LANÇADO 407 METROS DE CABO DE 12FO, 2 ABERTURA E FECHAMENTO, 1 DERIVAÇÃO, 1 CX NOVA, 8 FUSÃO, 3 TESTE</t>
  </si>
  <si>
    <t>RSCLER0356</t>
  </si>
  <si>
    <t xml:space="preserve">Residencial Palmares </t>
  </si>
  <si>
    <t>R. Castro Alves, 530</t>
  </si>
  <si>
    <t>RBRAA.013.M090</t>
  </si>
  <si>
    <t xml:space="preserve">FOI LANÇADO 204 METROS DE CABO DE 12FO, 2 ABERTURA E FECHAMENTO, 2 FUSÃO, 1 DERIVAÇÃO, 1 CX NOVA, 1 TESTE </t>
  </si>
  <si>
    <t>RSCLER0357</t>
  </si>
  <si>
    <t xml:space="preserve">RESID BUENOS AIRES </t>
  </si>
  <si>
    <t xml:space="preserve"> R CONGONHAS 50,60,80,100</t>
  </si>
  <si>
    <t>JITAB.153.M010</t>
  </si>
  <si>
    <t>RSCLER0358</t>
  </si>
  <si>
    <t>ANDALUZ</t>
  </si>
  <si>
    <t xml:space="preserve"> AV BAGÉ 1349</t>
  </si>
  <si>
    <t>BVSAB.222.M090</t>
  </si>
  <si>
    <t>FOI LANÇADO 359 METROS DE CABO DE 12FO, 6 ABERTURAE FECHAMENTO, 12 FUSÃO, 1 DERIVAÇÃO, 1 CX NOVA, 2 TESTE</t>
  </si>
  <si>
    <t>RSCLER0359</t>
  </si>
  <si>
    <t xml:space="preserve">Cond. Pavei 978 </t>
  </si>
  <si>
    <t>R Dom Pedro II 978</t>
  </si>
  <si>
    <t>NAVAA.132.M080</t>
  </si>
  <si>
    <t>FOI LANÇADO 365 METROS DE CABO DE 12FO, 4 ABERTURA E FECHAMENTO, 11 FUSÃO, 1 DERIVAÇÃO, 1 CX NOVA, 2 TESTE</t>
  </si>
  <si>
    <t>RSCLER0360</t>
  </si>
  <si>
    <t>Cond Edificio Conceicao</t>
  </si>
  <si>
    <t xml:space="preserve">Av. Alberto Bins 724 </t>
  </si>
  <si>
    <t>FLOAB.091.M060</t>
  </si>
  <si>
    <t>MALCOLM / TIAGO</t>
  </si>
  <si>
    <t>FOI LANÇADO 754 METROS DE CABO DE 12FO, 2 ABERTURA E FECHAMENTO, 6 FUSÃO, 3 DERIVAÇÃO, 1 CX NOVA, 3 TESTE</t>
  </si>
  <si>
    <t>RSCLER0361</t>
  </si>
  <si>
    <t xml:space="preserve"> Condomínio Ed. Patricia</t>
  </si>
  <si>
    <t xml:space="preserve"> Rua Engenheiro Fernando Abreu Pereira, 164</t>
  </si>
  <si>
    <t>RBTAA.122.M030</t>
  </si>
  <si>
    <t xml:space="preserve">FOI LANÇADO 50 METROS DE CABO DE 12FO, 2 ABERTURA E FECHAMENTO, 1 CX NOVA, 1 DERIVAÇÃO, 6 FUSÃO, 3 TESTE </t>
  </si>
  <si>
    <t>RSCLER0362</t>
  </si>
  <si>
    <t>Rua Engenheiro Fernando Abreu Pereira, 144</t>
  </si>
  <si>
    <t>RBTAA.122.M030.</t>
  </si>
  <si>
    <t>COBRAR JUNTO COM A OS RSCLER0358</t>
  </si>
  <si>
    <t>RSCLER0363</t>
  </si>
  <si>
    <t xml:space="preserve">Condomínio Edifício Boreal </t>
  </si>
  <si>
    <t>Av. Bento Gonçalves, 1294</t>
  </si>
  <si>
    <t>SANAB.013.M010</t>
  </si>
  <si>
    <t>RSCLER0364</t>
  </si>
  <si>
    <t>BLNAB</t>
  </si>
  <si>
    <t>CONDOMINIO TERRA VILLE</t>
  </si>
  <si>
    <t>BLNAA.001.04.02</t>
  </si>
  <si>
    <t>2 ABERTURA E FECHAMENTO, 2 FUSÃO, 1 SPLITTER, 1 TESTE</t>
  </si>
  <si>
    <t>RSCLER0365</t>
  </si>
  <si>
    <t>Royal Center</t>
  </si>
  <si>
    <t>R. Dom Pedro II, 1240</t>
  </si>
  <si>
    <t>NAVAA.132.M030</t>
  </si>
  <si>
    <t>5 ABERTURA E FECHAMENTO, 5 FUSÃO, 1 TESTE</t>
  </si>
  <si>
    <t>14/082024</t>
  </si>
  <si>
    <t>RSCLER0366</t>
  </si>
  <si>
    <t>PAENR</t>
  </si>
  <si>
    <t>ED PORTAL DE PETROPOLIS</t>
  </si>
  <si>
    <t>R SAICÃ 195</t>
  </si>
  <si>
    <t>BVSAB.111.M080</t>
  </si>
  <si>
    <t xml:space="preserve">FOI LANÇADO 432 DE CABO DE 12FO, 12 FUSÃO, 4 ABERTURA E FECHAMENTO, 1 DERIVAÇÃO, 1 CX NOVA, </t>
  </si>
  <si>
    <t>RSCLER0367</t>
  </si>
  <si>
    <t>MQTAB</t>
  </si>
  <si>
    <t>Condomínio Porto Valência</t>
  </si>
  <si>
    <t>Av Protasio Alves 9277</t>
  </si>
  <si>
    <t>MSTAA.091.M020</t>
  </si>
  <si>
    <t>FOI LANÇADO  725 METROS  DE CABO 12FO, 1 ABERTURA E FECHAMENTO, 3 FUSÃO, 1 DERIVAÇÃO, 1 CX NOVA, 3 TESSTE</t>
  </si>
  <si>
    <t>RSCLER0368</t>
  </si>
  <si>
    <t xml:space="preserve">Porto Lisboa </t>
  </si>
  <si>
    <t>Rua Roberto Francisco Behrens 85</t>
  </si>
  <si>
    <t>CNTAA.111.M060</t>
  </si>
  <si>
    <t>FOI LANÇADO 470 METROS DE CABO DE 12FO, 3 ABERTURA E FECHAMENTO, 1 DERIVAÇÃO, 1 CX NOVA, 3 TESTE, 8 FUSÃO</t>
  </si>
  <si>
    <t>RSCLER0369</t>
  </si>
  <si>
    <t>Cond. Edf. Doris</t>
  </si>
  <si>
    <t>R Jeronimo de Ornelas 527</t>
  </si>
  <si>
    <t>SANAA.041.M030</t>
  </si>
  <si>
    <t>4 ABERTURA E FECHAMENTO, 9 FUSÃO, 3 TESTE</t>
  </si>
  <si>
    <t>RSCLER0370</t>
  </si>
  <si>
    <t>Phoenix Office Tower</t>
  </si>
  <si>
    <t xml:space="preserve"> R. José de Alencar, 521 </t>
  </si>
  <si>
    <t>MNDAC.054.M030</t>
  </si>
  <si>
    <t>RSCLER0371</t>
  </si>
  <si>
    <t>RBTAN</t>
  </si>
  <si>
    <t>Condomínio Piazza Felicita</t>
  </si>
  <si>
    <t>R. Lindolfo Henke N° 230</t>
  </si>
  <si>
    <t>RBTAA.111.M010</t>
  </si>
  <si>
    <t>FOI LANÇADO 396 METROS DE CABO DE 12FO, 4 ABERTURA E FECHAMENTO, 2 DERIVAÇÃO, 1 CX NOVA, 15 FUSÃO, 9 TESTE</t>
  </si>
  <si>
    <t>RSCLER0372</t>
  </si>
  <si>
    <t>Edifício Diplomata</t>
  </si>
  <si>
    <t>Rua Mostardeiro, 32</t>
  </si>
  <si>
    <t>BFMAA.081.M040</t>
  </si>
  <si>
    <t>GIOVANE / JUNIOR</t>
  </si>
  <si>
    <t>FOI LANÇADO 421 METROS DE CABO DE 12FO, FOI LANÇADO 237 METROS DE CABO DE 12FO, 2 ABERTURA E FECHAMENTO, 6 FUSÃO, 3 DERIVAÇÃO, 1 CX NOVA, 2 TESTE</t>
  </si>
  <si>
    <t>RSCLER0373</t>
  </si>
  <si>
    <t xml:space="preserve">Av Centenário, 585 </t>
  </si>
  <si>
    <t>CNTAA.011.M030</t>
  </si>
  <si>
    <t>FOI LANÇADO 795 METROS DE CABO DE 12FO, FOI LANÇADO 98 METROS DE CORDOALHA, 6 ABERTURA E FECHAMENTO,21 FUSÃO, 1 CX NOVA , 3 TESTE, 1 DERIVAÇÃO</t>
  </si>
  <si>
    <t>RSCLER0374</t>
  </si>
  <si>
    <t>Condomínio Edificio Dona Izar</t>
  </si>
  <si>
    <t>R. Dona Augusta, 188</t>
  </si>
  <si>
    <t>MNDAC.053.M020</t>
  </si>
  <si>
    <t>2 ABERTURA E FECHAMENTO, 4 FUSÃO, 2 TESTES.</t>
  </si>
  <si>
    <t>RSCLER0375</t>
  </si>
  <si>
    <t>Condomínio Edifício Ventimiglia</t>
  </si>
  <si>
    <t>R. Prof. João de Souza Ribeiro, 711</t>
  </si>
  <si>
    <t>HMTAA.107.M010</t>
  </si>
  <si>
    <t>2 ABERTURA E FECHAMENTO, 5 FUSÃO, 1 SPLITTER, 4 TESTE</t>
  </si>
  <si>
    <t>RSCLER0376</t>
  </si>
  <si>
    <t>Condomínio Edifício Maria Cristina II</t>
  </si>
  <si>
    <t>Av. Cel. Lucas de Oliveira, 2437</t>
  </si>
  <si>
    <t>RBRAA.093.M030</t>
  </si>
  <si>
    <t>RSCLER0377</t>
  </si>
  <si>
    <t>Cond. Montecarlo</t>
  </si>
  <si>
    <t>R. Quintino Bocaiúva, 1320</t>
  </si>
  <si>
    <t>BFMAA.013.M070</t>
  </si>
  <si>
    <t>FOI LANÇADO 199 METROS DE CABO DE 12FO, 2 ABERTURA E FECHAMENTO, 4 FUSÃO, 1 CX NOVA, 1 DERIVAÇÃO, 2 TESTE</t>
  </si>
  <si>
    <t>RSCLER0378</t>
  </si>
  <si>
    <t>Cond. Two</t>
  </si>
  <si>
    <t>R. Felipe de Oliveira, 390</t>
  </si>
  <si>
    <t>RBRAA.075.M020</t>
  </si>
  <si>
    <t>3 ABERTURA E FECHAMENTO, 4 FUSÃO, 2 TESTE</t>
  </si>
  <si>
    <t>RSCLER0379</t>
  </si>
  <si>
    <t>R. Gomes Jardim, 1188</t>
  </si>
  <si>
    <t>SANAB.013.M040</t>
  </si>
  <si>
    <t>FOI LANÇADO 216 METROS DE CABO DE 12FO, 5 ABERTURA E FECHAMENTO, 1 DERIVAÇÃO, 1 CX NOVA, 4 FUSÃO, 3 TESTE</t>
  </si>
  <si>
    <t>RSCLER0380</t>
  </si>
  <si>
    <t>Condomínio Edifício Toulouse</t>
  </si>
  <si>
    <t>R. Prof. Langendonck, 47</t>
  </si>
  <si>
    <t>BVSAB.111M090</t>
  </si>
  <si>
    <t>FOI LANÇADO 768 METROS DE CABO DE 12FO, 4 ABERTURA E FECHAMENTO,1 CX NOVA, 2 TESTE, 1 DERIVAÇÃO, 7 FUSÃO</t>
  </si>
  <si>
    <t>RSCLER0381</t>
  </si>
  <si>
    <t xml:space="preserve">Condomínio Edificio Residencial Torre de Vincennes </t>
  </si>
  <si>
    <t>R. Ribeiro Cancela, 55</t>
  </si>
  <si>
    <t>MNDAC.054.M070</t>
  </si>
  <si>
    <t>FOI LANÇADO 362 METROS DE CABO DE 12FO, 8 ABERTURA E FECHAMENTO, 10 FUSÃO, 2 DERIVAÇÃO, 1 CX NOVA, 2 TESTE</t>
  </si>
  <si>
    <t>RSCLER0382</t>
  </si>
  <si>
    <t>VÉRTICE</t>
  </si>
  <si>
    <t>Av Ijuí, 259</t>
  </si>
  <si>
    <t>PETAA.132.M050</t>
  </si>
  <si>
    <t>FOI LANÇADO 280 METROS DE CABO DE 12FO, 3 ABERTURA E FECHAMENTO, 4 FUSÃO, 2 DERIVAÇÃO, 1 CX NOVA, 1 TESTE</t>
  </si>
  <si>
    <t>RSCLER0383</t>
  </si>
  <si>
    <t>Condomínio Solar da Figueira Gravataí</t>
  </si>
  <si>
    <t>Rua Ferdinando Costa, 80</t>
  </si>
  <si>
    <t>CNTAA.011.M040</t>
  </si>
  <si>
    <t>FABIO AMARILIO / ANDERSON</t>
  </si>
  <si>
    <t>FOI LANÇADO 1475 METROS DE CABO DE 36FO, FOI REPUXADO 220 METROS DE CABO DE 12FO, 1 CX NOVA, 5 DERIVAÇÃO, 2 TESTE, 10FUSÃO, 4 ABERTURA E FECHAMENTO</t>
  </si>
  <si>
    <t>RSCLER0384</t>
  </si>
  <si>
    <t>VERTE SOLEDADE</t>
  </si>
  <si>
    <t>AV SOLEDADE 440</t>
  </si>
  <si>
    <t>BVSAB.222.M100</t>
  </si>
  <si>
    <t>MARCOS EMILIANO / ANDERSON</t>
  </si>
  <si>
    <t>FOI LANÇADO 576 METROS DE CABO DE 12FO, 5 ABERTURA E FECHAMENTO, 15 FUSÃO, 1 DERIVAÇÃO, 1 CX NOVA, 3 TESTE</t>
  </si>
  <si>
    <t>RSCLER0385</t>
  </si>
  <si>
    <t>TRZABB</t>
  </si>
  <si>
    <t>Varanda Zona Sul</t>
  </si>
  <si>
    <t>R. Nossa Sra. de Lourdes, 230</t>
  </si>
  <si>
    <t>TRZAA.061.M020</t>
  </si>
  <si>
    <t>RSCLER0386</t>
  </si>
  <si>
    <t>Condomínio Edificio Bois de Boulogne</t>
  </si>
  <si>
    <t>Av. Padre Cacique, 1900</t>
  </si>
  <si>
    <t>CTLAA.053.M070.</t>
  </si>
  <si>
    <t>RSCLER0387</t>
  </si>
  <si>
    <t>Condomínio Edifício Bellevue Platz</t>
  </si>
  <si>
    <t>R. Regente, 248</t>
  </si>
  <si>
    <t>MTSAA.151.M090</t>
  </si>
  <si>
    <t>FOI LANÇADO 369 METROS DE CABO DE 12FO, 3 ABERTURA E FECHAMENTO, 9 FUSÃO, 3 DERIVAÇÃO, 3 TESTE, 1 CX NOVA</t>
  </si>
  <si>
    <t>RSCLER0388</t>
  </si>
  <si>
    <t xml:space="preserve">Reserva Piatelli </t>
  </si>
  <si>
    <t>Rua dos Burgueses 295 - DIRETORIA</t>
  </si>
  <si>
    <t>PRTAA.001.M120</t>
  </si>
  <si>
    <t>FOI LANÇADO 211  METROS DE CABO DE 12 FO, 4 ABERTURA E FECHAMENTO, 10 FUSÃO, 1 DERIVAÇÃO, 1 CX NOVA, 2 TESTE</t>
  </si>
  <si>
    <t>RSCLER0389</t>
  </si>
  <si>
    <t xml:space="preserve"> Cond Ed Resid Puerto Madero </t>
  </si>
  <si>
    <t>Av. Bagé, 1352</t>
  </si>
  <si>
    <t>BVSAB.222.M090.</t>
  </si>
  <si>
    <t>5 ABERTURA E FECHAMENTO, 10 FUSÃO, 2 TESTE</t>
  </si>
  <si>
    <t>RSCLER0390</t>
  </si>
  <si>
    <t>Carlos Gomes Square Office</t>
  </si>
  <si>
    <t>Av Carlos Gomes 1130</t>
  </si>
  <si>
    <t>BVSAB.041.M010</t>
  </si>
  <si>
    <t>FOI LANÇADO 70 METROS DE CABO DE 12FO, 1 ABERTURA E FECHAMENTO, 2 DERIVAÇÃO, 8 FUSÃO, 1 CX NOVA, 4 TESTE</t>
  </si>
  <si>
    <t>RSCLER0391</t>
  </si>
  <si>
    <t>Rua Mário Antunes da Cunha, 116 e 511</t>
  </si>
  <si>
    <t>BVSAB.081.M040</t>
  </si>
  <si>
    <t>FOI LANÇADO 621  METROS DE CABO DE 36FO, FOI LANÇADO 620 METROS DE CABO DE 12FO, 3 ABERTURA E FECHAMENTO, 4 DERIVAÇÃO, 37 FUSÃO, 3 CX NOVA, 8 TESTE</t>
  </si>
  <si>
    <t>RSCLER0392</t>
  </si>
  <si>
    <t>Rua Mário Antunes da Cunha, 185</t>
  </si>
  <si>
    <t>BVSAB.081.M060</t>
  </si>
  <si>
    <t>ESTA SENDO COBRADA JUNTA A OS RSCLER0387</t>
  </si>
  <si>
    <t>RSCLER0393</t>
  </si>
  <si>
    <t>Condomínio Supreme</t>
  </si>
  <si>
    <t>Tv. Jaguarão, 60</t>
  </si>
  <si>
    <t>NAVAA.145.M060.</t>
  </si>
  <si>
    <t>4 ABERTURA E FECHAMENTO, 6 FUSÃO, 2 TESTE</t>
  </si>
  <si>
    <t>RSCLER0394</t>
  </si>
  <si>
    <t>Condomínio Edificio Greenview</t>
  </si>
  <si>
    <t>R. Roque Calage, 870 - DIRETORIA</t>
  </si>
  <si>
    <t>PDRAA.125.M040</t>
  </si>
  <si>
    <t>FOI LANÇADO 451 METROS DE CABO DE 12FO, 1 ABERTURA E FECHAMENTO, 1 CX NOVA, 1 FUSÃO, 1 TESTE</t>
  </si>
  <si>
    <t>RSCLER0395</t>
  </si>
  <si>
    <t>ARCOVERDE</t>
  </si>
  <si>
    <t>R SANTA CECILIA 2118</t>
  </si>
  <si>
    <t>RBRAA.125.M050</t>
  </si>
  <si>
    <t>FOI LANÇADO 240 METROS DE CABO DE 12FO, 4 ABERTURA E FECHAMENTO, 8 FUSÃO, 1 DERIVAÇÃO, 1 CX NOVA , 2 TESTE</t>
  </si>
  <si>
    <t>RSCLER0396</t>
  </si>
  <si>
    <t xml:space="preserve">Av. Grécia, 1050 - 1000 - 1100 </t>
  </si>
  <si>
    <t>PDRAA.101.M030</t>
  </si>
  <si>
    <t>FOI LANÇADO 134 METROS DE CABO DE 12FO , 3 ABERTURA E FECHAMENTO, 1 CX FOSC, 1 DERIVAÇÃO, 12 FUSÃO, 6 TESTE</t>
  </si>
  <si>
    <t>RSCLER0397</t>
  </si>
  <si>
    <t>R Jari 619</t>
  </si>
  <si>
    <t>PDRAA.062.M090</t>
  </si>
  <si>
    <t>FOI LANÇADO 510 METROS DE CABO DE 12 FO, 1 DERIVAÇÃO, 1 CX NOVA, 1 ABERTURA, 9 FUÃO, 7 TESTE</t>
  </si>
  <si>
    <t>31/09/2024</t>
  </si>
  <si>
    <t>RSCLER0398</t>
  </si>
  <si>
    <t>R Jari 740, 735</t>
  </si>
  <si>
    <t>PDRAA.062.M100</t>
  </si>
  <si>
    <t xml:space="preserve">FOI LANÇADO 118 METROS DE CABO DE 24FO, 1 ABERTURA E FECHAMENTO, 1 DERIVAÇÃO, 2 FUSÃO, 1 CX NOVA, 2 TESTE </t>
  </si>
  <si>
    <t>RSCLER0399</t>
  </si>
  <si>
    <t>Cond. Residencial dos Passaros</t>
  </si>
  <si>
    <t>R Papagaios 786</t>
  </si>
  <si>
    <t>UMBAA.011.M030</t>
  </si>
  <si>
    <t>FOI LANÇADO 40 METROS DE CABO DE 12FO, 2 ABERTURA E FECHAMENTO, 1 CX NOVA, 1 DERIVAÇÃO, 4 FUSÃO, 2 TESTE</t>
  </si>
  <si>
    <t>RSCLER0400</t>
  </si>
  <si>
    <t>RESID SONNEN</t>
  </si>
  <si>
    <t>Rua Carlos Von Koseritz 1322 - DIRETORIA</t>
  </si>
  <si>
    <t>NAVAA.132.M090</t>
  </si>
  <si>
    <t>FOI LANÇADO 430 METROS DE CABO DE 12FO, 2 ABERTURA E FECHAMENTO, 1 CX NOVA, 1 DERIVAÇÃO, 8 FUSÃO, 2 TESTE</t>
  </si>
  <si>
    <t>RSCLER0401</t>
  </si>
  <si>
    <t xml:space="preserve">Rua ENG. Ubatuba de faria, 295 </t>
  </si>
  <si>
    <t>RBTAA.042.M010</t>
  </si>
  <si>
    <t>FOI LANÇADO 276 METROS DE CABO DE 12FO, 5 ABERTURA E FECHAMENTO, 10 FUSÃO, 1 DERIVAÇÃO, 1 CX NOVA</t>
  </si>
  <si>
    <t>RSCLER0402</t>
  </si>
  <si>
    <t>Villagio</t>
  </si>
  <si>
    <t>Rua Cônego Viana, 240 - DIRETORIA</t>
  </si>
  <si>
    <t>RBRAA.042.M050</t>
  </si>
  <si>
    <t>GIOVANE / LUCAS HOBERT</t>
  </si>
  <si>
    <t>FOI LANÇADO 298 METROS DE CABO DE 12FO, 4 ABERTURA E FECHAMENTO, 1 CX NOVA, 3 DERIVAÇÃO, 10 FUSÃO, 2 TESTE</t>
  </si>
  <si>
    <t>RSCLER0403</t>
  </si>
  <si>
    <t xml:space="preserve">Condomínio Edificio Passarela </t>
  </si>
  <si>
    <t xml:space="preserve"> Adda Mascarenhas de Moraes, 955</t>
  </si>
  <si>
    <t>JITAB.125.02.08</t>
  </si>
  <si>
    <t>FOI LANÇADO 80 METROS DE CABO, 4 ABERTURA E FECHAMENTO, 5 FUSÃO, 1 DERIVAÇÃO, 1 NAP NOVA, 1 TESTE</t>
  </si>
  <si>
    <t>RSCLER0404</t>
  </si>
  <si>
    <t>Condomínio Villa Toscana</t>
  </si>
  <si>
    <t xml:space="preserve"> R. São Marcos, 251 - DIRETORIA</t>
  </si>
  <si>
    <t>BVSAB.223.M040</t>
  </si>
  <si>
    <t>GIOVANE / VICTOR</t>
  </si>
  <si>
    <t>FOI LANÇADO 401 METROS DE CABO DE 12FO E FOI LANÇADO 168 METROS DE CABO DE 24FO, 3 ABERTURA E FECHAMENTO, 2 DERIVAÇÃO, 10 FUSÃO, 1 CX NOVA, 8 TESTE</t>
  </si>
  <si>
    <t>RSCLER0405</t>
  </si>
  <si>
    <t>Cond Resid Manhattan</t>
  </si>
  <si>
    <t>R. João Paetzel, 964 - DIRETORIA</t>
  </si>
  <si>
    <t>BVSAB.221.M040</t>
  </si>
  <si>
    <t>FOI LANÇADO 993 METROS DE CABO DE 12FO, 3 ABERTURA E FECHAMENTO, 6 FUSÃO, 1 CX NOVA, 1 DERIVAÇÃO, 2 TESTE</t>
  </si>
  <si>
    <t>RSCLER0406</t>
  </si>
  <si>
    <t>Condomínio Residencial Bellagio</t>
  </si>
  <si>
    <t>R. Des. Alves Nogueira, 150 - DIRETORIA</t>
  </si>
  <si>
    <t>MTSAA.152.M0100</t>
  </si>
  <si>
    <t>FOI LANÇADO 444 METROS DE CABO DE 12FO, 6 ABERTURA E FECHAMENTO,6 FUSÃO, 1 CX NOVA, 1 DERIVAÇÃO, 1 TESTE</t>
  </si>
  <si>
    <t>RSCLER0407</t>
  </si>
  <si>
    <t>Rua Eça de Queiroz, 194 - DIRETORIA</t>
  </si>
  <si>
    <t>RBRAA.093.M010</t>
  </si>
  <si>
    <t>FOI LANÇADO 195 METROS DE CABO DE 12FO, 7 ABERTURA E FECHAMENTO, 1 CX NOVA, 1 DERIVAÇÃO, 7 FUSÃO, 1 TESTE</t>
  </si>
  <si>
    <t>RSCLER0408</t>
  </si>
  <si>
    <t>Rua Curvelo 100</t>
  </si>
  <si>
    <t>BVSAB.081.M070</t>
  </si>
  <si>
    <t xml:space="preserve">FOI LANÇADO 293 METROS DE CABO DE 12FO, 3 ABERTURA E FECHAMENTO, 2 CX NOVA, 2 DERIVAÇÃO, 12 FUSÃO, 6 TESTE </t>
  </si>
  <si>
    <t>RSCLER0409</t>
  </si>
  <si>
    <t>Rua Curvelo 130, 200</t>
  </si>
  <si>
    <t>BVSAB.081.M080</t>
  </si>
  <si>
    <t>FOI LANÇADO 263 METROS DE CABO DE 12FO, COBRAR JUNTO COM A RSCLER0404</t>
  </si>
  <si>
    <t>RSCLER0410</t>
  </si>
  <si>
    <t>Condomínio Palladio</t>
  </si>
  <si>
    <t>Av. Luiz Manoel Gonzaga, 58 - DIRETORIA</t>
  </si>
  <si>
    <t>BVSAB.033.M060</t>
  </si>
  <si>
    <t xml:space="preserve">FOI LANÇADO 542 METROS DE CABO DE 12FO, 5 ABERTURA E FECHAMENTO, 3 DERIVAÇÃO, 1 CX NOVA, 12 FUSÃO, </t>
  </si>
  <si>
    <t>RSCLER0411</t>
  </si>
  <si>
    <t>Cond Ed Liberty Plaza</t>
  </si>
  <si>
    <t>R. Visc. do Herval, 850 - DIRETORIA</t>
  </si>
  <si>
    <t>MNDAA.131.M030</t>
  </si>
  <si>
    <t>7 ABERTURA E FECHAMENTO, 6 FUSÃO, 1 TESTE</t>
  </si>
  <si>
    <t>RSCLER0412</t>
  </si>
  <si>
    <t>MNDAQB</t>
  </si>
  <si>
    <t>Edf Quality</t>
  </si>
  <si>
    <t>R. Gonçalves Dias 1075 - DIRETORIA</t>
  </si>
  <si>
    <t>MNDAA.141.M060</t>
  </si>
  <si>
    <t>FOI LANÇADO 350 METROS DE CABO DE 12FO, 8 ABERTURA E FECHAMENTO, 7 FUSÃO, 1 DERIVAÇÃO, 1 CX NOVA, 1 TESTE</t>
  </si>
  <si>
    <t>RSCLER0413</t>
  </si>
  <si>
    <t>Cond Las Piedras</t>
  </si>
  <si>
    <t>R. Ana Maltz Knijnik, 101 - DIRETORIA</t>
  </si>
  <si>
    <t>BVSAB.221.M050</t>
  </si>
  <si>
    <t>FOI LANÇADO 734 METROS DE CABO DE 12FO, 2 ABERTURA E FECHAMENTO, 1 CX NOVA, 1 DERIVAÇÃO, 6 FUSÃO,3 TESTE</t>
  </si>
  <si>
    <t>RSCLER0414</t>
  </si>
  <si>
    <t xml:space="preserve">Cond Ed Cinco Estrelas </t>
  </si>
  <si>
    <t>Rua Fernandes Vieira, 634 - DIRETORIA</t>
  </si>
  <si>
    <t>RBRAA.017.M050</t>
  </si>
  <si>
    <t xml:space="preserve">FOI LANÇADO 565 METROS DE CABO DE 12FO, 3 ABERTURA E FECHAMENTO, 7 FUSÃO, 1 DERIVAÇÃO,1 CX NOVA, 3 TESTE </t>
  </si>
  <si>
    <t>RSCLER0415</t>
  </si>
  <si>
    <t>Cond Edificio Ponaim</t>
  </si>
  <si>
    <t>R. Bogotá, 22 - DIRETORIA</t>
  </si>
  <si>
    <t>VIPAA.002.M050</t>
  </si>
  <si>
    <t xml:space="preserve">FOI LANÇADO 160 METROS DE CABO DE 12FO, 4 ABERTURA E FECHAMENTO, 1 CX NOVA, 1 DERIVAÇÃO, 17 FUSÃO, 5 TESTE </t>
  </si>
  <si>
    <t>RSCLER0416</t>
  </si>
  <si>
    <t>Cond Ed Solar Firenze</t>
  </si>
  <si>
    <t xml:space="preserve"> R. São Manoel, 2022 - DIRETORIA</t>
  </si>
  <si>
    <t>SANAB.012.M050</t>
  </si>
  <si>
    <t>4 ABERTURA E FECHAMENTO, 7 FUSÃO, 4 TESTE</t>
  </si>
  <si>
    <t>RSCLER0417</t>
  </si>
  <si>
    <t xml:space="preserve">Cond Ed Trocadero </t>
  </si>
  <si>
    <t>R. Hilário Ribeiro, 354 - DIRETORIA</t>
  </si>
  <si>
    <t>FLOAA.112.M040</t>
  </si>
  <si>
    <t>UBIRATAN / VICTOR / LAMBRETA</t>
  </si>
  <si>
    <t xml:space="preserve">FOI LANÇADO 532 METROS DE CABO DE 12FO, 4 ABERTURA E FECHAMENTO, 4 DERIVAÇÃO, 1 CX NOVA, 8 FUSÃO, 2 TESTE </t>
  </si>
  <si>
    <t>RSCLER0418</t>
  </si>
  <si>
    <t>São Marcos Cond Res</t>
  </si>
  <si>
    <t>R. São Marcos, 210 - DIRETORIA</t>
  </si>
  <si>
    <t>BVSAB.223.M040.</t>
  </si>
  <si>
    <t>COBRAR JUNTO COM A OS RSCLER0400</t>
  </si>
  <si>
    <t>RSCLER0419</t>
  </si>
  <si>
    <t xml:space="preserve">Cond Village Center Zona Sul </t>
  </si>
  <si>
    <t xml:space="preserve"> Av. da Cavalhada, 4760 - DIRETORIA</t>
  </si>
  <si>
    <t>VNVAA.131.M040 / VNVAA.131.M060</t>
  </si>
  <si>
    <t>TIAGO FERREIRA / UBIRATAN</t>
  </si>
  <si>
    <t>FOI LANÇADO 400 METROS DE CABO DE 12FO E 490 METROS DE CABO DE 24FO, FOI LANÇADO 461 DE CABO DE 36FO, 6 ABERTURA E FECHAMENTO, 2 DERIVAÇÃO, 55 FUSÃO, 5 CX NOVA, 8 TESTE</t>
  </si>
  <si>
    <t>RSCLER0420</t>
  </si>
  <si>
    <t>Condomínio Villa Brindisi</t>
  </si>
  <si>
    <t>Rua Manoel Lopes Meirelles, 287 - DIRETORIA</t>
  </si>
  <si>
    <t>VJDAB.111.M050</t>
  </si>
  <si>
    <t>ANDERSON/ LUCAS HOBERT</t>
  </si>
  <si>
    <t>FOI LANÇADO 203 METROS DE CABO DE 12FO, 2 ABERTURA E FECHAMENTO, 1 CX NOVA, 1 DERIVAÇÃO, 9 FUSÃO, 4 TESTE</t>
  </si>
  <si>
    <t>RSCLER0421</t>
  </si>
  <si>
    <t>Condomínio Jardim Vitória Régia</t>
  </si>
  <si>
    <t>Av. Juca Batista, 1200</t>
  </si>
  <si>
    <t>GUAAA.051.04.08 ATÉ GUAAA.051.04.01</t>
  </si>
  <si>
    <t>FOI LANÇADO 1350 METROS DE CABO DE 12FO, 5 ABERTURA E FECHAMENTO, 8 NAP NOVA, 1 DERIVAÇÃO, 36 FUSÃO, 8 TESTE</t>
  </si>
  <si>
    <t>RSCLER0422</t>
  </si>
  <si>
    <t>CNTAEA</t>
  </si>
  <si>
    <t>Cond Edf Ana Terra</t>
  </si>
  <si>
    <t>R. Cel. Fernando Machado, 561</t>
  </si>
  <si>
    <t>CNTAA.171.M030</t>
  </si>
  <si>
    <t>FOI LANÇADO 260 METROS DE CABO DE 12FO, 3 ABERTURA E FECHAMENTO,3 DERIVAÇÃO, 6 FUSÃO, 1 CX NOVA, 2 TESTE</t>
  </si>
  <si>
    <t>RSCLER0423</t>
  </si>
  <si>
    <t>Condomínio Villa Inglesa</t>
  </si>
  <si>
    <t>R. Germano Gundlach, 127</t>
  </si>
  <si>
    <t>BVSAA.121.M050</t>
  </si>
  <si>
    <t>FOI LANÇADO 273 METROS DE CABO DE 12FO, 2 ABERTURA E FECHAMENTO, 1 DERIVAÇÃO, 1CX NOVA, 3 FUSÃO, 3 TESTE</t>
  </si>
  <si>
    <t>RSCLER0424</t>
  </si>
  <si>
    <t>Condomínio Edificio Plaza San Carlos</t>
  </si>
  <si>
    <t>R. Sete de Abril, 285</t>
  </si>
  <si>
    <t>FLOAA.104.M030</t>
  </si>
  <si>
    <t xml:space="preserve">JUNIOR </t>
  </si>
  <si>
    <t xml:space="preserve">FOI LANÇADO 1114 METROS DE CABO DE 12FO, 3 ABERTURA E FECHAMENTO, 2 CX NOVAS, 1 DERIVAÇÃO, 17 FUSÃO, 5 TESTE </t>
  </si>
  <si>
    <t>RSCLER0425</t>
  </si>
  <si>
    <t xml:space="preserve">Condomínio Edificio Life Square </t>
  </si>
  <si>
    <t>Av. Getúlio Vargas, 1271</t>
  </si>
  <si>
    <t>MNDAA.133.M060</t>
  </si>
  <si>
    <t>FOI LANÇADO 157 METROS DE CABO DE 12FO, 6 ABERTURA E FECHAMENTO, 1 CX NOVA, 1 DERIVAÇÃO, 8 FUSÃO, 3 TESTE</t>
  </si>
  <si>
    <t>RSCLER0426</t>
  </si>
  <si>
    <t>Cond Ed Vivendas de Mont Serrat</t>
  </si>
  <si>
    <t xml:space="preserve">R Anita Garibaldi, 336 </t>
  </si>
  <si>
    <t>MTSAA.091.M020</t>
  </si>
  <si>
    <t>RSCLER0427</t>
  </si>
  <si>
    <t>Condomínio Residencial Vivace</t>
  </si>
  <si>
    <t>R. Afonso Charlier, 70</t>
  </si>
  <si>
    <t>CNTAA.131.M050</t>
  </si>
  <si>
    <t>MARCOS EMILIANO / ADRIANO</t>
  </si>
  <si>
    <t>FOI LANÇADO 755 METROS DE CABO DE 12FO, 5 ABERTURA E FECHAMENTO,14 FUSÃO, 3 DERIVAÇÃO, 1 CX NOVA, 4 TESTE</t>
  </si>
  <si>
    <t>RSCLER0428</t>
  </si>
  <si>
    <t>Cond Ed Capitao Rodrigo</t>
  </si>
  <si>
    <t>Av. Érico Veríssimo, 441</t>
  </si>
  <si>
    <t>MNDAA.076.M040</t>
  </si>
  <si>
    <t>FOI LANÇADO 164 METROS DE CABO DE 12FO, 3 ABERTURA E FECHAMENTO, 15 FUSÃO, 1 DERIVAÇÃO, 1 CX NOVA, 5 TESTE</t>
  </si>
  <si>
    <t>RSCLER0429</t>
  </si>
  <si>
    <t>Cond Ed Vivienda Del Arvoredo</t>
  </si>
  <si>
    <t>R. Gonçalves Dias, 170</t>
  </si>
  <si>
    <t>MNDAA.131.M040</t>
  </si>
  <si>
    <t>FOI LANÇADO 335 METROS DE CABO DE 12FO, 8 ABERTURA E FECHAMENTO, 18 FUSÃO, 1 CX NOVA, 1 DERIVAÇÃO, 2 TESTE</t>
  </si>
  <si>
    <t>RSCLER0430</t>
  </si>
  <si>
    <t>CBXAE</t>
  </si>
  <si>
    <t>Cond Jaciara</t>
  </si>
  <si>
    <t>R. Luiz Afonso, 470</t>
  </si>
  <si>
    <t>CNTAA.352.M060</t>
  </si>
  <si>
    <t xml:space="preserve">FOI LANÇADO 167 METROS DE CABO DE 12FO, 6 ABERTURA E FECHAMENTO, 6 FUSÃO, 2 DERICAÇÃO, 1 CX NOVA, 1 TESTE </t>
  </si>
  <si>
    <t>RSCLER0431</t>
  </si>
  <si>
    <t>Av Erico Verissimo, 697, 751</t>
  </si>
  <si>
    <t>MNDAA.075.M040</t>
  </si>
  <si>
    <t xml:space="preserve">FOI LANÇADO 252 METROS DE CABO DE 12FO, 3 ABERTURA E FECHAMENTO, 18 FUSÃO, 1 CX NOVA, 1 DERIVAÇÃO, 8 TESTE </t>
  </si>
  <si>
    <t>RSCLER0432</t>
  </si>
  <si>
    <t xml:space="preserve"> Le Chaim</t>
  </si>
  <si>
    <t>R. Marcílio Dias, 1031</t>
  </si>
  <si>
    <t>MNDAB.051.M010</t>
  </si>
  <si>
    <t>RSCLER0433</t>
  </si>
  <si>
    <t>Cond Ed Marcelo</t>
  </si>
  <si>
    <t>R. Gonçalves Dias, 68</t>
  </si>
  <si>
    <t>MNDAB.051.M090</t>
  </si>
  <si>
    <t>DAVI</t>
  </si>
  <si>
    <t>MARCOS EMILIANO/LUCAS HOBERT</t>
  </si>
  <si>
    <t>OK - ENVIADA</t>
  </si>
  <si>
    <t>FOI LANÇADO 135 METROS DE CABO DE 12FO, 2 ABERTURA E FECHAMENTO, 9 FUSÃO, 1 CX NOVA, 1 DERIVAÇÃO, 4 TESTES</t>
  </si>
  <si>
    <t>RSCLER0434</t>
  </si>
  <si>
    <t xml:space="preserve"> R. José do Patrocínio, 557</t>
  </si>
  <si>
    <t>CNTAA.352.020</t>
  </si>
  <si>
    <t>FOI LANÇADO 102 METROS DE CABO DE 12FO, 4 ABERTURA E FECHAMENTO, 2 DERIVAÇÃO, 10 FUSÃO, 3 TESTE.</t>
  </si>
  <si>
    <t>RSCLER0435</t>
  </si>
  <si>
    <t>Luiz Afonso 526, 558</t>
  </si>
  <si>
    <t>CNTAA.352.M060.</t>
  </si>
  <si>
    <t xml:space="preserve">FOI LANÇADO 260 METROS DE CABO DE 12FO, 6 ABERTURA E FECHAMENTO, 31 FUSÃO, 1 DERIVAÇÃO, 3 TESTE </t>
  </si>
  <si>
    <t>RSCLER0436</t>
  </si>
  <si>
    <t>CBXAIA</t>
  </si>
  <si>
    <t>Cond Ed Miraggio Finamore</t>
  </si>
  <si>
    <t>R. Alberto Torres, 58</t>
  </si>
  <si>
    <t>CNTAA.367.M010</t>
  </si>
  <si>
    <t>RSCLER0437</t>
  </si>
  <si>
    <t xml:space="preserve">Cond Plaza de Las Torres </t>
  </si>
  <si>
    <t>Av. Wenceslau Escobar, 2034</t>
  </si>
  <si>
    <t>TRZAA.011.M010</t>
  </si>
  <si>
    <t xml:space="preserve">3 ABERTURA E FECHAMENTO, 5 FUSÃO, 2 TESTE </t>
  </si>
  <si>
    <t>RSCLER0438</t>
  </si>
  <si>
    <t>MRDAB</t>
  </si>
  <si>
    <t>RUA SELSO FIDELIS JARDIM</t>
  </si>
  <si>
    <t>MRDAB.015.15.08</t>
  </si>
  <si>
    <t xml:space="preserve">FOI LANÇADO 859 METROS DE CABO DE 12 FO, 3 ABERTURA E FECHAMENTO, 4 FUSÃO, 1 DERIVAÇÃO, 1 NAP NOVA, 1 TESTE </t>
  </si>
  <si>
    <t>RSCLER0439</t>
  </si>
  <si>
    <t xml:space="preserve"> Cond do Ed Boulevard Saint Michel</t>
  </si>
  <si>
    <t>R. Gonçalves Dias, 185</t>
  </si>
  <si>
    <t>MNDAA.132.M040</t>
  </si>
  <si>
    <t>4 ABERTURA E FECHAMENTO, 10 FUSÃO, 3 TESTE</t>
  </si>
  <si>
    <t>RSCLER0440</t>
  </si>
  <si>
    <t xml:space="preserve">Cond. Terrá </t>
  </si>
  <si>
    <t>R. Passo da Pátria, 637</t>
  </si>
  <si>
    <t>MTSAA.332.M050</t>
  </si>
  <si>
    <t>RSCLER0441</t>
  </si>
  <si>
    <t>RUA CAMPOS VELHO, 519, 521, 523, 525</t>
  </si>
  <si>
    <t>CTLAA.064.M510</t>
  </si>
  <si>
    <t>MALCOLM</t>
  </si>
  <si>
    <t xml:space="preserve">FOI LANÇADO 100 METROS DE CABO DE 12FO, 1 ABERTURA E FECHAMENTO, 1 CX NOVA, 1 DERIVAÇÃO, 11 FUSÃO, 11 TESTE </t>
  </si>
  <si>
    <t>RSCLER0442</t>
  </si>
  <si>
    <t>RUA CURVELO, 130 ,200 - REMANEJAMENTO</t>
  </si>
  <si>
    <t>BVSAB.081.M080.</t>
  </si>
  <si>
    <t>FOI LANÇADO 425 METROS DE CABO DE 12FO, 2 ABERTURA E FECHAMENTO, 8 FUSÃO, 1 CX NOVA, 3 DERIVAÇÃO.</t>
  </si>
  <si>
    <t>RSCLER0443</t>
  </si>
  <si>
    <t>Kennel Clube do Rio Grande do Sul</t>
  </si>
  <si>
    <t>Av. Getúlio Vargas, 769</t>
  </si>
  <si>
    <t>MNDAA.132.M010</t>
  </si>
  <si>
    <t xml:space="preserve">2 ABERTURA E FECHAMENTO,5 FUSÃO, 5 TESTE </t>
  </si>
  <si>
    <t>RSCLER0444</t>
  </si>
  <si>
    <t>RESID AGAPANTHUS</t>
  </si>
  <si>
    <t>R ANDARAI 596</t>
  </si>
  <si>
    <t>PDRAA.062.M060</t>
  </si>
  <si>
    <t>5 ABERTURA E FECHAMENTO, 4 FUSÃO, 1 TESTE</t>
  </si>
  <si>
    <t>RSCLER0445</t>
  </si>
  <si>
    <t>R. Davi Canabarro 37, 112</t>
  </si>
  <si>
    <t>CNTAA.115.M020</t>
  </si>
  <si>
    <t xml:space="preserve">4 ABERTURA E FECHAMENTO, 11 FUSÃO, 7 TESTE </t>
  </si>
  <si>
    <t>RSCLER0446</t>
  </si>
  <si>
    <t>Av. Pedro Admans Filho, 5347</t>
  </si>
  <si>
    <t>CNTAA.115.M040</t>
  </si>
  <si>
    <t>COBRAR JUNTO COM A OS RSCLER0443</t>
  </si>
  <si>
    <t>RSCLER0447</t>
  </si>
  <si>
    <t>Av. Pedro Admans Filho, 4732, 4754, 4790</t>
  </si>
  <si>
    <t>CNTAA.113.M040</t>
  </si>
  <si>
    <t xml:space="preserve">FOI LANÇADO 20 METROS DE CABO DE 12FO, 2 ABERTURA E FECHAMENTO, 10 FUSÃO, 1 DERIVAÇÃO, 1 CX NOVA, 5 TESTE </t>
  </si>
  <si>
    <t>RSCLER0448</t>
  </si>
  <si>
    <t>R. Silva Jardim, 475</t>
  </si>
  <si>
    <t>MTSAA.113.M010</t>
  </si>
  <si>
    <t>RSCLER0449</t>
  </si>
  <si>
    <t> Rua Pereira Neto, 501</t>
  </si>
  <si>
    <t>TRZAA.052.M080.</t>
  </si>
  <si>
    <t>3 ABERTURA E FECHAMENTO,2 FUSÃO, 1 TESTE</t>
  </si>
  <si>
    <t>RSCLER0450</t>
  </si>
  <si>
    <t>R. Jalmar Azambuja Diniz, 82</t>
  </si>
  <si>
    <t>JITAB.151.M010</t>
  </si>
  <si>
    <t>MARCOS EMILIANO / SINOS</t>
  </si>
  <si>
    <t>1 ABERTURA E FECHAMENTO</t>
  </si>
  <si>
    <t>RSCLER0451</t>
  </si>
  <si>
    <t>Edifício Axis Office </t>
  </si>
  <si>
    <t>Av. Sen. Tarso Dutra, 161</t>
  </si>
  <si>
    <t>BVSAB.081.M080.,</t>
  </si>
  <si>
    <t>RSCLER0452</t>
  </si>
  <si>
    <t>Cond Edificio Jonas Wolf</t>
  </si>
  <si>
    <t>Av. Protásio Alves, 1320</t>
  </si>
  <si>
    <t>RBRAA.124.M010</t>
  </si>
  <si>
    <t xml:space="preserve">4 ABERTURA E FECHAMENTO, 11 FUSÃO, 3 TESTE </t>
  </si>
  <si>
    <t>RSCLER0453</t>
  </si>
  <si>
    <t>Edifício Cosmos</t>
  </si>
  <si>
    <t>Av. Alberto Bins, 325</t>
  </si>
  <si>
    <t>FLOAB.092.M040</t>
  </si>
  <si>
    <t xml:space="preserve">FOI LANÇADO 565 METROS DE CABO DE 12 FO, 6 ABERTURA E FECHAMENTO, 5 FUSÃO, 2 DERIVAÇÃO, 1 TESTE </t>
  </si>
  <si>
    <t>RSCLER0454</t>
  </si>
  <si>
    <t>SPEADB</t>
  </si>
  <si>
    <t>Cond do Edifício The Ambassador</t>
  </si>
  <si>
    <t>R. Alberto Silva, 355</t>
  </si>
  <si>
    <t>VIPAA.007.M010</t>
  </si>
  <si>
    <t>RSCLER0455</t>
  </si>
  <si>
    <t>Ed Canvas</t>
  </si>
  <si>
    <t>R Jaguari 1170</t>
  </si>
  <si>
    <t>CTLAA.071.M010</t>
  </si>
  <si>
    <t>4 ABERTURA E FECHAMENTO, 5 FUSÃO, 3 TESTE</t>
  </si>
  <si>
    <t>RSCLER0456</t>
  </si>
  <si>
    <t>RUA JACUNDA, 686</t>
  </si>
  <si>
    <t>FOI LANÇADO 185 METROS CABO DE 24FO, 6 FUSÃO, 1 CX NOVA, 3 NAP DE POSTE NOVA, 9 TESTE</t>
  </si>
  <si>
    <t>RSCLER0457</t>
  </si>
  <si>
    <t>BVSAA.121.M050.</t>
  </si>
  <si>
    <t>FOMOS ACIONADOS PARA TRATAR DEFEITO, POREM ERA DEFEITO NO DROP DO CLIENTE</t>
  </si>
  <si>
    <t>RSCLER0458</t>
  </si>
  <si>
    <t>Cond. Melnick Even</t>
  </si>
  <si>
    <t>Rua Alameda Alceu Wamosy 91</t>
  </si>
  <si>
    <t>BVSAB.041.M010.</t>
  </si>
  <si>
    <t xml:space="preserve">6 ABERTURA E FECHAMENTO, 5 FUSÃO, 1 TESTE </t>
  </si>
  <si>
    <t>RSCLER0459</t>
  </si>
  <si>
    <t>REDE NET</t>
  </si>
  <si>
    <t>REPCE05</t>
  </si>
  <si>
    <t>Cacau Show</t>
  </si>
  <si>
    <t>Rua Siqueira Campos, 1193</t>
  </si>
  <si>
    <t>CX 08</t>
  </si>
  <si>
    <t>VITOR LOPES</t>
  </si>
  <si>
    <t>Ok - ENVIADO</t>
  </si>
  <si>
    <t xml:space="preserve">FOI LANÇADO 979 METROS DE CABO DE 12FO, 7 ABERTURA E FECHAMENTO, 2 CX NOVA, 1 DERIVAÇÃO, 7 FUSÃO, 1 TESTE </t>
  </si>
  <si>
    <t>RSCLER0460</t>
  </si>
  <si>
    <t>TRZAR</t>
  </si>
  <si>
    <t>Condomínio Residencical Vivere Ipanema</t>
  </si>
  <si>
    <t>R. Déa Coufal, 1201</t>
  </si>
  <si>
    <t>TRZAB.081.M020</t>
  </si>
  <si>
    <t>6 ABERTURA E FECHAMENTO, 6 FUSÃO, 1 TESTE</t>
  </si>
  <si>
    <t>RSCLER0461</t>
  </si>
  <si>
    <t>Rua Monsenhor Veras 606</t>
  </si>
  <si>
    <t>SANAB.053.M370</t>
  </si>
  <si>
    <t>RSCLER0462</t>
  </si>
  <si>
    <t>Marcelo Gama, 1215</t>
  </si>
  <si>
    <t>MTSAA.002.M010</t>
  </si>
  <si>
    <t>1 ABERTURA E FECHAMENTO, 1 FUSÃO, 1 CX NOVA, 1 TESTE</t>
  </si>
  <si>
    <t>RSCLER0463</t>
  </si>
  <si>
    <t>Condomínio Cipriani Nuova Architettura</t>
  </si>
  <si>
    <t> Av. Túlio de Rose, 330</t>
  </si>
  <si>
    <t>VIPAA.041</t>
  </si>
  <si>
    <t>RSCLER0464</t>
  </si>
  <si>
    <t>Vila Ipiranga</t>
  </si>
  <si>
    <t> R. Bolívia, 90</t>
  </si>
  <si>
    <t>VIPAA.015.M060</t>
  </si>
  <si>
    <t>FOI LANÇADO 20 METROS DE CABO, 2 ABERTURA E FECHAMENTO, 4 FUSÃO, 1 DERIVAÇÃO, 1 CX NOVA, 2 TESTE</t>
  </si>
  <si>
    <t>RSCLER0465</t>
  </si>
  <si>
    <t>REMANEJAMENTO</t>
  </si>
  <si>
    <t>RUA ANITA GARIBALDI, 1325</t>
  </si>
  <si>
    <t>BVSAB.031.M050.</t>
  </si>
  <si>
    <t>FOI LANÇADO 133 METROS DE CABO DE 12FO, 3 ABERTURA E FECHAMENTO, 4 FUSÃO, 2 DERIVAÇÃO, 1 CX NOVA 2 TESTE</t>
  </si>
  <si>
    <t>RSCLER0466</t>
  </si>
  <si>
    <t>SHOPPING PRAIA DE BELAS</t>
  </si>
  <si>
    <t/>
  </si>
  <si>
    <t>RSCLER0467</t>
  </si>
  <si>
    <t>BARRA SHOPPING</t>
  </si>
  <si>
    <t>2 ABERTURA E FECHAMENTO, 17 CX NOVA, 34 DERIVAÇÕES, 1192 FUSÕES, 27 DGO NOVO, 28 NAP NOVA, 29 TESTES.  Foi reconstruído os Racks 04A e 08A, com a instalação de bastidor e DIO 72FO, devido ao ambiente destes; Instalação e fornecimento de 03 un. de Splitter 1x2 e 10 un. de Cordão SC APC x SC APC 2,0m; Instalação de fornecimento de 42,0m de Eletrocalha Galvanizada 50x50mm.</t>
  </si>
  <si>
    <t>RSCLER0468</t>
  </si>
  <si>
    <t>CEL BORDINI, 1125</t>
  </si>
  <si>
    <t>MTSAA.092.M060</t>
  </si>
  <si>
    <t>3 ABERTURA E FECHAMENTO, 3 FUSÃO, 1 DERIVAÇÃO, 1 TESTE.</t>
  </si>
  <si>
    <t>RSCLER0469</t>
  </si>
  <si>
    <t> Condomínio Edificio Oslo</t>
  </si>
  <si>
    <t>R. Dr. João Satt, 25 </t>
  </si>
  <si>
    <t>VIPAA.041.M070</t>
  </si>
  <si>
    <t>FOI LANÇADO 192 METROS DE CABO DE 12FO, 2 ABERTURA E FECHAMENTO, 4 FUSÃO, 1 DERIVAÇÃO, 1 CX NOVA, 2 TESTE</t>
  </si>
  <si>
    <t>RSCLER0470</t>
  </si>
  <si>
    <t>VIPAC</t>
  </si>
  <si>
    <t>RSPNO20</t>
  </si>
  <si>
    <t>Condomínio Edifício Murano</t>
  </si>
  <si>
    <t>Av. Engenheiro Ary de Abreu Lima, 555</t>
  </si>
  <si>
    <t>VIPAA.008.M010</t>
  </si>
  <si>
    <t xml:space="preserve">5 ABERTURA E FECHAMENTO, 4 FUSÃO, 1 TESTE </t>
  </si>
  <si>
    <t>RSCLER0471</t>
  </si>
  <si>
    <t>Cond. - Rua Orleans, 638</t>
  </si>
  <si>
    <t>GUAAA.011.M020</t>
  </si>
  <si>
    <t>FOI LANÇADO 67 METROS DE CABO DE 12FO, 4 ABERTURA E FECHAMENTO, 6 FUSÃO, 1 DERIVAÇÃO, 1 CX NOVA, 2 TESTES</t>
  </si>
  <si>
    <t>RSCLER0472</t>
  </si>
  <si>
    <t>SATURAÇÃO DE BACKBONE GPON</t>
  </si>
  <si>
    <t>R MIGUEL TOSTES 240</t>
  </si>
  <si>
    <t>RBRAA.013.M020</t>
  </si>
  <si>
    <t>FOI LANÇADO 465 METROS DE CABO DE 12FO, 9 ABERTURA E FECHAMENTO, 11 FUSÃO, 2 DERIVAÇÃO, 2 TESTES</t>
  </si>
  <si>
    <t>RSCLER0473</t>
  </si>
  <si>
    <t>UNIQUE PLACE</t>
  </si>
  <si>
    <t>R PRIMEIRO DE JANEIRO 150</t>
  </si>
  <si>
    <t>BVSAB.222.M110</t>
  </si>
  <si>
    <t>FOI LANÇADO 485 METROS DE CABO DE 12FO, 5 ABERTURA E FECHAMENTO, 20 FUSÃO, 1 CX NOVA, 1 DERIVAÇÃO, 4 TESTES</t>
  </si>
  <si>
    <t>RSCLER0474</t>
  </si>
  <si>
    <t>Condomínio Edifício Resid. Topazio</t>
  </si>
  <si>
    <t>R. Pedro Chaves Barcelos, 961</t>
  </si>
  <si>
    <t>MTSAA.152.M050</t>
  </si>
  <si>
    <t>4 ABERTURA E FECHAMENTO, 7 FUSÕES, 2 TESTES</t>
  </si>
  <si>
    <t>RSCLER0475</t>
  </si>
  <si>
    <t>Cond. Autoral</t>
  </si>
  <si>
    <t>Rua Carlos Von Koseritz, 1528 </t>
  </si>
  <si>
    <t>MTSAA.002.M020</t>
  </si>
  <si>
    <t>4 ABERTURA E FECHAMENTO, 5 FUSÕES, 2 TESTES</t>
  </si>
  <si>
    <t>RSCLER0476</t>
  </si>
  <si>
    <t>CNT01</t>
  </si>
  <si>
    <t>RSGUB01</t>
  </si>
  <si>
    <t>GUAÍBA</t>
  </si>
  <si>
    <t>RUA SÃO GERALDO, 1250</t>
  </si>
  <si>
    <t>CNT.012.M010</t>
  </si>
  <si>
    <t>LUCAS AGUIRRE</t>
  </si>
  <si>
    <t>FOI LANÇADO 812 METROS DE CABO DE 12FO, 1 ABERTURA E FECHAMENTO, 1 CX NOVA, 9 FUSÃO</t>
  </si>
  <si>
    <t>RSCLER0477</t>
  </si>
  <si>
    <t>Edifício Residencial Ampiezza</t>
  </si>
  <si>
    <t>Av Lajeado, 1256</t>
  </si>
  <si>
    <t>PETAA.101.M050</t>
  </si>
  <si>
    <t>FOI LANÇADO 404 METROS DE CABO DE 12FO, 2 ABERTURA E FECHAMENTO, 9 FUSÃO, 1 CX NOVA, 1 DERIVAÇÃO, 4 TESTES</t>
  </si>
  <si>
    <t>RSCLER0478</t>
  </si>
  <si>
    <t> ECOVILLE MALL</t>
  </si>
  <si>
    <t>AV FRANCISCO SILVEIRA BITENCOURT 485</t>
  </si>
  <si>
    <t>RBTAA.061.M030</t>
  </si>
  <si>
    <t>FOI LANÇADO 387 METROS DE 12FO, 4 ABERTURA E FECHAMENTO, 4 FUSÃO, 1 CX NOVA, 1 DERIVAÇÃO, 1 TESTE</t>
  </si>
  <si>
    <t>RSCLER0479</t>
  </si>
  <si>
    <t>NAP LOTADA</t>
  </si>
  <si>
    <t>RUA MIGUEL TOSTES, 867</t>
  </si>
  <si>
    <t>RBRAA.015.03.08</t>
  </si>
  <si>
    <t>3 ABERTURA E FECHAMENTO, 3 FUSÃO, 3 TESTE</t>
  </si>
  <si>
    <t>RSCLER0480</t>
  </si>
  <si>
    <t>HOSPITAL HPS</t>
  </si>
  <si>
    <t>R. São Mateus 193</t>
  </si>
  <si>
    <t>BVSAB.223.M010</t>
  </si>
  <si>
    <t>3 ABERTURA E FECHAMENTO, 4 FUSÕES, 2 TESTES</t>
  </si>
  <si>
    <t>RSCLER0481</t>
  </si>
  <si>
    <t>MTSAS</t>
  </si>
  <si>
    <t>Cyrela by Pininfarina</t>
  </si>
  <si>
    <t>Rua Farnese, 70</t>
  </si>
  <si>
    <t>MTSAA.144.M060</t>
  </si>
  <si>
    <t>VITOR LOPES / MAICON</t>
  </si>
  <si>
    <t>FOI LANÇADO 893 METROS DE CABO DE 12FO, 9 ABERTURA E FECHAMENTO , 7 FUSÃO, 1 CX NOVA, 3 DERIVAÇÃO, 3 TESTE</t>
  </si>
  <si>
    <t>RSCLER0482</t>
  </si>
  <si>
    <t>RES DOIS IRMAOS</t>
  </si>
  <si>
    <t>EST JORGE PEREIRA NUNES 1306</t>
  </si>
  <si>
    <t>GUAAA.401.M010</t>
  </si>
  <si>
    <t>Ok</t>
  </si>
  <si>
    <t>FOI LANÇADO 1225 METROS DE CABO DE 12FO, FOI LANÇADO 1765 METROS DE CABO DE 24FO, 5 ABERTURA E FECHAMENTO, 36 FUSÕES, 3 DERIVAÇÕES, 1 CX NOVA, 4 TESTES, RETIRADO 40 METROS DE DROP.</t>
  </si>
  <si>
    <t>RSCLER0483</t>
  </si>
  <si>
    <t>Condomínio Lopo Gonçalves</t>
  </si>
  <si>
    <t>Rua Lopo Gonçalves, 543</t>
  </si>
  <si>
    <t>CNTAA.352.M050</t>
  </si>
  <si>
    <t>3 ABERTURA E FECHAMENTO, 6 FUSÃO, 4 TESTE</t>
  </si>
  <si>
    <t>RSCLER0484</t>
  </si>
  <si>
    <t>PDRAD</t>
  </si>
  <si>
    <t>RUA VERANOPOLIS, 830</t>
  </si>
  <si>
    <t>BVSAA.014.M060 / BVSAA.014.05.07</t>
  </si>
  <si>
    <t>4 ABERTURA E FECHAMENTO</t>
  </si>
  <si>
    <t>RSCLER0485</t>
  </si>
  <si>
    <t>CASAS 30, 50</t>
  </si>
  <si>
    <t>RUA DEP. HUGO MARDINI, 1780</t>
  </si>
  <si>
    <t>JITAA.161.01.02</t>
  </si>
  <si>
    <t>FOI LANÇADO 299 METROS DE CABO DE 12FO, 4 NAP NOVA, 4 FUSÃO, 12 TESTE</t>
  </si>
  <si>
    <t>RSCLER0486</t>
  </si>
  <si>
    <t> R. Irmã Teresilda Steffen, 255</t>
  </si>
  <si>
    <t>RBTAB.091.M010</t>
  </si>
  <si>
    <t>2 ABERTURA E FECHAMENTO</t>
  </si>
  <si>
    <t>RSCLER0487</t>
  </si>
  <si>
    <t> R. Irmã Teresilda Steffen, 115</t>
  </si>
  <si>
    <t>RBTAB.091.M040</t>
  </si>
  <si>
    <t>RSCLER0488</t>
  </si>
  <si>
    <t>Cond Ed Transocean</t>
  </si>
  <si>
    <t>Rua Marechal Floriano Peixoto, 737</t>
  </si>
  <si>
    <t>CNTAA.152.M010</t>
  </si>
  <si>
    <t>ANDERSON / AUGUSTO</t>
  </si>
  <si>
    <t>FOI LANÇADO 120 METROS DE CABO DE 24FO, 4 ABERTURA E FECHAMENTO, 25 FUSÕES, 2 DERIVAÇÕES, 1 TESTE</t>
  </si>
  <si>
    <t>RSCLER0489</t>
  </si>
  <si>
    <t>Três Figueiras</t>
  </si>
  <si>
    <t>Av. Protásio Alves, 4028</t>
  </si>
  <si>
    <t>BVSAB.222.M070</t>
  </si>
  <si>
    <t>RSCLER0490</t>
  </si>
  <si>
    <t>RSDSR01</t>
  </si>
  <si>
    <t>DOIS IRMÃOS</t>
  </si>
  <si>
    <t>RESIDENCIAL GREGÓRIUS</t>
  </si>
  <si>
    <t>RUA TAQUARA, 691, 791</t>
  </si>
  <si>
    <t>CNTAA.008.M050</t>
  </si>
  <si>
    <t>FOI LANÇADO 160 METROS DE CABO DE 12FO, 2 ABERTURA E FECHAMENTO, 1 DERIVAÇÃO, 8 FUSÕES, 1 CX NOVA, 4 TESTES, COBRAR 38 METROS DE CORDOALHA</t>
  </si>
  <si>
    <t>RSCLER0491</t>
  </si>
  <si>
    <t>RUA PORTO LUCANA, 70</t>
  </si>
  <si>
    <t>PRIAA.401.M010</t>
  </si>
  <si>
    <t>FOI LANÇADO 215 METROS DE CABO DE 12FO, 890 METROS DE CABO DE 24FO, 2 ABERTURA E FECHAMENTO, 2 CX NOVA, 1 DERIVAÇÃO, 3 FUSÕES, 1 TESTE</t>
  </si>
  <si>
    <t>RSCLER0492</t>
  </si>
  <si>
    <t>RUA EDMUNDO FIGUEIRA DA SILVA</t>
  </si>
  <si>
    <t>JITAA.161.01.06</t>
  </si>
  <si>
    <t>FOI LANÇADO 229 METROS DE CABO DE 12FO, 4 NAP NOVA, 4 FUSÕES, 12 TESTES</t>
  </si>
  <si>
    <t>RSCLER0493</t>
  </si>
  <si>
    <t>Cond Edificio Izabel</t>
  </si>
  <si>
    <t>Rua Fernandes Vieira, 608 </t>
  </si>
  <si>
    <t>BFMAA.212.M040</t>
  </si>
  <si>
    <t>3 ABERTURA E FECHAMENTO, 2 FUSÕES, 1 TESTE</t>
  </si>
  <si>
    <t>RSCLER0494</t>
  </si>
  <si>
    <t>JVCAA</t>
  </si>
  <si>
    <t>VJDAFA</t>
  </si>
  <si>
    <t>Cond Res Jardim das Palmeiras</t>
  </si>
  <si>
    <t>R. Dr. Otávio Santos, 570</t>
  </si>
  <si>
    <t>JCVAA.012.M040</t>
  </si>
  <si>
    <t>FOI LANÇADO 238 METROS DE CABO DE 12FO, 2 ABERTURA E FECHAMENTO, 2 FUSÃO, 1 DERIVAÇÃO, 1 CX NOVA, 2 TESTES</t>
  </si>
  <si>
    <t>RSCLER0495</t>
  </si>
  <si>
    <t>Cond Ed San Remo II</t>
  </si>
  <si>
    <t>R. Santo Antônio, 555 </t>
  </si>
  <si>
    <t>BFMAA.021.M010</t>
  </si>
  <si>
    <t>RSCLER0496</t>
  </si>
  <si>
    <t>R IRMÃ TEREZILDA STEFFEN 195</t>
  </si>
  <si>
    <t>RBTAB.061.M030</t>
  </si>
  <si>
    <t>SEM SINAL</t>
  </si>
  <si>
    <t xml:space="preserve">FOI LANÇADO 997 METROS DE CABO DE 12FO, FOI LANÇADO 275 METROS DE CORDOALHA,2 CX NOVA, 1 ABERTURA E FECHAMENTO, 14 FUSÕES, 1 DERIVAÇÃO, </t>
  </si>
  <si>
    <t>RSCLER0497</t>
  </si>
  <si>
    <t>ED CEL GENUINO</t>
  </si>
  <si>
    <t>CEL GENUINO 150</t>
  </si>
  <si>
    <t>CNTAB.071.M050</t>
  </si>
  <si>
    <t>FOI LANÇADO 709 METROS DE CABO DE 12FO, 6 ABERTURA E FECHAMENTO, 12 FUSÃO, 2 TESTES.</t>
  </si>
  <si>
    <t>RSCLER0498</t>
  </si>
  <si>
    <t> Cond. Aston</t>
  </si>
  <si>
    <t>Rua Barão de Ubá, 621</t>
  </si>
  <si>
    <t>MTSAA.301.M040</t>
  </si>
  <si>
    <t>6 ABERTURA E FECHAMENTO,8 FUSÕES, 3 TESTES.</t>
  </si>
  <si>
    <t>RSCLER0499</t>
  </si>
  <si>
    <t>RSTES14</t>
  </si>
  <si>
    <t>Av. Silva Jardim, 1034</t>
  </si>
  <si>
    <t>CNT015-M1</t>
  </si>
  <si>
    <t xml:space="preserve"> FOI LANÇADO 90 METROS DE CABO DE 12FO, 11 ABERTURA E FECHAMENTO, 15 FUSÕES, 1 CX NOVA, 1 DERIVAÇÃO, </t>
  </si>
  <si>
    <t>RSCLER0501</t>
  </si>
  <si>
    <t>VNVAC</t>
  </si>
  <si>
    <t>VILLE ESTILLE</t>
  </si>
  <si>
    <t>AV. JOÃO SALOMONI, 600 </t>
  </si>
  <si>
    <t>FOI LANÇADO 537 METROS DE CABO DE 12FO, 1 ABERTURA E FECHAMENTO, 1 CX NOVA, 6 NAP NOVA, 1 DERIVAÇÃO, 14 FUSÕES, 18 TESTES.</t>
  </si>
  <si>
    <t>RSCLER0502</t>
  </si>
  <si>
    <t>Cond Ed Dom Ricardo </t>
  </si>
  <si>
    <t>R. Marcílio Dias, 710</t>
  </si>
  <si>
    <t>MNDAB.051.M080.</t>
  </si>
  <si>
    <t>3 ABERTURA E FECHAMENTO</t>
  </si>
  <si>
    <t>RSCLER0503</t>
  </si>
  <si>
    <t>Cond. Terra Bella</t>
  </si>
  <si>
    <t>Rua Cel. Massot, 1229</t>
  </si>
  <si>
    <t>CMQAA.093.M080</t>
  </si>
  <si>
    <t>FOI LANÇADO 550 METROS DE CABO DE 12FO, 6 ABERTURA E FECHAMENTO, 20 FUSÃO, 1 DERIVAÇÃO, 1 CX NOVA, 5 TESTES</t>
  </si>
  <si>
    <t>RSCLER0504</t>
  </si>
  <si>
    <t>Cond Horizontal Vivenda Ecoville</t>
  </si>
  <si>
    <t>Av. Willy Eugênio Fleck, 1500</t>
  </si>
  <si>
    <t>RBTAA.091.M010 - RBTAA.091.M020</t>
  </si>
  <si>
    <t>5 ABERTURA E FECHAMENTO, 9 FUSÕES, 8 TESTES</t>
  </si>
  <si>
    <t>RSCLER0505</t>
  </si>
  <si>
    <t>Hannover Residencial Clube</t>
  </si>
  <si>
    <t>Rua Charrua N°114</t>
  </si>
  <si>
    <t>CNTAB.171.M010</t>
  </si>
  <si>
    <t>FOI LANÇADO 2309 METROS DE CABO DE 12FO, 110 METROS DE CORDOALHA, 2 CX NOVAS, 1 DERIVÇÃO, 1 ABERTURA E FECHAMENTO, 6 FUSÃO, COBRAR 5 ADEQUAÇÃO DE POSTES.</t>
  </si>
  <si>
    <t>RSCLER0506</t>
  </si>
  <si>
    <t>Open Potássio (Melnick)</t>
  </si>
  <si>
    <t>Av Protasio Alves N° 8129</t>
  </si>
  <si>
    <t>MTSAA.051.M030</t>
  </si>
  <si>
    <t>RSCLER0509</t>
  </si>
  <si>
    <t>Arte Country Club </t>
  </si>
  <si>
    <t>Av Dr. Nilo Peçanha N°2278</t>
  </si>
  <si>
    <t>BVSAA.122.M070</t>
  </si>
  <si>
    <t>FOI LANÇADO 193 METROS DE CABO DE 12FO, 4 ABERTURA E FECHAMENTO, 20 FUSÃO, 1 CX NOVA, 1 DERIVAÇÃO, 5 TESTES</t>
  </si>
  <si>
    <t>RSCLER0510</t>
  </si>
  <si>
    <t>PGO</t>
  </si>
  <si>
    <t>MONTENEGRO</t>
  </si>
  <si>
    <t>RUA FLORES DA CUNHA, 574</t>
  </si>
  <si>
    <t>PGO.019.M010</t>
  </si>
  <si>
    <t>BAIRON</t>
  </si>
  <si>
    <t>RSCLER0511</t>
  </si>
  <si>
    <t>R. JOAQUIM PORTO, 141</t>
  </si>
  <si>
    <t>CLC013-M2.</t>
  </si>
  <si>
    <t>5 ABERTURA E FECHAMENTO, 5 FUSÕES, 1 TESTE</t>
  </si>
  <si>
    <t>RSCLER0512</t>
  </si>
  <si>
    <t>CTO</t>
  </si>
  <si>
    <t>RSOSR01</t>
  </si>
  <si>
    <t>OSORIO</t>
  </si>
  <si>
    <t>R. VOLUNTÁRIOS DA PÁTRIA, 171 - OSÓRIO</t>
  </si>
  <si>
    <t>CTO.027.M030</t>
  </si>
  <si>
    <t>5 ABERTURA E FECHAMENTO, 8 FUSÕES, 4 TESTES</t>
  </si>
  <si>
    <t>RSCLER0513</t>
  </si>
  <si>
    <t>Rua Filipinas, 80</t>
  </si>
  <si>
    <t>SSOAA.091.15.01</t>
  </si>
  <si>
    <t>FOI LANÇADO 517 METROS DE CABO DE 12FO, 3 ABERTURA E FECHAMENTO, 1 DERIVAÇÃO 4 FUSÃO, 1 NAP NOVA, 3 TESTES</t>
  </si>
  <si>
    <t>RSCLER0514</t>
  </si>
  <si>
    <t>FEIAA</t>
  </si>
  <si>
    <t>JLE TELECOMUNICAÇÕES LTDA.</t>
  </si>
  <si>
    <t>AV IMPERATRIZ LEOPOLDINA, 2244</t>
  </si>
  <si>
    <t>FEIAA.013.03.08</t>
  </si>
  <si>
    <t>FOI LANÇADO 730 METROS DE CABO DE 12FO, 2 ABERTURA E FECHAMENTO, 1 NAP NOVA, 1 DERIVAÇÃO, 3 FUSÃO, 3 TESTES</t>
  </si>
  <si>
    <t>NÃO COBRAR</t>
  </si>
  <si>
    <t>RSCLER0515</t>
  </si>
  <si>
    <t>CNTAGB</t>
  </si>
  <si>
    <t>Rua Aracaju 390</t>
  </si>
  <si>
    <t>CNTAA.111.M050</t>
  </si>
  <si>
    <t>FOI LANÇADO 605 METROS DE CABO DE 12FO, 3 ABERTURA E FECHAMENTO, 1 CX NOVA, 1 DERIVAÇÃO, 4 FUSÕES, 2 TESTES</t>
  </si>
  <si>
    <t>RSCLER0516</t>
  </si>
  <si>
    <t>CNT04</t>
  </si>
  <si>
    <t>Cond. Edifício Adelaide</t>
  </si>
  <si>
    <t>Rua Luiz de Camões, 86</t>
  </si>
  <si>
    <t>CNTAB.012.M040</t>
  </si>
  <si>
    <t>FOI LANÇADO 440 METROS DE CABO DE 12FO, 1 ABERTURA E FECHAMENTO, 1 CX NOVA, 2 FUSÕES, 1 DERIVAÇÃO,1 TESTE, COBRAR 2 ADEQUAÇÕES DE POSTE</t>
  </si>
  <si>
    <t>RSCLER0517</t>
  </si>
  <si>
    <t>Garden Home Resort</t>
  </si>
  <si>
    <t>Av Otto Niemeyer, 809</t>
  </si>
  <si>
    <t>TRZAA.021.M030</t>
  </si>
  <si>
    <t>FOI LANÇADO 757 METROS DE CABO DE 12FO E 167 METROS DE CABO DE 24FO, 3 ABERTURA E FECHAMENTO, 2 CX NOVA, 1 DERIVAÇÃO, 26 FUSÕES, 2 TESTES</t>
  </si>
  <si>
    <t>RSCLER0518</t>
  </si>
  <si>
    <t>Cond. Vitória Régia</t>
  </si>
  <si>
    <t>Av Independencia, 742</t>
  </si>
  <si>
    <t>BFMAA.022.M010</t>
  </si>
  <si>
    <t>RSCLER0519</t>
  </si>
  <si>
    <t>R CURUPAITI 1062</t>
  </si>
  <si>
    <t>CTLAA.063.M050</t>
  </si>
  <si>
    <t>FOI LANÇADO 220 METROS DE CABO DE 12FO, 2 ABERTURA E FECHAMENTO, 11 FUSÃO, 1 DERIVAÇÃO, 1 CX NOVA, 4 TESTE</t>
  </si>
  <si>
    <t>RSCLER0520</t>
  </si>
  <si>
    <t>NAVAG</t>
  </si>
  <si>
    <t>Rua Padre Blasio Vogel, 107/181</t>
  </si>
  <si>
    <t>HMTAA.022.09.02 / HMTAA.022.09.01</t>
  </si>
  <si>
    <t>12 ABERTURA E FECHAMENTO, 12 FUSÃO, 6 TESTES</t>
  </si>
  <si>
    <t>RSCLER0521</t>
  </si>
  <si>
    <t>Rua Cel. Belo, 370</t>
  </si>
  <si>
    <t>MNDAB.061.M040</t>
  </si>
  <si>
    <t>RSCLER0522</t>
  </si>
  <si>
    <t>Residencial Quintana</t>
  </si>
  <si>
    <t>Rua Marechal Floriano, 631</t>
  </si>
  <si>
    <t>CNTAB.071.M060</t>
  </si>
  <si>
    <t>FOI LANÇADO 181 METROS DE CABO DE 12FO, 2 ABERTURA E FECHAMENTO, 1 CX NOVA, 6 FUSÕES, 1 DERIVAÇÃO 3 TESTES.</t>
  </si>
  <si>
    <t>RSCLER0523</t>
  </si>
  <si>
    <t>Condomínio Lageado 167 </t>
  </si>
  <si>
    <t>Av Lageado, 167</t>
  </si>
  <si>
    <t>PETAA.132.M070</t>
  </si>
  <si>
    <t>FOI LANÇADO 236 METROS DE CABO DE 12FO, 2 ABERTURA E FECHAMENTO, 6 FUSÕES, 1 CX NOVA, 1 DERIVAÇÃO, 3 TESTES</t>
  </si>
  <si>
    <t>RSCLER0524</t>
  </si>
  <si>
    <t>Cond. Pallazio Di Milano</t>
  </si>
  <si>
    <t>Rua Barão do Triunfo, 261</t>
  </si>
  <si>
    <t>MNDAA.131.M060</t>
  </si>
  <si>
    <t>FOI LANÇADO 179 METROS DE CABO DE 12FO, 9 ABERTURA E FECHAMENTO, 1 CX NOVA, 24 FUSÕES, 1 DERIVAÇÃO, 5 TESTES</t>
  </si>
  <si>
    <t>RSCLER0525</t>
  </si>
  <si>
    <t>Summer Residence</t>
  </si>
  <si>
    <t>Av Cavalhada, 4414 </t>
  </si>
  <si>
    <t>VNVAA.131.M010</t>
  </si>
  <si>
    <t>RSCLER0526</t>
  </si>
  <si>
    <t>TRA</t>
  </si>
  <si>
    <t>RSTRI01</t>
  </si>
  <si>
    <t>TRAMANDAI</t>
  </si>
  <si>
    <t>R. UBATUBA DE FARIAS, 616</t>
  </si>
  <si>
    <t>TRA.037.M010</t>
  </si>
  <si>
    <t>6 ABERTURA E FECHAMENTO, 5 FUSÕES, 1 TESTE</t>
  </si>
  <si>
    <t>RSCLER0527</t>
  </si>
  <si>
    <t>Shopping do Vale</t>
  </si>
  <si>
    <t>Av General Flores da Cunha, 4001</t>
  </si>
  <si>
    <t>JBQAA.007.M030</t>
  </si>
  <si>
    <t>FOI LANÇADO 370 METROS DE CABO DE 12FO, 6 ABERTURA E FECHAMENTO, 12 FUSÕES, 1 CX NOVA, 1 DERIVAÇÃO, 2 TESTES</t>
  </si>
  <si>
    <t>RSCLER0528</t>
  </si>
  <si>
    <t>PRTAE</t>
  </si>
  <si>
    <t>Condomínio</t>
  </si>
  <si>
    <t>Rua Antonio Ribeiro, 186</t>
  </si>
  <si>
    <t>PRTAB.021.M040</t>
  </si>
  <si>
    <t>4 ABERTURA E FECHAMENTO, 6 SUÕES, 2 TESTES</t>
  </si>
  <si>
    <t>RSCLER0529</t>
  </si>
  <si>
    <t>Cond. Jardim Santana</t>
  </si>
  <si>
    <t>Rua Santana, 998</t>
  </si>
  <si>
    <t>SANAB.061.M070</t>
  </si>
  <si>
    <t>FOI LANÇADO 378 METROS DE CABO DE 12FO, 1 ABERTURA E FECHAMENTO, 1 CX NOVA, 1 DERIVAÇÃO, 1 FUSÃO</t>
  </si>
  <si>
    <t>RSCLER0530</t>
  </si>
  <si>
    <t>RESIDENCIAL MONTE CARLO</t>
  </si>
  <si>
    <t>R JOSE ARMINDO SCHMIDT 36</t>
  </si>
  <si>
    <t>CNT.029.M010</t>
  </si>
  <si>
    <t>FOI LANÇADO 435 METROS DE CABO DE 12FO, 9 ABERTURA E FRECHAMENTO,  15 FUSÕES, 1 DERIVAÇÃO, 1 CX NOVA, 4 TESTES</t>
  </si>
  <si>
    <t>RSCLER0531</t>
  </si>
  <si>
    <t>HDI SEGUROS S A</t>
  </si>
  <si>
    <t>Av Sertório, 4890</t>
  </si>
  <si>
    <t>SPEAA.061.02.08</t>
  </si>
  <si>
    <t>FOI LANÇADO 140 METROS DE CABO DE 12FO, 5 ABERTURA E FECHAMENTO, 1 DERIVAÇÃO, 6 FUSÕES, 1 NAP NOVA, 3 TESTES</t>
  </si>
  <si>
    <t>RSCLER0532</t>
  </si>
  <si>
    <t>Condomínio Ipanema Residence</t>
  </si>
  <si>
    <t>Estrada Campo Novo, 459</t>
  </si>
  <si>
    <t>GUAAA.172.M020</t>
  </si>
  <si>
    <t>FOI LANÇADO 730 METROS DE CABO DE 12FO, 2 ABERTURA E FECHAMENTO, 12 FUSÕES, 1 DERIVAÇÃO, 1 CX NOVA, 6 TESTES</t>
  </si>
  <si>
    <t>RSCLER0533</t>
  </si>
  <si>
    <t>- Empresa Procisa</t>
  </si>
  <si>
    <t>Rua Sérgio Jungblut Dieterich, 710</t>
  </si>
  <si>
    <t>SSOAA.012.03.03</t>
  </si>
  <si>
    <t>FOI LANÇADO 160 METROS DE CABO DE 12FO, 7 ABERTURA E FECHAMENTO, 1 DERIVAÇÃO, 7 FUSÕES, 1 NAP NOVA, 3 TESTES.</t>
  </si>
  <si>
    <t>RSCLER0534</t>
  </si>
  <si>
    <t>Condomínio Village Lindóia</t>
  </si>
  <si>
    <t>Av Panamericana, 150</t>
  </si>
  <si>
    <t>SSOAA.091.M090.</t>
  </si>
  <si>
    <t>8 ABERTURA E FECHAMENTO, 19 FUSÕES, 3 TESTES</t>
  </si>
  <si>
    <t>RSCLER0535</t>
  </si>
  <si>
    <t>R. José do Patrocínio, 527 </t>
  </si>
  <si>
    <t>CNTAB.072.M030.</t>
  </si>
  <si>
    <t>FOI LANÇADO 1115 METROS DE CABO DE 12FO, 3 ABERTURA E FECHAMENTO, 10 FUSÕES, 1 DERIVAÇÃO, 5 TESTES</t>
  </si>
  <si>
    <t>RSCLER0536</t>
  </si>
  <si>
    <t>PAE FAR</t>
  </si>
  <si>
    <t>ED SOLAR BANDEIRA</t>
  </si>
  <si>
    <t>R QUINTINO BANDEIRA 15</t>
  </si>
  <si>
    <t>NAVAB.126.M050</t>
  </si>
  <si>
    <t>FOI LANÇADO 495 METROS DE CABO DE 12FO, 1 ABERTURA E FECHAMENTO, 1 CAIXA NOVA, 1 FUSÃO, 1 DERIVAÇÃO E 1 TESTE</t>
  </si>
  <si>
    <t>RSCLER0537</t>
  </si>
  <si>
    <t>Condominio Edificio Ilha de Corfou</t>
  </si>
  <si>
    <t>Rua Miguel Tostes, 225</t>
  </si>
  <si>
    <t>RBRAA.013.M090.</t>
  </si>
  <si>
    <t>ALEXANDRE (MARCOS EMILIANO)</t>
  </si>
  <si>
    <t>FOI LANÇADO 322 METROS DE CABO DE 12FO, 5 ABERTURA E FECHAMENTO, 14 FUSÕES, 3 DERIVAÇÕES, 5 TESTES</t>
  </si>
  <si>
    <t>RSCLER0538</t>
  </si>
  <si>
    <t>Rua Fernando Cortez, 553</t>
  </si>
  <si>
    <t>VIPAA.012.M050</t>
  </si>
  <si>
    <t>FOI LANÇADO 550 METROS DE CABO DE 12FO, 2 ABERTURA E FECHAMENTO, 8 FUSÕES, 1 CX NOVA, 1 DERIVAÇÃO, 6 TESTES</t>
  </si>
  <si>
    <t>RSCLER0539</t>
  </si>
  <si>
    <t>Rua Gal. João Telles, 324</t>
  </si>
  <si>
    <t>BFMAA.083.M030</t>
  </si>
  <si>
    <t>ALEXANDRE (MARCOS EMILIANO) / LUIS SCHUCH</t>
  </si>
  <si>
    <t>3 ABERTURA E FECHAMENTO, 19 FUSÕES, 6 TESTES</t>
  </si>
  <si>
    <t>RSCLER0540</t>
  </si>
  <si>
    <t>Condomínio Moinhos Hall</t>
  </si>
  <si>
    <t>Rua Mariante, 21</t>
  </si>
  <si>
    <t>FLOAA.112.M050</t>
  </si>
  <si>
    <t>FOI LANÇADO 255 METROS DE CABO DE 12 FO, 5 ABERTURA E FECHAMENTO, 20 FUSÕES, 1 DERIVAÇÃO, 1 CX NOVA, 4 TESTES.</t>
  </si>
  <si>
    <t>RSCLER0541</t>
  </si>
  <si>
    <t>Condomínio University Place</t>
  </si>
  <si>
    <t>R. Paulo Setúbal, 134</t>
  </si>
  <si>
    <t>PDRAA.062.M100.</t>
  </si>
  <si>
    <t>3 ABERTURAS E FECHAMENTO, 3 FUSÕES, 1 DERIVAÇÃO E 1 TESTE</t>
  </si>
  <si>
    <t>RSCLER0542</t>
  </si>
  <si>
    <t>PSE HZS</t>
  </si>
  <si>
    <t>Rua Saldanha Marinho, 396</t>
  </si>
  <si>
    <t>TRLAA.014.M010</t>
  </si>
  <si>
    <t>RSCLER0543</t>
  </si>
  <si>
    <t>SPEAB</t>
  </si>
  <si>
    <t>Rua Açores, 68</t>
  </si>
  <si>
    <t>SPEAA.016.M050</t>
  </si>
  <si>
    <t>AUGUSTO / ANDERSON</t>
  </si>
  <si>
    <t>3 ABERTURA E FECHAMENTO, 8 FUSÕES, 2 TESTES</t>
  </si>
  <si>
    <t>RSCLER0544</t>
  </si>
  <si>
    <t>Condomínio Edifício Saintmichelle</t>
  </si>
  <si>
    <t>Rua Pinheiro Machado, 246</t>
  </si>
  <si>
    <t>FLOAB.091.M070</t>
  </si>
  <si>
    <t>FOI LANÇADO 271 METROS DE CABO DE 12FO, 1 ABERTURA E FECHAMENTO</t>
  </si>
  <si>
    <t>RSCLER0545</t>
  </si>
  <si>
    <t>TRZAM</t>
  </si>
  <si>
    <t>Condomínio Village Neuchatel </t>
  </si>
  <si>
    <t>Rua Dr. Armando Barbedo, 541</t>
  </si>
  <si>
    <t>TRZAA.112.M030</t>
  </si>
  <si>
    <t>1 ABERTURA E FECHAMENTO, 3 TESTE</t>
  </si>
  <si>
    <t>RSCLER0546</t>
  </si>
  <si>
    <t>Condomínio Edifício Jamaica</t>
  </si>
  <si>
    <t>Av Lucas de Oliveira, 1601</t>
  </si>
  <si>
    <t>RBRAA.121.M030</t>
  </si>
  <si>
    <t>9 ABERTURA E FECHAMENTO, 9 FUSÕES, 2 TESTES</t>
  </si>
  <si>
    <t>RSCLER0547</t>
  </si>
  <si>
    <t>RSPLE14</t>
  </si>
  <si>
    <t>Condomínio Guapuruvu </t>
  </si>
  <si>
    <t>Rua General Lima e Silva, 331</t>
  </si>
  <si>
    <t>CNTAB.072.M040</t>
  </si>
  <si>
    <t>FOI LANÇADO 572 METROS DE CABO DE 12FO, 2 ABERTURA E FECHAMENTO, 1 CAIXA NOVA, 10 FUSÕES, 1 DERIVAÇÃO E 5 TESTES.</t>
  </si>
  <si>
    <t>18/0/2025</t>
  </si>
  <si>
    <t>RSCLER0548</t>
  </si>
  <si>
    <t>RESIDENCIAL ALMAA</t>
  </si>
  <si>
    <t>RUA ONZE DE JULHO, 950</t>
  </si>
  <si>
    <t>CNTAA.051.M110</t>
  </si>
  <si>
    <t xml:space="preserve">FOI LANÇADO 705 METROS DE CABO DE 12FO, 3 ABERTURA E FECHAMENTO, 12 FUSÕES, 1 DERIVAÇÃO, 1 CX NOVA, 4 TESTES. </t>
  </si>
  <si>
    <t>RSCLER0549</t>
  </si>
  <si>
    <t> CONDOMINIO RESIDENCIAL PORTAL DO GUAIBA</t>
  </si>
  <si>
    <t>R. Manoel Leão, 95</t>
  </si>
  <si>
    <t>TRZAB.109.M030</t>
  </si>
  <si>
    <t>FOI LANÇADO 300 METROS DE CABO DE 12FO, 4 ABERTURA E FECHAMENTO, 9 FUSÕES, 1 CX NOVA, 1 DERIVAÇÃO, 2 TESTES</t>
  </si>
  <si>
    <t>RSCLER0550</t>
  </si>
  <si>
    <t> Casa Assunção</t>
  </si>
  <si>
    <t>Av. Copacabana, 182</t>
  </si>
  <si>
    <t>TRZAA.101.M040.</t>
  </si>
  <si>
    <t>RSCLER0551</t>
  </si>
  <si>
    <t>Condomínio Edifício Ilton</t>
  </si>
  <si>
    <t>Av Lucas de Oliveira, 1609</t>
  </si>
  <si>
    <t>RBRAA.121.M030.</t>
  </si>
  <si>
    <t>COBRAR COM A OS RSCLER0543</t>
  </si>
  <si>
    <t>RSCLER0552</t>
  </si>
  <si>
    <t>Cond. Edf. Res. Marais</t>
  </si>
  <si>
    <t>Rua Coronel Corte Real, 257</t>
  </si>
  <si>
    <t>RBRAA.094.M050</t>
  </si>
  <si>
    <t>FOI LANÇADO 160 METROS DE CABO DE 12FO, 1 CX NOVA, 1 DERIVAÇÃO, 8 ABERTURA E FECHAMENTO, 15 FUSÕES, 4 TESTES</t>
  </si>
  <si>
    <t>RSCLER0553</t>
  </si>
  <si>
    <t>Rua Açores, 57</t>
  </si>
  <si>
    <t>SPEAA.016.M050.</t>
  </si>
  <si>
    <t>FOI LANÇADO 600 METROS DE CABO DE 12 FO, 2 ABERTURA E FECHAMENTO, 12 FUSÕES, 1 CX NOVA, 3 TESTES, 1 DERIVAÇÃO.</t>
  </si>
  <si>
    <t>RSCLER0554</t>
  </si>
  <si>
    <t>MGO CEN</t>
  </si>
  <si>
    <t>RUA JORGE GUILHERME MOOJEN, 358</t>
  </si>
  <si>
    <t>PGO.015.M1</t>
  </si>
  <si>
    <t>FOI LANÇADO 30 METROS DE CABO DE 12FO, 3 ABERTURA E FECHAMENTO, 9 FUSÕES, 1 CX NOVA, 1 DERIVAÇÃO, 3 TESTES.</t>
  </si>
  <si>
    <t>RSCLER0555</t>
  </si>
  <si>
    <t>Condomínio Edifício Sender</t>
  </si>
  <si>
    <t>Rua José do Patrocínio, 515</t>
  </si>
  <si>
    <t>CNTAB.072.M030..</t>
  </si>
  <si>
    <t>2 ABERTURA E FECHAMENTO, 3 FUSÕES, 3 TESTES</t>
  </si>
  <si>
    <t>RSCLER0557</t>
  </si>
  <si>
    <t>MAQUENZE / SIDNEI</t>
  </si>
  <si>
    <t>9 ABERTURA E FECHAMENTO, 21 FUSÕES, 6 TESTES</t>
  </si>
  <si>
    <t>RSCLER0558</t>
  </si>
  <si>
    <t> R. Roque Calage 774 - 812</t>
  </si>
  <si>
    <t>PDRAA.125.M040.</t>
  </si>
  <si>
    <t>FOI LANÇADO 845 METROS DE CABO DE 12FO, 6 ABERTURA E FECHAMENTO, 3 FUSÕES, 1 TESTE</t>
  </si>
  <si>
    <t>RSCLER0559</t>
  </si>
  <si>
    <t>Rua Sarmento Leite 792</t>
  </si>
  <si>
    <t>CNTAB.072.M040.</t>
  </si>
  <si>
    <t>FOI LANÇADO 1450 METROS DE CABO DE 12FO, 3 ABERTURA E FECHAMENTO, 1 CX NOVA, 2 DERIVAÇÕES, 16 FUSÕES, 4 TESTES</t>
  </si>
  <si>
    <t>RSCLER0560</t>
  </si>
  <si>
    <t>Edifício Edelweiss</t>
  </si>
  <si>
    <t>Av. Cristóvão Colombo, 508</t>
  </si>
  <si>
    <t>BFMAA.241.M070</t>
  </si>
  <si>
    <t>FOI LANÇADO 565 METROS CABO DE 12FO, 5 ABERTURA E FECHAMENTO, 1 CX NOVA, 1 DERIVAÇÃO, 6 FUSÕES, 1 TESTE</t>
  </si>
  <si>
    <t>RSCLER0561</t>
  </si>
  <si>
    <t> Ed. Vincent Van Gogh</t>
  </si>
  <si>
    <t>R. Vicente da Fontoura, 909</t>
  </si>
  <si>
    <t>SANAB.062.M090</t>
  </si>
  <si>
    <t>ALANO / AUGUSTO</t>
  </si>
  <si>
    <t>4 ABERTURA E FECHAMENTO, 10 FUSÕES, 5 TESTES</t>
  </si>
  <si>
    <t>RSCLER0562</t>
  </si>
  <si>
    <t>TRZABA</t>
  </si>
  <si>
    <t>Condomínio Edifício Victória Garden</t>
  </si>
  <si>
    <t> Rua Mário Totta, 506</t>
  </si>
  <si>
    <t>TRZAA.092.M010</t>
  </si>
  <si>
    <t>2 ABERTURA E FECHAMENTO, 4 FUSÕES, 4 TESTES</t>
  </si>
  <si>
    <t>RSCLER0563</t>
  </si>
  <si>
    <t>Condomínio Vila Morena</t>
  </si>
  <si>
    <t>Rua Sarmento Leite, 763</t>
  </si>
  <si>
    <t>CNTAB.072.M040..</t>
  </si>
  <si>
    <t>4 ABERTURA E FECHAMENTO, 3 FUSÕES, 1 TESTE</t>
  </si>
  <si>
    <t>RSCLER0564</t>
  </si>
  <si>
    <t>CNTAE</t>
  </si>
  <si>
    <t> Condomínio Studio Cb</t>
  </si>
  <si>
    <t>Av. Loureiro da Silva, 1835</t>
  </si>
  <si>
    <t>CNTAB.173.M030</t>
  </si>
  <si>
    <t>FOI LANÇADO 820 METROS DE CABO DE 24FO, 1 ABERTURA E FECHAMENTO, 2 CX NOVA, 4 FUSÕES, 1 DERIVAÇÃO, 1 TESTE</t>
  </si>
  <si>
    <t>RSCLER0565</t>
  </si>
  <si>
    <t>Condomínio Cond Edif Vina Del Mar</t>
  </si>
  <si>
    <t>Av. João Pessoa, 95</t>
  </si>
  <si>
    <t>CNTAB.173.M040</t>
  </si>
  <si>
    <t>FOI LANÇADO 450 METROS DE CABO DE 12FO, 2 ABERTURA E FECHAMENTO, 1 DERIVAÇÃO, 1 CX NOVA, 2 FUSÕES, 1 TESTE</t>
  </si>
  <si>
    <t>RSCLER0566</t>
  </si>
  <si>
    <t xml:space="preserve">CNTAE </t>
  </si>
  <si>
    <t>Condomínio Edifício Jequitiba</t>
  </si>
  <si>
    <t>Av. Des. André da Rocha, 20</t>
  </si>
  <si>
    <t>CNTAB.173.M030.</t>
  </si>
  <si>
    <t>2 ABERTURA ENFECHAMENTO, 2 FUSÕES, 1 TESTE</t>
  </si>
  <si>
    <t>RSCLER0567</t>
  </si>
  <si>
    <t>EDIFICIO Sunare</t>
  </si>
  <si>
    <t>R. Sofia Veloso, 120</t>
  </si>
  <si>
    <t>CNTAB.072.M050</t>
  </si>
  <si>
    <t>FOI LANÇADO 280 METROS DE CABO DE 12FO, 4 ABERTURA E FECHAMENTO, 2 CX NOVA, 3 DERIVAÇÃO, 30 FUSÕES, 1 TESTES</t>
  </si>
  <si>
    <t>RSCLER0568</t>
  </si>
  <si>
    <t>CAMAB.401.M010</t>
  </si>
  <si>
    <t>RSCLER0569</t>
  </si>
  <si>
    <t>Rua Flores da Cunha, 420</t>
  </si>
  <si>
    <t>PGO019.M6</t>
  </si>
  <si>
    <t>3 ABERTURA E FECHAMENTO, 6 FUSÕES, 3 TESTES</t>
  </si>
  <si>
    <t>RSCLER0570</t>
  </si>
  <si>
    <t>AV DO RIACHO 1262</t>
  </si>
  <si>
    <t>CNT029.M8</t>
  </si>
  <si>
    <t>FOI LANÇADO 115 METROS DE CABO DE 12FO, 1 ABERTURA E FECHAMENTO, 1 FUSÃO, 1 CX NOVA, 1 DERIVAÇÃO, 1 TESTES</t>
  </si>
  <si>
    <t>RSCLER0571</t>
  </si>
  <si>
    <t> Rua Quinze de Novembro, 124</t>
  </si>
  <si>
    <t>TRA.066.M030</t>
  </si>
  <si>
    <t>RSCLER0572</t>
  </si>
  <si>
    <t> R SÃO JOAO - Número 1596</t>
  </si>
  <si>
    <t>TRA047M020</t>
  </si>
  <si>
    <t>5 ABERTURA E FECHAMENTO, 11 FUSÕES, 4 TESTES</t>
  </si>
  <si>
    <t>RSCLER0573</t>
  </si>
  <si>
    <t>COND. RESERVA DO ARVOREDO</t>
  </si>
  <si>
    <t>Av Bento Gonçalves, 8083</t>
  </si>
  <si>
    <t>LPRAB.010</t>
  </si>
  <si>
    <t>TIAGO FERREIRA / ALAN VASCONCELOS</t>
  </si>
  <si>
    <t xml:space="preserve">FOI LANÇADO 950 METROS DE CABO DE 12FO, FOI LANÇADO 950 METROS DE CABO DE 12 FO, 200 METROS DE CORDOALHA, 2 ABERTURA E FECHAMENTO, 2 CX NOVA, 9 NAP DE POSTE,  25 FUSÃO, 9 DERIVAÇÃO, 27 TESTE </t>
  </si>
  <si>
    <t>RSCLER0574</t>
  </si>
  <si>
    <t>NAVACB</t>
  </si>
  <si>
    <t>RESID CAIRU</t>
  </si>
  <si>
    <t>AV CAIRU 720</t>
  </si>
  <si>
    <t>NAVAB.081.M050</t>
  </si>
  <si>
    <t>RSCLER0575</t>
  </si>
  <si>
    <t>Cond. Urbano Menino Deus</t>
  </si>
  <si>
    <t>R Mariano de Matos, 520 </t>
  </si>
  <si>
    <t>TRLAA.011.M060</t>
  </si>
  <si>
    <t>CATIA / MARCOS EMILIANO</t>
  </si>
  <si>
    <t>FOI LANÇADO 546 METROS DE CABO DE 12FO, 23 ABERTURA E FECHAMENTO, 38 FUSÕES, 1 CX NOVA, 1 DERIVAÇÃO, 4 TESTES</t>
  </si>
  <si>
    <t>RSCLER0576</t>
  </si>
  <si>
    <t>BENJAMIM CONSTANT 931</t>
  </si>
  <si>
    <t>CNT009.M3</t>
  </si>
  <si>
    <t>RSCLER0577</t>
  </si>
  <si>
    <t> Ed. freire</t>
  </si>
  <si>
    <t>R. Dr. Freire Alemão, 342</t>
  </si>
  <si>
    <t>MTSAA.111.M010</t>
  </si>
  <si>
    <t>4 ABERTURA E FECHAMENTO, 7 FUSÕES, 3 TESTES</t>
  </si>
  <si>
    <t>RSCLER0578</t>
  </si>
  <si>
    <t>Cond. Felizardo</t>
  </si>
  <si>
    <t>R. Felizardo Furtado, 515</t>
  </si>
  <si>
    <t>BVSAB.111.M010</t>
  </si>
  <si>
    <t>FOI LANÇADO 601 METROS DE CABO DE 12FO, 5 ABERTURA E FECHAMENTO, 58 FUSÕES, 4 DERIVAÇÃO, 8 TESTES</t>
  </si>
  <si>
    <t>RSCLER0579</t>
  </si>
  <si>
    <t>Condomínio Jardim Cristal</t>
  </si>
  <si>
    <t>Av. Capivari, 1243</t>
  </si>
  <si>
    <t>CTLAA.054.M010</t>
  </si>
  <si>
    <t>RSCLER0580</t>
  </si>
  <si>
    <t>COND. CORA</t>
  </si>
  <si>
    <t>R. CEL. BORDINI, 555</t>
  </si>
  <si>
    <t>MTSAA.102.M040</t>
  </si>
  <si>
    <t>FOI LANÇADO 495 METROS DE CABO DE 12FO, 1 ABERTURA E FECHAMENTO, 1 CAIXA NOVA, 2 FUSÃO, 1 DERIVAÇÃO E 2 TESTE</t>
  </si>
  <si>
    <t>RSCLER0581</t>
  </si>
  <si>
    <t>Cond. DIMAK</t>
  </si>
  <si>
    <t>R. ALMIRANTE GONÇALVES 122</t>
  </si>
  <si>
    <t>TRLAA.013.M040</t>
  </si>
  <si>
    <t>8 ABERTURA E FECHAMENTO, 6 FUSÕES, 1 TESTE</t>
  </si>
  <si>
    <t>RSCLER0582</t>
  </si>
  <si>
    <t> Condomínio TORRES H-I</t>
  </si>
  <si>
    <t>R PRIMEIRO DE SETEMBRO 340 BLOCOS A ATÉ O I</t>
  </si>
  <si>
    <t>SJEAA.041.M050</t>
  </si>
  <si>
    <t>FOI LANÇADO 410 METROS DE CABO DE 12FO, 6 ABERTURA E FECHAMENTO, 20 FUSÕES, 2 DERIVAÇÕES, 5 TESTES</t>
  </si>
  <si>
    <t>RSCLER0583</t>
  </si>
  <si>
    <t>R. Gen. Couto de Magalhães, 736</t>
  </si>
  <si>
    <t>MTSAA.214.M070</t>
  </si>
  <si>
    <t>RSCLER0584</t>
  </si>
  <si>
    <t>R VIANA MOOG - 577</t>
  </si>
  <si>
    <t>CTO.031.M010</t>
  </si>
  <si>
    <t>4 ABERTURA E FECHAMENTO, 7 FUSÕES, 1 DERIVVAÇÃO, 2 TESTES</t>
  </si>
  <si>
    <t>RSCLER0585</t>
  </si>
  <si>
    <t> Cond Res Jardim Salomoni Vi</t>
  </si>
  <si>
    <t>Loft - Av. João Salomoni, 715 </t>
  </si>
  <si>
    <t>VNVAA.001.M010</t>
  </si>
  <si>
    <t>FOI LANÇADO 500 METROS DE CABO DE 12FO,1 ABERTURA E FECHAMENTO, 2 FUSÕES, 1 CX NOVA, 1 DERIVAÇÃO,2 TESTES</t>
  </si>
  <si>
    <t>RSCLER0586</t>
  </si>
  <si>
    <t>AMPLIAÇÃO DE NAP</t>
  </si>
  <si>
    <t>RUA LEONARDO TRUDA, 945</t>
  </si>
  <si>
    <t>CNT.20,01,05</t>
  </si>
  <si>
    <t>FOI LANÇADO 107 METROS DE CABO DE 12FO, 6 ABERTURA E FECHAMENTO, 6 FUSÕES, 1 DERIVAÇÃO, 1 NAP NOVA, 3 TESTES</t>
  </si>
  <si>
    <t>RSCLER0587</t>
  </si>
  <si>
    <t>TRAMANDAÍ</t>
  </si>
  <si>
    <t xml:space="preserve">RUA SAHYD ABRÃO, 154 </t>
  </si>
  <si>
    <t>TRA.053.M010</t>
  </si>
  <si>
    <t>RSCLER0588</t>
  </si>
  <si>
    <t>Rua Dra Ana Aurora Nunes Wagner, 90 - 200</t>
  </si>
  <si>
    <t>MNDAC.139.M030</t>
  </si>
  <si>
    <t>RSCLER0589</t>
  </si>
  <si>
    <t> R. Prof. Antônio José Remião 15</t>
  </si>
  <si>
    <t>GUAAA.043.01.01</t>
  </si>
  <si>
    <t>DENTRO DO NODE GUAAC</t>
  </si>
  <si>
    <t>COBRAR NO NODE</t>
  </si>
  <si>
    <t>RSCLER0590</t>
  </si>
  <si>
    <t>Cond Recantos do Guaruja</t>
  </si>
  <si>
    <t>Loft R. Ancara, 360</t>
  </si>
  <si>
    <t>GUAAA.041.M010</t>
  </si>
  <si>
    <t>RSCLER0591</t>
  </si>
  <si>
    <t>Av Independencia, 930</t>
  </si>
  <si>
    <t>CLC011.M4</t>
  </si>
  <si>
    <t>5 ABERTURA E FECHAMENTO, 5 FUSÕES, 3 TESTES</t>
  </si>
  <si>
    <t>RSCLER0592</t>
  </si>
  <si>
    <t>Cond. ESO144</t>
  </si>
  <si>
    <t>R. Dr. Pereira Neto, 144</t>
  </si>
  <si>
    <t>TRZAA.051.M010</t>
  </si>
  <si>
    <t>2 ABERTURA E FECHAMENTO, 2 FUSÕES, 2 TESTES</t>
  </si>
  <si>
    <t>RSCLER0593</t>
  </si>
  <si>
    <t>RESIDENCIAL IBIZA</t>
  </si>
  <si>
    <t>RUA HENRI DURANT, 801</t>
  </si>
  <si>
    <t>CNTAA.051.M120</t>
  </si>
  <si>
    <t>TIAGO FERREIRA / JOÃO FELIPE/ CESAR LEANDRO</t>
  </si>
  <si>
    <t>FOI LANÇADO 505 METROS DE CABO DE 24FO, FOI LANÇADO 690 METROS DE CABO DE 12FO,  6 ABERTURA E FECHAMENTO, 28 FUSÕES, 6 DERIVAÇÕES, 2 CX NOVA 4 TESTES, COBRAR 130 METROS DE CORDOALHA</t>
  </si>
  <si>
    <t>RSCLER0594</t>
  </si>
  <si>
    <t> RESIDENCIAL TERRAS ALTAS</t>
  </si>
  <si>
    <t>R. João Pedro Schmitt, 700</t>
  </si>
  <si>
    <t>RNDAA.061.M030</t>
  </si>
  <si>
    <t>FOI LANÇADO 210 METROS DE CABO DE 12FO, 3 ABERTURA E FECHAMENTO, 3 TESTE, 9 FUSÃO, 1 CX NOVA</t>
  </si>
  <si>
    <t>RSCLER0595</t>
  </si>
  <si>
    <t> Cond. Itapema</t>
  </si>
  <si>
    <t>Rua Sapê, 865</t>
  </si>
  <si>
    <t>PDRAA.111.M020</t>
  </si>
  <si>
    <t>ESTA DENTRO DO NODE VIPAG FASE 2.</t>
  </si>
  <si>
    <t>RSCLER0596</t>
  </si>
  <si>
    <t>R. Cipó, 275 </t>
  </si>
  <si>
    <t>VIPAA.071.M020</t>
  </si>
  <si>
    <t>RSCLER0597</t>
  </si>
  <si>
    <t>R CRUZEIRO DO SUL, 288</t>
  </si>
  <si>
    <t>CLC12-M8</t>
  </si>
  <si>
    <t>3 ABERTURA E FECHAMENTO, 3 FUSÕES, 1 TESTE</t>
  </si>
  <si>
    <t>RSCLER0598</t>
  </si>
  <si>
    <t>BENJAMIN CONSTANT 716</t>
  </si>
  <si>
    <t>CNT007.M3</t>
  </si>
  <si>
    <t>4 ABERTURA E FECHAMENTO, 16 FUSÕES, 4 TESTES</t>
  </si>
  <si>
    <t>RSCLER0599</t>
  </si>
  <si>
    <t>FLAVIO BOIANOVISK 106</t>
  </si>
  <si>
    <t>CAPAA.138.M020</t>
  </si>
  <si>
    <t>DENTRO DO NODE CAPAG</t>
  </si>
  <si>
    <t>RSCLER0600</t>
  </si>
  <si>
    <t>Rua Sofia Veloso, 15</t>
  </si>
  <si>
    <t>CNTAB.072.M050.</t>
  </si>
  <si>
    <t>FOI LANÇADO 600 METROS DE CABO DE 12FO, 5 ABERTURA E FECHAMENTO, 24 FUSÕES, 1 CX NOVA, 3 DERIVAÇÃO, 4 TESTES</t>
  </si>
  <si>
    <t>RSCLER0601</t>
  </si>
  <si>
    <t>RUA LAVRAS, 213</t>
  </si>
  <si>
    <t>MTSAA.322.M020</t>
  </si>
  <si>
    <t xml:space="preserve">ESTA DENTRO DO NODE PETALA  </t>
  </si>
  <si>
    <t>RSCLER0602</t>
  </si>
  <si>
    <t> R VINTE E QUATRO DE SETEMBRO - Número 991</t>
  </si>
  <si>
    <t>TRA.031.M050</t>
  </si>
  <si>
    <t>RSCLER0603</t>
  </si>
  <si>
    <t>AV BALTAZER DE OLIVEIRA GARCIA, 420</t>
  </si>
  <si>
    <t>RBTAA.031.M010</t>
  </si>
  <si>
    <t>FOI LANÇADO 836 METROS DE CABO DE 12FO, 1 ABERTURA E FECHAMENTO, 3 NAP NOVA, 1 CX NOVA, 12 FUSÕES, 12 TESTES</t>
  </si>
  <si>
    <t>RSCLER0604</t>
  </si>
  <si>
    <t>SJO16</t>
  </si>
  <si>
    <t>PORTO AGATA</t>
  </si>
  <si>
    <t>RUA GUARUJA, 200</t>
  </si>
  <si>
    <t>SJOAA.521.M510</t>
  </si>
  <si>
    <t>ALANO / CESAR</t>
  </si>
  <si>
    <t xml:space="preserve">FOI LANÇADO 1690 MTEROS DE CABO DE 24FO E 590 METROS DE CABO DE 12 FO, 3 ABERTURA E FECHAMENTO, 51 FUSÕES, 1 DERIVAÇÃO, 6 CX NOVAS, 4 TESTES, 1 TESTE OTDR, COBRAR 2 REFORMAS DE TAMPAS. </t>
  </si>
  <si>
    <t>RSCLER0606</t>
  </si>
  <si>
    <t>RUA PEDRO ALVARES CABRAL, 168</t>
  </si>
  <si>
    <t>MRDAA.401.M010</t>
  </si>
  <si>
    <t>FOI LANÇADO 490 METROS DE CABO DE 24FO, E 155 METROS DE CABO DE 12FO,1 ABERTURA E FECHAMENTO, 1 DERIVAÇÃO, 2 CX NOVA, 4 FUSÕES, 2 TESTES</t>
  </si>
  <si>
    <t>RSCLER0607</t>
  </si>
  <si>
    <t>SHOPPING LINDOIA</t>
  </si>
  <si>
    <t>AV. ASSIS BRASIL, 3522</t>
  </si>
  <si>
    <t>VIPAA.002.M060</t>
  </si>
  <si>
    <t>FOI LANÇADO 310 METROS DE CABO DE 12FO, 9 ABERTURA E FECHAMENTO, 9 FUSÕES, 2 DERIVAÇÃO, 1 TESTE , 2 TESTE OTDR</t>
  </si>
  <si>
    <t>RSCLER0608</t>
  </si>
  <si>
    <t>ARROIO DO MEIO</t>
  </si>
  <si>
    <t>R JOAO LINO BRAUN 733</t>
  </si>
  <si>
    <t>STD.003.M020</t>
  </si>
  <si>
    <t>MARCIEL</t>
  </si>
  <si>
    <t>RSCLER0609</t>
  </si>
  <si>
    <t>R GUSTAVO WENANDTS 987</t>
  </si>
  <si>
    <t>CNT.030.M020</t>
  </si>
  <si>
    <t xml:space="preserve">WESLEY </t>
  </si>
  <si>
    <t>RSCLER0610</t>
  </si>
  <si>
    <t>R ERNESTO ALVES - Número 601</t>
  </si>
  <si>
    <t>CNT.006.M10</t>
  </si>
  <si>
    <t>9 ABERTURA E FECHAMENTO, 17 FUSÕES, 3 TESTES</t>
  </si>
  <si>
    <t>RSCLER0611</t>
  </si>
  <si>
    <t>NOV</t>
  </si>
  <si>
    <t>RUA AFONSO PENA</t>
  </si>
  <si>
    <t>NOV.067.05.03</t>
  </si>
  <si>
    <t>3 ABERTURA E FECHAMENTO, 3 FUSÕES, 1 TESTES , 1 TESTE DE OTDR.</t>
  </si>
  <si>
    <t>RSCLER0612</t>
  </si>
  <si>
    <t>R DA AUGUSTA 445</t>
  </si>
  <si>
    <t>MNDAC.092.M010</t>
  </si>
  <si>
    <t>FOI LANÇADO 100 METROS DE CABO DE 12FO, 4 ABERTURA E FECHAMENTO, 6 FUSÕES, 2 DERIVAÇÕES, 2 TESTES</t>
  </si>
  <si>
    <t>RSCLER0613</t>
  </si>
  <si>
    <t>R CARLOS ESTEVÃO, 955</t>
  </si>
  <si>
    <t>RBTAB.062.M030</t>
  </si>
  <si>
    <t>ALEXANDRE/ DIOGO</t>
  </si>
  <si>
    <t>FOI LANÇADO 100 METROS DE CABO DE 12FO, 3 ABERTURAS E FECHAMENTO, 6 TESTES, 1 TESTE OTDR</t>
  </si>
  <si>
    <t>RSCLER0614</t>
  </si>
  <si>
    <t>CTLAA.051.M010</t>
  </si>
  <si>
    <t>RSCLER0615</t>
  </si>
  <si>
    <t>Rua São Leopoldo 379</t>
  </si>
  <si>
    <t>BVSAB.192.01.05</t>
  </si>
  <si>
    <t>FOI LANÇADO 214 METROS DE CABO DE 12FO, 4 ABERTURA E FECHAMENTO, 5 FUSÕES, 1 NAP NOVA, 1 DERIVAÇÃO, 3 TESTE, 1 TESTE OTDR</t>
  </si>
  <si>
    <t>RSCLER0616</t>
  </si>
  <si>
    <t>Cond. Residencial Santiago</t>
  </si>
  <si>
    <t>Rua Irene Capponi Santiago, 243</t>
  </si>
  <si>
    <t>SPEAA.012.M010</t>
  </si>
  <si>
    <t>FOI LANÇADO 405 METROS DE CABO DE 12FO, 2 ABERTURA E FECHAMENTO, 3 FUSÕES, 1 DERIVAÇÃO, 1 CX NOVA, 1 TESTE, 1 TESTE OTDR</t>
  </si>
  <si>
    <t>RSCLER0617</t>
  </si>
  <si>
    <t>Parigi Business</t>
  </si>
  <si>
    <t>AV NILO PEÇANHA 1851 </t>
  </si>
  <si>
    <t>BVSAA.151.M030</t>
  </si>
  <si>
    <t>3 ABERTURA E FECHAMENTO, 12 FUSÕES, 3 TESTES</t>
  </si>
  <si>
    <t>RSCLER0618</t>
  </si>
  <si>
    <t>Cond. Edifício Madison Residence</t>
  </si>
  <si>
    <t>Rua Gonçalves Dias, 319</t>
  </si>
  <si>
    <t>MNDAA.041.M040</t>
  </si>
  <si>
    <t>7 ABERTURA E FECHAMENTO, 6 FUSÕES, 2 TESTES OTDR, 1 TESTE</t>
  </si>
  <si>
    <t>RSCLER0619</t>
  </si>
  <si>
    <t>RUA CRUZEIRO DO SUL, 2077</t>
  </si>
  <si>
    <t>TRLAA.141.M020</t>
  </si>
  <si>
    <t>FOI LANÇADO 1300 METROS DE CABO DE 12FO AS, 4 ABERTURA E FECHAMENTO, 12 FUSÕES, 1 CX NOVA 1 DERIVAÇÃO. FOI LANÇADO 65 METROS DE CORDOALHA</t>
  </si>
  <si>
    <t>RSCLER0620</t>
  </si>
  <si>
    <t>RUA JOSÉ DO PATROCINIO, 510</t>
  </si>
  <si>
    <t>FOI LANÇADO 530 METROS DE CABO DE 12FO</t>
  </si>
  <si>
    <t>RSCLER0621</t>
  </si>
  <si>
    <t>RUA SARMENTO LEITE 763</t>
  </si>
  <si>
    <t>MARIO SOUZA</t>
  </si>
  <si>
    <t>FOI LANÇADO 154 METROS DE CABO DE 12FO, 1 ABERTURA E FECHAMENTO, 1 DERIVÇÃO, 1 CX NOVA, 1 FUSÃO, 1 TESTE</t>
  </si>
  <si>
    <t>RSCLER0622</t>
  </si>
  <si>
    <t>Tom Menino Deus</t>
  </si>
  <si>
    <t>R. Alm. Gonçalves, 214</t>
  </si>
  <si>
    <t>TRLAA.011.M040</t>
  </si>
  <si>
    <t>5 ABERTURA E FECHAMENTO, 5 FUSÕES, 3 TESTE OTDR, 1 TESTE</t>
  </si>
  <si>
    <t>RSCLER0623</t>
  </si>
  <si>
    <t xml:space="preserve">Rua Andre e Eidelwein, </t>
  </si>
  <si>
    <t>STD.008.05.01</t>
  </si>
  <si>
    <t xml:space="preserve">6 ABERTURA E FECHAMENTO, 10 FUSÕES, </t>
  </si>
  <si>
    <t>RSCLER0624</t>
  </si>
  <si>
    <t>Cond. Edifício Solar Alta Vista</t>
  </si>
  <si>
    <t>R da Gabriela, 273</t>
  </si>
  <si>
    <t>MNDAC.093.M060</t>
  </si>
  <si>
    <t>FOI LANÇADO 153 METROS DE CABO DE 12FO, 18 ABERTURA E FECHAMENTO, 20 FUSÕES, 2 DERIVAÇÕES, 5 TESTES OTDR, 2 TESTES</t>
  </si>
  <si>
    <t>RSCLER0625</t>
  </si>
  <si>
    <t>Cond. Edifício Padre Cacique</t>
  </si>
  <si>
    <t>Av Padre Cacique, 220</t>
  </si>
  <si>
    <t>MNDAC.071.M020.</t>
  </si>
  <si>
    <t>COBRADO JUNTO COM A RSCLER0622</t>
  </si>
  <si>
    <t>RSCLER0626</t>
  </si>
  <si>
    <t>Cond. Edifício Costa do Guaíba</t>
  </si>
  <si>
    <t>Av Padre Cacique, 470</t>
  </si>
  <si>
    <t>MNDAC.071.M020..</t>
  </si>
  <si>
    <t>FOI LANÇADO 270 METROS DE CABO DE 12FO, 7 ABERTURA E FECHAMENTO, 1 CX NOVA, 19 FUSÕES, 1 DERIVAÇÃO, 7 TESTE COM OTDR, 4 TESTES</t>
  </si>
  <si>
    <t>RSCLER0627</t>
  </si>
  <si>
    <t>Cond. Edifício Villa Del Fiume</t>
  </si>
  <si>
    <t>Av Padre Cacique, 354</t>
  </si>
  <si>
    <t>MNDAC.071.M030</t>
  </si>
  <si>
    <t>RSCLER0628</t>
  </si>
  <si>
    <t>JD DAS BANDEIRAS</t>
  </si>
  <si>
    <t>R EDMUNDO BASTIAN 86 </t>
  </si>
  <si>
    <t>SPEAA.016.M060</t>
  </si>
  <si>
    <t xml:space="preserve">FOI LANÇADO 253 MTEROS DE CABO DE 12FO, 7 ABERTURA E FECHAMENTO, 20 FUSÕES, 1 CX NOVA, 1 DERIVAÇÃO, 4 TESTES COM OTDR, </t>
  </si>
  <si>
    <t>RSCLER0629</t>
  </si>
  <si>
    <t>Cond. Edifício Plaza Cristal</t>
  </si>
  <si>
    <t>Rua Xavier da Cunha, 999</t>
  </si>
  <si>
    <t>NNIAA.081.M050</t>
  </si>
  <si>
    <t>RSCLER0630</t>
  </si>
  <si>
    <t>RUA SANTANA, 1129</t>
  </si>
  <si>
    <t>SANAB.021.M010</t>
  </si>
  <si>
    <t xml:space="preserve">DENTRO DO NODE SANACA FASE 2 </t>
  </si>
  <si>
    <t>SANACA F2</t>
  </si>
  <si>
    <t>RSCLER0631</t>
  </si>
  <si>
    <t xml:space="preserve">SPEAC </t>
  </si>
  <si>
    <t>Cond Moradas da Ouro Preto</t>
  </si>
  <si>
    <t>R Ouro Preto 408</t>
  </si>
  <si>
    <t>SPEAA.059.M020</t>
  </si>
  <si>
    <t>FOI LANÇADO 450 METROS DE CABO DE 12FO, 6 ABERTURA E FECHAMENTO,1 CX NOVA, 1 DERIVAÇÃO, 7 FUSÕES, 1 TESTE</t>
  </si>
  <si>
    <t>RSCLER0632</t>
  </si>
  <si>
    <t>Cond. Edifício Costa Dourada</t>
  </si>
  <si>
    <t>Rua Marcelo Gama, 530</t>
  </si>
  <si>
    <t>MTSAA.211.M040</t>
  </si>
  <si>
    <t xml:space="preserve">FOI LANÇADO 258 METROS DE CABO DE 12FO, 10 ABERTURAS E FECHAMENTO, 14 FUSÕES, 1 CX NOVA, 1 DERIVAÇÃO, 3 TESTE OTDR, 2 TESTES </t>
  </si>
  <si>
    <t>RSCLER0633</t>
  </si>
  <si>
    <t>Cond. Jardins do Lago II</t>
  </si>
  <si>
    <t>Rua Eroni Soares Machado, 300</t>
  </si>
  <si>
    <t>HPCAA.042</t>
  </si>
  <si>
    <t>COBRAR JUNTO AO NODE HPCAE FASE 2</t>
  </si>
  <si>
    <t>HPCAE F2</t>
  </si>
  <si>
    <t>RSCLER0634</t>
  </si>
  <si>
    <t>Morada Oscar Bittencourt</t>
  </si>
  <si>
    <t>Dr Oscar Bittencourt 130</t>
  </si>
  <si>
    <t>MNDAC.051.M020</t>
  </si>
  <si>
    <t>WILIAN VIGEL</t>
  </si>
  <si>
    <t>7 ABERTURA E FECHAMENTO, 10 FUSÕES, 4 TESTES</t>
  </si>
  <si>
    <t>RSCLER0635</t>
  </si>
  <si>
    <t>Cond. Edifício Ideale Massima Vita</t>
  </si>
  <si>
    <t>Av. Andaraí, 675 Torre A/B</t>
  </si>
  <si>
    <t>PDRAA.033.M030</t>
  </si>
  <si>
    <t>DENTRO DO NODE PDRAG</t>
  </si>
  <si>
    <t>RSCLER0636</t>
  </si>
  <si>
    <t> Cond. Edifício Ópera Square</t>
  </si>
  <si>
    <t>Rua Roque Calage, 886</t>
  </si>
  <si>
    <t>PDRAA.125.M040....</t>
  </si>
  <si>
    <t>RSCLER0637</t>
  </si>
  <si>
    <t>Cond. Edifício Village Bourbon</t>
  </si>
  <si>
    <t>Rua Roque Calage, 758</t>
  </si>
  <si>
    <t>PDRAA.125.M040..</t>
  </si>
  <si>
    <t>COBRAR JUNTA A RSCLER0631</t>
  </si>
  <si>
    <t>RSCLER0638</t>
  </si>
  <si>
    <t>Cond. Edifício Ópera Square</t>
  </si>
  <si>
    <t>Rua Roque Calage, 900</t>
  </si>
  <si>
    <t>PDRAA.125.M040...</t>
  </si>
  <si>
    <t>RSCLER0639</t>
  </si>
  <si>
    <t>Cond. Edificio Country Paradise</t>
  </si>
  <si>
    <t>Rua Geraldo Souza Moreira, 173</t>
  </si>
  <si>
    <t>PDRAA.035.M020</t>
  </si>
  <si>
    <t>RSCLER0640</t>
  </si>
  <si>
    <t>Cond. Edificio Reserva Kiev</t>
  </si>
  <si>
    <t>Rua Kiev, 46</t>
  </si>
  <si>
    <t>PDRAA.035.M010</t>
  </si>
  <si>
    <t>RSCLER0641</t>
  </si>
  <si>
    <t>Cond. Residencial Ricon Marino</t>
  </si>
  <si>
    <t>AV Otto Niemeyer, 77</t>
  </si>
  <si>
    <t>TRZAA.151.M010</t>
  </si>
  <si>
    <t>DENTRO DO NODE TRZAIA</t>
  </si>
  <si>
    <t>RSCLER0642</t>
  </si>
  <si>
    <t>RBRAQ</t>
  </si>
  <si>
    <t>Cond. Livile</t>
  </si>
  <si>
    <t>R Casemiro de Abreu 1655</t>
  </si>
  <si>
    <t>RBRAQ.001.M010</t>
  </si>
  <si>
    <t>3 ABERTURA E FECHAMENTO, 5 FUSÕES, 3 TESTES</t>
  </si>
  <si>
    <t>RSCLER0643</t>
  </si>
  <si>
    <t>Cond. Edifício The Sun</t>
  </si>
  <si>
    <t>Rua Washington Luiz, 238</t>
  </si>
  <si>
    <t>CNTAB.013.M040</t>
  </si>
  <si>
    <t>FOI LANÇADO 110 METROS DE CABO DE 12FO, 3 ABERTURA E FECHAMENTO, 1 CX NOVA, 1 DERIVAÇÃO, 3 FUSÕES, 1 TESTE OTDR, 1 TESTE</t>
  </si>
  <si>
    <t>RSCLER0644</t>
  </si>
  <si>
    <t>Cond. Edifício San Lorenzo</t>
  </si>
  <si>
    <t>Rua Veríssimo Rosa, 757</t>
  </si>
  <si>
    <t>JBOAA.021.M050</t>
  </si>
  <si>
    <t>FOI LANÇADO 282 METROS DE CABO DE 12FO, 3 ABERTURAS E FECHAMENTO, 4 FUSÕES, 1 CX NOVA, 1 TESTE POWER METER, 1 TESTE OTDR</t>
  </si>
  <si>
    <t>RSCLER0645</t>
  </si>
  <si>
    <t>R COSTA GAMA, 1427</t>
  </si>
  <si>
    <t>CTO.008.M020</t>
  </si>
  <si>
    <t>10 ABERTURA E FECHAMENTO, 14 FUSÕES, 2 TESTES</t>
  </si>
  <si>
    <t>RSCLER0646</t>
  </si>
  <si>
    <t>Cond. Idea Eça de Queiroz</t>
  </si>
  <si>
    <t>Rua Eça de Queiroz, 800</t>
  </si>
  <si>
    <t>JBOAA.093.M102</t>
  </si>
  <si>
    <t>FOI LANÇADO 229 METROS DE CABO DE 24FO, FOI LANÇADO 200 METROS DE CORDOALHA, 8 ABERTURA E FECHAMENTO, 5 DERIVAÇÃO, 3 TESTES OTDR, 19 FUSÕES</t>
  </si>
  <si>
    <t>RSCLER0647</t>
  </si>
  <si>
    <t>NNIAGA</t>
  </si>
  <si>
    <t>Cond. dos Montes</t>
  </si>
  <si>
    <t>Rua Alcebiades Antonio dos Santos, 356</t>
  </si>
  <si>
    <t>NNIAA.101</t>
  </si>
  <si>
    <t>FOI LANÇADO 1895 METROS DE CABO DE 24FO, E 1159 METROS DE CABO DE 12FO, 1 ABERTURA E FECHAMENTO, 1 CX NOVA, 14 NAP NOVA, 4 DERIVAÇÃO, 32 FUSÕES, 42 TESTES</t>
  </si>
  <si>
    <t>RSCLER0648</t>
  </si>
  <si>
    <t>RUA DONA FRUTUOSA,969</t>
  </si>
  <si>
    <t>CNT013.M010</t>
  </si>
  <si>
    <t>FOI LANÇADO 309 METROS DE CABO DE 12FO.1 ABERTURA E FECHAMENTO, 5 FUSÕES, 1 DERIVAÇÃO, 1 CX NOVA</t>
  </si>
  <si>
    <t>RSCLER0649</t>
  </si>
  <si>
    <t>LAFAYETE</t>
  </si>
  <si>
    <t>RUA DUQUE DE CAXIAS, 925</t>
  </si>
  <si>
    <t>CNTAB.171.M040</t>
  </si>
  <si>
    <t>FOI LANÇADO 102 METROS DE CABO DE 24FO, E 383 METROS DE CABO DE 12FO, 7 ABERTURA E FECHAMENTO, 13 FUSÕES, 4 DERIVAÇÕES, 2 TESTES</t>
  </si>
  <si>
    <t>RSCLER0650</t>
  </si>
  <si>
    <t>Cond. Santa Flora</t>
  </si>
  <si>
    <t>Rua Dr. Campos Velho, 1245</t>
  </si>
  <si>
    <t>CTLAA.073</t>
  </si>
  <si>
    <t>FOI LANÇADO 1615 METROS DE CABO DE 12FO, 2 ABERTURA E FECHAMENTO, 2 CX NOVAS, 8 NAP NOVAS, 2 DERIVAÇÕES, 27 FUSÕES, 1 TESTE OTDR, 24 TESTES</t>
  </si>
  <si>
    <t>RSCLER0651</t>
  </si>
  <si>
    <t>RUA EDMUNDO BASTIAN 452</t>
  </si>
  <si>
    <t>SPEAA.012.M030</t>
  </si>
  <si>
    <t>COBRAR DENTRO DO NODE SPEAAA</t>
  </si>
  <si>
    <t>RSCLER0652</t>
  </si>
  <si>
    <t> R SILVEIRO 437 / R MIGUEL COUTO 350</t>
  </si>
  <si>
    <t>MNDAC.091.M040</t>
  </si>
  <si>
    <t>6 ABERTURA E FECHAMENTO, 9 FUSÕES, 3 TESTES</t>
  </si>
  <si>
    <t>RSCLER0653</t>
  </si>
  <si>
    <t>Demétrio Ribeiro 1067</t>
  </si>
  <si>
    <t>CNTAB.173.M010</t>
  </si>
  <si>
    <t>5 ABERTURA E FECHAMENTO, 7 FUSÕES, 2 TESTES</t>
  </si>
  <si>
    <t>RSCLER0654</t>
  </si>
  <si>
    <t>Comendador Albino Cunha, 128</t>
  </si>
  <si>
    <t>SPEAA.009.M020</t>
  </si>
  <si>
    <t>DENTRO DO NODE SPEAAA</t>
  </si>
  <si>
    <t>RSCLER0655</t>
  </si>
  <si>
    <t>R_Arroio do Meio 108</t>
  </si>
  <si>
    <t>PRIAA.051.04.08</t>
  </si>
  <si>
    <t>FOI LANÇADO 690 METROS DE CABO DE 12FO, 3 ABERTURA E FECHAMENTO, 3 FUSÕES, 1 NAP NOVA, 3 TESTES, 1 TESTE OTDR</t>
  </si>
  <si>
    <t>RSCLER0656</t>
  </si>
  <si>
    <t>Cond Ed Jd Juliana</t>
  </si>
  <si>
    <t>Av. Dr. Maurício Cardoso, 980</t>
  </si>
  <si>
    <t>CNTAA.033.M010</t>
  </si>
  <si>
    <t>5 ABERTURA E FECHAMENTO, 4 FUSÕES, 1 TESTE E 1 TESTE OTDR.</t>
  </si>
  <si>
    <t>RSCLER0657</t>
  </si>
  <si>
    <t>XNLAN</t>
  </si>
  <si>
    <t>XANGRILÁ</t>
  </si>
  <si>
    <t xml:space="preserve">COND. LAS DUNAS </t>
  </si>
  <si>
    <t>AV PARAGUASSU, 300</t>
  </si>
  <si>
    <t>FOI LANÇADO 3200 METROS DE CABO CONECTORIZADOS, 400 METROS DE CABO DE 12FO ESPINADOS, 1 ABERTURA E FECHAMENTO, 1 FIST NOVA, 13 NAP NOVA, 7 FUSÕES, LIMPEZA DE 2 CXS, 63 METROS DE CANALIZAÇÃO, 1 COLOCAÇÃO DE LATERAL, DESOBRISTRUÇÃO DE 6 CXS, R$:2000,00 EM DISPESAS DO CONDOMINIO , COBRAR AS BUILTS</t>
  </si>
  <si>
    <t>RSCLER0658</t>
  </si>
  <si>
    <t>Cond. Playa Vista</t>
  </si>
  <si>
    <t>COBRAR NO PROJETO F, COBRAR 15 METROS DE CANALIZAÇÃO, 4 METROS DESOBSTRUÇÃO, 1 LIMPEZA DE CX</t>
  </si>
  <si>
    <t>PROJETO F</t>
  </si>
  <si>
    <t>RSCLER0659</t>
  </si>
  <si>
    <t>Praia de Belas</t>
  </si>
  <si>
    <t>Av. Padre Cacique, 122</t>
  </si>
  <si>
    <t>MNDAC.071.M020...</t>
  </si>
  <si>
    <t>6 ABERTURA E FECHAMENTO, 6 FUSÕES, 1 TESTE</t>
  </si>
  <si>
    <t>RSCLER0660</t>
  </si>
  <si>
    <t>AV INDEPENDENCIA, 500</t>
  </si>
  <si>
    <t>CLC011.M2</t>
  </si>
  <si>
    <t>2 ABERTURA E FECHAMENTO, 4 FUSÕES, 2 TESTES</t>
  </si>
  <si>
    <t>RSCLER0661</t>
  </si>
  <si>
    <t>AV FERNANDO AMARAL, 1131</t>
  </si>
  <si>
    <t>TRA026.M040</t>
  </si>
  <si>
    <t>FOI LANÇADO 260 METROS DE CABO DE 12FO, 6 ABERTURA E FECHAMENTO, 6 FUSÕES, 1 DERIVAÇÃO, 1 CX NOVA. 1 TESTE, 2 TESTES OTDR</t>
  </si>
  <si>
    <t>RSCLER0662</t>
  </si>
  <si>
    <t>RUA CRISTOVÃO PEREIRA, 45</t>
  </si>
  <si>
    <t>SPEAA.020.M040</t>
  </si>
  <si>
    <t>COBRAR DENTRO DO NODE SJOAA</t>
  </si>
  <si>
    <t>RSCLER0663</t>
  </si>
  <si>
    <t>RUA DOMINGO MARTINS, 846</t>
  </si>
  <si>
    <t>SPEAA.011.M060</t>
  </si>
  <si>
    <t>COBRAR NO NODE SPEAAA</t>
  </si>
  <si>
    <t>RSCLER0664</t>
  </si>
  <si>
    <t>RUA JAÚ, 106</t>
  </si>
  <si>
    <t>SPEAA.009.M030</t>
  </si>
  <si>
    <t>RSCLER0665</t>
  </si>
  <si>
    <t>RUA OURO PRETO, 45</t>
  </si>
  <si>
    <t>SPEAA.059.01.01</t>
  </si>
  <si>
    <t xml:space="preserve">DENTRO DO NODE SPEAC FASE 2 </t>
  </si>
  <si>
    <t>RSCLER0666</t>
  </si>
  <si>
    <t>RSNHO LO</t>
  </si>
  <si>
    <t>COND. EDF. REGENTE</t>
  </si>
  <si>
    <t>JULIO DE CASTILHOS 22</t>
  </si>
  <si>
    <t>CNTAA.061.M040</t>
  </si>
  <si>
    <t>RSCLER0667</t>
  </si>
  <si>
    <t>R ALBERTO TORRES 111</t>
  </si>
  <si>
    <t>MNDAB.352.M080</t>
  </si>
  <si>
    <t>FOI LANÇADO 385 METROS DE CABO DE 12FO, 4 ABERTURA E FECHAMENTO, 8 FUSÕES, 4 DERIVAÇÕES, 2 TESTES</t>
  </si>
  <si>
    <t>11/07/20250</t>
  </si>
  <si>
    <t>RSCLER0668</t>
  </si>
  <si>
    <t>Quintino Bandeira, 67</t>
  </si>
  <si>
    <t>NAVAB.122.M010.</t>
  </si>
  <si>
    <t>COBRAR DENTRO DO NODE NAVAD FASE 2</t>
  </si>
  <si>
    <t>NAVAD F2</t>
  </si>
  <si>
    <t>RSCLER0669</t>
  </si>
  <si>
    <t>R SIQUEIRA CAMPOS 644</t>
  </si>
  <si>
    <t>CNTAB.401.M010</t>
  </si>
  <si>
    <t>FOI LANÇADO 1077 METROS DE CABO DE 12FO, 1 ABERTURA E FECHAMENTO, 6 FUSÕES, 1 DERIVAÇÃO, 1 TESTE OTDR, 2 CXS NOVAS, 4 TESTES.</t>
  </si>
  <si>
    <t>RSCLER0670</t>
  </si>
  <si>
    <t>Rua Amoroso Costa, 100</t>
  </si>
  <si>
    <t>SPEAA.011.M040</t>
  </si>
  <si>
    <t>RSCLER0671</t>
  </si>
  <si>
    <t>Quintino Bandeira, 64</t>
  </si>
  <si>
    <t>NAVAB.122.M010</t>
  </si>
  <si>
    <t>RSCLER0672</t>
  </si>
  <si>
    <t>Cond. Lá Plage</t>
  </si>
  <si>
    <t>CAPAB.092</t>
  </si>
  <si>
    <t>COBRAR NO PROJETO F</t>
  </si>
  <si>
    <t>14/07/20250</t>
  </si>
  <si>
    <t>RSCLER0673</t>
  </si>
  <si>
    <t>Cond Edifício Sereno</t>
  </si>
  <si>
    <t>Rua 24 de Maio, 211</t>
  </si>
  <si>
    <t>CNTAB.173.M040.</t>
  </si>
  <si>
    <t>FOI LANÇADO 622 METROS DE CABO DE 12FO, 5 ABERTURA E FECHAMENTO, 2 DERIVAÇÕES, 8 FUSÕES, 1 TESTE, 3 TESTES OTDR</t>
  </si>
  <si>
    <t>RSCLER0674</t>
  </si>
  <si>
    <t>Cond Barao De Tramandai</t>
  </si>
  <si>
    <t>R. Barão de Tramandaí, 291</t>
  </si>
  <si>
    <t>SPEAA.025.M040</t>
  </si>
  <si>
    <t>6 ABERTURA E FECHAMENTO, 7 FUSÕES, 2 TESTES, 5 TESTES OTDR</t>
  </si>
  <si>
    <t>RSCLER0675</t>
  </si>
  <si>
    <t>Conselho Regional de Farmacias</t>
  </si>
  <si>
    <t>Rua São Nicolau 1070</t>
  </si>
  <si>
    <t>SPEAA.025.04.07</t>
  </si>
  <si>
    <t>FOI LANÇADO 685 METROS DE CABO DE 12FO, 1 ABERTURA E FECHAMENTO, 1 NAP NOVA, 1 DERIVÇÃO, 2 FUSÃO, 3 TESTES</t>
  </si>
  <si>
    <t>RSCLER0676</t>
  </si>
  <si>
    <t>RUA FERNANDO ABBOTT, 249</t>
  </si>
  <si>
    <t>SPEAA.011.M030</t>
  </si>
  <si>
    <t>RSCLER0677</t>
  </si>
  <si>
    <t>RUA JOÃO DUTRA, 81</t>
  </si>
  <si>
    <t>CNTAA.051.M030</t>
  </si>
  <si>
    <t>ROGERIO</t>
  </si>
  <si>
    <t>RSCLER0678</t>
  </si>
  <si>
    <t>RUA FERNANDO ABBOTT, 29</t>
  </si>
  <si>
    <t>SPEAA.011.M010</t>
  </si>
  <si>
    <t>RSCLER0679</t>
  </si>
  <si>
    <t>RUA COMENDADOR ALBINO CUNHA, 53, 97</t>
  </si>
  <si>
    <t>SPEAA.009.M010</t>
  </si>
  <si>
    <t>RSCLER0680</t>
  </si>
  <si>
    <t>RUA FERNANDO ABBOTT, 91, 103, 154</t>
  </si>
  <si>
    <t>SPEAA.011.M020</t>
  </si>
  <si>
    <t>RSCLER0681</t>
  </si>
  <si>
    <t>BEIRA RIO 1011</t>
  </si>
  <si>
    <t>TRA051.M030</t>
  </si>
  <si>
    <t>FOI LANÇADO 24 METROS DE CABO DE 12FO, 4 ABERTURA E FECHAMENTO, 15 FUSÕES, 2 DERIVAÇÕES, 3 TESTES, 1 CX NOVA.</t>
  </si>
  <si>
    <t>RSCLER0682</t>
  </si>
  <si>
    <t>Rua Conde de Porto Alegre, 71</t>
  </si>
  <si>
    <t>NAVAB.122.01.07</t>
  </si>
  <si>
    <t>RSCLER0683</t>
  </si>
  <si>
    <t>AV BAGE, 494</t>
  </si>
  <si>
    <t>PETAA.151.M050</t>
  </si>
  <si>
    <t>COBRAR DENTRO DO NODE PETAR</t>
  </si>
  <si>
    <t>RSCLER0684</t>
  </si>
  <si>
    <t>AV ALEGRETE, 50</t>
  </si>
  <si>
    <t>PETAA.121.M020</t>
  </si>
  <si>
    <t>COBRAR DENTRO DO NODE PETAQ</t>
  </si>
  <si>
    <t>RSCLER0685</t>
  </si>
  <si>
    <t>AV DR NILO PEÇANHA, 242</t>
  </si>
  <si>
    <t>PETAA.171.M020</t>
  </si>
  <si>
    <t>COBRAR DENTRO DO NODE MTSAM</t>
  </si>
  <si>
    <t>RSCLER0686</t>
  </si>
  <si>
    <t>AV BAGE, 1259</t>
  </si>
  <si>
    <t>PETAA.012.M010</t>
  </si>
  <si>
    <t>COBRAR DENTRO DO NODE MTSAU</t>
  </si>
  <si>
    <t>RSCLER0687</t>
  </si>
  <si>
    <t>AV BAGE, 1301,1313,1344</t>
  </si>
  <si>
    <t>PETAA.012.M020</t>
  </si>
  <si>
    <t>RSCLER0688</t>
  </si>
  <si>
    <t>AV BAGE, 1400</t>
  </si>
  <si>
    <t>PETAA.012.M030</t>
  </si>
  <si>
    <t>RSCLER0689</t>
  </si>
  <si>
    <t>AV LAGEADO, 1233</t>
  </si>
  <si>
    <t>PETAA.013.M010</t>
  </si>
  <si>
    <t>RSCLER0690</t>
  </si>
  <si>
    <t>AV LAGEADO, 1355, 1380</t>
  </si>
  <si>
    <t>PETAA.013.M020</t>
  </si>
  <si>
    <t>RSCLER0691</t>
  </si>
  <si>
    <t>RUA CASTRO ALVES, 312</t>
  </si>
  <si>
    <t>BFMAA.183.M010</t>
  </si>
  <si>
    <t>COBRAR DENTRO DO NODE RBRAI</t>
  </si>
  <si>
    <t>RSCLER0692</t>
  </si>
  <si>
    <t>PRAÇA SÃO CAETANO, 90</t>
  </si>
  <si>
    <t>TRLAA.211.M010</t>
  </si>
  <si>
    <t>COBRAR DENTRO DO NODE TRLAC</t>
  </si>
  <si>
    <t>RSCLER0693</t>
  </si>
  <si>
    <t>FLOAEA</t>
  </si>
  <si>
    <t>RUA MARQUES DO HERVAL, 600</t>
  </si>
  <si>
    <t>FLOAA.044.M010</t>
  </si>
  <si>
    <t>COBRAR DENTRO DO NODE FLOAEA</t>
  </si>
  <si>
    <t>FLOAEA F2</t>
  </si>
  <si>
    <t>RSCLER0694</t>
  </si>
  <si>
    <t>RUA CARVALHO MONTEIRO, 68</t>
  </si>
  <si>
    <t>PETAA.014.M020</t>
  </si>
  <si>
    <t>RSCLER0695</t>
  </si>
  <si>
    <t>R ALEXANDRINO DE ALENCAR, 485</t>
  </si>
  <si>
    <t>CNT22-M6</t>
  </si>
  <si>
    <t>FOI LANÇADO 339 METROS DE CABO DE 12FO, 11 ABERTURA E FECHAMENTO, 11 FUSÕES, 1 CX NOVA, 1 DERIVAÇÃO, 1 TESTE</t>
  </si>
  <si>
    <t>RSCLER0697</t>
  </si>
  <si>
    <t>AV INDEPENDENCIA, 1299</t>
  </si>
  <si>
    <t>BFMAA.092M010</t>
  </si>
  <si>
    <t>2 ABERTURA E FECHAMENTO, 3 FUSÕES</t>
  </si>
  <si>
    <t>RSCLER0698</t>
  </si>
  <si>
    <t>Ed. freire 342</t>
  </si>
  <si>
    <t>R. Dr. Freire Alemão, 342 (NOVA ATUALIZAÇÃO)</t>
  </si>
  <si>
    <t>MTSAA.111.M010.</t>
  </si>
  <si>
    <t>FOI LANÇADO 15 METROS DE CABO DE 12FO, 3 ABERTURA E FECHAMENTO, 3 FUSÕES, 1 TESTE</t>
  </si>
  <si>
    <t>RSCLER0699</t>
  </si>
  <si>
    <t>PATMOS</t>
  </si>
  <si>
    <t>R DR PEREIRA NETO 715</t>
  </si>
  <si>
    <t>CMQAA.142.M030</t>
  </si>
  <si>
    <t>RSCLER0700</t>
  </si>
  <si>
    <t>R DOS BURGUESES 255</t>
  </si>
  <si>
    <t>PRTAA.031.M020</t>
  </si>
  <si>
    <t>COBRAR DENTRO DO NODE PRTAP</t>
  </si>
  <si>
    <t>RSCLER0701</t>
  </si>
  <si>
    <t>Cond. Edifício Ravena</t>
  </si>
  <si>
    <t>Rua Demétrio Ribeiro, 900</t>
  </si>
  <si>
    <t>CNTAB.171.M030</t>
  </si>
  <si>
    <t>5 ABERTURA E FECHAMENTO, 4 FUSÕES, 1 TESTE E 2 TESTE OTDR.</t>
  </si>
  <si>
    <t>RSCLER0702</t>
  </si>
  <si>
    <t>Cond Village Center Zona Sul</t>
  </si>
  <si>
    <t>Av. da Cavalhada, 4760</t>
  </si>
  <si>
    <t>VNVAA.051.01.07</t>
  </si>
  <si>
    <t>RSCLER0703</t>
  </si>
  <si>
    <t>Rua Dr Tostes, 33</t>
  </si>
  <si>
    <t>STD.022.M080</t>
  </si>
  <si>
    <t>RSCLER0704</t>
  </si>
  <si>
    <t>RUA JOSÉ ARNOLD, 342</t>
  </si>
  <si>
    <t>CNT.020.M020</t>
  </si>
  <si>
    <t>RSCLER0705</t>
  </si>
  <si>
    <t>Plinio Mall</t>
  </si>
  <si>
    <t>Av. Plínio Brasil Milano, 1689</t>
  </si>
  <si>
    <t>BVSAA.015.M060</t>
  </si>
  <si>
    <t>RSCLER0706</t>
  </si>
  <si>
    <t>Rua Rodolfo Sinch, 320/360</t>
  </si>
  <si>
    <t>SSOAA.115.M010</t>
  </si>
  <si>
    <t>DIOGO/ CLEVERSON</t>
  </si>
  <si>
    <t>RSCLER0707</t>
  </si>
  <si>
    <t>Rua Alberto Silva, 500</t>
  </si>
  <si>
    <t>VIPAA.007.M040</t>
  </si>
  <si>
    <t>FOI LANÇADO 307 METROS DE CABO DE 12FO, 10 ABERTURA E FECHAMENTO, 21 FUSÕES, 2 DERIVAÇÕES, 1 CX NOVA, 5 TESTES</t>
  </si>
  <si>
    <t>RSCLER0708</t>
  </si>
  <si>
    <t>Cond Edifício Residencial Freitas</t>
  </si>
  <si>
    <t>Rua Freitas e Castro, 300</t>
  </si>
  <si>
    <t>SANAA.083.M020</t>
  </si>
  <si>
    <t>RSCLER0709</t>
  </si>
  <si>
    <t>R BUENOS AIRES 402 </t>
  </si>
  <si>
    <t>JBOAA.021.M020</t>
  </si>
  <si>
    <t>RSCLER0710</t>
  </si>
  <si>
    <t>AV DA CAVALHADA 3156</t>
  </si>
  <si>
    <t>VNVAA.026.M050</t>
  </si>
  <si>
    <t>RSCLER0711</t>
  </si>
  <si>
    <t>AL RAIMUNDO CORREA, 20</t>
  </si>
  <si>
    <t>BVSAB.355.M030</t>
  </si>
  <si>
    <t>ANDERSON/GILSON/DIOGO</t>
  </si>
  <si>
    <t>FOI LANÇADO 357 METROS DE CABO DE 12 FO, 3 ABERTURA E FECHAMENTO, 2 CX NOVA, 101 FUSÕES, 1 DERIVAÇÃO</t>
  </si>
  <si>
    <t>RSCLER0713</t>
  </si>
  <si>
    <t>Clube Resid Singular</t>
  </si>
  <si>
    <t>Estr. João de Oliveira Remião, 1738</t>
  </si>
  <si>
    <t>LPRAA.013.</t>
  </si>
  <si>
    <t>FOI LANÇADO 361 METROS DE CABO DE 12FO E 609 METROS DE CABO DE 24FO, 1 ABERTURA E FECHAMENTO, 2 CX NOVA, 1 DERIVAÇÃO,18 FUSÕES</t>
  </si>
  <si>
    <t>RSCLER0714</t>
  </si>
  <si>
    <t>Condomínio Reserva da Figueira</t>
  </si>
  <si>
    <t>R.João de Oliveira Remião 5400</t>
  </si>
  <si>
    <t>LPRAB.021</t>
  </si>
  <si>
    <t>COBRAR DENTRO DO NODE LPRAB</t>
  </si>
  <si>
    <t>RSCLER0716</t>
  </si>
  <si>
    <t>AV BR DO RIO BRANCO, 41</t>
  </si>
  <si>
    <t>CLC016.M2</t>
  </si>
  <si>
    <t>7 ABERTURA E FECHAMENTO, 10 FUSÕES, 2 TESTES OTDR</t>
  </si>
  <si>
    <t>RSCLER0719</t>
  </si>
  <si>
    <t>RUA ITAQUI, 89</t>
  </si>
  <si>
    <t>PETAA.137.M010</t>
  </si>
  <si>
    <t xml:space="preserve">COBRAR DENTRO DO NODE PETAO FASE 2 </t>
  </si>
  <si>
    <t>RSCLER0720</t>
  </si>
  <si>
    <t>AL RAIMUNDO CORREA, 66</t>
  </si>
  <si>
    <t>BVSAB.355.M030.</t>
  </si>
  <si>
    <t xml:space="preserve">COBRAR DENTRO DO NODE BVSAF FASE 2 </t>
  </si>
  <si>
    <t>RSCLER0721</t>
  </si>
  <si>
    <t>VERANOPOLIS 483</t>
  </si>
  <si>
    <t>BVSAA.015.M020</t>
  </si>
  <si>
    <t>COBRAR DENTRO DO NODE PDRAD FASE 3</t>
  </si>
  <si>
    <t>RSCLER0722</t>
  </si>
  <si>
    <t>Res. Torino</t>
  </si>
  <si>
    <t>RUA DONA OTI, 208</t>
  </si>
  <si>
    <t>JBOAA.063.M020</t>
  </si>
  <si>
    <t>FOI LANÇADO 457 METROS DE CABO DE 12FO, 1 ABERTURA E FECHAMENTO, 9 FUSÕES, 1 CX NOVA, 1 DERIVAÇÃO, 7 TESTES, 1 TESTE OTDR</t>
  </si>
  <si>
    <t>RSCLER0723</t>
  </si>
  <si>
    <t>RUA Domingos Martins 560</t>
  </si>
  <si>
    <t>SPEAA.012.M040</t>
  </si>
  <si>
    <t>RSCLER0724</t>
  </si>
  <si>
    <t>SJOAAA</t>
  </si>
  <si>
    <t>RUA AÇORES 106</t>
  </si>
  <si>
    <t>SPEAA.021.M010</t>
  </si>
  <si>
    <t>COBRAR DENTRO DO NODE SJOAA FASE 3</t>
  </si>
  <si>
    <t>SJOAA F3</t>
  </si>
  <si>
    <t>RSCLER0725</t>
  </si>
  <si>
    <t>JOAQUIM NABUCO 803</t>
  </si>
  <si>
    <t>CNTAA.061.M060</t>
  </si>
  <si>
    <t>FOI LANÇADO 176 METROS DE CABO DE 12 FO, 3 ABERTURA E FECHAMENTO, 1 CX NOVA , 8 FUSÕES, 3 TESTES, 1 TESTE OTDR</t>
  </si>
  <si>
    <t>RSCLER0726</t>
  </si>
  <si>
    <t>R Comissário BERGMANN 29</t>
  </si>
  <si>
    <t>RBTAA.103.M020</t>
  </si>
  <si>
    <t>COBRAR DENTRO DO NODE SRDAL FASE 2</t>
  </si>
  <si>
    <t>SRDAL F2</t>
  </si>
  <si>
    <t>RSCLER0727</t>
  </si>
  <si>
    <t>R ALM TAMANDARE, 1047</t>
  </si>
  <si>
    <t>3 ABERTURA E FECHAMENTO, 4 FUSOES E 2 TESTES</t>
  </si>
  <si>
    <t>RSCLER0728</t>
  </si>
  <si>
    <t>R CRISTOVAO PEREIRA 392</t>
  </si>
  <si>
    <t>SPEAA.023.M030</t>
  </si>
  <si>
    <t>RSCLER0729</t>
  </si>
  <si>
    <t>Cel genuíno Sampaio 23</t>
  </si>
  <si>
    <t>CNTAA.013.M010</t>
  </si>
  <si>
    <t>RSCLER0730</t>
  </si>
  <si>
    <t>Estrada Campo Novo, 131</t>
  </si>
  <si>
    <t>IPMAA.011.M020</t>
  </si>
  <si>
    <t xml:space="preserve">COBRAR DENTRO DO NODE IPMAFB FASE 2 </t>
  </si>
  <si>
    <t>RSCLER0731</t>
  </si>
  <si>
    <t>Av Dos Industriarios, 664</t>
  </si>
  <si>
    <t>BVSAA.015.M030</t>
  </si>
  <si>
    <t>RSCLER0732</t>
  </si>
  <si>
    <t>RUA SÃO JERÔNIMO, 68</t>
  </si>
  <si>
    <t>BVSAA.015.M040</t>
  </si>
  <si>
    <t>RSCLER0733</t>
  </si>
  <si>
    <t>BJMAA</t>
  </si>
  <si>
    <t>RUA ANGELO CRIVELARO, 645,665,650</t>
  </si>
  <si>
    <t>BJMAA.073.M020</t>
  </si>
  <si>
    <t>COBRAR DENTRO DO NODE JSOAAA</t>
  </si>
  <si>
    <t>RSCLER0734</t>
  </si>
  <si>
    <t>RUA ANGELO CRIVELARO,700,720,725</t>
  </si>
  <si>
    <t>BJMAA.073.M030</t>
  </si>
  <si>
    <t>RSCLER0735</t>
  </si>
  <si>
    <t>RUA ANGELO CRIVELARO,680</t>
  </si>
  <si>
    <t>BJMAA.073.M040</t>
  </si>
  <si>
    <t>RSCLER0737</t>
  </si>
  <si>
    <t>AV CRISTOVAO COLOMBO 1854 / 1848</t>
  </si>
  <si>
    <t>FLOAA.011.M080</t>
  </si>
  <si>
    <t>FOI LANÇADO 138 METROS DE CABO DE 12FO, 3 ABERTURA E FECHAMENTO, 6 FUSÕES, 3 TESTES</t>
  </si>
  <si>
    <t>RSCLER0740</t>
  </si>
  <si>
    <t>PINTO BANDEIRA 66</t>
  </si>
  <si>
    <t>CNTAA.113.M020</t>
  </si>
  <si>
    <t>RSCLER0741</t>
  </si>
  <si>
    <t>COND. PINHEIROS</t>
  </si>
  <si>
    <t> Estrada João de Oliveira Remião, 6700</t>
  </si>
  <si>
    <t>LPRAB.032.M030</t>
  </si>
  <si>
    <t>FOI LANÇADO 99 METROS DE CABO DE 12FO, 2 ABERTURA E FECHAMENTO, 1 CX NOVA, 1 DERIVAÇÃO, 4 FUSÕES, 2 TESTES</t>
  </si>
  <si>
    <t>RSCLER0742</t>
  </si>
  <si>
    <t>CPERS</t>
  </si>
  <si>
    <t>Av. Alberto Bins, 480</t>
  </si>
  <si>
    <t>BFMAA.151.M510</t>
  </si>
  <si>
    <t>RSCLER0744</t>
  </si>
  <si>
    <t>Cond.(Nome do Codominio)</t>
  </si>
  <si>
    <t>Rua Elias Bothome, 160</t>
  </si>
  <si>
    <t>JITAB.152.05.06</t>
  </si>
  <si>
    <t>FOI LANÇADO 483 METROS DE CABO DE 12FO, 3 ABERTURA E FECHAMENTO, 1 DERIVAÇÃO, 1 NAP NOVA, 3 FUSÕES, 3 TESTES.</t>
  </si>
  <si>
    <t>RSCLER0745</t>
  </si>
  <si>
    <t>TUPINAMBÁ, 38, 24, 6</t>
  </si>
  <si>
    <t>CNTAA.081.M030</t>
  </si>
  <si>
    <t xml:space="preserve">2 ABERTURA E FECHAMENTO, 2 FUSÕES, 2 TESTES </t>
  </si>
  <si>
    <t>RSCLER0717</t>
  </si>
  <si>
    <t>Rua Jacy kroeff milanez 230</t>
  </si>
  <si>
    <t>RBTAC.021.M010</t>
  </si>
  <si>
    <t xml:space="preserve">COBRAR DENTRO DO NODE SDRAF FASE 2 </t>
  </si>
  <si>
    <t>RSCLER0718</t>
  </si>
  <si>
    <t>CURT JOHANNPETER 110</t>
  </si>
  <si>
    <t>RBTAC.021.M020</t>
  </si>
  <si>
    <t>RSCLER0746</t>
  </si>
  <si>
    <t>MIGRAÇÃO 144FO</t>
  </si>
  <si>
    <t>TRLAA.EST03</t>
  </si>
  <si>
    <t>FOI LANÇADO 1700 METROS DE CABO DE 144 AUTO SUSTENTAVEL E 220 METROS DE CABO PRECON, 36 METROS DE CORDOALHA, 2 DIO, 1 CX NOVA E 144 FUSÕES E 1 DERIVAÇÃO</t>
  </si>
  <si>
    <t>RSCLER0736</t>
  </si>
  <si>
    <t>R VINTE E QUATRO DE SETEMBRO, 1030</t>
  </si>
  <si>
    <t>TRA.031.M030</t>
  </si>
  <si>
    <t>RSCLER0743</t>
  </si>
  <si>
    <t>JCVACB</t>
  </si>
  <si>
    <t>Rua Thomaz Francisco de Jesus, 442.</t>
  </si>
  <si>
    <t>JCVAA.101.06.03</t>
  </si>
  <si>
    <t xml:space="preserve">COBRAR DENTRO DO NODE JCVACB FASE 2 </t>
  </si>
  <si>
    <t xml:space="preserve">JCVACB FASE 2 </t>
  </si>
  <si>
    <t>RSCLER0748</t>
  </si>
  <si>
    <t>COND. CIDADE JARDIM</t>
  </si>
  <si>
    <t>AV NONOAI 1458</t>
  </si>
  <si>
    <t>NNIAA.041.M010</t>
  </si>
  <si>
    <t>RSCLER0749</t>
  </si>
  <si>
    <t>PAR</t>
  </si>
  <si>
    <t>PAROBÉ</t>
  </si>
  <si>
    <t>RUA GRÉCIA 52</t>
  </si>
  <si>
    <t>PAR.019.M040</t>
  </si>
  <si>
    <t>RODRIGO (MIZA)</t>
  </si>
  <si>
    <t xml:space="preserve">FOI LANÇADO 20 METROS DE CABO DE 24FO, 4 ABERTURA E FECHAMENTO, 1 CX NOVA, 12 FUSÕES, </t>
  </si>
  <si>
    <t>RSCLER0755</t>
  </si>
  <si>
    <t>STR</t>
  </si>
  <si>
    <t xml:space="preserve">AUGUSTO  </t>
  </si>
  <si>
    <t>RSCLER0756</t>
  </si>
  <si>
    <t>VLI</t>
  </si>
  <si>
    <t>RSCLER0759</t>
  </si>
  <si>
    <t>RSCLER0765</t>
  </si>
  <si>
    <t>VIPAPB</t>
  </si>
  <si>
    <t>AV TULIO DE ROSE 500</t>
  </si>
  <si>
    <t>VIPAA.051.M010</t>
  </si>
  <si>
    <t>RSCLER0766</t>
  </si>
  <si>
    <t>RUA JOÃO WALLING, 100 E 144</t>
  </si>
  <si>
    <t>PDRAA.052.M010</t>
  </si>
  <si>
    <t>R MANOEL FORTUNATO DE SOUZA, 40</t>
  </si>
  <si>
    <t>CNT01-M06</t>
  </si>
  <si>
    <t>RSCLER0768</t>
  </si>
  <si>
    <t>TAQUARA</t>
  </si>
  <si>
    <t xml:space="preserve">MAL FLORIANO, 966 </t>
  </si>
  <si>
    <t>006.M010</t>
  </si>
  <si>
    <t>RODRIGO (BUIU)</t>
  </si>
  <si>
    <t>RSCLER0762</t>
  </si>
  <si>
    <t>RSESU05</t>
  </si>
  <si>
    <t>RSCLER0770</t>
  </si>
  <si>
    <t xml:space="preserve">R GETULIO VARGAS - N 719 </t>
  </si>
  <si>
    <t>TRA055M010</t>
  </si>
  <si>
    <t>RSCLER0771</t>
  </si>
  <si>
    <t>AV DA IGREJA 845</t>
  </si>
  <si>
    <t>TRA034M030</t>
  </si>
  <si>
    <t>RSCLER0772</t>
  </si>
  <si>
    <t xml:space="preserve">R JOSE OSORIO CABRAL - N 1160 </t>
  </si>
  <si>
    <t>CLC004-M3</t>
  </si>
  <si>
    <t>RSCLER0773</t>
  </si>
  <si>
    <t>RUA CHILE, 889</t>
  </si>
  <si>
    <t>RSCLER0774</t>
  </si>
  <si>
    <t>CHARQUEADAS</t>
  </si>
  <si>
    <t>AMPLIAÇÕES DE NAPS</t>
  </si>
  <si>
    <t>RSCLER0775</t>
  </si>
  <si>
    <t>RUA CORONEL BORDINI 1644</t>
  </si>
  <si>
    <t>MTSAA.271.M040</t>
  </si>
  <si>
    <t>RSCLER0106</t>
  </si>
  <si>
    <t>VNVAEA</t>
  </si>
  <si>
    <t>LOT. CAVALHADA</t>
  </si>
  <si>
    <t>R. PÉ-DE-DEUS 81 - 136</t>
  </si>
  <si>
    <t>km</t>
  </si>
  <si>
    <t>RSCLER0107</t>
  </si>
  <si>
    <t xml:space="preserve"> Tecnopuc(Volters)</t>
  </si>
  <si>
    <t xml:space="preserve"> Av. Ipiranga, 6681 - Partenon</t>
  </si>
  <si>
    <t>RSCLER0108</t>
  </si>
  <si>
    <t xml:space="preserve">COND. MONTAIN VILLE </t>
  </si>
  <si>
    <t>AVENIDA EDIGAR PIRES DE CASTRO, 540</t>
  </si>
  <si>
    <t>SEM AUTORIZAÇÃO DE ACESSO</t>
  </si>
  <si>
    <t>RSCLER0109</t>
  </si>
  <si>
    <t>COND. RESERVA DO TAIM</t>
  </si>
  <si>
    <t>AVENIDA ECOVILLE, 190</t>
  </si>
  <si>
    <t>PARALISADO</t>
  </si>
  <si>
    <t>OUT</t>
  </si>
  <si>
    <t>EXECUTADO POR OUTRA EMPRETEIRA</t>
  </si>
  <si>
    <t>RSCLER0110</t>
  </si>
  <si>
    <t>COND. EUROVILLE</t>
  </si>
  <si>
    <t>AVENIDA JOÃO SALOMANI, 500</t>
  </si>
  <si>
    <t>RSCLER0111</t>
  </si>
  <si>
    <t>MASTER GERIATRIA</t>
  </si>
  <si>
    <t>RUA SÃO LUIS, 640</t>
  </si>
  <si>
    <t>RSCLER0243</t>
  </si>
  <si>
    <t>AUGUSTO LOUREIRO LIMA, 99,</t>
  </si>
  <si>
    <t>A</t>
  </si>
  <si>
    <t>PARALIZADO PELO APELLANIZ</t>
  </si>
  <si>
    <t>RSCLER0500</t>
  </si>
  <si>
    <t>R. Marechal Deodoro, 220</t>
  </si>
  <si>
    <t>CLC013-M2</t>
  </si>
  <si>
    <t>INSUFICIENCIA DE FIBRA</t>
  </si>
  <si>
    <t>RSCLER0507</t>
  </si>
  <si>
    <t>RSIBD01</t>
  </si>
  <si>
    <t>IMBÉ</t>
  </si>
  <si>
    <t>AV PARAGUASSU, 1760, 1607</t>
  </si>
  <si>
    <t>CNT.026.03.03 - CNT.026.03.01</t>
  </si>
  <si>
    <t>RSCLER0508</t>
  </si>
  <si>
    <t>RUA JORGE SPERB, 129</t>
  </si>
  <si>
    <t>TRA.063.03.01</t>
  </si>
  <si>
    <t>RSCLER0556</t>
  </si>
  <si>
    <t>Parque da Harmonia</t>
  </si>
  <si>
    <t>R. Otávio Francisco Caruso da Rocha,333</t>
  </si>
  <si>
    <t>CNTAB.079</t>
  </si>
  <si>
    <t>VISTORIA</t>
  </si>
  <si>
    <t>RSCLER0605</t>
  </si>
  <si>
    <t>RUA GUARUJA, 300</t>
  </si>
  <si>
    <t>SJOAA.082.M020</t>
  </si>
  <si>
    <t>FOI LANÇADO 985 METROS DE CABO DE 12FO</t>
  </si>
  <si>
    <t>RSCLER0696</t>
  </si>
  <si>
    <t>Instituto Caldeira</t>
  </si>
  <si>
    <t>HMTAA.035.M020</t>
  </si>
  <si>
    <t>RSCLER0712</t>
  </si>
  <si>
    <t>Cond. Alto do Bosque</t>
  </si>
  <si>
    <t>Estrada João de Oliveira Remião, 1770</t>
  </si>
  <si>
    <t>LPRAA.013</t>
  </si>
  <si>
    <t>SEM AUTORIZAÇÃO PARA ENTRAR</t>
  </si>
  <si>
    <t>STATUS CONSTRUÇÃO - PROJETO GPON RESID.</t>
  </si>
  <si>
    <t>RSCLGR0001</t>
  </si>
  <si>
    <t>FRIGELAR</t>
  </si>
  <si>
    <t>RUA 25 DE JULHO, 536</t>
  </si>
  <si>
    <t>CNTAA.081.07.01</t>
  </si>
  <si>
    <t xml:space="preserve">1 ABERTURA E FECHAMENTO, 1 SPLITTER, 1 NAP NOVA, 3 TESTE </t>
  </si>
  <si>
    <t>RSCLGR0002</t>
  </si>
  <si>
    <t>DEVELCONE INFORMATICA LTDA</t>
  </si>
  <si>
    <t>RUA GENERAL ARCY DA ROCHA NOBREGA, 559</t>
  </si>
  <si>
    <t>CENAE.032.M070</t>
  </si>
  <si>
    <t>SIDNEY</t>
  </si>
  <si>
    <t>RSCLGR0003</t>
  </si>
  <si>
    <t>RAIA DROGAIL S.A</t>
  </si>
  <si>
    <t>AV CRISTÓVÃO COLOMBO, 2125</t>
  </si>
  <si>
    <t>FLOAA.041.05.03</t>
  </si>
  <si>
    <t>LUIS SHUCH</t>
  </si>
  <si>
    <t>29/02/2025</t>
  </si>
  <si>
    <t>RSCLGR0004</t>
  </si>
  <si>
    <t>RSCLGR0005</t>
  </si>
  <si>
    <t>RSCLGR0006</t>
  </si>
  <si>
    <t>RSCLGR0007</t>
  </si>
  <si>
    <t>RSCLGR0008</t>
  </si>
  <si>
    <t>RSCLGR0009</t>
  </si>
  <si>
    <t>RSCLGR0010</t>
  </si>
  <si>
    <t>RSCLGR0011</t>
  </si>
  <si>
    <t>RSCLGR0012</t>
  </si>
  <si>
    <t>RSCLGR0013</t>
  </si>
  <si>
    <t>RSCLGR0014</t>
  </si>
  <si>
    <t>RSCLGR0015</t>
  </si>
  <si>
    <t>RSCLGR0016</t>
  </si>
  <si>
    <t>RSCLGR0017</t>
  </si>
  <si>
    <t>RSCLGR0018</t>
  </si>
  <si>
    <t>RSCLGR0019</t>
  </si>
  <si>
    <t>RSCLGR0020</t>
  </si>
  <si>
    <t>RSCLGR0021</t>
  </si>
  <si>
    <t>RSCLGR0022</t>
  </si>
  <si>
    <t>RSCLGR0023</t>
  </si>
  <si>
    <t>RSCLGR0024</t>
  </si>
  <si>
    <t>RSCLGR0025</t>
  </si>
  <si>
    <t>RSCLGR0026</t>
  </si>
  <si>
    <t>RSCLGR0027</t>
  </si>
  <si>
    <t>RSCLGR0028</t>
  </si>
  <si>
    <t>RSCLGR0029</t>
  </si>
  <si>
    <t>RSCLGR0030</t>
  </si>
  <si>
    <t>RSCLGR0031</t>
  </si>
  <si>
    <t>RSCLGR0032</t>
  </si>
  <si>
    <t>RSCLGR0033</t>
  </si>
  <si>
    <t>RSCLGR0034</t>
  </si>
  <si>
    <t>RSCLGR0035</t>
  </si>
  <si>
    <t>RSCLGR0036</t>
  </si>
  <si>
    <t>RSCLGR0037</t>
  </si>
  <si>
    <t>RSCLGR0038</t>
  </si>
  <si>
    <t>RSCLGR0039</t>
  </si>
  <si>
    <t>RSCLGR0040</t>
  </si>
  <si>
    <t>RSCLGR0041</t>
  </si>
  <si>
    <t>RSCLGR0042</t>
  </si>
  <si>
    <t>RSCLGR0043</t>
  </si>
  <si>
    <t>RSCLGR0044</t>
  </si>
  <si>
    <t>RSCLGR0045</t>
  </si>
  <si>
    <t>RSCLGR0046</t>
  </si>
  <si>
    <t>RSCLGR0047</t>
  </si>
  <si>
    <t>RSCLGR0048</t>
  </si>
  <si>
    <t>RSCLGR0049</t>
  </si>
  <si>
    <t>RSCLGR0050</t>
  </si>
  <si>
    <t>RSCLGR0051</t>
  </si>
  <si>
    <t>RSCLGR0052</t>
  </si>
  <si>
    <t>RSCLGR0053</t>
  </si>
  <si>
    <t>RSCLGR0054</t>
  </si>
  <si>
    <t>RSCLGR0055</t>
  </si>
  <si>
    <t>RSCLGR0056</t>
  </si>
  <si>
    <t>RSCLGR0057</t>
  </si>
  <si>
    <t>RSCLGR0058</t>
  </si>
  <si>
    <t>RSCLGR0059</t>
  </si>
  <si>
    <t>RSCLGR0060</t>
  </si>
  <si>
    <t>RSCLGR0061</t>
  </si>
  <si>
    <t>RSCLGR0062</t>
  </si>
  <si>
    <t>RSCLGR0063</t>
  </si>
  <si>
    <t>RSCLGR0064</t>
  </si>
  <si>
    <t>RSCLGR0065</t>
  </si>
  <si>
    <t>RSCLGR0066</t>
  </si>
  <si>
    <t>RSCLGR0067</t>
  </si>
  <si>
    <t>RSCLGR0068</t>
  </si>
  <si>
    <t>RSCLGR0069</t>
  </si>
  <si>
    <t>RSCLGR0070</t>
  </si>
  <si>
    <t>RSCLGR0071</t>
  </si>
  <si>
    <t>RSCLGR0072</t>
  </si>
  <si>
    <t>RSCLGR0073</t>
  </si>
  <si>
    <t>RSCLGR0074</t>
  </si>
  <si>
    <t>RSCLGR0075</t>
  </si>
  <si>
    <t>RSCLGR0076</t>
  </si>
  <si>
    <t>RSCLGR0077</t>
  </si>
  <si>
    <t>RSCLGR0078</t>
  </si>
  <si>
    <t>RSCLGR0079</t>
  </si>
  <si>
    <t>RSCLGR0080</t>
  </si>
  <si>
    <t>RSCLGR0081</t>
  </si>
  <si>
    <t>RSCLGR0082</t>
  </si>
  <si>
    <t>RSCLGR0083</t>
  </si>
  <si>
    <t>RSCLGR0084</t>
  </si>
  <si>
    <t>RSCLGR0085</t>
  </si>
  <si>
    <t>RSCLGR0086</t>
  </si>
  <si>
    <t>RSCLGR0087</t>
  </si>
  <si>
    <t>RSCLGR0088</t>
  </si>
  <si>
    <t>RSCLGR0089</t>
  </si>
  <si>
    <t>RSCLGR0090</t>
  </si>
  <si>
    <t>RSCLGR0091</t>
  </si>
  <si>
    <t>RSCLGR0092</t>
  </si>
  <si>
    <t>RSCLGR0093</t>
  </si>
  <si>
    <t>RSCLGR0094</t>
  </si>
  <si>
    <t>RSCLGR0095</t>
  </si>
  <si>
    <t>RSCLGR0096</t>
  </si>
  <si>
    <t>RSCLGR0097</t>
  </si>
  <si>
    <t>RSCLGR0098</t>
  </si>
  <si>
    <t>RSCLGR0099</t>
  </si>
  <si>
    <t>RSCLGR0100</t>
  </si>
  <si>
    <t>RSCLGR0101</t>
  </si>
  <si>
    <t>RSCLGR0102</t>
  </si>
  <si>
    <t>RSCLGR0103</t>
  </si>
  <si>
    <t>RSCLGR0104</t>
  </si>
  <si>
    <t>RSCLGR0105</t>
  </si>
  <si>
    <t>RSCLGR0106</t>
  </si>
  <si>
    <t>RSCLGR0107</t>
  </si>
  <si>
    <t>RSCLGR0108</t>
  </si>
  <si>
    <t>RSCLGR0109</t>
  </si>
  <si>
    <t>RSCLGR0110</t>
  </si>
  <si>
    <t>RSCLGR0111</t>
  </si>
  <si>
    <t>RSCLGR0112</t>
  </si>
  <si>
    <t>RSCLGR0113</t>
  </si>
  <si>
    <t>RSCLGR0114</t>
  </si>
  <si>
    <t>RSCLGR0115</t>
  </si>
  <si>
    <t>RSCLGR0116</t>
  </si>
  <si>
    <t>RSCLGR0117</t>
  </si>
  <si>
    <t>RSCLGR0118</t>
  </si>
  <si>
    <t>RSCLGR0119</t>
  </si>
  <si>
    <t>RSCLGR0120</t>
  </si>
  <si>
    <t>RSCLGR0121</t>
  </si>
  <si>
    <t>RSCLGR0122</t>
  </si>
  <si>
    <t>RSCLGR0123</t>
  </si>
  <si>
    <t>RSCLGR0124</t>
  </si>
  <si>
    <t>RSCLGR0125</t>
  </si>
  <si>
    <t>RSCLGR0126</t>
  </si>
  <si>
    <t>RSCLGR0127</t>
  </si>
  <si>
    <t>RSCLGR0128</t>
  </si>
  <si>
    <t>RSCLGR0129</t>
  </si>
  <si>
    <t>RSCLGR0130</t>
  </si>
  <si>
    <t>RSCLGR0131</t>
  </si>
  <si>
    <t>RSCLGR0132</t>
  </si>
  <si>
    <t>RSCLGR0133</t>
  </si>
  <si>
    <t>RSCLGR0134</t>
  </si>
  <si>
    <t>RSCLGR0135</t>
  </si>
  <si>
    <t>RSCLGR0136</t>
  </si>
  <si>
    <t>RSCLGR0137</t>
  </si>
  <si>
    <t>RSCLGR0138</t>
  </si>
  <si>
    <t>RSCLGR0139</t>
  </si>
  <si>
    <t>RSCLGR0140</t>
  </si>
  <si>
    <t>RSCLGR0141</t>
  </si>
  <si>
    <t>RSCLGR0142</t>
  </si>
  <si>
    <t>RSCLGR0143</t>
  </si>
  <si>
    <t>RSCLGR0144</t>
  </si>
  <si>
    <t>RSCLGR0145</t>
  </si>
  <si>
    <t>RSCLGR0146</t>
  </si>
  <si>
    <t>RSCLGR0147</t>
  </si>
  <si>
    <t>RSCLGR0148</t>
  </si>
  <si>
    <t>RSCLGR0149</t>
  </si>
  <si>
    <t>RSCLGR0150</t>
  </si>
  <si>
    <t>RSCLGR0151</t>
  </si>
  <si>
    <t>RSCLGR0152</t>
  </si>
  <si>
    <t>RSCLGR0153</t>
  </si>
  <si>
    <t>RSCLGR0154</t>
  </si>
  <si>
    <t>RSCLGR0155</t>
  </si>
  <si>
    <t>RSCLGR0156</t>
  </si>
  <si>
    <t>RSCLGR0157</t>
  </si>
  <si>
    <t>RSCLGR0158</t>
  </si>
  <si>
    <t>RSCLGR0159</t>
  </si>
  <si>
    <t>RSCLGR0160</t>
  </si>
  <si>
    <t>RSCLGR0161</t>
  </si>
  <si>
    <t>RSCLGR0162</t>
  </si>
  <si>
    <t>RSCLGR0163</t>
  </si>
  <si>
    <t>RSCLGR0164</t>
  </si>
  <si>
    <t>RSCLGR0165</t>
  </si>
  <si>
    <t>RSCLGR0166</t>
  </si>
  <si>
    <t>RSCLGR0167</t>
  </si>
  <si>
    <t>RSCLGR0168</t>
  </si>
  <si>
    <t>RSCLGR0169</t>
  </si>
  <si>
    <t>RSCLGR0170</t>
  </si>
  <si>
    <t>RSCLGR0171</t>
  </si>
  <si>
    <t>RSCLGR0172</t>
  </si>
  <si>
    <t>RSCLGR0173</t>
  </si>
  <si>
    <t>RSCLGR0174</t>
  </si>
  <si>
    <t>RSCLGR0175</t>
  </si>
  <si>
    <t>RSCLGR0176</t>
  </si>
  <si>
    <t>RSCLGR0177</t>
  </si>
  <si>
    <t>RSCLGR0178</t>
  </si>
  <si>
    <t>RSCLGR0179</t>
  </si>
  <si>
    <t>RSCLGR0180</t>
  </si>
  <si>
    <t>RSCLGR0181</t>
  </si>
  <si>
    <t>RSCLGR0182</t>
  </si>
  <si>
    <t>RSCLGR0183</t>
  </si>
  <si>
    <t>RSCLGR0184</t>
  </si>
  <si>
    <t>RSCLGR0185</t>
  </si>
  <si>
    <t>RSCLGR0186</t>
  </si>
  <si>
    <t>RSCLGR0187</t>
  </si>
  <si>
    <t>RSCLGR0188</t>
  </si>
  <si>
    <t>RSCLGR0189</t>
  </si>
  <si>
    <t>RSCLGR0190</t>
  </si>
  <si>
    <t>RSCLGR0191</t>
  </si>
  <si>
    <t>RSCLGR0192</t>
  </si>
  <si>
    <t>RSCLGR0193</t>
  </si>
  <si>
    <t>RSCLGR0194</t>
  </si>
  <si>
    <t>RSCLGR0195</t>
  </si>
  <si>
    <t>RSCLGR0196</t>
  </si>
  <si>
    <t>RSCLGR0197</t>
  </si>
  <si>
    <t>RSCLGR0198</t>
  </si>
  <si>
    <t>RSCLGR0199</t>
  </si>
  <si>
    <t>RSCLGR0200</t>
  </si>
  <si>
    <t>RSCLGR0201</t>
  </si>
  <si>
    <t>RSCLGR0202</t>
  </si>
  <si>
    <t>RSCLGR0203</t>
  </si>
  <si>
    <t>RSCLGR0204</t>
  </si>
  <si>
    <t>RSCLGR0205</t>
  </si>
  <si>
    <t>RSCLGR0206</t>
  </si>
  <si>
    <t>RSCLGR0207</t>
  </si>
  <si>
    <t>RSCLGR0208</t>
  </si>
  <si>
    <t>RSCLGR0209</t>
  </si>
  <si>
    <t>RSCLGR0210</t>
  </si>
  <si>
    <t>RSCLGR0211</t>
  </si>
  <si>
    <t>RSCLGR0212</t>
  </si>
  <si>
    <t>RSCLGR0213</t>
  </si>
  <si>
    <t>RSCLGR0214</t>
  </si>
  <si>
    <t>RSCLGR0215</t>
  </si>
  <si>
    <t>RSCLGR0216</t>
  </si>
  <si>
    <t>RSCLGR0217</t>
  </si>
  <si>
    <t>RSCLGR0218</t>
  </si>
  <si>
    <t>RSCLGR0219</t>
  </si>
  <si>
    <t>RSCLGR0220</t>
  </si>
  <si>
    <t>RSCLGR0221</t>
  </si>
  <si>
    <t>RSCLGR0222</t>
  </si>
  <si>
    <t>RSCLGR0223</t>
  </si>
  <si>
    <t>RSCLGR0224</t>
  </si>
  <si>
    <t>RSCLGR0225</t>
  </si>
  <si>
    <t>RSCLGR0226</t>
  </si>
  <si>
    <t>RSCLGR0227</t>
  </si>
  <si>
    <t>RSCLGR0228</t>
  </si>
  <si>
    <t>RSCLGR0229</t>
  </si>
  <si>
    <t>RSCLGR0230</t>
  </si>
  <si>
    <t>RSCLGR0231</t>
  </si>
  <si>
    <t>RSCLGR0232</t>
  </si>
  <si>
    <t>RSCLGR0233</t>
  </si>
  <si>
    <t>RSCLGR0234</t>
  </si>
  <si>
    <t>RSCLGR0235</t>
  </si>
  <si>
    <t>RSCLGR0236</t>
  </si>
  <si>
    <t>RSCLGR0237</t>
  </si>
  <si>
    <t>RSCLGR0238</t>
  </si>
  <si>
    <t>RSCLGR0239</t>
  </si>
  <si>
    <t>RSCLGR0240</t>
  </si>
  <si>
    <t>RSCLGR0241</t>
  </si>
  <si>
    <t>RSCLGR0242</t>
  </si>
  <si>
    <t>RSCLGR0243</t>
  </si>
  <si>
    <t>RSCLGR0244</t>
  </si>
  <si>
    <t>RSCLGR0245</t>
  </si>
  <si>
    <t>RSCLGR0246</t>
  </si>
  <si>
    <t>RSCLGR0247</t>
  </si>
  <si>
    <t>RSCLGR0248</t>
  </si>
  <si>
    <t>RSCLGR0249</t>
  </si>
  <si>
    <t>RSCLGR0250</t>
  </si>
  <si>
    <t>RSCLGR0251</t>
  </si>
  <si>
    <t>RSCLGR0252</t>
  </si>
  <si>
    <t>RSCLGR0253</t>
  </si>
  <si>
    <t>RSCLGR0254</t>
  </si>
  <si>
    <t>RSCLGR0255</t>
  </si>
  <si>
    <t>RSCLGR0256</t>
  </si>
  <si>
    <t>RSCLGR0257</t>
  </si>
  <si>
    <t>RSCLGR0258</t>
  </si>
  <si>
    <t>RSCLGR0259</t>
  </si>
  <si>
    <t>RSCLGR0260</t>
  </si>
  <si>
    <t>RSCLGR0261</t>
  </si>
  <si>
    <t>RSCLGR0262</t>
  </si>
  <si>
    <t>RSCLGR0263</t>
  </si>
  <si>
    <t>RSCLGR0264</t>
  </si>
  <si>
    <t>RSCLGR0265</t>
  </si>
  <si>
    <t>RSCLGR0266</t>
  </si>
  <si>
    <t>RSCLGR0267</t>
  </si>
  <si>
    <t>RSCLGR0268</t>
  </si>
  <si>
    <t>RSCLGR0269</t>
  </si>
  <si>
    <t>RSCLGR0270</t>
  </si>
  <si>
    <t>RSCLGR0271</t>
  </si>
  <si>
    <t>RSCLGR0272</t>
  </si>
  <si>
    <t>RSCLGR0273</t>
  </si>
  <si>
    <t>RSCLGR0274</t>
  </si>
  <si>
    <t>RSCLGR0275</t>
  </si>
  <si>
    <t>RSCLGR0276</t>
  </si>
  <si>
    <t>RSCLGR0277</t>
  </si>
  <si>
    <t>RSCLGR0278</t>
  </si>
  <si>
    <t>RSCLGR0279</t>
  </si>
  <si>
    <t>RSCLGR0280</t>
  </si>
  <si>
    <t>RSCLGR0281</t>
  </si>
  <si>
    <t>RSCLGR0282</t>
  </si>
  <si>
    <t>RSCLGR0283</t>
  </si>
  <si>
    <t>RSCLGR0284</t>
  </si>
  <si>
    <t>RSCLGR0285</t>
  </si>
  <si>
    <t>RSCLGR0286</t>
  </si>
  <si>
    <t>RSCLGR0287</t>
  </si>
  <si>
    <t>RSCLGR0288</t>
  </si>
  <si>
    <t>RSCLGR0289</t>
  </si>
  <si>
    <t>RSCLGR0290</t>
  </si>
  <si>
    <t>RSCLGR0291</t>
  </si>
  <si>
    <t>RSCLGR0292</t>
  </si>
  <si>
    <t>RSCLGR0293</t>
  </si>
  <si>
    <t>RSCLGR0294</t>
  </si>
  <si>
    <t>RSCLGR0295</t>
  </si>
  <si>
    <t>RSCLGR0296</t>
  </si>
  <si>
    <t>RSCLGR0297</t>
  </si>
  <si>
    <t>RSCLGR0298</t>
  </si>
  <si>
    <t>RSCLGR0299</t>
  </si>
  <si>
    <t>RSCLGR0300</t>
  </si>
  <si>
    <t>RSCLGR0301</t>
  </si>
  <si>
    <t>RSCLGR0302</t>
  </si>
  <si>
    <t>RSCLGR0303</t>
  </si>
  <si>
    <t>RSCLGR0304</t>
  </si>
  <si>
    <t>RSCLGR0305</t>
  </si>
  <si>
    <t>RSCLGR0306</t>
  </si>
  <si>
    <t>RSCLGR0307</t>
  </si>
  <si>
    <t>RSCLGR0308</t>
  </si>
  <si>
    <t>RSCLGR0309</t>
  </si>
  <si>
    <t>RSCLGR0310</t>
  </si>
  <si>
    <t>RSCLGR0311</t>
  </si>
  <si>
    <t>RSCLGR0312</t>
  </si>
  <si>
    <t>RSCLGR0313</t>
  </si>
  <si>
    <t>RSCLGR0314</t>
  </si>
  <si>
    <t>RSCLGR0315</t>
  </si>
  <si>
    <t>RSCLGR0316</t>
  </si>
  <si>
    <t>RSCLGR0317</t>
  </si>
  <si>
    <t>RSCLGR0318</t>
  </si>
  <si>
    <t>RSCLGR0319</t>
  </si>
  <si>
    <t>RSCLGR0320</t>
  </si>
  <si>
    <t>RSCLGR0321</t>
  </si>
  <si>
    <t>RSCLGR0322</t>
  </si>
  <si>
    <t>RSCLGR0323</t>
  </si>
  <si>
    <t>RSCLGR0324</t>
  </si>
  <si>
    <t>RSCLGR0325</t>
  </si>
  <si>
    <t>RSCLGR0326</t>
  </si>
  <si>
    <t>RSCLGR0327</t>
  </si>
  <si>
    <t>RSCLGR0328</t>
  </si>
  <si>
    <t>RSCLGR0329</t>
  </si>
  <si>
    <t>RSCLGR0330</t>
  </si>
  <si>
    <t>RSCLGR0331</t>
  </si>
  <si>
    <t>RSCLGR0332</t>
  </si>
  <si>
    <t>RSCLGR0333</t>
  </si>
  <si>
    <t>RSCLGR0334</t>
  </si>
  <si>
    <t>RSCLGR0335</t>
  </si>
  <si>
    <t>RSCLGR0336</t>
  </si>
  <si>
    <t>RSCLGR0337</t>
  </si>
  <si>
    <t>RSCLGR0338</t>
  </si>
  <si>
    <t>RSCLGR0339</t>
  </si>
  <si>
    <t>RSCLGR0340</t>
  </si>
  <si>
    <t>RSCLGR0341</t>
  </si>
  <si>
    <t>RSCLGR0342</t>
  </si>
  <si>
    <t>RSCLGR0343</t>
  </si>
  <si>
    <t>RSCLGR0344</t>
  </si>
  <si>
    <t>RSCLGR0345</t>
  </si>
  <si>
    <t>RSCLGR0346</t>
  </si>
  <si>
    <t>RSCLGR0347</t>
  </si>
  <si>
    <t>RSCLGR0348</t>
  </si>
  <si>
    <t>RSCLGR0349</t>
  </si>
  <si>
    <t>RSCLGR0350</t>
  </si>
  <si>
    <t>RSCLGR0351</t>
  </si>
  <si>
    <t>RSCLGR0352</t>
  </si>
  <si>
    <t>RSCLGR0353</t>
  </si>
  <si>
    <t>RSCLGR0354</t>
  </si>
  <si>
    <t>RSCLGR0355</t>
  </si>
  <si>
    <t>RSCLGR0356</t>
  </si>
  <si>
    <t>RSCLGR0357</t>
  </si>
  <si>
    <t>RSCLGR0358</t>
  </si>
  <si>
    <t>RSCLGR0359</t>
  </si>
  <si>
    <t>RSCLGR0360</t>
  </si>
  <si>
    <t>RSCLGR0361</t>
  </si>
  <si>
    <t>RSCLGR0362</t>
  </si>
  <si>
    <t>RSCLGR0363</t>
  </si>
  <si>
    <t>RSCLGR0364</t>
  </si>
  <si>
    <t>RSCLGR0365</t>
  </si>
  <si>
    <t>RSCLGR0366</t>
  </si>
  <si>
    <t>RSCLGR0367</t>
  </si>
  <si>
    <t>RSCLGR0368</t>
  </si>
  <si>
    <t>RSCLGR0369</t>
  </si>
  <si>
    <t>RSCLGR0370</t>
  </si>
  <si>
    <t>RSCLGR0371</t>
  </si>
  <si>
    <t>RSCLGR0372</t>
  </si>
  <si>
    <t>RSCLGR0373</t>
  </si>
  <si>
    <t>RSCLGR0374</t>
  </si>
  <si>
    <t>RSCLGR0375</t>
  </si>
  <si>
    <t>RSCLGR0376</t>
  </si>
  <si>
    <t>RSCLGR0377</t>
  </si>
  <si>
    <t>RSCLGR0378</t>
  </si>
  <si>
    <t>RSCLGR0379</t>
  </si>
  <si>
    <t>RSCLGR0380</t>
  </si>
  <si>
    <t>RSCLGR0381</t>
  </si>
  <si>
    <t>RSCLGR0382</t>
  </si>
  <si>
    <t>RSCLGR0383</t>
  </si>
  <si>
    <t>RSCLGR0384</t>
  </si>
  <si>
    <t>RSCLGR0385</t>
  </si>
  <si>
    <t>RSCLGR0386</t>
  </si>
  <si>
    <t>RSCLGR0387</t>
  </si>
  <si>
    <t>RSCLGR0388</t>
  </si>
  <si>
    <t>RSCLGR0389</t>
  </si>
  <si>
    <t>RSCLGR0390</t>
  </si>
  <si>
    <t>RSCLGR0391</t>
  </si>
  <si>
    <t>RSCLGR0392</t>
  </si>
  <si>
    <t>RSCLGR0393</t>
  </si>
  <si>
    <t>RSCLGR0394</t>
  </si>
  <si>
    <t>RSCLGR0395</t>
  </si>
  <si>
    <t>RSCLGR0396</t>
  </si>
  <si>
    <t>RSCLGR0397</t>
  </si>
  <si>
    <t>RSCLGR0398</t>
  </si>
  <si>
    <t>RSCLGR0399</t>
  </si>
  <si>
    <t>RSCLGR0400</t>
  </si>
  <si>
    <t>RSCLGR0401</t>
  </si>
  <si>
    <t>RSCLGR0402</t>
  </si>
  <si>
    <t>RSCLGR0403</t>
  </si>
  <si>
    <t>RSCLGR0404</t>
  </si>
  <si>
    <t>RSCLGR0405</t>
  </si>
  <si>
    <t>RSCLGR0406</t>
  </si>
  <si>
    <t>RSCLGR0407</t>
  </si>
  <si>
    <t>RSCLGR0408</t>
  </si>
  <si>
    <t>RSCLGR0409</t>
  </si>
  <si>
    <t>RSCLGR0410</t>
  </si>
  <si>
    <t>RSCLGR0411</t>
  </si>
  <si>
    <t>RSCLGR0412</t>
  </si>
  <si>
    <t>RSCLGR0413</t>
  </si>
  <si>
    <t>RSCLGR0414</t>
  </si>
  <si>
    <t>RSCLGR0415</t>
  </si>
  <si>
    <t>RSCLGR0416</t>
  </si>
  <si>
    <t>RSCLGR0417</t>
  </si>
  <si>
    <t>RSCLGR0418</t>
  </si>
  <si>
    <t>RSCLGR0419</t>
  </si>
  <si>
    <t>RSCLGR0420</t>
  </si>
  <si>
    <t>RSCLGR0421</t>
  </si>
  <si>
    <t>RSCLGR0422</t>
  </si>
  <si>
    <t>RSCLGR0423</t>
  </si>
  <si>
    <t>RSCLGR0424</t>
  </si>
  <si>
    <t>RSCLGR0425</t>
  </si>
  <si>
    <t>RSCLGR0426</t>
  </si>
  <si>
    <t>RSCLGR0427</t>
  </si>
  <si>
    <t>RSCLGR0428</t>
  </si>
  <si>
    <t>RSCLGR0429</t>
  </si>
  <si>
    <t>RSCLGR0430</t>
  </si>
  <si>
    <t>RSCLGR0431</t>
  </si>
  <si>
    <t>RSCLGR0432</t>
  </si>
  <si>
    <t>RSCLGR0433</t>
  </si>
  <si>
    <t>RSCLGR0434</t>
  </si>
  <si>
    <t>RSCLGR0435</t>
  </si>
  <si>
    <t>RSCLGR0436</t>
  </si>
  <si>
    <t>RSCLGR0437</t>
  </si>
  <si>
    <t>RSCLGR0438</t>
  </si>
  <si>
    <t>RSCLGR0439</t>
  </si>
  <si>
    <t>RSCLGR0440</t>
  </si>
  <si>
    <t>RSCLGR0441</t>
  </si>
  <si>
    <t>RSCLGR0442</t>
  </si>
  <si>
    <t>RSCLGR0443</t>
  </si>
  <si>
    <t>RSCLGR0444</t>
  </si>
  <si>
    <t>RSCLGR0445</t>
  </si>
  <si>
    <t>RSCLGR0446</t>
  </si>
  <si>
    <t>RSCLGR0447</t>
  </si>
  <si>
    <t>RSCLGR0448</t>
  </si>
  <si>
    <t>RSCLGR0449</t>
  </si>
  <si>
    <t>RSCLGR0450</t>
  </si>
  <si>
    <t>RSCLGR0451</t>
  </si>
  <si>
    <t>RSCLGR0452</t>
  </si>
  <si>
    <t>RSCLGR0453</t>
  </si>
  <si>
    <t>RSCLGR0454</t>
  </si>
  <si>
    <t>RSCLGR0455</t>
  </si>
  <si>
    <t>RSCLGR0456</t>
  </si>
  <si>
    <t>RSCLGR0457</t>
  </si>
  <si>
    <t>RSCLGR0458</t>
  </si>
  <si>
    <t>RSCLGR0459</t>
  </si>
  <si>
    <t>RSCLGR0460</t>
  </si>
  <si>
    <t>RSCLGR0461</t>
  </si>
  <si>
    <t>RSCLGR0462</t>
  </si>
  <si>
    <t>RSCLGR0463</t>
  </si>
  <si>
    <t>RSCLGR0464</t>
  </si>
  <si>
    <t>RSCLGR0465</t>
  </si>
  <si>
    <t>RSCLGR0466</t>
  </si>
  <si>
    <t>RSCLGR0467</t>
  </si>
  <si>
    <t>RSCLGR0468</t>
  </si>
  <si>
    <t>RSCLGR0469</t>
  </si>
  <si>
    <t>RSCLGR0470</t>
  </si>
  <si>
    <t>RSCLGR0471</t>
  </si>
  <si>
    <t>RSCLGR0472</t>
  </si>
  <si>
    <t>RSCLGR0473</t>
  </si>
  <si>
    <t>RSCLGR0474</t>
  </si>
  <si>
    <t>RSCLGR0475</t>
  </si>
  <si>
    <t>RSCLGR0476</t>
  </si>
  <si>
    <t>RSCLGR0477</t>
  </si>
  <si>
    <t>RSCLGR0478</t>
  </si>
  <si>
    <t>RSCLGR0479</t>
  </si>
  <si>
    <t>RSCLGR0480</t>
  </si>
  <si>
    <t>RSCLGR0481</t>
  </si>
  <si>
    <t>RSCLGR0482</t>
  </si>
  <si>
    <t>RSCLGR0483</t>
  </si>
  <si>
    <t>RSCLGR0484</t>
  </si>
  <si>
    <t>RSCLGR0485</t>
  </si>
  <si>
    <t>STATUS CONSTRUÇÃO - PROJETO AMPLIAÇÃO MDU - CORREIOS</t>
  </si>
  <si>
    <t>AGÊNCIA</t>
  </si>
  <si>
    <t>RSCLCR0003</t>
  </si>
  <si>
    <t>AC PARQUE SARANDI</t>
  </si>
  <si>
    <t>AVENIDA VINTE E UM DE ABRIL, 41</t>
  </si>
  <si>
    <t>FINALIZADO</t>
  </si>
  <si>
    <t>FLAVIO</t>
  </si>
  <si>
    <t>7 ABERTURA E FECHAMENTO, 1 NAP NOVA, I DERIVAÇÃO, 8 FUSÃO, 1 TESTE</t>
  </si>
  <si>
    <t>CONST 800m FO Rede GPON (SDRAA082.01.01) DEIXAR RESERVA PARA INSTALAÇÃO FUTURA DA NAP NA ENTRADA DO PRÉDIO</t>
  </si>
  <si>
    <t>RSCLCR0004</t>
  </si>
  <si>
    <t>AC VILA JARDIM</t>
  </si>
  <si>
    <t>AVENIDA PROTASIO ALVES, 5718</t>
  </si>
  <si>
    <t>4 ABERTURA E FECHAMENTO, 6 FUSÃO, 1 DERIVAÇÃO, 1 CTO NOVA, 1 TESTE</t>
  </si>
  <si>
    <t>CONST 400m FO Rede GPON (BMJAA046.04.01) DEIXAR RESERVA PARA INSTALAÇÃO FUTURA DA NAP NA ENTRADA DO PRÉDIO</t>
  </si>
  <si>
    <t>RSCLCR0001</t>
  </si>
  <si>
    <t>AC FORO CENTRAL</t>
  </si>
  <si>
    <t>RUA MANOELITO DE ORNELLAS, 50</t>
  </si>
  <si>
    <t>2 ABERTURA E FECHAMENTO, 2 FUSÃO, 1 NAP NOVA, 1 DERIVAÇÃO, 1 TESTE</t>
  </si>
  <si>
    <t>CONST 400m FO Rede GPON (MNDAB 102 M020) DEIXAR RESERVA PARA INSTALAÇÃO FUTURA DA NAP NA ENTRADA DO PRÉDIO</t>
  </si>
  <si>
    <t>RSCLCR0009</t>
  </si>
  <si>
    <t>SUBS PORTO ALEGRE</t>
  </si>
  <si>
    <t>AVENIDA SERTÓRIO, 4222</t>
  </si>
  <si>
    <t>CONST 800m FO Rede GPON (SPEAA 058.03.04) DEIXAR RESERVA PARA INSTALAÇÃO DA NAP FUTURA NA ENTRADA DO PRÉDIO</t>
  </si>
  <si>
    <t>RSCLCR0006</t>
  </si>
  <si>
    <t>CDD VILA JARDIM</t>
  </si>
  <si>
    <t>AVENIDA SATURINO DE BRITO, 46</t>
  </si>
  <si>
    <t>SERÁ ABORDADA PELA AC VILA JARDIM</t>
  </si>
  <si>
    <t>RSCLCR0002</t>
  </si>
  <si>
    <t>AC IPANEMA</t>
  </si>
  <si>
    <t>AVENIDA EDUARDO PRADO, 2165</t>
  </si>
  <si>
    <t>124 + 196</t>
  </si>
  <si>
    <t>MALCOLN / UBIRATAN</t>
  </si>
  <si>
    <t>5 ABERTURA E FECHAMENTO,3 DERIVAÇÃO, 1 NAP NOVA, 1 TESTE, 5 FUSÃO</t>
  </si>
  <si>
    <t>CONST 400m FO Rede GPON (TRZAB 081 M050) DEIXAR RESERVA PARA INSTALAÇÃO FUTURA DA NAP NA ENTRADA DO PRÉDIO</t>
  </si>
  <si>
    <t>RSCLCR0007</t>
  </si>
  <si>
    <t>CEE NORTE</t>
  </si>
  <si>
    <t>TRAVESSA DOUTOR HEINZELMANN, 489</t>
  </si>
  <si>
    <t>510 + 99</t>
  </si>
  <si>
    <t>FLAVIO / GIOVANE</t>
  </si>
  <si>
    <t>1 ABERTURA E FECHAMENTO, 1 FUSÃO, 1 DERIVAÇÃO, 1 TESTE, 1 NAP NOVA</t>
  </si>
  <si>
    <t>CONST 400m FO Rede GPON (HMTAA 035.02.01) DEIXAR RESERVA PARA INSTALAÇÃO FUTURA DA NAP NA ENTRADA DO PRÉDIO</t>
  </si>
  <si>
    <t>RSCLCR0005</t>
  </si>
  <si>
    <t>CDD ANTONIO DE CARVALHO</t>
  </si>
  <si>
    <t>AV BENTO GONÇALVES, 6613</t>
  </si>
  <si>
    <t>5 ABERTURA E FECHAMENTO, 6 FUSÃO, 1 DERIVAÇÃO, 1 NAP NOVA, 1 TESTE</t>
  </si>
  <si>
    <t>CONST 400m FO Rede GPON (PRTAA 041.M010) DEIXAR RESERVA PARA INSTALAÇÃO FUTURA DA NAP NA ENTRADA DO PRÉDIO</t>
  </si>
  <si>
    <t>RSCLCR0008</t>
  </si>
  <si>
    <t>CLI PORTO ALEGRE</t>
  </si>
  <si>
    <t>RUA FREDERICO MENTZ, 349</t>
  </si>
  <si>
    <t>CONST 800m FO Rede GPON (HMTAA 022.02.04) DEIXAR RESERVA PARA INSTALAÇÃO FUTURA DA NAP NA ENTRADA DO PRÉDIO</t>
  </si>
  <si>
    <t>RSCLCR0010</t>
  </si>
  <si>
    <t>RSGTI01</t>
  </si>
  <si>
    <t>RUA SANTA CLARA, 281</t>
  </si>
  <si>
    <t>FINNALIZADO</t>
  </si>
  <si>
    <t>LAMBRETA</t>
  </si>
  <si>
    <t>RSCLCR0011</t>
  </si>
  <si>
    <t>RSCLCR0012</t>
  </si>
  <si>
    <t>RSCLCR0013</t>
  </si>
  <si>
    <t>RSCLCR0014</t>
  </si>
  <si>
    <t>RSCLCR0015</t>
  </si>
  <si>
    <t>RSCLCR0016</t>
  </si>
  <si>
    <t>RSCLCR0017</t>
  </si>
  <si>
    <t>RSCLCR0018</t>
  </si>
  <si>
    <t>RSCLCR0019</t>
  </si>
  <si>
    <t>RSCLCR0020</t>
  </si>
  <si>
    <t>RSCLCR0021</t>
  </si>
  <si>
    <t>RSCLCR0022</t>
  </si>
  <si>
    <t>RSCLCR0023</t>
  </si>
  <si>
    <t>RSCLCR0024</t>
  </si>
  <si>
    <t>RSCLCR0025</t>
  </si>
  <si>
    <t>RSCLCR0026</t>
  </si>
  <si>
    <t>RSCLCR0027</t>
  </si>
  <si>
    <t>RSCLCR0028</t>
  </si>
  <si>
    <t>RSCLCR0029</t>
  </si>
  <si>
    <t>RSCLCR0030</t>
  </si>
  <si>
    <t>RSCLCR0031</t>
  </si>
  <si>
    <t>RSCLCR0032</t>
  </si>
  <si>
    <t>RSCLCR0033</t>
  </si>
  <si>
    <t>RSCLCR0034</t>
  </si>
  <si>
    <t>RSCLCR0035</t>
  </si>
  <si>
    <t>RSCLCR0036</t>
  </si>
  <si>
    <t>RSCLCR0037</t>
  </si>
  <si>
    <t>RSCLCR0038</t>
  </si>
  <si>
    <t>RSCLCR0039</t>
  </si>
  <si>
    <t>RSCLCR0040</t>
  </si>
  <si>
    <t>RSCLCR0041</t>
  </si>
  <si>
    <t>RSCLCR0042</t>
  </si>
  <si>
    <t>RSCLCR0043</t>
  </si>
  <si>
    <t>RSCLCR0044</t>
  </si>
  <si>
    <t>RSCLCR0045</t>
  </si>
  <si>
    <t>RSCLCR0046</t>
  </si>
  <si>
    <t>RSCLCR0047</t>
  </si>
  <si>
    <t>RSCLCR0048</t>
  </si>
  <si>
    <t>RSCLCR0049</t>
  </si>
  <si>
    <t>RSCLCR0050</t>
  </si>
  <si>
    <t>RSCLCR0051</t>
  </si>
  <si>
    <t>RSCLCR0052</t>
  </si>
  <si>
    <t>RSCLCR0053</t>
  </si>
  <si>
    <t>RSCLCR0054</t>
  </si>
  <si>
    <t>RSCLCR0055</t>
  </si>
  <si>
    <t>RSCLCR0056</t>
  </si>
  <si>
    <t>RSCLCR0057</t>
  </si>
  <si>
    <t>RSCLCR0058</t>
  </si>
  <si>
    <t>RSCLCR0059</t>
  </si>
  <si>
    <t>RSCLCR0060</t>
  </si>
  <si>
    <t>RSCLCR0061</t>
  </si>
  <si>
    <t>RSCLCR0062</t>
  </si>
  <si>
    <t>RSCLCR0063</t>
  </si>
  <si>
    <t>RSCLCR0064</t>
  </si>
  <si>
    <t>RSCLCR0065</t>
  </si>
  <si>
    <t>RSCLCR0066</t>
  </si>
  <si>
    <t>RSCLCR0067</t>
  </si>
  <si>
    <t>RSCLCR0068</t>
  </si>
  <si>
    <t>RSCLCR0069</t>
  </si>
  <si>
    <t>RSCLCR0070</t>
  </si>
  <si>
    <t>RSCLCR0071</t>
  </si>
  <si>
    <t>RSCLCR0072</t>
  </si>
  <si>
    <t>RSCLCR0073</t>
  </si>
  <si>
    <t>RSCLCR0074</t>
  </si>
  <si>
    <t>RSCLCR0075</t>
  </si>
  <si>
    <t>RSCLCR0076</t>
  </si>
  <si>
    <t>RSCLCR0077</t>
  </si>
  <si>
    <t>RSCLCR0078</t>
  </si>
  <si>
    <t>RSCLCR0079</t>
  </si>
  <si>
    <t>RSCLCR0080</t>
  </si>
  <si>
    <t>RSCLCR0081</t>
  </si>
  <si>
    <t>RSCLCR0082</t>
  </si>
  <si>
    <t>RSCLCR0083</t>
  </si>
  <si>
    <t>RSCLCR0084</t>
  </si>
  <si>
    <t>RSCLCR0085</t>
  </si>
  <si>
    <t>RSCLCR0086</t>
  </si>
  <si>
    <t>RSCLCR0087</t>
  </si>
  <si>
    <t>RSCLCR0088</t>
  </si>
  <si>
    <t>RSCLCR0089</t>
  </si>
  <si>
    <t>RSCLCR0090</t>
  </si>
  <si>
    <t>RSCLCR0091</t>
  </si>
  <si>
    <t>RSCLCR0092</t>
  </si>
  <si>
    <t>RSCLCR0093</t>
  </si>
  <si>
    <t>RSCLCR0094</t>
  </si>
  <si>
    <t>RSCLCR0095</t>
  </si>
  <si>
    <t>RSCLCR0096</t>
  </si>
  <si>
    <t>RSCLCR0097</t>
  </si>
  <si>
    <t>RSCLCR0098</t>
  </si>
  <si>
    <t>RSCLCR0099</t>
  </si>
  <si>
    <t>RSCLCR0100</t>
  </si>
  <si>
    <t>RSCLCR0101</t>
  </si>
  <si>
    <t>RSCLCR0102</t>
  </si>
  <si>
    <t>RSCLCR0103</t>
  </si>
  <si>
    <t>RSCLCR0104</t>
  </si>
  <si>
    <t>RSCLCR0105</t>
  </si>
  <si>
    <t>RSCLCR0106</t>
  </si>
  <si>
    <t>RSCLCR0107</t>
  </si>
  <si>
    <t>RSCLCR0108</t>
  </si>
  <si>
    <t>RSCLCR0109</t>
  </si>
  <si>
    <t>RSCLCR0110</t>
  </si>
  <si>
    <t>RSCLCR0111</t>
  </si>
  <si>
    <t>RSCLCR0112</t>
  </si>
  <si>
    <t>RSCLCR0113</t>
  </si>
  <si>
    <t>RSCLCR0114</t>
  </si>
  <si>
    <t>RSCLCR0115</t>
  </si>
  <si>
    <t>RSCLCR0116</t>
  </si>
  <si>
    <t>RSCLCR0117</t>
  </si>
  <si>
    <t>RSCLCR0118</t>
  </si>
  <si>
    <t>RSCLCR0119</t>
  </si>
  <si>
    <t>RSCLCR0120</t>
  </si>
  <si>
    <t>RSCLCR0121</t>
  </si>
  <si>
    <t>RSCLCR0122</t>
  </si>
  <si>
    <t>RSCLCR0123</t>
  </si>
  <si>
    <t>RSCLCR0124</t>
  </si>
  <si>
    <t>RSCLCR0125</t>
  </si>
  <si>
    <t>RSCLCR0126</t>
  </si>
  <si>
    <t>RSCLCR0127</t>
  </si>
  <si>
    <t>RSCLCR0128</t>
  </si>
  <si>
    <t>RSCLCR0129</t>
  </si>
  <si>
    <t>RSCLCR0130</t>
  </si>
  <si>
    <t>RSCLCR0131</t>
  </si>
  <si>
    <t>RSCLCR0132</t>
  </si>
  <si>
    <t>RSCLCR0133</t>
  </si>
  <si>
    <t>RSCLCR0134</t>
  </si>
  <si>
    <t>RSCLCR0135</t>
  </si>
  <si>
    <t>RSCLCR0136</t>
  </si>
  <si>
    <t>RSCLCR0137</t>
  </si>
  <si>
    <t>RSCLCR0138</t>
  </si>
  <si>
    <t>RSCLCR0139</t>
  </si>
  <si>
    <t>RSCLCR0140</t>
  </si>
  <si>
    <t>RSCLCR0141</t>
  </si>
  <si>
    <t>RSCLCR0142</t>
  </si>
  <si>
    <t>RSCLCR0143</t>
  </si>
  <si>
    <t>RSCLCR0144</t>
  </si>
  <si>
    <t>RSCLCR0145</t>
  </si>
  <si>
    <t>RSCLCR0146</t>
  </si>
  <si>
    <t>RSCLCR0147</t>
  </si>
  <si>
    <t>RSCLCR0148</t>
  </si>
  <si>
    <t>RSCLCR0149</t>
  </si>
  <si>
    <t>RSCLCR0150</t>
  </si>
  <si>
    <t>RSCLCR0151</t>
  </si>
  <si>
    <t>RSCLCR0152</t>
  </si>
  <si>
    <t>RSCLCR0153</t>
  </si>
  <si>
    <t>RSCLCR0154</t>
  </si>
  <si>
    <t>RSCLCR0155</t>
  </si>
  <si>
    <t>RSCLCR0156</t>
  </si>
  <si>
    <t>RSCLCR0157</t>
  </si>
  <si>
    <t>RSCLCR0158</t>
  </si>
  <si>
    <t>RSCLCR0159</t>
  </si>
  <si>
    <t>RSCLCR0160</t>
  </si>
  <si>
    <t>RSCLCR0161</t>
  </si>
  <si>
    <t>RSCLCR0162</t>
  </si>
  <si>
    <t>RSCLCR0163</t>
  </si>
  <si>
    <t>RSCLCR0164</t>
  </si>
  <si>
    <t>RSCLCR0165</t>
  </si>
  <si>
    <t>RSCLCR0166</t>
  </si>
  <si>
    <t>RSCLCR0167</t>
  </si>
  <si>
    <t>RSCLCR0168</t>
  </si>
  <si>
    <t>RSCLCR0169</t>
  </si>
  <si>
    <t>RSCLCR0170</t>
  </si>
  <si>
    <t>RSCLCR0171</t>
  </si>
  <si>
    <t>RSCLCR0172</t>
  </si>
  <si>
    <t>RSCLCR0173</t>
  </si>
  <si>
    <t>RSCLCR0174</t>
  </si>
  <si>
    <t>RSCLCR0175</t>
  </si>
  <si>
    <t>RSCLCR0176</t>
  </si>
  <si>
    <t>RSCLCR0177</t>
  </si>
  <si>
    <t>RSCLCR0178</t>
  </si>
  <si>
    <t>RSCLCR0179</t>
  </si>
  <si>
    <t>RSCLCR0180</t>
  </si>
  <si>
    <t>RSCLCR0181</t>
  </si>
  <si>
    <t>RSCLCR0182</t>
  </si>
  <si>
    <t>RSCLCR0183</t>
  </si>
  <si>
    <t>RSCLCR0184</t>
  </si>
  <si>
    <t>RSCLCR0185</t>
  </si>
  <si>
    <t>RSCLCR0186</t>
  </si>
  <si>
    <t>RSCLCR0187</t>
  </si>
  <si>
    <t>RSCLCR0188</t>
  </si>
  <si>
    <t>RSCLCR0189</t>
  </si>
  <si>
    <t>RSCLCR0190</t>
  </si>
  <si>
    <t>RSCLCR0191</t>
  </si>
  <si>
    <t>RSCLCR0192</t>
  </si>
  <si>
    <t>RSCLCR0193</t>
  </si>
  <si>
    <t>RSCLCR0194</t>
  </si>
  <si>
    <t>RSCLCR0195</t>
  </si>
  <si>
    <t>RSCLCR0196</t>
  </si>
  <si>
    <t>RSCLCR0197</t>
  </si>
  <si>
    <t>RSCLCR0198</t>
  </si>
  <si>
    <t>RSCLCR0199</t>
  </si>
  <si>
    <t>RSCLCR0200</t>
  </si>
  <si>
    <t>RSCLCR0201</t>
  </si>
  <si>
    <t>RSCLCR0202</t>
  </si>
  <si>
    <t>RSCLCR0203</t>
  </si>
  <si>
    <t>RSCLCR0204</t>
  </si>
  <si>
    <t>RSCLCR0205</t>
  </si>
  <si>
    <t>RSCLCR0206</t>
  </si>
  <si>
    <t>RSCLCR0207</t>
  </si>
  <si>
    <t>RSCLCR0208</t>
  </si>
  <si>
    <t>RSCLCR0209</t>
  </si>
  <si>
    <t>RSCLCR0210</t>
  </si>
  <si>
    <t>RSCLCR0211</t>
  </si>
  <si>
    <t>RSCLCR0212</t>
  </si>
  <si>
    <t>RSCLCR0213</t>
  </si>
  <si>
    <t>RSCLCR0214</t>
  </si>
  <si>
    <t>RSCLCR0215</t>
  </si>
  <si>
    <t>RSCLCR0216</t>
  </si>
  <si>
    <t>RSCLCR0217</t>
  </si>
  <si>
    <t>RSCLCR0218</t>
  </si>
  <si>
    <t>RSCLCR0219</t>
  </si>
  <si>
    <t>RSCLCR0220</t>
  </si>
  <si>
    <t>RSCLCR0221</t>
  </si>
  <si>
    <t>RSCLCR0222</t>
  </si>
  <si>
    <t>RSCLCR0223</t>
  </si>
  <si>
    <t>RSCLCR0224</t>
  </si>
  <si>
    <t>RSCLCR0225</t>
  </si>
  <si>
    <t>RSCLCR0226</t>
  </si>
  <si>
    <t>RSCLCR0227</t>
  </si>
  <si>
    <t>RSCLCR0228</t>
  </si>
  <si>
    <t>RSCLCR0229</t>
  </si>
  <si>
    <t>RSCLCR0230</t>
  </si>
  <si>
    <t>RSCLCR0231</t>
  </si>
  <si>
    <t>RSCLCR0232</t>
  </si>
  <si>
    <t>RSCLCR0233</t>
  </si>
  <si>
    <t>RSCLCR0234</t>
  </si>
  <si>
    <t>RSCLCR0235</t>
  </si>
  <si>
    <t>Equipe</t>
  </si>
  <si>
    <t>Responsável</t>
  </si>
  <si>
    <t>Node / MDU</t>
  </si>
  <si>
    <t>Início</t>
  </si>
  <si>
    <t>Conclusão</t>
  </si>
  <si>
    <t>CLASSE F (Fusão)</t>
  </si>
  <si>
    <t>Endereço</t>
  </si>
  <si>
    <t>Marcos Vinicius</t>
  </si>
  <si>
    <t>Mário Souza</t>
  </si>
  <si>
    <t xml:space="preserve">Marcos Martins </t>
  </si>
  <si>
    <t>Kleiton de Paula</t>
  </si>
  <si>
    <t>Guilherme Albrecht</t>
  </si>
  <si>
    <t>Vinicius de Brito</t>
  </si>
  <si>
    <t>Alessandro Fagundes ( Thiago)</t>
  </si>
  <si>
    <t>Paulo Ribaczki</t>
  </si>
  <si>
    <t>Paulo Keiber</t>
  </si>
  <si>
    <t>Abraão Rodrigues</t>
  </si>
  <si>
    <t xml:space="preserve">Thiago Santana </t>
  </si>
  <si>
    <t>FG Telecom</t>
  </si>
  <si>
    <t>061,062,063,064,065,066</t>
  </si>
  <si>
    <t>NODE SAIU DO SITE , ALIMENTOU AS FISTS 071,072,073, COBRAR TODAS AS SECUNDARIAS DA 071,072,073.COBRAR MAIS 1700 DE 24FO, TEVE TROCA DE POSTE E CORTARAM OS CABOS</t>
  </si>
  <si>
    <t>NODE SAIU DA CX EXISTENTE 011, ALIMENTOU AS CXS T080, 121 E 122, COBRAR TODAS AS SECUNDARIAS DAS 121 E 122.COBRAR 3 METROS DE DESOBSTRUÇÃO, 4 ABERTURA E FECHAMENTO, 96 FUSÕES E 630 METROS DE CORDOALHA.</t>
  </si>
  <si>
    <t>FOI LANÇADO 462 METROS DE CABO DE 12FO, 1 ABERTURA E FECHAMENTO, 6 FUSÕES, 1 DERIVAÇÃO, 1 CX NOVA E 2 TESTES</t>
  </si>
  <si>
    <t>3 ABERTURA E FECHAMENTO, 6 FUSÕES, 4 TESTES, 3 TESTES OTDR</t>
  </si>
  <si>
    <t>3 ABERTURAS E FECHAMENTO, 2 FUSÕES E 1 TESTE</t>
  </si>
  <si>
    <t>RSCLER0776</t>
  </si>
  <si>
    <t>RSCLER0777</t>
  </si>
  <si>
    <t>RSCLER0778</t>
  </si>
  <si>
    <t>RSCLER0779</t>
  </si>
  <si>
    <t>Fernando Machado 525</t>
  </si>
  <si>
    <t>CNTAB.081.M030</t>
  </si>
  <si>
    <t>Rua Cel Manoel Py, 204</t>
  </si>
  <si>
    <t>Av Pereira Passos, 470</t>
  </si>
  <si>
    <t>MTSAA.231.M020</t>
  </si>
  <si>
    <t>RSCLER0780</t>
  </si>
  <si>
    <t>RSCLER0781</t>
  </si>
  <si>
    <t>RSCLER0782</t>
  </si>
  <si>
    <t>RSCLER0783</t>
  </si>
  <si>
    <t>TRA022.M070</t>
  </si>
  <si>
    <t>TRA024.M020</t>
  </si>
  <si>
    <t>RUA TRÊS DE OUTUBRO, 2035</t>
  </si>
  <si>
    <t>AV CARLOS BARBOSA, 360</t>
  </si>
  <si>
    <t>CNT010-M2</t>
  </si>
  <si>
    <t>TRZAA.191.M010</t>
  </si>
  <si>
    <t>MDVAA.041.M030</t>
  </si>
  <si>
    <t>MDVAA</t>
  </si>
  <si>
    <t>Av. Dorival Candido Luz de Oliveira 7575</t>
  </si>
  <si>
    <t>Cond.CESTTO</t>
  </si>
  <si>
    <t>Estádio Beira-Rio</t>
  </si>
  <si>
    <t>Av. Padre Cacique, 891</t>
  </si>
  <si>
    <t>MNDAC.101.M010MAN</t>
  </si>
  <si>
    <t>RSCLER0784</t>
  </si>
  <si>
    <t xml:space="preserve"> Golden Lake </t>
  </si>
  <si>
    <t>Av. Diário De Notícias 1200</t>
  </si>
  <si>
    <t>TRZAA.041.M020</t>
  </si>
  <si>
    <t>GERENCIAL (FEVEREIRO)</t>
  </si>
  <si>
    <t>RSPCE42</t>
  </si>
  <si>
    <t>DESEMBARGADOR ANDRÉ DA ROCHA (AÉREO)</t>
  </si>
  <si>
    <t>131,132,133,134,135</t>
  </si>
  <si>
    <t>NODE SAIU DA CX EXISTENTE T010, ALIMENTOU A FIST 131,132,133,134,135, COBRAR TODAS AS SECUNDARIAS DA 131,132,133,134,135.</t>
  </si>
  <si>
    <t>NODE SAIU DO SITE, ALIMENTOU AS CAIXAS T030, 131 E 132, COBRAR TODAS AS SECUNDARIAS DAS 131 E 132. COBRAR 200 METROS DE CORDOALHA.</t>
  </si>
  <si>
    <t>RUA ATANASIO BELMONTE 51</t>
  </si>
  <si>
    <t>BVSAA.061.M020</t>
  </si>
  <si>
    <t>NODE SAIU DA CX EXISTENTE T110 ALIMENTANDO AS  FIST 310, 311 COBRAR TODAS AS SECUNDARIAS DAS 310, 311. COBRAR 7 ABERTURA E FECHAMENTO E 38 FUSÕES E 12 TESTES DE OTDR A MAIS.</t>
  </si>
  <si>
    <t>RSCLER0785</t>
  </si>
  <si>
    <t>NODE SAIU DA CX EXISTENTE T120, ALIMENTOU AS FISTS 281,282,283,284, COBRAR TODAS AS SECUNDARIAS DAS 281,282,283,284. COBRAR 1100 METROS DE CABO DE 24FO.COBRAR 2 ABERTURA E FECHAMENTO, 36 FUSÕES E 2 DERIVAÇÕES.</t>
  </si>
  <si>
    <t>3 ABERTURA E FECHAMENTO, 2 FUSÕES, 1 TESTES, 2 TESTE OTDR</t>
  </si>
  <si>
    <t>ADEQUAÇÃO BRADESCO</t>
  </si>
  <si>
    <t>NODE SAIU DA CX EXISTENTE T020, ALIMENTOU AS FISTS 151, 152 COBRAR TODAS AS SECUNDARIAS DAS 151, 152. COBRAR 2 ABERTURA E FECHAMENTO E 9 FUSÕES A MAIS.</t>
  </si>
  <si>
    <t>4 ABERTURA E FECHAMENTO, 16 FUSÕES, 5 TESTE</t>
  </si>
  <si>
    <t xml:space="preserve">NODE SAIU DA CX EXISTENTE 231,ALIMENTANDO A CX T170 E A FIST 421. COBRAR TODAS AS SECUNDARIAS DAS 421. </t>
  </si>
  <si>
    <t>NODE SAIU DA CX EXISTENTE 014, ALIMENTOU AS FISTS 111, 112 COBRAR TODAS AS SECUNDARIAS DAS 111, 112.</t>
  </si>
  <si>
    <t>NODE SAIU DA CX EXISTENTE T160, ALIMENTOU A FIST 311, COBRAR TODAS AS SECUNDARIAS DA 311. COBRAR 763 METROS DE CABO DE 12FO A MAIS. 3 ADEQUAÇÕES DE POSTE. COBRAR AS BUILTS</t>
  </si>
  <si>
    <t>NODE SAIU DA CX EXISTENTE T020, ALIMENTOU AS FISTS 131,132,133, 134, 135 COBRAR TODAS AS SECUNDARIAS DAS 131, 132, 133, 134, 135.COBRAR 3 ABERTURA E FECHAMENTO E 69 FUSÕES A MAIS.</t>
  </si>
  <si>
    <t>NODE SAIU DA ESTAÇÃO 01, ALIMENTOU AS FIST 051,052 E 053, COBRAR TODAS AS SECUNDARIAS DAS 051,052 E 053.COBRAR AS BUILTS</t>
  </si>
  <si>
    <t>4 ABERTURA E FECHAMENTO, 11 FUSÕES, 1 TESTE E 1 TESTE OTDR.</t>
  </si>
  <si>
    <t>NODE SAIU DA CX EXISTENTE 141, ALIMENTOU AS FISTS 151,152,153. COBRAR TODAS AS SECUNDARIAS DA 151,152,153. COBRAR 16 ABERTURA E FECHAMENTO, 2 CX NOVAS E 432 FUSÕES A MAIS.</t>
  </si>
  <si>
    <t>NODE SAIU DA CX EXISTENTE 231 ALIMENTANDO A T180 AS FIST 411, 412, 413 COBRAR TODAS AS SECUNDARIAS DAS 411, 412, 413. COBRAR 1 ABERTURA E FECHAMENTO E 24 FUSÕES A MAIS</t>
  </si>
  <si>
    <t xml:space="preserve">NODE SAIU DA CX EXISTENTE 083, ALIMENTANDO A  FIST 111, COBRAR TODAS AS SECUNDARIAS DAS 111. </t>
  </si>
  <si>
    <t xml:space="preserve">6 ABERTURA E FECHAMENTO, 14 FUSÕES, 7 TESTE OTDR, </t>
  </si>
  <si>
    <t>10 ABERTURA E FECHAMENTO, 28 FUSÕES, 5 TESTES OTDR</t>
  </si>
  <si>
    <t>FOI LANÇADO 350 METROS DE CABO DE 12FO, 5 ABERTURA E FECHAMENTO, 22 FUSÕES, 1 DERIVAÇÃO,REPUXADO 40 METROS DE CABO DE 12 FO, 2 CX NOVAS E 2 TESTES.</t>
  </si>
  <si>
    <t>5 ABERTURA E FECHAMENTO, 9 FUSÕES, 4 TESTES.</t>
  </si>
  <si>
    <t>FOI LANÇADO 493 METROS DE CABO DE 12FO, 9 ABERTURA E FECHAMENTO, 11 FUSÕES, 1 DERIVAÇÃO, 2 CX NOVAS, 1 NAP NOVA, 3 TESTES</t>
  </si>
  <si>
    <t xml:space="preserve">NODE SAIU DA FIST 054 ALIMENTA A FIST 045, SEGUE COM CABO DE 24F ATE A FIST 042, DA 042 SAI UM CABO DE 12F ALIMENTA A FIST 041, DA FIST 045 SAI UM CABO DE 12F QUE ALIMENTA A FIST 044, E A FIST 043. COBRAR TODAS AS SECUNDARIAS DA 041, 042, 043, 044, 045.COBRAR 1 ABERTURA E FECHAMENTO E 36 FUSÕES A MAIS. </t>
  </si>
  <si>
    <t>NODE SAIU DA CX EXISTENTE 071, ALEMENTOU AS FISTS 031,032, COBRAR TODAS AS SECUNDARIAS DA 031,032.COBRAR 11 ABERTURA E FECHAMENTO, 46 FUSÕES A MAIS.</t>
  </si>
  <si>
    <t>NODE SAIU DA CX EXISTENTE 023, ALIMENTOU A FIST 041, COBRAR TODAS AS SECUNDARIAS DA 041.COBRAR 12 ABERTURA E FECHAMNETO E 30 FUSÕES A MAIS.</t>
  </si>
  <si>
    <t>https://hbox.houseti.com.br/s/9tVFq14CwC8iFb5</t>
  </si>
  <si>
    <t>https://hbox.houseti.com.br/s/WUu4CJOw2KION2N</t>
  </si>
  <si>
    <t>https://hbox.houseti.com.br/s/EoChbozGF6yK986</t>
  </si>
  <si>
    <t>https://hbox.houseti.com.br/s/ECx5dDVjdtYRHOc</t>
  </si>
  <si>
    <t>https://hbox.houseti.com.br/s/FpKncOxxQora2DX</t>
  </si>
  <si>
    <t>https://hbox.houseti.com.br/s/V0y4PxjjHjTfHTt</t>
  </si>
  <si>
    <t>https://hbox.houseti.com.br/s/N94LNbZ7fqq1qYs</t>
  </si>
  <si>
    <t>https://hbox.houseti.com.br/s/7syHvZAV4JM8ifh</t>
  </si>
  <si>
    <t>https://hbox.houseti.com.br/s/JfJHLcTIGcY9gqF</t>
  </si>
  <si>
    <t>https://hbox.houseti.com.br/s/OACoZsP7fD642eg</t>
  </si>
  <si>
    <t>https://hbox.houseti.com.br/s/oDq06GxTOE1yT5q</t>
  </si>
  <si>
    <t>https://hbox.houseti.com.br/s/hn4aiVx4wXfVEJf</t>
  </si>
  <si>
    <t>https://hbox.houseti.com.br/s/2cdOd5TwDPaCcPp</t>
  </si>
  <si>
    <t>https://hbox.houseti.com.br/s/Xk2HgLiNVkurdCH</t>
  </si>
  <si>
    <t>https://hbox.houseti.com.br/s/VNq3zpyKJN2njHP</t>
  </si>
  <si>
    <t>https://hbox.houseti.com.br/s/lH5Tx2I5bG2FfwX</t>
  </si>
  <si>
    <t>https://hbox.houseti.com.br/s/HhCcC5RhasqoaWp</t>
  </si>
  <si>
    <t>https://hbox.houseti.com.br/s/jonsxaByxkIeHlS</t>
  </si>
  <si>
    <t>https://hbox.houseti.com.br/s/B6PkVUU4H9cPOMU</t>
  </si>
  <si>
    <t>https://hbox.houseti.com.br/s/P1OlBEMrrseRQLY</t>
  </si>
  <si>
    <t>https://hbox.houseti.com.br/s/wVZnxKU8YFn62js</t>
  </si>
  <si>
    <t>https://hbox.houseti.com.br/s/Nteqe5SwSDUBvQx</t>
  </si>
  <si>
    <t>https://hbox.houseti.com.br/s/LMn0YlmaSOz89Y0</t>
  </si>
  <si>
    <t>https://hbox.houseti.com.br/s/XipFBxnbpFcFyGX</t>
  </si>
  <si>
    <t>https://hbox.houseti.com.br/s/QR3bovunzKxHk7N</t>
  </si>
  <si>
    <t>https://hbox.houseti.com.br/s/WGtJ9Kcy1Yz9Ukq</t>
  </si>
  <si>
    <t>31/11/2025</t>
  </si>
  <si>
    <t xml:space="preserve">VIPAG FASE 2 </t>
  </si>
  <si>
    <t>NAVACC</t>
  </si>
  <si>
    <t>NODE SAIU DA CX EXISTENTE 013, ALIMENTOS AS FISTS 151 E 152, COBRAR TODAS AS SECUNDARIAS DAS 151 E 152.</t>
  </si>
  <si>
    <t>MAIO</t>
  </si>
  <si>
    <t>NODE SAIU DA CX EXISTENTE 112, ALIMENTOU A FIST 111, COBRAR TODAS AS SECUNDARIAS DA 111.</t>
  </si>
  <si>
    <t>NODE SAIU DA CAIXA. T010 EXISTENTE, ALIMENTOU A FIST 141, COBRAR TODAS AS SECUNDARIAS DA 141.</t>
  </si>
  <si>
    <t>031,032,033,034,036</t>
  </si>
  <si>
    <t xml:space="preserve">PDRACB FASE 2 </t>
  </si>
  <si>
    <t>NODE SAIU DA CAIXA 071 EXISTENTE, ALIMENTOU A FIST 031, COBRAR TODAS AS SECUNDARIAS DA 031.</t>
  </si>
  <si>
    <t>CT DO INTER</t>
  </si>
  <si>
    <t>LUCIANO</t>
  </si>
  <si>
    <t>RSCLND0621</t>
  </si>
  <si>
    <t>RSCLND0622</t>
  </si>
  <si>
    <t>RSCLND0623</t>
  </si>
  <si>
    <t>RSCLND0624</t>
  </si>
  <si>
    <t>RSCLND0625</t>
  </si>
  <si>
    <t>RSCLND0627</t>
  </si>
  <si>
    <t>RSCLND0628</t>
  </si>
  <si>
    <t>BR DO GRAVATAI x MUCIO TEIXEIRA</t>
  </si>
  <si>
    <t>MNDAAB</t>
  </si>
  <si>
    <t>R000/R015</t>
  </si>
  <si>
    <t>PRÉDIO DA ATILIO SUPERTTI, 1430 </t>
  </si>
  <si>
    <t>VNVAR</t>
  </si>
  <si>
    <t>R000/R011</t>
  </si>
  <si>
    <t>RSCLER0786</t>
  </si>
  <si>
    <t>RSCLER0787</t>
  </si>
  <si>
    <t>RSCLER0788</t>
  </si>
  <si>
    <t>RSCLER0789</t>
  </si>
  <si>
    <t>RSCLER0790</t>
  </si>
  <si>
    <t>RSCLER0791</t>
  </si>
  <si>
    <t>RSCLER0792</t>
  </si>
  <si>
    <t>R OSVALDO ARANHA 573</t>
  </si>
  <si>
    <t>MNDAC.111.01.01</t>
  </si>
  <si>
    <t>Av. Edvaldo Pereira Paiva, 4068</t>
  </si>
  <si>
    <t>ADEQUAÇÃO PRÉDIO EBT</t>
  </si>
  <si>
    <t>LIMAS E SILVA x LUIZ AFONSO</t>
  </si>
  <si>
    <t>RUA DÉCIO MARTINS COSTA x RUA DA REPUBLICA</t>
  </si>
  <si>
    <t>CNTAT</t>
  </si>
  <si>
    <t>CBXAJA</t>
  </si>
  <si>
    <t>CBXAG</t>
  </si>
  <si>
    <t>NODE SAIU DA CX EXISTENTE 291, ALIMENTOU AS FISTS 311, COBRAR TODAS AS SECUNDARIAS DAS 311.</t>
  </si>
  <si>
    <t>NODE SAIU DA CX EXISTENTE 291, ALIMENTOU AS FISTS 591, COBRAR TODAS AS SECUNDARIAS DAS 591.</t>
  </si>
  <si>
    <t>SAIU DO GERENCIAL</t>
  </si>
  <si>
    <t>GERENCIAL (MARÇO)</t>
  </si>
  <si>
    <t>NHO LO (RSNHO37)</t>
  </si>
  <si>
    <t>R ALEXANDRINO DE ALENCAR, 360</t>
  </si>
  <si>
    <t>CNT03-M3</t>
  </si>
  <si>
    <t xml:space="preserve">CNT </t>
  </si>
  <si>
    <t>CNT09-M2</t>
  </si>
  <si>
    <t>VJDAK</t>
  </si>
  <si>
    <t>R047</t>
  </si>
  <si>
    <t>Av Nonoai 1458</t>
  </si>
  <si>
    <t>Manutenção</t>
  </si>
  <si>
    <t>David Salomão</t>
  </si>
  <si>
    <t>G e M Telecom</t>
  </si>
  <si>
    <t>Derik Pereira</t>
  </si>
  <si>
    <t>Giovane Alves</t>
  </si>
  <si>
    <t>LUKAS MUNHOZ</t>
  </si>
  <si>
    <t>TIAGO FEREIRA</t>
  </si>
  <si>
    <t>LINK RSNHO11</t>
  </si>
  <si>
    <t>RSPCE13</t>
  </si>
  <si>
    <t>5 ABERTURA E FECHAMENTO, 4 FUSÕES, 1 TESTE</t>
  </si>
  <si>
    <t>MNDAC.043.M050</t>
  </si>
  <si>
    <t>NODE SAIU DA CX EXISTENTE 081, ALIMENTOU AS FISTS 061,062,063,064, COBRAR TODAS AS SECUNDARIAS DAS 061,062,063,064.COBRAR 2 ABERTURA E FECHAMENTO E 2 FUSÕES A MAIS. COBRAR 37 METROS DE CORDOALHA</t>
  </si>
  <si>
    <t>NODE SAIU DA CX EXISTENTE 122, ALIMENTOU AS CXS T090, 141 E 142, COBRAR TODAS AS SECUNDARIAS DA 141,142.</t>
  </si>
  <si>
    <t>RSCLND0629</t>
  </si>
  <si>
    <t>RSCLND0630</t>
  </si>
  <si>
    <t>RSCLND0631</t>
  </si>
  <si>
    <t>RSCLND0632</t>
  </si>
  <si>
    <t>RSCLND0633</t>
  </si>
  <si>
    <t>RSCLND0634</t>
  </si>
  <si>
    <t>RSCLND0635</t>
  </si>
  <si>
    <t>RSCLND0626</t>
  </si>
  <si>
    <t xml:space="preserve">PDRAD FASE 4 </t>
  </si>
  <si>
    <t>AMIRANTE BARROSO x ALVARO CHAVES</t>
  </si>
  <si>
    <t>FLOAPA</t>
  </si>
  <si>
    <t>R0030</t>
  </si>
  <si>
    <t>RUA CAPITÃO PEDRO WERLANG - PARTENOM</t>
  </si>
  <si>
    <t>PETAPA</t>
  </si>
  <si>
    <t>FLOAPB</t>
  </si>
  <si>
    <t>R N SRA DOS NAVEGANTES 85 </t>
  </si>
  <si>
    <t>TRA045.M030</t>
  </si>
  <si>
    <t> R TUIUTI 413</t>
  </si>
  <si>
    <t>NODE SAIU DO SITE, ALIMENTOU AS CAIXAS T080, 061,062,063,064,065 E 066, COBRAR TODAS AS SECUNDARIAS DAS 061,062,063,064,065 E 066.COBRAR 162 METROS DE CORDOALHAS</t>
  </si>
  <si>
    <t>DERIK / MARCOS EMILIANO</t>
  </si>
  <si>
    <t>NODE SAIU DO SITE, ALIMENTOU AS CXS T150, T160, 301 E 302, COBRAR TODAS AS SECUNDARIAS DAS 301 E 302. COBRAR 436 METROS DE CABO DE 48FO E 735 METROS DE CABO DE 144FO A MAIS.40 METROS DE REPUXAMENTO DE CABO</t>
  </si>
  <si>
    <t>PRTAS FASE 2</t>
  </si>
  <si>
    <t xml:space="preserve">FLOAKB FASE 2 </t>
  </si>
  <si>
    <t>FLOAJ FASE 2</t>
  </si>
  <si>
    <t>NODE SAIU DA CX EXISTENTE 301, ALIMENTOU AS FISTS 191 E 192, COBRAR TODAS AS SECUNDARIAS DAS 191 E 192.COBRAR 1 ABERTURA E FECHAMENTO E 17 FUSÕES A MAIS.</t>
  </si>
  <si>
    <t>R019</t>
  </si>
  <si>
    <t>R021/R022</t>
  </si>
  <si>
    <t>NODE SAIU DA CX EXISTENTE T100, ALIMENTOU A FIST 042, COBRAR TODAS AS SECUNDARIAS DA 042.</t>
  </si>
  <si>
    <t>NODE SAIU DA CX EXISTENTE 192, COBRAR TODAS AS SECUNDARIAS DA 192.</t>
  </si>
  <si>
    <t>Ñ GERENCIAL</t>
  </si>
  <si>
    <t>PDRAFA</t>
  </si>
  <si>
    <t>CITY HOTEL</t>
  </si>
  <si>
    <t>RSCLND0636</t>
  </si>
  <si>
    <t>RSCLND0637</t>
  </si>
  <si>
    <t>RSCLND0638</t>
  </si>
  <si>
    <t>COHAB</t>
  </si>
  <si>
    <t>VNVAT</t>
  </si>
  <si>
    <t>NODE SAIU DA CAIXA T010 EXISTENTE, ALIMENTOU A FIST 031,032, COBRAR TODAS AS SECUNDARIAS DA 031,032.COBRAR 2 ABERTURA E FECHAMENTO, 24 FUSÕES A MAIS.</t>
  </si>
  <si>
    <t>011,013,016</t>
  </si>
  <si>
    <t>NODE SAIU DA CX EXISTENTE T020, ALIMENTOU A FIST 011,013 e 016, COBRAR TODAS AS SECUNDARIAS DA 011,013,016.</t>
  </si>
  <si>
    <t>FUNCIONÁRIO</t>
  </si>
  <si>
    <t>CPF</t>
  </si>
  <si>
    <t>FELIPE LOPES DIAS</t>
  </si>
  <si>
    <t>048.278.350-80</t>
  </si>
  <si>
    <t xml:space="preserve">AV CAPIVARI 675 </t>
  </si>
  <si>
    <t>10 ABERTURA E FECHAMENTO, 17 FUSÕES, 3 TESTES</t>
  </si>
  <si>
    <t>CMQAK</t>
  </si>
  <si>
    <t>R000/R012</t>
  </si>
  <si>
    <t>NODE SAIU DO SITE, ALIMENTOU AS CXS T010, 041, COBRAR TODAS AS SECUNDARIAS DA 041. COBRAR 652 METROS DE CORDOALHA.</t>
  </si>
  <si>
    <t>AV MARCILIO DIAS, 1079</t>
  </si>
  <si>
    <t>FOI LANÇADO 319 METROS DE CABO DE 12FO AUTOSUSTENTAVÉL, 9 FUSÕES, 2 DERIVAÇÕES, 5 ABERTURA E FECHAMENTO. 1 TESTE OTDR</t>
  </si>
  <si>
    <t>9 ABERTURA E FECHAMENTO, 8 FUSÕES, 4 TESTES OTDR</t>
  </si>
  <si>
    <t>7 ABERTURA E FECHAMENTO, 12 FUSÕES, 2 TESTES, 2 TESTES OTDR</t>
  </si>
  <si>
    <t>LINK RSPCE13</t>
  </si>
  <si>
    <t>RSCLER0793</t>
  </si>
  <si>
    <t>RSCLER0794</t>
  </si>
  <si>
    <t>16 ABERTURA E FECHAMENTO, 93 FUSÕES, 4 TESTES.COBRAR 130 METROS DE CABO DE 24FO A MAIS ,130 METROS DE DROP A MAIS E 1023 METROS DE CABO DE 12FO. E 130 METROS DE RETIRADA DE DROP, 3 DERIVAÇÕES.1 CX NOVA</t>
  </si>
  <si>
    <t>NODE SAIU DA T010, ALIMENTOU A FIST 101, COBRAR TODAS AS SECUNDARIAS DA 101.</t>
  </si>
  <si>
    <t>RBTAA.031.M060</t>
  </si>
  <si>
    <t>FOI LANÇADO 291 METROS DE CABO DE 12FO, 4 ABERTURA E FECHAMENTO, 6 FUSÕES, 2 DERIVAÇÕES, 2 TESTES</t>
  </si>
  <si>
    <t>Rua Dona Alzira, 257</t>
  </si>
  <si>
    <t>RSPNO8A</t>
  </si>
  <si>
    <t>RSCLER0795</t>
  </si>
  <si>
    <t>RUA SÃO GABRIEL 363</t>
  </si>
  <si>
    <t>NOV.029.02.06</t>
  </si>
  <si>
    <t>FOI LANÇADO 1707 METROS DE CABO DE 12FO AUTOSUSTENTAVEL, 3 ABERTURA E FECHAMENTO, 1 CX NOVA, 1 NAP NOVA, 1 DERIVAÇÕES, 16 FUSÕES E 1 TESTE.</t>
  </si>
  <si>
    <t>NODE SAIU DA FIST EXISTENTE 054, ALIMENTOU AS FISTS 031,032,033, COBRAR TODAS AS SECUNDARIAS DAS 031,032,033. COBRAR 1 ABERTURA E FECHAMENTO, 24 FUSÕES E 1 DERIVAÇÃO A MAIS, COBRAR 80 METROS DE CORDOALHA.</t>
  </si>
  <si>
    <t>MARCOS EMILIANO (072)</t>
  </si>
  <si>
    <t>NODE SAIU DO SITE, ALIMENTOU AS FISTS 021,022,023, COBRAR TODAS AS SECUNDARIAS DAS 021,022,023.COBRAR 360 METROS DE CABO DE 36FO A MAIS.</t>
  </si>
  <si>
    <t>VGR</t>
  </si>
  <si>
    <t>IVOTI</t>
  </si>
  <si>
    <t>RUA MATO GROSSO,77</t>
  </si>
  <si>
    <t>VGR.015.M030</t>
  </si>
  <si>
    <t>NODE SAIU DO SITE, ALIMENTOU AS FISTS 101 E 102, COBRAR TODAS AS SECUNDARIAS DAS 101 E 102.COBRAR 1 CX NOVA E 72FUSÕES A MAIS</t>
  </si>
  <si>
    <t>NODE SAIU DA CAIXA T010 EXISTENTE, ALIMENTOU A FIST 033, COBRAR TODAS AS SECUNDARIAS DA 033.COBRAR 2 ABERTURA E FECHAMENTO E 36 FUSÕES A MAIS</t>
  </si>
  <si>
    <t>NODE SAIU DA CX EXISTENTE 071 ALIMENTANDO A  FIST 082,082,083.  COBRAR TODAS AS SECUNDARIAS DAS 081, 082, 083. COBRAR 2919 METROS DE 144 DD, 850 METROS DE REPUXAMENTO E 850 METROS DE CABO 144 AS.COBRAR 1 CX NOVA 144 FUSÕES E 1 DERIVAÇÃO A MAIS.5 TESTE DE OTDR, COBRAR 200 METROS DE CABO PRECON, 1 ABERTURA E FECHAMENTO, 24 FUSÕES A MAIS</t>
  </si>
  <si>
    <t>NODE SAIU DA ESTAÇÃO 01, ALIMENTOU A FIST 591, COBRAR TODAS AS SECUNDARIAS DA 591. COBRAR 1 ABERTURA E FECHAMENTO, 3 FUSÕES A MAIS</t>
  </si>
  <si>
    <t>NODE SAIU DA CX EXISTENTE T010, ALIMENTOU A FIST 041,042,043,044, COBRAR TODAS AS SECUNDARIAS DA 041,042,043,044.COBRAR 4 ABERTURA E FECHAMENTO, 124 FUSÕES A MAIS.</t>
  </si>
  <si>
    <t>FOI LANÇADO 95 METROS DE CABO DE 12FO, 7 ABERTURA E FECHAMENTO, 15 FUSÕES, 2 DERIVAÇÕES, 5 TESTES, 3 TESTE OTDR</t>
  </si>
  <si>
    <t>045.911.840-48</t>
  </si>
  <si>
    <t>037.965.470-95</t>
  </si>
  <si>
    <t>030.062.420-41</t>
  </si>
  <si>
    <t>000.305.570-11</t>
  </si>
  <si>
    <t>CAUA DIAS OLICHESKI DA SILVA</t>
  </si>
  <si>
    <t>KAUÊ GABRIEL KELLER DE ALMEIDA</t>
  </si>
  <si>
    <t>LUCAS JUNIOR RUDUIT DE LIMA</t>
  </si>
  <si>
    <t>MARCOS ANDRE FONSECA DA LUZ DE MELLOS</t>
  </si>
  <si>
    <t xml:space="preserve">NODE SAI DO DIO QUE SERA INSTALDO COM E CABO 72F CRIA A EST 02, QUE SAI UM CABO DE 144F ALIMENTA A T010 E A T020, QUE SAI UM CABO DE 72F DA T020 QUE ALIMENTA A FIST 012, CABO DE 72F QUE SAIDA FIST 011, E ALIMENTA A FIST 011, COBRAR TODAS AS SECUNDARIA DA 011,012. COBRAR 70 METROS DE CORDOALHA </t>
  </si>
  <si>
    <t>CX318AA</t>
  </si>
  <si>
    <t>COBRAR DENTRO DO NODE PDRAHB FASE 2</t>
  </si>
  <si>
    <t xml:space="preserve">PDRAHB 2 </t>
  </si>
  <si>
    <t>Tree Haus By Porsche</t>
  </si>
  <si>
    <t>Av. Veríssimo de Amaral, 536</t>
  </si>
  <si>
    <t>FOI LANÇADO 487 METROS DE CABO DE 12FO,COBRAR 55 ABERTURA E FECHAMENTO, 90 FUSÕES, 2 CXS NOVAS, 4 DERIVAÇÕES.</t>
  </si>
  <si>
    <t>FOI LANÇADO 832 METROS DE CABO DE 12FO, 1 ABERTURA E FECHAMENTO, 2 CX NOVAS 5 NAP NOVAS, 23 FUSÕES, 17 TESTES</t>
  </si>
  <si>
    <t>Telefone</t>
  </si>
  <si>
    <t>051-984020121</t>
  </si>
  <si>
    <t>051-991212177</t>
  </si>
  <si>
    <t>051-995731531</t>
  </si>
  <si>
    <t>051-994192779</t>
  </si>
  <si>
    <t>051-995731533</t>
  </si>
  <si>
    <t>051-995731534</t>
  </si>
  <si>
    <t>051-998465454</t>
  </si>
  <si>
    <t>051-993494649</t>
  </si>
  <si>
    <t>051-991874352</t>
  </si>
  <si>
    <t>AV GETULIO VARGAS 1485 </t>
  </si>
  <si>
    <t>RSCLER0796</t>
  </si>
  <si>
    <t>RSCLER0797</t>
  </si>
  <si>
    <t>RSCLER0798</t>
  </si>
  <si>
    <t>FOI LANÇADO 242 METROS DE CABO DE 12FO, 3 ABERTURA E FECHAMENTO, 12 FUSÕES, 5 TESTES DE OTDR.</t>
  </si>
  <si>
    <t>DEIVID (SUBTERRANEO)</t>
  </si>
  <si>
    <t>VICTOR (073), GILSON (071)</t>
  </si>
  <si>
    <t>Cond. Cidade Jaridim</t>
  </si>
  <si>
    <t>Av. Panamericana, 375</t>
  </si>
  <si>
    <t>SSOAA.161.M020</t>
  </si>
  <si>
    <t>Cond. Edificio Panamericana</t>
  </si>
  <si>
    <t>RSCLND0639</t>
  </si>
  <si>
    <t>RSCLND0640</t>
  </si>
  <si>
    <t>RSCLND0641</t>
  </si>
  <si>
    <t>063,064,065,066,067,068</t>
  </si>
  <si>
    <t xml:space="preserve">SANABA FASE 2 </t>
  </si>
  <si>
    <t>NODE SAIU DA CAIXA EXISTENTE T040, ALIMENTOU AS FISTS 021,022,023, COBRAR TODAS AS SECUNDARIAS, COBRAR 89 METROS DE PODA</t>
  </si>
  <si>
    <t>MNDAI</t>
  </si>
  <si>
    <t>R020</t>
  </si>
  <si>
    <t>2 ABERTURA E FECHAMENTO, 1 FUSÃO, 1 TESTE.</t>
  </si>
  <si>
    <t>FOI LANÇADO 168 METROS DE CABO DE 12FO, 5 ABERTURA E FECHAMENTO, 5 FUSÕES, 1 DERIVAÇÃO.</t>
  </si>
  <si>
    <t>AZNADA FASE 2</t>
  </si>
  <si>
    <t>Condomínio Residencial Anita Garibaldi</t>
  </si>
  <si>
    <t>R AMERICO VESPUCIO - 471</t>
  </si>
  <si>
    <t>FOI LANÇADO 3640 METROS DE CABO DE 24FO, 4 ABERTURA E FECHAMENTO, 3 CX NOVA, 1 DERIVAÇÃO, 18 FUSÕES, 3 TESTES</t>
  </si>
  <si>
    <t>3 ABERTURA E FECHAMENTO, 9 FUSÕES, 6 TESTES.</t>
  </si>
  <si>
    <t>3 ABERTURAS E FECHAMENTO, 10 FUSÕES, 1 TESTES DE OTDR.</t>
  </si>
  <si>
    <t>AV GETULIO VARGAS 1499</t>
  </si>
  <si>
    <t>2 ABERTURA E FECHAMENTO, 1 FUSÕES, 1 TESTES.</t>
  </si>
  <si>
    <t>RSCLER0799</t>
  </si>
  <si>
    <t>RSCLER0800</t>
  </si>
  <si>
    <t>RSCLER0801</t>
  </si>
  <si>
    <t>RSCLER0802</t>
  </si>
  <si>
    <t>RUA TRÊS DE OUTUBRO, 1507</t>
  </si>
  <si>
    <t>TEUTONIA</t>
  </si>
  <si>
    <t>VICTOR (066,067,068)</t>
  </si>
  <si>
    <t>ANDERSON (063,064,065)</t>
  </si>
  <si>
    <t>NODE SAIU DA CX EXISTENTE 021, ALIMENTOU A FIST 022,  COBRAR TODAS AS  SECUNDARIAS DA 022.</t>
  </si>
  <si>
    <t>NODE SAIU DA CX EXISTENTE CEO10G (EBT), ALIMENTOU A FIST 581, COBRAR TODAS AS SECUNDARIAS DA 581. COBRAR 5 ABERTURA E FECHAMENTO E 4 FUSÕES A MAIS.</t>
  </si>
  <si>
    <t>FOI LANÇADO 206 METROS DE CABO DE 12FO, COBRAE 27 METROS DE CORDOALHA DIELÉTRICA.</t>
  </si>
  <si>
    <t>FOI LANÇADO 588 METROS DE CABO DE 12FO, FOI LANÇADO 311 DE CABO DE 12FO,  7 ABERTURA E FECHAMENTO, 12 FUSÕES, 2 TESTES, 1 DERIVAÇÃO.</t>
  </si>
  <si>
    <t>CAPAC</t>
  </si>
  <si>
    <t>NODE SAIU DO SITE ALIMENTOU AS FISTS 181,182,183,184,185, COBRAR TODAS AS SECUNDARIAS DAS 181,182,183,184,185.</t>
  </si>
  <si>
    <t>181,182,183,184,185</t>
  </si>
  <si>
    <t>IDLAH</t>
  </si>
  <si>
    <t>R000/R002</t>
  </si>
  <si>
    <t>RUA JUVENCIO SOARES 990</t>
  </si>
  <si>
    <t>CACHOEIRA DO SUL</t>
  </si>
  <si>
    <t>CNT.041.M040</t>
  </si>
  <si>
    <t>RSCLND0642</t>
  </si>
  <si>
    <t>RSCLND0643</t>
  </si>
  <si>
    <t>RSCLND0644</t>
  </si>
  <si>
    <t>RSCLND0645</t>
  </si>
  <si>
    <t>RSCLND0646</t>
  </si>
  <si>
    <t>RSCLND0647</t>
  </si>
  <si>
    <t>R000/R0017</t>
  </si>
  <si>
    <t>SANAK</t>
  </si>
  <si>
    <t>TIAGO FERREIRA (091,093)</t>
  </si>
  <si>
    <t>CLEVERSON (092)</t>
  </si>
  <si>
    <t>NODE SAIU DO SITE, ALIMENTOU AS CX T040, 091,092,093, COBRAR TODAS AS SECUNDARIAS DAS 091,092,093.</t>
  </si>
  <si>
    <t>NODE SAIU DA CX EXISTENTE T060, ALIMENTOU A FIST 071, COBRAR TODAS AS SECUNDARIAS DA 071.</t>
  </si>
  <si>
    <t>NODE SAIU DA CX EXISTENTE CX_BV03, ALIMENTOU A FIST  051, COBRAR TODAS AS SECUNDARIAS DA 051.COBRAR 2 ABERTURA E FECHAMENTO E 24 FUSÕES A MAIS</t>
  </si>
  <si>
    <t>NODE SAIU DA CX EXISTENTE 005, ALIMENTOU A FIST 231, COBRAR TODAS AS SECUNDARIAS DA 231.COBRAR 11 ABERTURA E FECHAMENTO, 99 FUSÕES A MAIS.</t>
  </si>
  <si>
    <t>NODE SAIU DA FIST EXISTENTE 051, ALIMENTOU A CX 052, COBRAR TODAS AS SECUNDARIAS DA 052. COBRAR 2 ABERTURA E FECHAMENTO E 10 FUSÕES A MAIS.</t>
  </si>
  <si>
    <t>R023</t>
  </si>
  <si>
    <t>INTERPRAIAS 505</t>
  </si>
  <si>
    <t>NOV029.04.08</t>
  </si>
  <si>
    <t>RSTRI03</t>
  </si>
  <si>
    <t>FOI LANÇADO 892 METROS DE CABO DE 12FO, 1 ABERTURA E FECHAMENTO, 1 NAP NOVA, 1 DERIVAÇÃO,2 FUSÕES, 1 TESTE</t>
  </si>
  <si>
    <t>RSCLND0648</t>
  </si>
  <si>
    <t>RSCLND0649</t>
  </si>
  <si>
    <t>RSCLND0650</t>
  </si>
  <si>
    <t>FLOAB FASE 3</t>
  </si>
  <si>
    <t>EXIISTENTE</t>
  </si>
  <si>
    <t>R032/R033</t>
  </si>
  <si>
    <t>NODE SAIU DA CX EXISTENTE 101, ALIMENTOU A FIST 107, COBRAR TODAS AS SECUNDARIAS DA 107.</t>
  </si>
  <si>
    <t>CLEVERSON/CATIA</t>
  </si>
  <si>
    <t>FOI LANÇADO 451 METROS DE CABO DE 12FO, 2 ABERTURA E FECHAMENTO, 18 FUSÕES, 2 DERIVAÇÕES, 9 TESTES.</t>
  </si>
  <si>
    <t>NODE SAIU DA CX EXISTENTE 035, ALIMENTOU AS FISTS 291 E 292, COBRAR TODAS AS SECUNDARIAS DAS 291 E 292.COBRAR AS BUILTS, COBRAR 350 METROS DE CABO DE 36FO A MAIS. COBRAR 2 ABERTURA E FECHAMENTO, 72 FUSÕES A MAIS, 2 TESTES DE OTDR</t>
  </si>
  <si>
    <t>NODE SAIU DA CX EXISTENTE 132, ALIMENTOU A FIST 051, COBRAR TODAS AS  SECUNDARIAS DA 051.COBRAR 1 ABERTURA E FECHAMENTO, 9 FUSÕES A MAIS.</t>
  </si>
  <si>
    <t>NODE SAIU DA CX EXISTENTE 031, ALIMENTOU AS FISTS 121,122,123, COBRAR TODAS AS SECUNDARIAS DAS 121,122,123.COBRAR 9 ABERTURA E FECHAMENTO E 108 FUSÕES A MAIS. COBRAR AS BUILTS E 250 METROS DE CABO DE 12FO A MAIS.</t>
  </si>
  <si>
    <t>NODE SAIU DA FIST EXISTENTE 042, COBRAR TODAS AS SECUNDARIAS DA 042.COBRAR 1 ABERTURA E FECHAMENTO, 2 FUSÕES A MAIS.</t>
  </si>
  <si>
    <t>051-993485900</t>
  </si>
  <si>
    <t>051-984429308</t>
  </si>
  <si>
    <t>051-984864267</t>
  </si>
  <si>
    <t>Murilo Didio</t>
  </si>
  <si>
    <t>Peterson Machado</t>
  </si>
  <si>
    <t>051-984264268</t>
  </si>
  <si>
    <t>051-997205340</t>
  </si>
  <si>
    <t>Manutenção Março 2026</t>
  </si>
  <si>
    <t>NODE SAIU DA CX EXISTENTE 036, ALIMENTOU AS FISTS 031,032,033,034,036, COBRAR TODAS AS SECUNDARIAS DAS 031,032,033,034,036.COBRAR 11 ABERTURA E FECHAMENTO, 220 FUSÕES, 2 DERIVAÇÕES A MAIS, COBRAR 1000 METROS DE CABO DE 144FO.</t>
  </si>
  <si>
    <t>NODE SAIU DA CX EXISTENTE 011, ALIMENTOU AS FISTS 021,022,023, COBRAR TODAS AS SECUNDARIAS DAS 021,022,023.COBRAR 12 ABERTURA E FECHAMENTO, 158 FUSÕES A MAIS E 150 METROS DE CABO DE 24FO.</t>
  </si>
  <si>
    <t>CLEVERSON/ UBIRAJARA</t>
  </si>
  <si>
    <t>NODE SAIU DA CX EXISTENTE 016, ALIMENTOU AS FISTS 071,072,073, COBRAR TODAS AS SECUNDARIAS DAS 071,072,073.COBRAR 350 METROS DE CORDOALHA</t>
  </si>
  <si>
    <t>LGR.010.M030</t>
  </si>
  <si>
    <t>LGR</t>
  </si>
  <si>
    <t>TUN EB</t>
  </si>
  <si>
    <t>FOI LANÇADO 933 METROS DE CABO DE 12FO AUTOSUSTENTAVEL E 400 METROS DE CABO DE 12FO ESPINADO, 32 ABERTURA E FECHAMENTO, 64 FUSÕES, 1 DERIVAÇÃO.</t>
  </si>
  <si>
    <t>NODE SAIU DA CX EXISTENTE T010, ALIMENTOU A FIST 061, COBRAR TODAS AS SECUNDARIAS DA 061.COBRAR 8 ABERTURA E FECHAMENTO E 56 FUSÕES A MAIS.</t>
  </si>
  <si>
    <t>NODE SAIU DAS FISTS EXISTENTES 081,082,084, ALIMENTOU A FIST 083, COBRAR TODAS AS SECUNDARIAS DAS 081,082,083,084.COBRAR 3 ABERTURA E FECHAMENTO, 49 FUSOES E 2 DERIVAÇÕES A MAIS.COBRAR 38 METROS DE CABO DE 12FO A MAIS. COBRAR 200 METROS DE RETIRADA DE ESPINAÇÃO.</t>
  </si>
  <si>
    <t>NODE SAIU DA CX EXISTENTE 036, ALIMENTOU AS FISTS 051,052,053, COBRAR TODAS AS SECUNDARIAS DAS 051,052,053.COBRAR UM ADEQUAÇÃO DE POSTE, COBRAR 1040 METROS DE RETIRADA DE ESPINAÇÃO</t>
  </si>
  <si>
    <t>Rua Coronel Nicolau Kroef, 455</t>
  </si>
  <si>
    <t>PGO016-M1</t>
  </si>
  <si>
    <t xml:space="preserve">BFMACB FASE 2 </t>
  </si>
  <si>
    <t>R001/R043</t>
  </si>
  <si>
    <t>NODE SAIU DA CX EXISTENTE T010, ALIMENTOU AS FISTS 081  E 082, COBRAR TODAS AS SECUNDARIAS DA 081 E 082 .</t>
  </si>
  <si>
    <t>NODE SAIU DA CX EXISTENTE 002, ALIMENTOU AS FISTS 111, COBRAR TODAS AS SECUNDARIAS DAS 111.COBRAR AS BUILTS</t>
  </si>
  <si>
    <t>AZNAHA</t>
  </si>
  <si>
    <t>RSEBT07</t>
  </si>
  <si>
    <t>NODE SAIU DO SITE, ALIMENTOU AS FISTS 011,012,013,014,015. COBRAR TODAS AS SECUNDARIAS DAS 011,012,013,014,015.</t>
  </si>
  <si>
    <t>NODE SAIU DA CX EXISTENTE 083.M020. COBRAR TODAS AS NAPS 083.02.01, 083.02.02, 083.02.03, 083.02.04, 083.02.05..</t>
  </si>
  <si>
    <t>NODE SAIU DA CX EXISTENTE T040, ALIMENTOUS AS CXS T080, 031,032,033,034, COBRAR TODAS AS SECUNDARIAS DAS 031,032,033,034.COBRA 68 METROS DE CORDOALHAS. COBRAR 1 ABERTURA E FECHAMENTO E 7 FUSÕES A MAIS.</t>
  </si>
  <si>
    <t>NODE SAIU DA CX EXISTENTE T010, ALIMENTOU AS CXS T060,T070, 011,012,013,014,015,016,017, COBRAR TODAS AS SECUNDARIAS DAS 011,012,013,014,015,016,017. COBRAR 600 METROS DE CABO DE 72FO E 337 DE CABO DE 144FO A MAIS, CORTE PARCIAL NO 144FO. COBRAR 14 ABERTURA E FECHAMENTO, 433 FUSÕES , 3 DERIVAÇÕES A MAIS.</t>
  </si>
  <si>
    <t>FOI LANÇADO 556 METROS DE 48FO DE CABO DDS.</t>
  </si>
  <si>
    <t>03/026</t>
  </si>
  <si>
    <t>BFMAA.081</t>
  </si>
  <si>
    <t>AV CAUDURO, 175</t>
  </si>
  <si>
    <t>NODE SAIU DA CX EXISTENTE T080, ALIMENTOU A FIST 301,COBRAR TODAS AS SECUNDARIAS DA 301.COBRAR A MAIS,1 ABERTURA E FECHAMENTO, 1 CX NOVA, 1 FUSÕES, 1 DERIVAÇÃO E 158 METROS DE CABO DE 12FO</t>
  </si>
  <si>
    <t>RSCLND0651</t>
  </si>
  <si>
    <t>RSCLND0652</t>
  </si>
  <si>
    <t>RSCLND0653</t>
  </si>
  <si>
    <t>RSCLND0654</t>
  </si>
  <si>
    <t>RSCLND0655</t>
  </si>
  <si>
    <t>M</t>
  </si>
  <si>
    <t>AZNAHB</t>
  </si>
  <si>
    <t>R000/R021</t>
  </si>
  <si>
    <t>NODE SAIU DA CX EXISTENTE T040, ALIMENTOU A FIST 171. COBRAR TODAS AS SECUNDARIAS DA 171.</t>
  </si>
  <si>
    <t>CNTAP</t>
  </si>
  <si>
    <t>NODE SAIU DA CX EXISTENTE 231, ALIMENTOU AS FISTS 151,152,153,154, COBRAR TODAS AS SECUNDARIAS DAS 151,152,153,154. COBRAR 4 ABERTURA E FECHAMENTO, 206 FUSÕES  A MAIS. COBRAR 30 METROS DE CORDOALHA.</t>
  </si>
  <si>
    <t>NODE SAIU DA CX EXISTENTE 231, ALIMENTOU AS CXS T170, 171, 172,173, COBRAR TODAS AS SECUNDARIAS DAS 171,172,173.COBRAR 1 ABERTURA E FECHAMENTO E 12 FUSÕES A MAIS</t>
  </si>
  <si>
    <t>NODE SAIU DO SITE, ALIMENTOU AS CXS T080, T100, 321 E 322, COBRAR TODAS AS SECUNDARIAS DAS 321,322.COBRAR 500 METROS A MAIS DE 144FO E 400 METROS DE 12FO, 30 METROS DE CORDOALHA.</t>
  </si>
  <si>
    <t>R032</t>
  </si>
  <si>
    <t>FOI LANÇADO 320 METROS DE CABO DE 12FO AS, 1 ABERTURA E FECHAMENTO, 2 FUSÕES, 1 CX NOVA, 1 DERIVAÇÃO, 1 TESTE.</t>
  </si>
  <si>
    <t>MIGRAÇÃO RSPCE13</t>
  </si>
  <si>
    <t>FOI LANÇADO 600 METROS DE CABO DE 12FO AUTOSUSTENTAVEL,2 ABERTURA E FECHAMENTO, 6 FUSÕES, 1 CX NOVA, 1 DERIVAÇÕES, 2 TESTES</t>
  </si>
  <si>
    <t xml:space="preserve">NAVAAA FASE 2 </t>
  </si>
  <si>
    <t>111,112,114,115,116</t>
  </si>
  <si>
    <t>R003/R016</t>
  </si>
  <si>
    <t>SANALA FASE 2</t>
  </si>
  <si>
    <t> RUA ESTRELA 295 </t>
  </si>
  <si>
    <t>PRIAA.091.01.08</t>
  </si>
  <si>
    <t>PRIAB</t>
  </si>
  <si>
    <t>TCS.018.M010</t>
  </si>
  <si>
    <t>R DOZE DE MAIO, 483</t>
  </si>
  <si>
    <t>TRÊS COROA</t>
  </si>
  <si>
    <t>TCS</t>
  </si>
  <si>
    <t>RSTSS01</t>
  </si>
  <si>
    <t>PRTAA.001.M100</t>
  </si>
  <si>
    <t> R Barão do Amazonas, 130</t>
  </si>
  <si>
    <t> R Barão do Amazonas, 156</t>
  </si>
  <si>
    <t>JBOAA.062.M040</t>
  </si>
  <si>
    <t>Cond. DIEGO RIVERA </t>
  </si>
  <si>
    <t>2 ABERTURAS, 3 FUSÕES, 1 TESTES OTDR E 2 TESTES</t>
  </si>
  <si>
    <t>2 ABERTURA E FECHAMENTO, 2 FUSÕES, 1 TESTE OTDR, 1 TESTE.</t>
  </si>
  <si>
    <t>SANTA CRUZ DO SUL</t>
  </si>
  <si>
    <t>ILIMINADO</t>
  </si>
  <si>
    <t>VINICIUS PEREIRA MARQUES</t>
  </si>
  <si>
    <t>044.167.030-07</t>
  </si>
  <si>
    <t>SIDINEI DA SILVA KELLER</t>
  </si>
  <si>
    <t>827.398.110-04</t>
  </si>
  <si>
    <t>Nodes 2026\PORTO ALEGRE\BVSAA_node PDRAFA (101,102,103,104)\BVSAA_PDRAFA.kmz</t>
  </si>
  <si>
    <t>Nodes 2026\PORTO ALEGRE\BVSAA_node PDRAD FASE 4 (011,013,016)\BVSAA_PDRAD FASE 4.kmz</t>
  </si>
  <si>
    <t>Nodes 2026\PORTO ALEGRE\BVSAA_node VJDAK (141,142)\BVSAA_VJDAK.kmz</t>
  </si>
  <si>
    <t>Nodes 2026\PORTO ALEGRE\CMQAA_node CTLAA (021,022,023)\CMQAA_CTLAA.kmz</t>
  </si>
  <si>
    <t>Nodes 2026\NOVO HAMBURGO\CNTAA_node CNTAL (081,082,083,084)\CNTAA_CNTAL.kmz</t>
  </si>
  <si>
    <t>Nodes 2026\PORTO ALEGRE\FLOAA_node FLOAPA (021,022,023)\FLOAA_FLOAPA.kmz</t>
  </si>
  <si>
    <t>Nodes 2026\NOVO HAMBURGO\GRIAA_node GRIAD (091,092,093,094,095)\GRIAA_GRIAD.kmz</t>
  </si>
  <si>
    <t>Nodes 2026\NOVO HAMBURGO\GRIAA_node GRIAC (071,072,073,074,075)\GRIAA_GRIAC.kmz</t>
  </si>
  <si>
    <t>Nodes 2026\NOVO HAMBURGO\GRIAA_node GRIAAA (051,052,053,054,055)\GRIAA_GRIAAA.kmz</t>
  </si>
  <si>
    <t>Nodes 2026\PORTO ALEGRE\HPCAA_node HPCAF (031)\HPCAA.031_HPCAF.kmz</t>
  </si>
  <si>
    <t>Nodes 2026\PORTO ALEGRE\IPMAA_node VNVAR (111)\IPMAA.111_VNVAR.kmz</t>
  </si>
  <si>
    <t>Nodes 2026\PORTO ALEGRE\MNDAB_node MNDAAB (121,122,123)\MNDAB_MNDAAB.kmz</t>
  </si>
  <si>
    <t>Nodes 2026\PORTO ALEGRE\PETAA_node PETAPA (081,082)\PETAA_PETAPA.kmz</t>
  </si>
  <si>
    <t>Nodes 2026\PORTO ALEGRE\PRTAA_node PRTAS FASE 2 (042)\PRTAA.042_PRTAS FASE 2.kmz</t>
  </si>
  <si>
    <t>Nodes 2026\PORTO ALEGRE\SANAA_node CBXAJA (291,292)\SANAA_CBXAJA.kmz</t>
  </si>
  <si>
    <t>Nodes 2026\PORTO ALEGRE\SANAA_node CBXAG (311)\SANAA.311_CBXAG.kmz</t>
  </si>
  <si>
    <t>Nodes 2026\PORTO ALEGRE\CNTAA_node CNTAL (131,132,133,134,135)\CNTAA_CNTAL.kmz</t>
  </si>
  <si>
    <t>LINK DO KMZ</t>
  </si>
  <si>
    <t>Nodes 2026\PORTO ALEGRE\BVSAB_ node_ VJDAEB (312)\BVSAB_VJDAEB.kmz</t>
  </si>
  <si>
    <t>Nodes 2026\PORTO ALEGRE\CNTAB_node CNTAD (051,052,053)\CNTAB_CNTAD.kmz</t>
  </si>
  <si>
    <t>Nodes 2026\PORTO ALEGRE\CTLAA_node CTLAHB (033)\CTLAA_CTLAHB.kmz</t>
  </si>
  <si>
    <t>Nodes 2026\PORTO ALEGRE\CTLAA_node CTLAJ (011)\CTLAA.011_CTLAJ.kmz</t>
  </si>
  <si>
    <t>Nodes 2026\PORTO ALEGRE\CTLAA_node CTLAK (041,042,043,044)\CTLAA_CTLAK.kmz</t>
  </si>
  <si>
    <t>Nodes 2026\PORTO ALEGRE\CTLAA_node CTLAHA (031,032)\CTLAA_CTLAHA.kmz</t>
  </si>
  <si>
    <t>Nodes 2026\PORTO ALEGRE\HPCAA_node HPCADB (071)\HPCAA.071_HPCADB.kmz</t>
  </si>
  <si>
    <t>Nodes 2026\PORTO ALEGRE\MNDAB_node PBLAC (091,092,093)\MNDAB_PBLAC.kmz</t>
  </si>
  <si>
    <t>Nodes 2026\PORTO ALEGRE\MNDAC_node STZAG (141)\MNDAC_STZAG.kmz</t>
  </si>
  <si>
    <t>Nodes 2026\PORTO ALEGRE\MSTAA_node MQTAE (131,132)\MSTAA_MQTAE.kmz</t>
  </si>
  <si>
    <t>Nodes 2026\PORTO ALEGRE\SANAB_node PRTAD (101,102)\SANAB_PRTAD.kmz</t>
  </si>
  <si>
    <t>Nodes 2026\PORTO ALEGRE\SSOAA_node SSOAH (161)\SSOA.161_SSOAH.kmz</t>
  </si>
  <si>
    <t>Nodes 2026\PORTO ALEGRE\VIPAA_ node VIPAB (091)\VIPAA_VIPAB.kmz</t>
  </si>
  <si>
    <t>Nodes 2026\PORTO ALEGRE\VIPAA_ node SPEAF (061)\VIPAA_SPEAF.kmz</t>
  </si>
  <si>
    <t>CATIA / ANDERSON</t>
  </si>
  <si>
    <t>FOI LANÇADO 2665 METROS DE CABO,96 ABERTURAS E FECHAMENTO, 312 FUSÕES, 12 DERIVAÇÃO, 57 TESTE OTDR, 5 CX NOVA COBRAR MAIS 10 ABERTURA E FECHAMENTO, 22 FUSÕES, 1 NAP NOVA, 3 DERIVAÇÕES, 4 TESTE OTDR.</t>
  </si>
  <si>
    <t>NODE SAIU DA CX EXISTENTE 141, ALIMENTOU AS FISTS 061 E 062, COBRAR TODAS AS SECUNDARIAS DA 061,062.COBRAR 13 ABERTURA E FECHAMENTO, 191 FUSÕES A MAIS.</t>
  </si>
  <si>
    <t>NODE SAIU DA CX EXISTENTE T080, ALIMENTOU AS FISTS 101,102,103,104, COBRAR TODAS AS SECUNDARIAS DAS 101,102,103,104.COBRAR MAIS 3 ABERTURA E FECHAMENTO, 2 DERIVAÇÕES, 30 FUSÕES A MAIS E 302 MENTROS DE CABO DE 24FO.</t>
  </si>
  <si>
    <t>RODRIGO BUIU</t>
  </si>
  <si>
    <t>NODE SAIU DA CX EXISTENTE 062, ALIMENTOU AS FISTS 063,064,065,067,068, COBRAR TODAS AS SECUNDARIAS DAS 063,064,065,067,068.COBRAR 8 ABERTURA E FECHAMENTO A MAIS E 288 FUSÕES.</t>
  </si>
  <si>
    <t>COBRAR 80 METROS DE CABO DE 12FO, 36 ABERTURAS E FECHAMENTO, 89 FUSÕES, 1 DERIVAÇÃO E 1 CX NOVA. COBRAR MAIS 32 ABERTURA E FECHAMENTO, 110 FUSÕES, 6 DERIVAÇÕES, 1772 METROS DE CABO AS E 86 METROS DE CABO DDS</t>
  </si>
  <si>
    <t>NODE SAIU DA CX EXISTENTE 032, ALIMENTOU A CX T040 E AS FISTS 051,052,053,054 E 055, COBRAR TODAS AS SECUNDARIAS DAS 051,052,053,054 E 055.COBRAR 174 METROS DE CORDOALHAS. COBRAR 6 ABERTURA E FECHAEMNTO, 252 FUSÕES A MAIS.COBRAR 1 CX NOVA 12 FUSÕES E 139 METROS DE CABO DE 12FO, 116 METROS DE REPUXAMENTO DE CABO</t>
  </si>
  <si>
    <t>SRDAF FASE 2</t>
  </si>
  <si>
    <t>RBTAC.024</t>
  </si>
  <si>
    <t>CENBAA</t>
  </si>
  <si>
    <t>NODE SAIU DA CX EXISTENTE T030, ALIMENTOU AS CXS T110, 093,092 E 091. COBRAR TODAS AS SECUNDARIAS DAS 091, 092 E 093..</t>
  </si>
  <si>
    <t>91,092,093</t>
  </si>
  <si>
    <t>FOI LANÇADO 473 METROS DE CABO DE 12FO, 5 ABERTURA E FECHAMENTO, 11 FUSÕES, 1 CX NOVA, 1 DERIVAÇÃO, 3 TESTES.3 TESTES DE OTDR</t>
  </si>
  <si>
    <t>NODE SAIU DO SITE, ALIMENTOU A CX T030 E AS FISTS 071,072,073,074 E 075, COBRAR TODAS AS SECUNDARIAS DAS 071,072,073,074 E 075.COBRAR 550 METROS DE CABO DE 144FO. COBRAR 800 METROS DE RETIRADA DE ESPINAÇÃO, COBRAR 159 METROS DE CABO DE 12FO DDS A MAIS, 2 ABERTURA E FECHAMENTO, 9 FUSÕES E 2 DERIVAÇÕES.</t>
  </si>
  <si>
    <t>071,072,073,074</t>
  </si>
  <si>
    <t xml:space="preserve">SEM TESTES </t>
  </si>
  <si>
    <t>R Adda Mascarenhas de Moraes 705 </t>
  </si>
  <si>
    <t>RSCLER0803</t>
  </si>
  <si>
    <t>RSCLER0804</t>
  </si>
  <si>
    <t>RSCLER0805</t>
  </si>
  <si>
    <t>RSCLER0806</t>
  </si>
  <si>
    <t>RSCLER0807</t>
  </si>
  <si>
    <t>RSCLER0808</t>
  </si>
  <si>
    <t>RSCLER0809</t>
  </si>
  <si>
    <t>RSCLER0810</t>
  </si>
  <si>
    <t>RSCLER0811</t>
  </si>
  <si>
    <t>RSCLER0812</t>
  </si>
  <si>
    <t>RSCLER0813</t>
  </si>
  <si>
    <t>RSCLER0814</t>
  </si>
  <si>
    <t>Cond.Edifício Residencial Mansões do Norte</t>
  </si>
  <si>
    <t>Rua Ari Barroso, 109</t>
  </si>
  <si>
    <t>RBTALB</t>
  </si>
  <si>
    <t>RSPNOA8</t>
  </si>
  <si>
    <t>Cond.</t>
  </si>
  <si>
    <t>R. GOLDA MEIR 83</t>
  </si>
  <si>
    <t>RBTAB.014.M010</t>
  </si>
  <si>
    <t>R. GOLDA MEIR 33</t>
  </si>
  <si>
    <t>R. GOLDA MEIR 41</t>
  </si>
  <si>
    <t>R. GOLDA MEIR 71</t>
  </si>
  <si>
    <t>Cond.Aruanã </t>
  </si>
  <si>
    <t>Cond.(Paloma Palace)</t>
  </si>
  <si>
    <t>JITAB.151.M060</t>
  </si>
  <si>
    <t>RBTAA.021.M020</t>
  </si>
  <si>
    <t>RBTAA.021.M010</t>
  </si>
  <si>
    <t>R ARI BARROSO 36</t>
  </si>
  <si>
    <t>FOI LANÇADO 167 METROS DE CABO DE 12FO, 8 ABERTURA E FECHAMENTO, 14 FUSÕES, 3 DERIVAÇÕES, 3 TESTES.</t>
  </si>
  <si>
    <t>RSCLND0656</t>
  </si>
  <si>
    <t>RSCLND0657</t>
  </si>
  <si>
    <t>RSCLND0658</t>
  </si>
  <si>
    <t>RSCLND0659</t>
  </si>
  <si>
    <t>CNTAU</t>
  </si>
  <si>
    <t>R015/R029</t>
  </si>
  <si>
    <t>CBXAH</t>
  </si>
  <si>
    <t>273,274,275,276,277</t>
  </si>
  <si>
    <t>RNDAC</t>
  </si>
  <si>
    <t>FOI LANÇADO 763 METROS DE CABO DE 24FO, 571 METROS DE CORDOALHA DE AÇO.</t>
  </si>
  <si>
    <t>RUA SANTA ROSA DE LIMA, 245</t>
  </si>
  <si>
    <t xml:space="preserve">6 ABERTURA E FECHAMENTO, 11 FUSÕES, 3 TESTES, </t>
  </si>
  <si>
    <t>2 ABERTURA E FECHAMENTO, 2 FUSÕES, 1 TESTE, 1 TESTE OTDR</t>
  </si>
  <si>
    <t>TIAGO FERREIRA (273)</t>
  </si>
  <si>
    <t>ADRIANO (274 A 277)</t>
  </si>
  <si>
    <t>Nodes 2025\PORTO ALEGRE\BFMAA_node BFMAG (261,262,263,264,265)\BFMAA_BFMAG.kmz</t>
  </si>
  <si>
    <t>Nodes 2025\PORTO ALEGRE\BFMAA_node BFMAF (281,282,283,284)\BFMAA_BFMAF.kmz</t>
  </si>
  <si>
    <t>Nodes 2025\PORTO ALEGRE\BMJAA_node BMJABA (031,032,033,034)\BMJAA_BMJABA.kmz</t>
  </si>
  <si>
    <t>Nodes 2025\PORTO ALEGRE\BMJAA_node BMJAA (011,012,013,014,015,016,017)\BMJAA_BMJAA.kmz</t>
  </si>
  <si>
    <t>Nodes 2025\PORTO ALEGRE\BVSAB_node JBOACA (151,152,153,154)\BVSAB_JBOACA.kmz</t>
  </si>
  <si>
    <t>Nodes 2025\PORTO ALEGRE\BVSAB_node JBOAF (171,172,173)\BVSAB_JBOAF.kmz</t>
  </si>
  <si>
    <t>Nodes 2025\PORTO ALEGRE\BVSAB_node VJDAEA (301)\BVSAB_VJDAEA.kmz</t>
  </si>
  <si>
    <t>Nodes 2025\PORTO ALEGRE\BVSAB_node VJDABA (321,322)\BVSAB_VJDABA.kmz</t>
  </si>
  <si>
    <t>Nodes 2025\PORTO ALEGRE\BVSAB_node JBOACB (371)\BVSAB_JBOACB.kmz</t>
  </si>
  <si>
    <t>Av Baltazar de Oliveira Garcia 2949</t>
  </si>
  <si>
    <t>RBTAB.012.M020</t>
  </si>
  <si>
    <t>Nodes 2025\PORTO ALEGRE\BVSAB_node BMJABB (251)\BVSAB_BMJABB.kmz</t>
  </si>
  <si>
    <t xml:space="preserve">NODE SAIU DA CX EXISTENTE T040, ALIMENTOU AS CXS T160, 391,392,393,394, COBRAR TODAS AS SECUNDARIAS DA 391,392,393,394. COBRAR 305 METROS DE CORDOALHAS. COBRAR 145 METROS A MAIS DE CABO DE 12FO, 1 ABERTURA E FECHAMENTO, 72 FUSÕES, 2 CX NOVA, </t>
  </si>
  <si>
    <t>Nodes 2025\PORTO ALEGRE\BVSAB_node VJDAM (391,392,393,394)\BVSAB_VJDAM.kmz</t>
  </si>
  <si>
    <t>Nodes 2025\PORTO ALEGRE\GUAAA_node IPMAH (031)\GUAAA_IPMAH.kmz</t>
  </si>
  <si>
    <t>Nodes 2025\PORTO ALEGRE\HPCAA_node HPCAKC (251)\HPCAA_HPCAKC.kmz</t>
  </si>
  <si>
    <t>Nodes 2025\PORTO ALEGRE\JBOAA_node PETAE (101,102,103)\JBOAA_PETAE.kmz</t>
  </si>
  <si>
    <t xml:space="preserve">CONSTRUIDO NA FASE 1 </t>
  </si>
  <si>
    <t>Nodes 2025\PORTO ALEGRE\MNDAA_node MNDAF FASE 2  (114)\MNDAA_MNDAF.kmz</t>
  </si>
  <si>
    <t>Nodes 2025\PORTO ALEGRE\MNDAA_node MNDAT (161,163)\MNDAA_MNDAT.kmz</t>
  </si>
  <si>
    <t>Nodes 2025\PORTO ALEGRE\MNDAA_node MNDAU (151,152,153)\MNDAA_MNDAU.kmz</t>
  </si>
  <si>
    <t>Nodes 2026\CAXIAS DO SUL\CENAB_node CENBAA (091,092,093)\CENAB_CENBAA.kmz</t>
  </si>
  <si>
    <t>Nodes 2026\PORTO ALEGRE\CMQAA_node CMQAK (061)\CMQAA.061_CMQAK.kmz</t>
  </si>
  <si>
    <t>rua Duque de Caxias 1464</t>
  </si>
  <si>
    <t>Nodes 2026\PORTO ALEGRE\MNDAA_node AZNAHB (171)\MNDAA.171_AZNAHB.kmz</t>
  </si>
  <si>
    <t>Nodes 2026\PORTO ALEGRE\MNDAA_node MNDAI (051)\MNDAA.051_MNDAI.kmz</t>
  </si>
  <si>
    <t>ANDERSON (111,112)</t>
  </si>
  <si>
    <t>CATIA (114,115,116)</t>
  </si>
  <si>
    <t>ANDERSON (276,277)</t>
  </si>
  <si>
    <t>JOSÉ</t>
  </si>
  <si>
    <t>3 ABERTURA E FECHAMENTO, 3 FUSÕES, 1 TESTE, COBRAR AS BUILTS</t>
  </si>
  <si>
    <t>CENAFB</t>
  </si>
  <si>
    <t>NODE SAIU DA CX EXISTENTE 041, ALIMENTOU A FIST 042, COBRAR TODAS AS SECUNDARIAS DA 041 E 042.</t>
  </si>
  <si>
    <t>CLEVERSOM</t>
  </si>
  <si>
    <t>FUSÃO 20%</t>
  </si>
  <si>
    <t>HUB BENTO</t>
  </si>
  <si>
    <t>UNIAGA</t>
  </si>
  <si>
    <t>CATIA (274,275), AFONSO (273)</t>
  </si>
  <si>
    <t>Nodes 2026\PORTO ALEGRE\MNDAA_node AZNADA FASE 2 (022)\MNDAA.022_AZNADA FASE 2.kmz</t>
  </si>
  <si>
    <t>RSCLER0815</t>
  </si>
  <si>
    <t>RSCLER0816</t>
  </si>
  <si>
    <t>RSCLER0817</t>
  </si>
  <si>
    <t>RSCLER0818</t>
  </si>
  <si>
    <t>RSCLER0819</t>
  </si>
  <si>
    <t>RSCLER0820</t>
  </si>
  <si>
    <t>RSCLER0821</t>
  </si>
  <si>
    <t>RSCLER0822</t>
  </si>
  <si>
    <t>RSCLER0823</t>
  </si>
  <si>
    <t>RSCLER0824</t>
  </si>
  <si>
    <t>RSCLER0825</t>
  </si>
  <si>
    <t>RSCLER0826</t>
  </si>
  <si>
    <t>RSCLER0827</t>
  </si>
  <si>
    <t>TRZAA.102.M010</t>
  </si>
  <si>
    <t>Cond.(ED. COPACABANA)</t>
  </si>
  <si>
    <t>TV ITAPERUNA 21</t>
  </si>
  <si>
    <t>AV BENJAMIN CONSTANT 1808 </t>
  </si>
  <si>
    <t>MTSAA.215.M010</t>
  </si>
  <si>
    <t>ED VICE PRESIDENTE</t>
  </si>
  <si>
    <t>ED ZENON</t>
  </si>
  <si>
    <t>AV TAPIACU 334</t>
  </si>
  <si>
    <t>SPEAA.031.M070</t>
  </si>
  <si>
    <t>R CARLOS ESTEVAO 435</t>
  </si>
  <si>
    <t>RBTAB.034.M010</t>
  </si>
  <si>
    <t>AV, IJUÍ 648</t>
  </si>
  <si>
    <t>PETAA.091.M020</t>
  </si>
  <si>
    <t>FOI LANÇADO 291 METROS DE CABO DE 12FO, 67 MENTRO DE CABO DE 24FO, 1 ABERTURA E FECHAMENTO, 1 DERIVAÇÃO, 2 CX NOVA, 22 FUSÕES, 8 TESTES.COBRAR JUNTO COM A OS RSCLER0809</t>
  </si>
  <si>
    <t>FOI LANÇADO 149 METROS DE CABO DE 12FO, 1 CX NOVA, 1 NAP NOVA, 13 FUSÕES, 9 TESTES. COBRAR JUNTO COM A OS RSCLER0803</t>
  </si>
  <si>
    <t>tlaa</t>
  </si>
  <si>
    <t>2 ABERTURA E FECHAMENTO, 2 FUSÕES, 1 TESTES, 1 TESTE OTDR</t>
  </si>
  <si>
    <t>AV NILO RUSCHEL 860</t>
  </si>
  <si>
    <t>VJDAB.122.M020</t>
  </si>
  <si>
    <t>Rua Joaquim G De Campos Netto, 35</t>
  </si>
  <si>
    <t>R SANTA VITÓRIA ,40</t>
  </si>
  <si>
    <t>TRZAA.052.M060</t>
  </si>
  <si>
    <t>ED VILLEMONT-</t>
  </si>
  <si>
    <t>R CEL. JOÃO PINTO 185</t>
  </si>
  <si>
    <t>TRLAA.161.M030</t>
  </si>
  <si>
    <t>R DELFINO RIET 610</t>
  </si>
  <si>
    <t>JITAB.153.M070</t>
  </si>
  <si>
    <t>18//04/2026</t>
  </si>
  <si>
    <t>PRTAB.091.M020</t>
  </si>
  <si>
    <t>AV. BALTAZAR DE OLIVEIRA GARCIA 3711</t>
  </si>
  <si>
    <t>RBTAB.014.M030</t>
  </si>
  <si>
    <t>Cond. Praia Areia Preta</t>
  </si>
  <si>
    <t>AV. BALTAZAR DE OLIVEIRA GARCIA 3447 E 3457</t>
  </si>
  <si>
    <t>RBTAB.013.M010</t>
  </si>
  <si>
    <t>Cond Res Das Espatódeas</t>
  </si>
  <si>
    <t>R. das Espatódeas, 170</t>
  </si>
  <si>
    <t>HPCAA.212</t>
  </si>
  <si>
    <t>NAVAA.034.M020</t>
  </si>
  <si>
    <t>R CARLOS VON KOSERITZ 334</t>
  </si>
  <si>
    <t>NODE SAIU DA CX EXISTENTE 012, ALIMNTOU AS FISTS 114,115,116. COBRAR TODAS AS SECUNDARIAS DAS 111,112,114,115,116. COBRAR 12 ABERTURA E FECHAMENTO, 254 FUSÕES A MAIS.COBRAR 150 METROS DE CORDOALHA.</t>
  </si>
  <si>
    <t>R ITABORAI 154</t>
  </si>
  <si>
    <t>JBOAA.102.M020</t>
  </si>
  <si>
    <t>AFONSO LEMOS DA SILVA</t>
  </si>
  <si>
    <t>ATTRACOM SERV. EM TELECOMUNICAÇÕES</t>
  </si>
  <si>
    <t>CLEVERSON DOS SANTOS GOMES</t>
  </si>
  <si>
    <t>DERIK PERERIRA</t>
  </si>
  <si>
    <t>FILIPE KAUA DA ROSA BACKES</t>
  </si>
  <si>
    <t xml:space="preserve">GEM TELECOM </t>
  </si>
  <si>
    <t>GILSON ERICO DE ALMEIDA</t>
  </si>
  <si>
    <t xml:space="preserve">GUILHERME ALBRECHT </t>
  </si>
  <si>
    <t>HILFEMED LTDA</t>
  </si>
  <si>
    <t>MARCOS EMILIANO DA ROSA</t>
  </si>
  <si>
    <t xml:space="preserve">MARCOS MARTINS </t>
  </si>
  <si>
    <t>MARCOS VINICIUS (LARISSA)</t>
  </si>
  <si>
    <t>MURILO DIDIO</t>
  </si>
  <si>
    <t>PAULO KEIBER</t>
  </si>
  <si>
    <t>PAULO RIBACZKI</t>
  </si>
  <si>
    <t>TIAGO DOS SANTOS FERREIRA</t>
  </si>
  <si>
    <t>UBIRAJARA DOS SANTOS TAQUATIA</t>
  </si>
  <si>
    <t>VICTOR GUILHERME BRAGA SOARES</t>
  </si>
  <si>
    <t>TERCEIROS PROJETO F E MDU</t>
  </si>
  <si>
    <t>PAULO FERRAZ</t>
  </si>
  <si>
    <t>LUIS HENRIQUE RIBACZKI</t>
  </si>
  <si>
    <t>GABRIEL DE BRITO</t>
  </si>
  <si>
    <t>RSCLER0828</t>
  </si>
  <si>
    <t>Cond Praia dos Artistas</t>
  </si>
  <si>
    <t>RBTAB.034.M020</t>
  </si>
  <si>
    <t xml:space="preserve">5 ABERTURA E FECHAMENTO, 8 FUSÕES, 3 TESTES OTDR, 1 TESTE </t>
  </si>
  <si>
    <t>RSCLER0829</t>
  </si>
  <si>
    <t>Av. Baltazar de Oliveira Garcia, nº 3221, 3219 e 3275 / Rua Doutor Romaguera da Cunha Corrêa, nº 85 e 35</t>
  </si>
  <si>
    <t>RBTAB.011.M010</t>
  </si>
  <si>
    <t>FOI LANÇADO 91 METROS DE CABO DE 24FO, 5 ABERTURA E FECHAMENTO, 2 DERIVAÇÕES, 30 FUSÕES, 3 TESTES OTDR E 20 TESTES</t>
  </si>
  <si>
    <t>NODE SAIU DA CX EXISTENTE 091, ALIMENTOU A FIST 092, COBRAR TODAS AS SECUNDARIAS DA 092.COBRAR 250 METROS DE CORDOALHAS</t>
  </si>
  <si>
    <t xml:space="preserve">DAVID RAFAEL SALOMÃO </t>
  </si>
  <si>
    <t xml:space="preserve">ANDERSON JANDREY </t>
  </si>
  <si>
    <t>ABRAÃO RODRIGUES</t>
  </si>
  <si>
    <t>RSCLER0830</t>
  </si>
  <si>
    <t>RSCLER0831</t>
  </si>
  <si>
    <t>RSCLER0832</t>
  </si>
  <si>
    <t>RSCLER0833</t>
  </si>
  <si>
    <t>RSCLER0834</t>
  </si>
  <si>
    <t>RSCLER0835</t>
  </si>
  <si>
    <t>RSCLER0836</t>
  </si>
  <si>
    <t>RSCLER0837</t>
  </si>
  <si>
    <t>RSCLER0838</t>
  </si>
  <si>
    <t>RSCLER0839</t>
  </si>
  <si>
    <t>RSCLER0840</t>
  </si>
  <si>
    <t>(COND COMODORO)</t>
  </si>
  <si>
    <t>R DR ARMANDO BARBEDO 876</t>
  </si>
  <si>
    <t>TRZAA.113.M010</t>
  </si>
  <si>
    <t>OESA COMERCIO E REPRESENTACOES S A</t>
  </si>
  <si>
    <t>VGR.008.05.02</t>
  </si>
  <si>
    <t>RSIVI01</t>
  </si>
  <si>
    <t> AV SOUZA MELO 1084</t>
  </si>
  <si>
    <t>PAMPAS I </t>
  </si>
  <si>
    <t>SRDAA.085.M020</t>
  </si>
  <si>
    <t>R CARLOS ESTEVÃO 620</t>
  </si>
  <si>
    <t>AIRTON</t>
  </si>
  <si>
    <t>R JOAQUIM G. DE CAMPOS NETTO 91</t>
  </si>
  <si>
    <t>AV CRISTOVÃO COLOMBO 2144</t>
  </si>
  <si>
    <t>FLOAA.034.M020</t>
  </si>
  <si>
    <t xml:space="preserve"> R VISC. DO HERVAL 533</t>
  </si>
  <si>
    <t>Edifício Visconde</t>
  </si>
  <si>
    <t>MNDAA.111.M020</t>
  </si>
  <si>
    <t>VINICIUS DE BRITO</t>
  </si>
  <si>
    <t>MTSAA.004.M020</t>
  </si>
  <si>
    <t xml:space="preserve">Condomínio Edifício Leticia </t>
  </si>
  <si>
    <t>R. Felicissimo de Azevedo, 1225</t>
  </si>
  <si>
    <t>Cond. Jardim Guanabara</t>
  </si>
  <si>
    <t>R MARCONE 250</t>
  </si>
  <si>
    <t>PRTAA.051.M010</t>
  </si>
  <si>
    <t>R JOAO ALFREDO 235</t>
  </si>
  <si>
    <t>ED BELA</t>
  </si>
  <si>
    <t>MNDAB.001.M010</t>
  </si>
  <si>
    <t>R MAL FLORIANO PEIXOTO 589</t>
  </si>
  <si>
    <t>ED MAL FLORIANO</t>
  </si>
  <si>
    <t>FOI LANÇADO 763 METROS DE CABO DE 24FO DDS E 582 METROS DE CORDOALHA DE AÇO.</t>
  </si>
  <si>
    <t>RUA DOS MAIAS, 965</t>
  </si>
  <si>
    <t>Rua Sílvio Gilberto Christmann 158</t>
  </si>
  <si>
    <t>CNUAA.072.05.01</t>
  </si>
  <si>
    <t>2 ABERTURA E FECHAMENTO, 1 FUSÕES, 1 TESTE</t>
  </si>
  <si>
    <t>RSPCE41</t>
  </si>
  <si>
    <t>3 ABERTURA E FECHAMENTO, 7 FUSÕES, 2 TESTES, 1 TESTE OTDR</t>
  </si>
  <si>
    <t>RSCLER0841</t>
  </si>
  <si>
    <t>RSCLER0842</t>
  </si>
  <si>
    <t>RSCLER0843</t>
  </si>
  <si>
    <t>RSCLER0844</t>
  </si>
  <si>
    <t>RSCLER0845</t>
  </si>
  <si>
    <t>RSCLER0846</t>
  </si>
  <si>
    <t>Condomínio Edificio Elfrida</t>
  </si>
  <si>
    <t>Av. Protásio Alves, 2631</t>
  </si>
  <si>
    <t>RESID DON MANOEL</t>
  </si>
  <si>
    <t>AV MANOEL ELIAS 2200</t>
  </si>
  <si>
    <t>MSTAA.032.M010</t>
  </si>
  <si>
    <t xml:space="preserve"> Cond. Alto Petrópolis</t>
  </si>
  <si>
    <t>AV. ARY TARRAGO 340</t>
  </si>
  <si>
    <t>VJDAB.123.M010</t>
  </si>
  <si>
    <t>Inserido no WF</t>
  </si>
  <si>
    <t>ED MARIA CARVALHO</t>
  </si>
  <si>
    <t>RSCLER0847</t>
  </si>
  <si>
    <t>RSCLER0848</t>
  </si>
  <si>
    <t>RSCLER0849</t>
  </si>
  <si>
    <t>RSCLER0850</t>
  </si>
  <si>
    <t>RSCLER0851</t>
  </si>
  <si>
    <t>RSCLER0852</t>
  </si>
  <si>
    <t>RSCLER0853</t>
  </si>
  <si>
    <t>AV DES ANDRE DA ROCHA 217</t>
  </si>
  <si>
    <t>CNTAA.133.M020</t>
  </si>
  <si>
    <t>COND. O TEMPO EO VENTO</t>
  </si>
  <si>
    <t>R OCTAVIO CORREA,60</t>
  </si>
  <si>
    <t>Cond.KLIMT</t>
  </si>
  <si>
    <t>R JOAO CAETANO,58</t>
  </si>
  <si>
    <t>PETAA.042.M030</t>
  </si>
  <si>
    <t xml:space="preserve">Cond. DUMOS </t>
  </si>
  <si>
    <t>AV DES ANDRE DA ROCHA 158</t>
  </si>
  <si>
    <t>CNTAA.134.M010</t>
  </si>
  <si>
    <t>MSTAI</t>
  </si>
  <si>
    <t xml:space="preserve">Residencial Santo Antonio </t>
  </si>
  <si>
    <t>R. República, 2708</t>
  </si>
  <si>
    <t xml:space="preserve">CNTAB.401 </t>
  </si>
  <si>
    <t>Condomínio Solar da Praça</t>
  </si>
  <si>
    <t>Av. Ijuí, 652</t>
  </si>
  <si>
    <t>BFMAA.291.04</t>
  </si>
  <si>
    <t>BFMAA.291.05</t>
  </si>
  <si>
    <t>BFMAA.291.06</t>
  </si>
  <si>
    <t>BFMAA.291.07</t>
  </si>
  <si>
    <t>EST02</t>
  </si>
  <si>
    <t xml:space="preserve"> EST02</t>
  </si>
  <si>
    <t>EST01</t>
  </si>
  <si>
    <t>BFMAA.041.01</t>
  </si>
  <si>
    <t>BFMAA.041.02</t>
  </si>
  <si>
    <t>BFMAA.041.03</t>
  </si>
  <si>
    <t>BFMAA.192.01</t>
  </si>
  <si>
    <t>BFMAA.192.02</t>
  </si>
  <si>
    <t>BFMAA.192.03</t>
  </si>
  <si>
    <t>BFMAA.192.04</t>
  </si>
  <si>
    <t>BFMAA.271.01</t>
  </si>
  <si>
    <t>BFMAA.271.02</t>
  </si>
  <si>
    <t>BFMAA.271.03</t>
  </si>
  <si>
    <t>BFMAA.271.04</t>
  </si>
  <si>
    <t>BFMAA.272.04</t>
  </si>
  <si>
    <t>BFMAA.272.01</t>
  </si>
  <si>
    <t>BFMAA.272.02</t>
  </si>
  <si>
    <t>BFMAA.272.03</t>
  </si>
  <si>
    <t>BFMAA.272.05</t>
  </si>
  <si>
    <t>BFMAA.274.01</t>
  </si>
  <si>
    <t>BFMAA.274.02</t>
  </si>
  <si>
    <t>BFMAA.274.03</t>
  </si>
  <si>
    <t>BFMAA.273.01</t>
  </si>
  <si>
    <t>BFMAA.273.02</t>
  </si>
  <si>
    <t>BFMAA.273.03</t>
  </si>
  <si>
    <t>BFMAA.273.04</t>
  </si>
  <si>
    <t>BFMAA.275.01</t>
  </si>
  <si>
    <t>BFMAA.275.02</t>
  </si>
  <si>
    <t>BFMAA.276.01</t>
  </si>
  <si>
    <t>BFMAA.276.02</t>
  </si>
  <si>
    <t>BFMAA.276.03</t>
  </si>
  <si>
    <t>BFMAA.275.05</t>
  </si>
  <si>
    <t>BFMAA.275.06</t>
  </si>
  <si>
    <t>BFMAA.275.08</t>
  </si>
  <si>
    <t>BFMAA.275.09</t>
  </si>
  <si>
    <t>BFMAA.275.10</t>
  </si>
  <si>
    <t>BFMAA.275.11</t>
  </si>
  <si>
    <t>BFMAA.275.03</t>
  </si>
  <si>
    <t>BFMAA.275.04</t>
  </si>
  <si>
    <t>SITE RSPLE78 - DIO 2C - EST02</t>
  </si>
  <si>
    <t>SITE RSPLE78 - DIO 2B - EST01</t>
  </si>
  <si>
    <t>TRLAA.171.04</t>
  </si>
  <si>
    <t xml:space="preserve"> STZAE </t>
  </si>
  <si>
    <t>STZAE</t>
  </si>
  <si>
    <t>TRLAA.171.05</t>
  </si>
  <si>
    <t>TRLAA.171.06</t>
  </si>
  <si>
    <t>TRLAA.171.07</t>
  </si>
  <si>
    <t>TRLAA.171.08</t>
  </si>
  <si>
    <t>TRLAA.171.09</t>
  </si>
  <si>
    <t>TRLAA.171.10</t>
  </si>
  <si>
    <t>TRLAA.171.11</t>
  </si>
  <si>
    <t>TRLAA.171.12</t>
  </si>
  <si>
    <t>TRLAA.171.13</t>
  </si>
  <si>
    <t>TRLAA.171.14</t>
  </si>
  <si>
    <t>TRLAA.171.15</t>
  </si>
  <si>
    <t>TRLAA.171.16</t>
  </si>
  <si>
    <t>TRLAA.171.29</t>
  </si>
  <si>
    <t>TRLAA.171.28</t>
  </si>
  <si>
    <t>TRLAA.171.27</t>
  </si>
  <si>
    <t>TRLAA.171.26</t>
  </si>
  <si>
    <t>TRLAA.171.25</t>
  </si>
  <si>
    <t>TRLAA.171.24</t>
  </si>
  <si>
    <t>TRLAA.171.17</t>
  </si>
  <si>
    <t>TRLAA.171.18</t>
  </si>
  <si>
    <t>TRLAA.171.19</t>
  </si>
  <si>
    <t>TRLAA.171.20</t>
  </si>
  <si>
    <t>TRLAA.171.21</t>
  </si>
  <si>
    <t>TRLAA.171.22</t>
  </si>
  <si>
    <t>TRLAA.171.23</t>
  </si>
  <si>
    <t>SITE HZS - DIO 1E - EST01</t>
  </si>
  <si>
    <t>4 ABERTURA E FECHAMENTO, 15 FUSÕES, 5 TESTE OTDR, 4 TESTES</t>
  </si>
  <si>
    <t>Cond. SY PRAÇA</t>
  </si>
  <si>
    <t xml:space="preserve"> RUA DÁRIO TOTTA 215</t>
  </si>
  <si>
    <t>Cond. ED. DNA ESTHER</t>
  </si>
  <si>
    <t>R BARBEDO,474</t>
  </si>
  <si>
    <t>MNDAC.133.M030</t>
  </si>
  <si>
    <t>Cond Jardim Independencia</t>
  </si>
  <si>
    <t xml:space="preserve"> AV INDEPENDENCIA 1138 </t>
  </si>
  <si>
    <t>BFMAA.071.M010</t>
  </si>
  <si>
    <t>FOI LANÇADO 947 METROS DE CABO DE 12FO, 38 METROS DE CORDOALHA, 1 ABERTURA E FECHAMENTO, 1 DERIVAÇÃO, 1 NAP NOVA, 2 FUSÕES, 3 TESTES.</t>
  </si>
  <si>
    <t>5 ABERTURA E FECHAMENTO, 20 FUSÕES, 5 TESTES.</t>
  </si>
  <si>
    <t>3 ABERTURA E FECHAMENTO, 4 FUSÕES, 1 TESTES, 2 TESTE OTDR</t>
  </si>
  <si>
    <t>SITE RSPNO07 - DIO 1C - EST02</t>
  </si>
  <si>
    <t>SSOAA.051.01</t>
  </si>
  <si>
    <t>SSOAA.051.02</t>
  </si>
  <si>
    <t>RSCLER0854</t>
  </si>
  <si>
    <t>RSCLER0855</t>
  </si>
  <si>
    <t>RSCLER0856</t>
  </si>
  <si>
    <t>RSCLER0857</t>
  </si>
  <si>
    <t>RSCLER0858</t>
  </si>
  <si>
    <t>RSCLER0859</t>
  </si>
  <si>
    <t>2 ABERTURA E FECHAMENTO, 4 FUSÕES, 3 TESTES, 1 TESTE OTDR</t>
  </si>
  <si>
    <t>R FELICISSIMO DE AZEVEDO 1257</t>
  </si>
  <si>
    <t>Cond Ed Felicissimo</t>
  </si>
  <si>
    <t>3 ABERTURA E FECHAMENTO, 8 FUSÕES, 5 TESTES, 1 TESTE OTDR</t>
  </si>
  <si>
    <t>4 ABERTURA E FECHAMENTO, 7 FUSÕES, 4 TESTES</t>
  </si>
  <si>
    <t>Rua Joaquim Pedro Soares, 317</t>
  </si>
  <si>
    <t>CNTAA.091.M010</t>
  </si>
  <si>
    <t>AZNAA.051.M030</t>
  </si>
  <si>
    <t>2 ABERTURA E FECHAMENTO, 4 FUSÕES, 1 TESTE OTDR, 3 TESTES</t>
  </si>
  <si>
    <t>Cond. JD AMÉRICA</t>
  </si>
  <si>
    <t>RUA ENG. FERNANDO MENDES RIBEIRO 30</t>
  </si>
  <si>
    <t>R BR DE UBA,199</t>
  </si>
  <si>
    <t>MTSAA.305.M020</t>
  </si>
  <si>
    <t>2  ABERTURA E FECHAMENTO, 3 FUSÕES, 2 TESTES, 1 TESTE OTDR</t>
  </si>
  <si>
    <t>TRZAA.082.M030</t>
  </si>
  <si>
    <t>R LANDEL DE MOURA 207</t>
  </si>
  <si>
    <t>Cond. Nardon Veneza</t>
  </si>
  <si>
    <t>TRZAAA</t>
  </si>
  <si>
    <t>R CARAZINHO ,145</t>
  </si>
  <si>
    <t>PETAA.154.M020</t>
  </si>
  <si>
    <t>2 ABERTURA E FECHAMENTO, 3 FUSÕES, 1 TESTE OTDR, 2 TESTES.</t>
  </si>
  <si>
    <t>RSCLER0860</t>
  </si>
  <si>
    <t>RSCLER0861</t>
  </si>
  <si>
    <t>RSCLER0862</t>
  </si>
  <si>
    <t>RSCLER0863</t>
  </si>
  <si>
    <t>SANAA.363.M020</t>
  </si>
  <si>
    <t>4 ABERTURA E FECHAMENTO, 11 FUSÕES, 4 TESTES; 4 TESTE OTDR.</t>
  </si>
  <si>
    <t>Cond Ed Tiaraju</t>
  </si>
  <si>
    <t>AV NOVA YORK 409 </t>
  </si>
  <si>
    <t>FLOAA.042.M040</t>
  </si>
  <si>
    <t>FOI LANÇADO 144 METROS DE CABO DE 12FO, 5 ABERTURA E FECHAMENTO, 1 DERIVAÇÃO, 1 CX NOVA, 30 FUSÕES, 6 TESTES, 2 TESTE OTDR</t>
  </si>
  <si>
    <t>4 ABERTURA E FECHAMENTO, 11 FUSÕES, 5 TETSTES, 3 TESTES OTDR.</t>
  </si>
  <si>
    <t>3 ABERTURA E FECHAMENTO, 3 FUSÕES, 1 TESTE, 1 TESTE OTDR.</t>
  </si>
  <si>
    <t>2 ABERTURA E FECHAMENTO, 11 FUSÕES, 2 TESTES OTDR, 1 DERIVAÇÃO</t>
  </si>
  <si>
    <t>FOI LANÇADO 18 METROS DE CABO DE 12FO, 2 ABERTURA E FECHAMENTO, 3 FUSÃO, 2 DERIVAÇÃO, 1 CX NOVA, 1 TESTE, 1 TESTE OTDR</t>
  </si>
  <si>
    <t>NODE SAIU DA CX EXISTENTE 041, ALIMENTOU AS FISTS 273,274,275,276,277. COBRAR TODAS AS SECUNDARIAS DA 273,274,275,276,277.COBRAR 8 ABERTURA E FECHAMENTO, 519 FUSÕES, 2 CX NOVA, 90 METROS DE CABO DE 144FO.</t>
  </si>
  <si>
    <t>RUA CRISTOVÃO COLOMBO, 260</t>
  </si>
  <si>
    <t>BFMAA.192.M030</t>
  </si>
  <si>
    <t>1 ABERTURA E FECHAMENTO, 1 DERIVAÇÃO, 2 FUSÕES</t>
  </si>
  <si>
    <t>R GEN LIMA E SILVA 841</t>
  </si>
  <si>
    <t>FOI LANÇADO 313 METROS DE CABO DE 12FO, 2 ABERTURA E FECHAMENTO, 4 FUSÕES, 2 DERIVAÇÃO, 2 TESTES</t>
  </si>
  <si>
    <t>4 ABERTURAR E FECHAMENTO, 6 FUSÕES, 2 TESTES</t>
  </si>
  <si>
    <t>RUA LAURO AZAMBUJA 118</t>
  </si>
  <si>
    <t>CNT.004.M030</t>
  </si>
  <si>
    <t>FOI LANÇADO 820 METROS DE CABO DE 144FO, 2661 METROS DE CABO DE 72FO, 1200 METROS DE 48FO, 500 METROS DE CABO DE 24FO, 106 METROS DE CABO DE 36FO. COBRAR 6 CX NOVA, 6 DERIVAÇÕES, 672 FUSÕES, 1 ABERTURA E FECHAMENTO, 1 DERIVAÇÃO, 18 FUSÕES.3 ABERTURA E FECHAMENTO, 150FUSÕES, 1 DERIVAÇÃO, 10 ABERTURA E FECHAMENTO, 70 FUSÕES, 6 DERIVAÇÕES.</t>
  </si>
  <si>
    <t>RSCLER0864</t>
  </si>
  <si>
    <t>R CHILE 902</t>
  </si>
  <si>
    <t> Residencial Império</t>
  </si>
  <si>
    <t>R. Marquês de Sapucaí, 50</t>
  </si>
  <si>
    <t>IDLAA.091.M010</t>
  </si>
  <si>
    <t>PRTALB</t>
  </si>
  <si>
    <t>NODE SAIU DA CX EXISNTE 051, ALIMENTOU A CX T030 E AS FISTS 011,012,013,014,015,016,017,  COBRAR TODAS AS SECUNDARIAS DAS 011,012,013,014,015,016,017.COBRAR 3 ABERTURA E FECHAMENTO, 52 FUSÕES A MAIS.</t>
  </si>
  <si>
    <t>NODE SAIU DA CX EXISTENTE T010, ALIMENTOU AS FISTS 081,082,083. COBRAR TODAS AS SECUNDARIAS DA 081,082,083.COBRAR 1029 METROS DE CORDOALHA.COBRAR 496 METROS DE CABO DE 12FO A MAIS.</t>
  </si>
  <si>
    <t>FOI LANÇADO 699 METROS DE CABO DE 12FO, 3 ABERTURA E FECHAMENTO, 3 SUSÕES, 1 NAP NOVA, 1 DERIVAÇÃO, 3 TESTE, COBRAR AS BUILTS</t>
  </si>
  <si>
    <t>NODE SAIU DA T070 EXISTENTE, ALIMENTOU A FIST 101, COBRAR TODAS AS SECUNDARIAS DA 101. COBRAR AS BUILTS, COBRAR 2 ABERTURAR E FECHAMENTO A MAIS, 8 FUSÕES, 2 DERIVAÇÕES.</t>
  </si>
  <si>
    <t xml:space="preserve">Rua Fernando Cortez, 74 </t>
  </si>
  <si>
    <t xml:space="preserve"> Cond Res Fernando Cortez </t>
  </si>
  <si>
    <t>VIPAA.021.M010</t>
  </si>
  <si>
    <t>Condomínio Dom Pedro II </t>
  </si>
  <si>
    <t>R. Marquês de Sapucaí, 100</t>
  </si>
  <si>
    <t>IDLAA.035.M040</t>
  </si>
  <si>
    <t>R JALMAR AZAMBUJA DINIZ 222</t>
  </si>
  <si>
    <t>JITAB.152.M040</t>
  </si>
  <si>
    <t>RSCLER0865</t>
  </si>
  <si>
    <t>RSCLER0866</t>
  </si>
  <si>
    <t>RSCLER0867</t>
  </si>
  <si>
    <t>RSCLER0868</t>
  </si>
  <si>
    <t>RSCLER0869</t>
  </si>
  <si>
    <t>RSCLER0870</t>
  </si>
  <si>
    <t>RSCLER0871</t>
  </si>
  <si>
    <t>R Cento e Vinte e Um ,176</t>
  </si>
  <si>
    <t>UMBAA.029.M020</t>
  </si>
  <si>
    <t>Rua Carlos Estevão 710</t>
  </si>
  <si>
    <t>RBTAB.041.M020</t>
  </si>
  <si>
    <t>BFMAA.041.M020</t>
  </si>
  <si>
    <t>Condomínio Edificio Dona Olga</t>
  </si>
  <si>
    <t>R. Ramiro Barcelos, 488</t>
  </si>
  <si>
    <t>4 ABERTURA E FECHAMENTO, 5 FUSÕES, 1 TESTE</t>
  </si>
  <si>
    <t>FOI LANÇADO 5774 METROS DE 25 FO, 400 METROS DE CORDOALHA, 36 ABERTURA E FECHAMENTO, 116 FUSÕES, 1 CX NOVA, 2 CTO NOVA, 28 ABERTURA E FECHAMENTO, 39 FUSÕES, 2 DERIVAÇÃO, 1NAP NOVA.</t>
  </si>
  <si>
    <t>RUA PROFESSORA AMY HERVE RAMIRES 20 40 60 e 80</t>
  </si>
  <si>
    <t>RBTAB.053.M020</t>
  </si>
  <si>
    <t>EQUIPE</t>
  </si>
  <si>
    <t>Condomínio Plaza de Umbu</t>
  </si>
  <si>
    <t>R. Umbú, 45</t>
  </si>
  <si>
    <t>PDRAA.051.M010</t>
  </si>
  <si>
    <t>R DONA ALAIDES LARRE PEREIRA 187</t>
  </si>
  <si>
    <t>VLI029M010</t>
  </si>
  <si>
    <t>Residencial Porto Baden</t>
  </si>
  <si>
    <t>R MARIA OLINDA TELLES 1222</t>
  </si>
  <si>
    <t>RNDAA.062.M010</t>
  </si>
  <si>
    <t> Residencial Ícaro </t>
  </si>
  <si>
    <t>R FLAMARION 245</t>
  </si>
  <si>
    <t>CNUAB.061.M010</t>
  </si>
  <si>
    <t>RSCLER0872</t>
  </si>
  <si>
    <t>RSCLER0873</t>
  </si>
  <si>
    <t>RSCLER0874</t>
  </si>
  <si>
    <t>RSCLER0875</t>
  </si>
  <si>
    <t>RSCLER0876</t>
  </si>
  <si>
    <t>RSCLER0877</t>
  </si>
  <si>
    <t>RSCLER0878</t>
  </si>
  <si>
    <t>RSCLER0879</t>
  </si>
  <si>
    <t>R GONÇALO DE CARVALHO, 439</t>
  </si>
  <si>
    <t>BFMAA.243.M020</t>
  </si>
  <si>
    <t>Cond.(ED POUSADA REAL)</t>
  </si>
  <si>
    <t>R FELICISSIMO DE AZEVEDO 658</t>
  </si>
  <si>
    <t>NAVAA.091M010</t>
  </si>
  <si>
    <t>Cond Ed Jardim Mariland</t>
  </si>
  <si>
    <t>R MATA BACELAR 240</t>
  </si>
  <si>
    <t>MTSAA.262.M010</t>
  </si>
  <si>
    <t>R CARLOS ESTEVAO 740</t>
  </si>
  <si>
    <t>COND (GARDEN PARK HUMAITÁ) </t>
  </si>
  <si>
    <t>R PROF JOÃO DE SOUZA RIBEIRO 271</t>
  </si>
  <si>
    <t>HMTAA.022.M020</t>
  </si>
  <si>
    <t>RNDAA.063.M010</t>
  </si>
  <si>
    <t>AV Guia Lopes 3070</t>
  </si>
  <si>
    <t>ABRAÃO</t>
  </si>
  <si>
    <t>01/06//2026</t>
  </si>
  <si>
    <t>COND. CAZA LINCK</t>
  </si>
  <si>
    <t>R EMBOADAS 20</t>
  </si>
  <si>
    <t>MRDAA.081.M020</t>
  </si>
  <si>
    <t>RSCLER0880</t>
  </si>
  <si>
    <t>RSCLER0881</t>
  </si>
  <si>
    <t>RSCLER0882</t>
  </si>
  <si>
    <t>RSCLER0883</t>
  </si>
  <si>
    <t>CORREÇÃO ETIQUETAS TRONCAIS</t>
  </si>
  <si>
    <t>GEOVANI</t>
  </si>
  <si>
    <t>Cond Ed Sheldon Center</t>
  </si>
  <si>
    <t>R ÁLVARES CABRAL 164</t>
  </si>
  <si>
    <t>VIPAA.021.M030</t>
  </si>
  <si>
    <t>SITE RSPCE14 - DIO 1D - EST01</t>
  </si>
  <si>
    <t>CNTAB.061.01</t>
  </si>
  <si>
    <t>CNTAB.061.02</t>
  </si>
  <si>
    <t>CNTAB.061.03</t>
  </si>
  <si>
    <t>CNTAB.061.04</t>
  </si>
  <si>
    <t>DIO 2C</t>
  </si>
  <si>
    <t>DIO 1D</t>
  </si>
  <si>
    <t>BFMAA.031.01</t>
  </si>
  <si>
    <t>BFMAA.031.02</t>
  </si>
  <si>
    <t>BFMAA.031.03</t>
  </si>
  <si>
    <t>BFMAA.031.04</t>
  </si>
  <si>
    <t>BFMAA.032.01</t>
  </si>
  <si>
    <t>BFMAA.032.02</t>
  </si>
  <si>
    <t>BFMAA.032.03</t>
  </si>
  <si>
    <t>BFMAA.033.01</t>
  </si>
  <si>
    <t>BFMAA.033.02</t>
  </si>
  <si>
    <t>BFMAA.033.03</t>
  </si>
  <si>
    <t>BFMAA.033.04</t>
  </si>
  <si>
    <t>SITE RSPLE78 - DIO 1D - EST02</t>
  </si>
  <si>
    <t>RSCLER0884</t>
  </si>
  <si>
    <t>RSCLER0885</t>
  </si>
  <si>
    <t>RSCLER0886</t>
  </si>
  <si>
    <t>RSCLER0887</t>
  </si>
  <si>
    <t>RSCLER0888</t>
  </si>
  <si>
    <t>RSCLER0889</t>
  </si>
  <si>
    <t>RSCLER0890</t>
  </si>
  <si>
    <t>RSCLER0891</t>
  </si>
  <si>
    <t>RSCLER0892</t>
  </si>
  <si>
    <t>R JERONIMO COELHO,59</t>
  </si>
  <si>
    <t>CNTAB.061.M510</t>
  </si>
  <si>
    <t>Condomínio Edificio Indiana</t>
  </si>
  <si>
    <t>R DR DÁRIO DE BITTENCOURT 225</t>
  </si>
  <si>
    <t>VIPAA.102.M050</t>
  </si>
  <si>
    <t>R. Ramiro Barcelos, 1393</t>
  </si>
  <si>
    <t>Cond Edificio Aspen Suites</t>
  </si>
  <si>
    <t>RBRAA.013.M060</t>
  </si>
  <si>
    <t>SITE RSPLE78 - DIO 2A - EST01</t>
  </si>
  <si>
    <t>SAR</t>
  </si>
  <si>
    <t>Av. Iguassu, 41</t>
  </si>
  <si>
    <t>PETAA.181.M040</t>
  </si>
  <si>
    <t>VIELA TREZE 450, 458, 442, 434, 426</t>
  </si>
  <si>
    <t>SPEAA.031.M040</t>
  </si>
  <si>
    <t>Edifício Lageado</t>
  </si>
  <si>
    <t>Av. Lageado, 1360</t>
  </si>
  <si>
    <t>Cond (Edificio Caribe)</t>
  </si>
  <si>
    <t>R MIGUEL COUTO 269</t>
  </si>
  <si>
    <t>MNDAC.082.M010</t>
  </si>
  <si>
    <t>AV VICENTE MONTEGGIA, 1020</t>
  </si>
  <si>
    <t>Cond Res Dr Mario Totta</t>
  </si>
  <si>
    <t>R. Dr. Mário Totta, 1191</t>
  </si>
  <si>
    <t>TRZAA.052.M030</t>
  </si>
  <si>
    <t>Ed Centro Comercial Volta do Guerino</t>
  </si>
  <si>
    <t>Av. Assis Brasil, 1800</t>
  </si>
  <si>
    <t>SPEAA.031.M030</t>
  </si>
  <si>
    <t>3 ABERTURA E FECHAMENTO, 5 FUSÕES, 2 TESTES</t>
  </si>
  <si>
    <t>SITE RSPLE78 - DIO 2C - EST03</t>
  </si>
  <si>
    <t> R JACINTO GOMES 421</t>
  </si>
  <si>
    <t>RBRAA.010.M020</t>
  </si>
  <si>
    <t> Cond. ARTISAN</t>
  </si>
  <si>
    <t>R FELIPE NERI 110</t>
  </si>
  <si>
    <t>FLOAA.115.M040</t>
  </si>
  <si>
    <t>RSCLER0893</t>
  </si>
  <si>
    <t>RSCLER0894</t>
  </si>
  <si>
    <t>RSCLER0895</t>
  </si>
  <si>
    <t>RSCLER0896</t>
  </si>
  <si>
    <t>RSCLER0897</t>
  </si>
  <si>
    <t>RSCLER0898</t>
  </si>
  <si>
    <t>R Múcio Teixeira, 1250</t>
  </si>
  <si>
    <t>Cond. Jardim Amelia</t>
  </si>
  <si>
    <t>R AMELIA TELES 257</t>
  </si>
  <si>
    <t>MTSAA.322.M010</t>
  </si>
  <si>
    <t>TV GUIANAS 130</t>
  </si>
  <si>
    <t>SSOAA.091.M040</t>
  </si>
  <si>
    <t>Nodes 2026\PORTO ALEGRE\BFMAA_node FLOAJ FASE 2 (041)\BFMAA.041_FLOAJ FASE 2.kmz</t>
  </si>
  <si>
    <t>NODE SAIU DA CX EXISTENTE T100, ALIMENTOU A FIST 041, COBRAR TODAS AS SECUNDARIAS DA 041.COBRAR 102 METROS DE CABO DE 12FO , 3ABERTURA E FECHAMENTO, 1 CX NOVA E 12 FUSÕES A MAIS.</t>
  </si>
  <si>
    <t>081, 082, 084, 085, 086</t>
  </si>
  <si>
    <t>Edificio Ocre</t>
  </si>
  <si>
    <t>R SANTO ANTONIO 288</t>
  </si>
  <si>
    <t>BFMAA.103.M020</t>
  </si>
  <si>
    <t>Cond. Edifício Éden</t>
  </si>
  <si>
    <t>R CEL. FERNANDES VIEIRA 155</t>
  </si>
  <si>
    <t>BFMAA.091.M010</t>
  </si>
  <si>
    <t>BICA</t>
  </si>
  <si>
    <t>VNVAA.043</t>
  </si>
  <si>
    <t>RSCLER0899</t>
  </si>
  <si>
    <t>RSCLER0900</t>
  </si>
  <si>
    <t>Cond. Residencial Paraiso</t>
  </si>
  <si>
    <t>AV MANOEL ELIAS 2136 à 2150</t>
  </si>
  <si>
    <t>MTSAA.032.M020</t>
  </si>
  <si>
    <t>BFMAA.023.M020</t>
  </si>
  <si>
    <t>AV Independencia, 691</t>
  </si>
  <si>
    <t>Residencial Vicente Monteggia</t>
  </si>
  <si>
    <t>4 ABERTURA E FECHAMENTO, 6 FUSÕES, 2 TESTES.</t>
  </si>
  <si>
    <t>RSCLER0901</t>
  </si>
  <si>
    <t>RSCLER0902</t>
  </si>
  <si>
    <t>RSCLER0903</t>
  </si>
  <si>
    <t>RSCLER0904</t>
  </si>
  <si>
    <t>RSCLER0905</t>
  </si>
  <si>
    <t>RSCLER0906</t>
  </si>
  <si>
    <t>RSCLER0907</t>
  </si>
  <si>
    <t>RSCLER0908</t>
  </si>
  <si>
    <t>RSCLER0909</t>
  </si>
  <si>
    <t>RSCLER0910</t>
  </si>
  <si>
    <t>RSCLER0911</t>
  </si>
  <si>
    <t>RSCLER0912</t>
  </si>
  <si>
    <t>RSCLER0913</t>
  </si>
  <si>
    <t>Cond Residencial Enseada</t>
  </si>
  <si>
    <t>Av. Cel. Marcos, 1545</t>
  </si>
  <si>
    <t>TRZAB.091.M020</t>
  </si>
  <si>
    <t>CLASSE L (Lançamento)</t>
  </si>
  <si>
    <t>RSCLER0914</t>
  </si>
  <si>
    <t>CNT.009.M030</t>
  </si>
  <si>
    <t>R OTÁVIO ROCHA 205</t>
  </si>
  <si>
    <t>NODE SAIU DA CX EXISTENTE 171, COBRAR TODAS AS SECUNDARIAS DA 171. COBRAR AS BUILTS, COBRAR 2 ABERTURA E FECHAMENTO E 8 FUSÕES A MAIS.</t>
  </si>
  <si>
    <t>Nodes 2026\PORTO ALEGRE\TRLAA_node STZAE (171)\TRLAA_171.STZAE.kmz</t>
  </si>
  <si>
    <t>RSCLER0915</t>
  </si>
  <si>
    <t>RSCLER0916</t>
  </si>
  <si>
    <t>RSCLER0917</t>
  </si>
  <si>
    <t>RSCLER0918</t>
  </si>
  <si>
    <t>RSCLER0919</t>
  </si>
  <si>
    <t>RSCLER0920</t>
  </si>
  <si>
    <t>RSCLER0921</t>
  </si>
  <si>
    <t>RSCLER0922</t>
  </si>
  <si>
    <t>Condomínio Edificio Piemonte</t>
  </si>
  <si>
    <t>R. Ramiro Barcelos, 1323</t>
  </si>
  <si>
    <t>NODE SAIU DA CX EXISTENTE T150, ALIMENTOU A FIST 291, COBRAR TODAS AS SECUNDARIAS DA 291.COBRAR 2 ABERTURA E FECHAMENTO, 14 FUSÕES, 2 DERIVAÇÕES, 249 METROS DE CABO DE 12FO A MAIS.</t>
  </si>
  <si>
    <t>Cond Alto Paraíso</t>
  </si>
  <si>
    <t>R. Boleslau Casemiro Konarzewski, 651</t>
  </si>
  <si>
    <t>RNDAA.061.M040</t>
  </si>
  <si>
    <t> R BARROS CASSAL 723 </t>
  </si>
  <si>
    <t>BFMAA.124.M020</t>
  </si>
  <si>
    <t>R ANTÃO DE FARIAS 21</t>
  </si>
  <si>
    <t>R. Joaquim Nabuco, 111</t>
  </si>
  <si>
    <t>Cond Ed Galeria Quadra Shopping</t>
  </si>
  <si>
    <t>IDLAA.012.M010</t>
  </si>
  <si>
    <t>PÇA CONDE DE PORTO ALEGRE 40</t>
  </si>
  <si>
    <t>CNTAB.071.M070</t>
  </si>
  <si>
    <t>ED CEL VICENTE</t>
  </si>
  <si>
    <t>R CEL VICENTE 625</t>
  </si>
  <si>
    <t>BFMAA.023.M070</t>
  </si>
  <si>
    <t>AV INDEPENDENCIA 56</t>
  </si>
  <si>
    <t>RSCLER0923</t>
  </si>
  <si>
    <t>RSCLER0924</t>
  </si>
  <si>
    <t>RSCLER0925</t>
  </si>
  <si>
    <t>RSCLER0926</t>
  </si>
  <si>
    <t>RSCLER0927</t>
  </si>
  <si>
    <t>RSCLER0928</t>
  </si>
  <si>
    <t>RSCLER0929</t>
  </si>
  <si>
    <t>RSCLER0930</t>
  </si>
  <si>
    <t>RSCLER0931</t>
  </si>
  <si>
    <t>R CEL. FERNANDES VIEIRA 146</t>
  </si>
  <si>
    <t>CRUZEIRO DO SUL 516, 524, 532, 540</t>
  </si>
  <si>
    <t>R MIGUEL TOSTES 139</t>
  </si>
  <si>
    <t>BFMAA.092.M040</t>
  </si>
  <si>
    <t>Cond Giacomo Leopard</t>
  </si>
  <si>
    <t>R. Ubatuba, 70</t>
  </si>
  <si>
    <t>CNTAA.081.M040</t>
  </si>
  <si>
    <t>NHOLO</t>
  </si>
  <si>
    <t>Edificio Rio Uruguai</t>
  </si>
  <si>
    <t>R GARIBALDI 902</t>
  </si>
  <si>
    <t>Edifício Usmar B</t>
  </si>
  <si>
    <t>RUA ISIDORO TRESSI 174</t>
  </si>
  <si>
    <t>BVSAB.172.M020</t>
  </si>
  <si>
    <t>RSCLER0932</t>
  </si>
  <si>
    <t>RSCLER0933</t>
  </si>
  <si>
    <t>RSCLER0934</t>
  </si>
  <si>
    <t>RSCLER0935</t>
  </si>
  <si>
    <t>RSCLER0936</t>
  </si>
  <si>
    <t>RSCLER0937</t>
  </si>
  <si>
    <t>R Dr David de Azevedo Gusmão, 185</t>
  </si>
  <si>
    <t>TRZAB.061.01.03</t>
  </si>
  <si>
    <t>Cond. GARDEN</t>
  </si>
  <si>
    <t>R STO ANTONIO 629</t>
  </si>
  <si>
    <t>BFMAA.144.M010</t>
  </si>
  <si>
    <t>RUA CEL BORDINI 313</t>
  </si>
  <si>
    <t>FLOAA.043.M040</t>
  </si>
  <si>
    <t>AV OSVALDO ARANHA 340 / 350</t>
  </si>
  <si>
    <t>BFMAA.141.M030</t>
  </si>
  <si>
    <t>Cond Jd Solar</t>
  </si>
  <si>
    <t>R CASTRO ALVES 272</t>
  </si>
  <si>
    <t>BFMAA.092.M020</t>
  </si>
  <si>
    <t>RUA ARMANDO FAJARDO 763</t>
  </si>
  <si>
    <t>Cond. Viver</t>
  </si>
  <si>
    <t>SJOAA.131.M030</t>
  </si>
  <si>
    <t>FOI LANÇADO 319 METROS DE CABO DE 48FO, 5 ABERTURA E FECHAMENTO, 89 FUSÕES, 1 CX NOVA, 1 DERIVAÇÃO, 11 TESTES</t>
  </si>
  <si>
    <t>GUBPP</t>
  </si>
  <si>
    <t>R. Ramiro Barcelos, 1393 1323</t>
  </si>
  <si>
    <t>R ANTÃO DE FARIA 35</t>
  </si>
  <si>
    <t>CENTRO PROFISSIONAL</t>
  </si>
  <si>
    <t>R SANTO ANTONIO 581</t>
  </si>
  <si>
    <t>Cond Ed Polaris</t>
  </si>
  <si>
    <t>BFMAA.021.M030</t>
  </si>
  <si>
    <t>FOI LANÇADO 154 METROS DE CABO DE 24FO, 4 ABERTURA E FECHAMENTO, 4 FUSÕES, 2 DERIVAÇÕES, 1 TESTES</t>
  </si>
  <si>
    <t>R GEN LIMA E SILVA 529</t>
  </si>
  <si>
    <t> R SARMENTO LEITE 860</t>
  </si>
  <si>
    <t> R SALGADO FILHO 341</t>
  </si>
  <si>
    <t>VINICIUS BRITO</t>
  </si>
  <si>
    <t>3 ABERTURA E FECHAMENTO, 4 FUSÕES, 2 TESTES.</t>
  </si>
  <si>
    <t>2 ABERTURA E FECHAMENTO, 1 FUSÃO, 1 TESTES</t>
  </si>
  <si>
    <t>ATHENAS CENTER</t>
  </si>
  <si>
    <t>FOI LANÇADO 66 METROS DE CABO DE 12FO, 5 ABERTURA E FECHAMENTO, 1 CX NOVA, 24 FUSÕES, 3 TESTES, 9 TESTES OTDR</t>
  </si>
  <si>
    <t>PAULO MAURICIO</t>
  </si>
  <si>
    <t>TV AZEVEDO 95</t>
  </si>
  <si>
    <t>FLOAA.012.M020</t>
  </si>
  <si>
    <t>RSCLER0938</t>
  </si>
  <si>
    <t>RSCLER0939</t>
  </si>
  <si>
    <t>RSCLER0940</t>
  </si>
  <si>
    <t>RSCLER0941</t>
  </si>
  <si>
    <t>RSCLER0942</t>
  </si>
  <si>
    <t>RSCLER0943</t>
  </si>
  <si>
    <t>RSCLER0944</t>
  </si>
  <si>
    <t>NODE SAIU DA CX EXISTENTE T080, ALIMENTOU AS CXS T070, 271,272,273,274,275,276, COBRAR TODAS AS SECUNDARIAS DAS  271,272,273,274,275,276.COBRAR 300 METROS DE CABO DE 24FO E 200 METROS DE 12 FO, 4 ADEQUAÇÃO DE POSTE, COBRAR 858 METROS DE RETIRADA DE CABO, TEVE TROCA DE POSTE E CORTARAM OS CABOS LANÇADOS, 6 ABERTURA E FECHAMENTO E 148 FUSÕES, A MAIS</t>
  </si>
  <si>
    <t>AV GUIA LOPES 900,</t>
  </si>
  <si>
    <t>RNDAA.061.M050</t>
  </si>
  <si>
    <t>R AIMORÉ 58</t>
  </si>
  <si>
    <t>R GUANABARA 110</t>
  </si>
  <si>
    <t>RNDAA.082.M030</t>
  </si>
  <si>
    <t>RNDAA.081.M020</t>
  </si>
  <si>
    <t>IDLAA.015.M030</t>
  </si>
  <si>
    <t>R DAVID CANABARRO 94</t>
  </si>
  <si>
    <t>CNTAGA</t>
  </si>
  <si>
    <t>RSCLER0945</t>
  </si>
  <si>
    <t>RSCLER0946</t>
  </si>
  <si>
    <t>RSCLER0947</t>
  </si>
  <si>
    <t>RSCLER0948</t>
  </si>
  <si>
    <t>AV PEDRO ADAMS FILHO 1784</t>
  </si>
  <si>
    <t>FOI LANÇADO 425 METROS DE CABO DE 12FO, 4  ABERTURA E FECHAMENTO, 1 CX NOVA, 6 FUSÕES, 1 DERIVAÇÃO, 6 TESTES.</t>
  </si>
  <si>
    <t>8 ABERTURA E FECHAMENTO, 7 FUSÕES, 1 TESTE.</t>
  </si>
  <si>
    <t>4 ABERTURA E FWCHAMENTO, 20 FUSÕES, 1 CX NOVA, 5 TESTES.</t>
  </si>
  <si>
    <t xml:space="preserve">FOI LANÇADO 20 METROS DE CABO DE 12FO, 2 ABERTURA E FECHAMENTO, 4 FUSÃO, 1 DERIVAÇÃO, 1 CX NOVA, 2 TESTE </t>
  </si>
  <si>
    <t>Av Vicente da Fontoura 527</t>
  </si>
  <si>
    <t>AZNAA.031.08.05</t>
  </si>
  <si>
    <t>FOI LANÇADO 58 METROS DE CABO DE 12FO, 3 ABERTURA E FECHAENTO, 3 FUSÕES, 1 NAP NOVA, 1 DERIVAÇÃO, 3 TESTES.</t>
  </si>
  <si>
    <t>AFONSO / CATIA</t>
  </si>
  <si>
    <t>MAURICIO</t>
  </si>
  <si>
    <t>10 ABERTURA E FECHAMENTO, 11 FUSÕES, 1 TESTE, 1 TESTE OTDR</t>
  </si>
  <si>
    <t>3 ABERTURA E FECHAMENTO, 2 FUÕES, 1 TESTES</t>
  </si>
  <si>
    <t>RSCLER0949</t>
  </si>
  <si>
    <t>RSCLER0950</t>
  </si>
  <si>
    <t>RSCLER0951</t>
  </si>
  <si>
    <t>RSCLER0952</t>
  </si>
  <si>
    <t>RSCLER0953</t>
  </si>
  <si>
    <t>RSCLER0954</t>
  </si>
  <si>
    <t>DR MAGALHAES CALVET 549</t>
  </si>
  <si>
    <t>CNTAA.052.M010</t>
  </si>
  <si>
    <t>Condomínio Edifício Erna</t>
  </si>
  <si>
    <t>R. Voluntários da Pátria, 53</t>
  </si>
  <si>
    <t>IDLAA.071.M020</t>
  </si>
  <si>
    <t>2 ABERTURA E FECHAMENTO, 3 FUSÕES, 3 TESTES.</t>
  </si>
  <si>
    <t>4 ABERTURA E FECHAMENTO, 3 FUSÕES, 1 TESTE.</t>
  </si>
  <si>
    <t>2 ABERTURA E FECHAMENTO, 4 FUSÕES, 4 TESTES.</t>
  </si>
  <si>
    <t>R VINTE E QUATRO DE MAIO 1263</t>
  </si>
  <si>
    <t>GRIAA.035.M030</t>
  </si>
  <si>
    <t>R STA ROSA 31</t>
  </si>
  <si>
    <t>R STA ROSA 101</t>
  </si>
  <si>
    <t>PRIAA.401.04.01</t>
  </si>
  <si>
    <t>Cond Mauro Chika</t>
  </si>
  <si>
    <t>R EDUARDO DA SILVA PRADO 22, 50, 62</t>
  </si>
  <si>
    <t>CNUAB.401.M010</t>
  </si>
  <si>
    <t>RSCLER0955</t>
  </si>
  <si>
    <t>RSCLER0956</t>
  </si>
  <si>
    <t>RSCLER0957</t>
  </si>
  <si>
    <t>RSCLER0958</t>
  </si>
  <si>
    <t>RSCLER0959</t>
  </si>
  <si>
    <t>RSCLER0960</t>
  </si>
  <si>
    <t>RSCLER0961</t>
  </si>
  <si>
    <t>Rua Sílvio Gilberto Christmann 900</t>
  </si>
  <si>
    <t>VINICIUS MARQUES</t>
  </si>
  <si>
    <t>CNUAA.072.01.02</t>
  </si>
  <si>
    <t>Cond. LOFORTE</t>
  </si>
  <si>
    <t>AV INDEPENDÊNCIA 814</t>
  </si>
  <si>
    <t>BFMAA.022.M030</t>
  </si>
  <si>
    <t>KAUÊ</t>
  </si>
  <si>
    <t>GRILO</t>
  </si>
  <si>
    <t>JITAJ</t>
  </si>
  <si>
    <t>FOI LANÇADO 153 METROS DE CABO DE 12FO, 1 ABERTURA E FECHAMENTO, 4 FUSÕES, 1 CX NOVA, 2 DERIVAÇÕES, 2 TESTES.</t>
  </si>
  <si>
    <t>2 ABERTURA E FECHAMENTO, 2 FUSÕES, 2 TESTES.</t>
  </si>
  <si>
    <t>Cond General Osorio</t>
  </si>
  <si>
    <t>Av Borges de Medeiros 1141</t>
  </si>
  <si>
    <t>CNTAB.181.M020</t>
  </si>
  <si>
    <t>FOI LANÇADO 589 METROS DE CABO DE 12FO, 3 ABERTURA E FECHAMENTO, 2 CX NOVA, 1 DERIVAÇÃO, 23 FUSÕES, 8 TESTES.</t>
  </si>
  <si>
    <t>2 ABERTURA E FECHAMENTO, 2 FUSÕES, 1 TESTE.</t>
  </si>
  <si>
    <t>6 ABERTURA E FECHAMENTO, 23 FUSÕES, 2 DERIVAÇÕES, 5 TESTES.</t>
  </si>
  <si>
    <t>6 ABERTURA E FECHAMENTO, 10 FUSÕES, 2 TESTES.</t>
  </si>
  <si>
    <t>ED MARTENS</t>
  </si>
  <si>
    <t>R TUNISIA 85</t>
  </si>
  <si>
    <t>VIPAA.003.M010</t>
  </si>
  <si>
    <t>FOI LANÇADO 309 METROS DE CABO DE 24FO, 2 ABERTURA E FECHAMENTO, 14 FUSÕES, 2 DERIVAÇÕES, 7 TESTES.</t>
  </si>
  <si>
    <t>3 ABERTURA E FECHAMENTO, 8 FUSÕES, 4 TESTES.</t>
  </si>
  <si>
    <t>3 ABERTURA E FECHAMENTO, 8 FUSÕES, 1 DERIVAÇÃO, 2 TESTES.</t>
  </si>
  <si>
    <t>2 ABERTURA E FECHAMENTO, 6 FUSÕES, 3 TESTES.</t>
  </si>
  <si>
    <t>FOI LANÇADO 632 METROS DE CABO DE 12FO, 2 ABERTURA E FECHAMENTO, 6 NAP NOVA, 1 DERIVAÇÃO, 18 FUSÕES, 15 TESTES</t>
  </si>
  <si>
    <t>RECUADO 41 METROS DE  CABO, 2 ABERTURA E FECHAMENTO, 12 FUSÕES, 1 DERIVAÇÃO, 1 TESTE.</t>
  </si>
  <si>
    <t>MNDAC.031.M040</t>
  </si>
  <si>
    <t>5 ABERTURA E FECHAMENTO, 8 FUSÕES, 2 TESTES.</t>
  </si>
  <si>
    <t>4 ABERTURA E FECHAMENTO, 4 FUSÕES, 2 TESTES.</t>
  </si>
  <si>
    <t>CATIA / AFONSO</t>
  </si>
  <si>
    <t>NODE SAIU DA CX EXISTENTE CX_199FG, ALIMENTOU A FIST 061 , COBRAR TODAS SUAS SECUNDARIAS. COBRAR 95 METROS DE CABO DE 36FO, 8 ABERTURA E FECHAMENTO, 3 DERIVAÇÃO, 19  FUSÕES A MAIS.</t>
  </si>
  <si>
    <t>FOI LANÇADO 90 METROS DE CABO DE 12FO, 7 ABERTURA E FECHAMENTO, 11 FUSÕES, 2 DERIVAÇÕES, 3 TESTES</t>
  </si>
  <si>
    <t>FOI LANÇADO 112 METROS DE CABO DE 12FO, 2 ABERTURA E FECHAMENTO, 2 DERIVAÇÃO, 3 FUSÃO, 3 TESTES.</t>
  </si>
  <si>
    <t>RSCLND0660</t>
  </si>
  <si>
    <t>CNTAH FASE 2</t>
  </si>
  <si>
    <t>NODE SAIU DA CX EXISTENTE T050, ALIMNETOU A FIST 262 E A 261, COBRAR TODAS AS SECUNDARIAS DA 262.</t>
  </si>
  <si>
    <t>NODE JITAJ - SITE RSPNO75 - DIO1F</t>
  </si>
  <si>
    <t>CNUAB.401.M050</t>
  </si>
  <si>
    <t>MUNDO NOVO, 311</t>
  </si>
  <si>
    <t>FOI LANÇADO 174 METROS DE CABO DE 24FO, 2 ABERTURA E FECHAMENTO, 3 FUSÕES, 2 DERIVAÇÕES, 3 TESTES</t>
  </si>
  <si>
    <t>FOI LANÇADO 119 METROS DE CABO DE 36FO E 112 METROS DE CABO DE 24FO, 6 ABERTURA E FECHAMENTO, 2 CX NOVA, 40 FUSÕES, 1 DERIVAÇÃO, 10 TESTES</t>
  </si>
  <si>
    <t>AV JOAO PESSOA 891</t>
  </si>
  <si>
    <t>AV VENANCIO AIRES, 855</t>
  </si>
  <si>
    <t>SANAA.363.04.08</t>
  </si>
  <si>
    <t>SANAA.021.03.08</t>
  </si>
  <si>
    <t>RSCLER0962</t>
  </si>
  <si>
    <t>RSCLER0963</t>
  </si>
  <si>
    <t>RSCLER0964</t>
  </si>
  <si>
    <t>RSCLER0965</t>
  </si>
  <si>
    <t>RSCLER0966</t>
  </si>
  <si>
    <t>RSCLER0967</t>
  </si>
  <si>
    <t>RSCLER0968</t>
  </si>
  <si>
    <t>RSCLER0969</t>
  </si>
  <si>
    <t>RSCLER0970</t>
  </si>
  <si>
    <t>RSCLER0971</t>
  </si>
  <si>
    <t>R PEDRO PETRY 920</t>
  </si>
  <si>
    <t>RNDAA.061.M020</t>
  </si>
  <si>
    <t>GD</t>
  </si>
  <si>
    <t>F</t>
  </si>
  <si>
    <t>GN</t>
  </si>
  <si>
    <t>JULHO</t>
  </si>
  <si>
    <t>BFMAA.276.M020</t>
  </si>
  <si>
    <t>RICARDO JLE</t>
  </si>
  <si>
    <t>Shopping Atacadista Mercado da Moda</t>
  </si>
  <si>
    <t>R VOLUNTARIOS DA PATRIA 1140</t>
  </si>
  <si>
    <t>RPCE14</t>
  </si>
  <si>
    <t>FOI LANÇADO 95 METROS DE CABO, 2 ABERTURA E FECHAMENTO, 3 DERIVAÇÃO, 1 CX NOVA, 6 FUSÕES, 3 TESTES</t>
  </si>
  <si>
    <t>Cond Edificio Aspen Suites / Condomínio Edificio Piemonte</t>
  </si>
  <si>
    <t>R FERNANDES VIEIRA 203</t>
  </si>
  <si>
    <t>Cond. Edifício Juncal</t>
  </si>
  <si>
    <t>R TAPIAÇU 171,185,199,213,227,241</t>
  </si>
  <si>
    <t>SPEAA.032.M050/SPEAA.032.M020</t>
  </si>
  <si>
    <t>AV INDEPENDENCIA 1138</t>
  </si>
  <si>
    <t>BFMAA.091.M030</t>
  </si>
  <si>
    <t>CASA MOINHOS</t>
  </si>
  <si>
    <t>R HILARIO RIBEIRO 150</t>
  </si>
  <si>
    <t>BFMAA.063.M010</t>
  </si>
  <si>
    <t>COBRAR JUNTO A OS RSCLER0898</t>
  </si>
  <si>
    <t>FOI LANÇADO 200 METROS DE CABO DE 12FO, 19 ABERTURA E FECHAMENTO, 35 FUSÕES, 2 DERIVAÇÕES, 9 TESTES.</t>
  </si>
  <si>
    <t>6 ABERTURA E FECHAMENTO, 9 FUSÕES, 2 TESTES</t>
  </si>
  <si>
    <t>Edifício Ipiranga</t>
  </si>
  <si>
    <t>AV CRISTOVAO COLOMBO 911</t>
  </si>
  <si>
    <t>BFMAA.041.M010</t>
  </si>
  <si>
    <t>COBRAR JUNTO COM A OS RSCLER0910</t>
  </si>
  <si>
    <t>FOI LANÇADO 163 METROS DE CABO 163, 5 ABERTURA E FECHAMENTO, 17 FUSÕES, 2 DERIVAÇÕES, 4 TESTES.</t>
  </si>
  <si>
    <t>COBRAR NA MESMA OS DA RSCLER0911</t>
  </si>
  <si>
    <t>R PEDRO PETRY 366</t>
  </si>
  <si>
    <t>RNDAA.061.M060</t>
  </si>
  <si>
    <t>COBRAR JUNTO NA OS RSCLER0916</t>
  </si>
  <si>
    <t>SANAA.273.M030</t>
  </si>
  <si>
    <t>SANAA.276.M030</t>
  </si>
  <si>
    <t>2 ABERTURA E FECHAMENTO, 2 FUSÕES, 1 TESTES, 1 TESTE OTDR.</t>
  </si>
  <si>
    <t>Prazo (SLA 3 dias)</t>
  </si>
  <si>
    <t>Tempo (Dias)</t>
  </si>
  <si>
    <t>Atraso (Dias)</t>
  </si>
  <si>
    <t>Rótulos de Linha</t>
  </si>
  <si>
    <t>Total Geral</t>
  </si>
  <si>
    <t>ATRASADO</t>
  </si>
  <si>
    <t>NO PRAZO</t>
  </si>
  <si>
    <t>Prazo (SLA-3 dias)</t>
  </si>
  <si>
    <t>Rótulos de Coluna</t>
  </si>
  <si>
    <t>NÃO PRECISA</t>
  </si>
  <si>
    <t>Status Relatório</t>
  </si>
  <si>
    <t>ENTREGUE</t>
  </si>
  <si>
    <t>PENDENTE</t>
  </si>
  <si>
    <t>Status Medição</t>
  </si>
  <si>
    <t>STATUS RELATÓRIOS</t>
  </si>
  <si>
    <t>STATUS MEDIÇÃO</t>
  </si>
  <si>
    <t>AG. RELATÓRIO</t>
  </si>
  <si>
    <t>B</t>
  </si>
  <si>
    <t>5 ABERTURA E FECHAMENTO, 11 FUSÕES, 3 TESTES</t>
  </si>
  <si>
    <t>NODE SAIU DA CX EXISTENTE T040, ALIMENTOU A FIST 511. COBRAR TODAS AS SECUNDARIAS DA 511. COBRAR 1 ABERTURA E FECHAMENTO, E 7 FUSÕES A MAIS. COBRAR AS BUILTS</t>
  </si>
  <si>
    <t>R002/R040</t>
  </si>
  <si>
    <t>IDLAA.051.M040</t>
  </si>
  <si>
    <t>2 ABERTURA E FECHAMENTO, 2 FUSÃO, 1 TESTE.</t>
  </si>
  <si>
    <t>11 ABERTURA E FECHAMENTO, 15 FUSÕES, 6 TESTES OTDR, 2 TESTES.</t>
  </si>
  <si>
    <t>R TIRADENTES 68</t>
  </si>
  <si>
    <t>6 ABERTURA E FECHAMENTO, 12 FUSÕES, 2 TESTES OTDR, 2 TESTES.</t>
  </si>
  <si>
    <t>4 ABERTURA E FECHAMENTO, 4 FUSÕES, 1 TESTE.</t>
  </si>
  <si>
    <t>2 ABERTURA E FECHAMENTO, 3 FUSÕES, 1 TESTE.</t>
  </si>
  <si>
    <t>2 ABERTURA E FECHAMENTO, 1 FUSÃO, 1 TESTE, 1 TESTE OTDR</t>
  </si>
  <si>
    <t>AV BOM JARDIM, 2772</t>
  </si>
  <si>
    <t>RSCLER0972</t>
  </si>
  <si>
    <t>RSCLER0973</t>
  </si>
  <si>
    <t>BFMAA.052.M010</t>
  </si>
  <si>
    <t>Cond. (Maison Ville Franche)</t>
  </si>
  <si>
    <t>R FERNANDES VIEIRA 181</t>
  </si>
  <si>
    <t>21 ABERTURA E FECHAMENTO, 42 FUSÕES, 3 TESTES OTDR, 2 DGO NOVO, 50 MENTROS DE CABO.</t>
  </si>
  <si>
    <t>FOI LANÇADO 253 METROS DE CABO DE 12FO, 2 ABERTURA E FECHAMENTO, 1 CX NOVA, 1 DERIVAÇÃO, 10 FUSÕES, 5 TESTES.</t>
  </si>
  <si>
    <t>FOI LANÇADO 825 METROS DE CABO DE 12FO, 2 ABERTURA E FECHAMENTO, 8 FUSÕES, 1 DERIVAÇÃO, 1 CX NOVA, 4 TESTES.</t>
  </si>
  <si>
    <t>Cond Edifício Rio Guaira</t>
  </si>
  <si>
    <t>R FELIPE CAMARÃO 200 </t>
  </si>
  <si>
    <t>BFMAA.092.M030</t>
  </si>
  <si>
    <t>Edifício Residencial Don Felipe</t>
  </si>
  <si>
    <t>R FELIPE CAMARÃO 142</t>
  </si>
  <si>
    <t>RSCLER0974</t>
  </si>
  <si>
    <t>RSCLER0975</t>
  </si>
  <si>
    <t>RSCLER0976</t>
  </si>
  <si>
    <t>RSCLER0977</t>
  </si>
  <si>
    <t>R SÃO JOSE 435</t>
  </si>
  <si>
    <t>CNT04.M060</t>
  </si>
  <si>
    <t>R FELIPE CAMARÃO 72 , 96</t>
  </si>
  <si>
    <t>NSG13A</t>
  </si>
  <si>
    <t>FOI LANÇADO 249 METROS DE CABO DE 12FO, 6 ABERTURA E FECHAMENTO, 1 CX NOVA, 1 DERIVAÇÃO, 6 FUSÕES, 1 TESTE. 4 TESTE OTDR</t>
  </si>
  <si>
    <t>Condominio Residencial São Caetano</t>
  </si>
  <si>
    <t>PRAÇA SÃO CAETANO 90</t>
  </si>
  <si>
    <t>TRLAA.211</t>
  </si>
  <si>
    <t>R OSWALDO ARTUR HARTZ,870</t>
  </si>
  <si>
    <t>CONDOMINIO FRANKFURT</t>
  </si>
  <si>
    <t>RNDAA.401.M010</t>
  </si>
  <si>
    <t>Rua Joaquim da Silva 320/ Rua Eduardo da Silva Prado 62</t>
  </si>
  <si>
    <t>CNUAB.401.M060</t>
  </si>
  <si>
    <t>FOI LANÇADO 486 METROS DE CABO DE 12FO, 4 ABERTURA E FECHAMENTO, 28 FUSÕES, 1 CX NOVA, 2 DERIVAÇÕES, 12 TESTES.</t>
  </si>
  <si>
    <t>FOI LANÇADO 361 METROS DE CABO DE 12FO, 2 ABERTURA E FECHAMENTO, 4 FUSÕES, 2 DERIVAÇÃO, 2 TESTE.</t>
  </si>
  <si>
    <t>RSCLER0978</t>
  </si>
  <si>
    <t>RSCLER0979</t>
  </si>
  <si>
    <t>RSCLER0980</t>
  </si>
  <si>
    <t>Pfr. Pedro Santa Helena 140</t>
  </si>
  <si>
    <t>RSCLER0981</t>
  </si>
  <si>
    <t>RSCLER0982</t>
  </si>
  <si>
    <t>RSCLER0983</t>
  </si>
  <si>
    <t>BVSAB.274.M040</t>
  </si>
  <si>
    <t>DAVID SALOMÃO</t>
  </si>
  <si>
    <t>3 ABERTURA E FECHAMENTO, 3 FUSÕES, 1 TESTE.</t>
  </si>
  <si>
    <t>Node</t>
  </si>
  <si>
    <t>Edifício Hermitage - R BORGES DO CANTO 189</t>
  </si>
  <si>
    <t>BFMAA_NODE FLOAPB / COND CONCORDIA - R HOFFMANN 543</t>
  </si>
  <si>
    <t xml:space="preserve"> R CASTRO ALVES 45 /R FELIPE CAMARÃO 72 , 96</t>
  </si>
  <si>
    <t>FOI LANÇADO 697 METROS DE CABO DE 12FO, 3 ABERTURA E FECHAMENTO, 6 FUSÕES, 3 DERIVAÇÕES, 1 CX NOVA, 2 TESTES.</t>
  </si>
  <si>
    <t>FOI LANÇADO 309 METROS DE CABO 12FO, 1 ABERTURA E FECHAMENTO, 1 DERIVAÇÃO, 4 NAP NOVA, 4 TESTES. COBRAR AS BULTS.</t>
  </si>
  <si>
    <t>Rua Washington Luiz 738</t>
  </si>
  <si>
    <t>Av Cai 521</t>
  </si>
  <si>
    <t>R Ernesto Alves 113 / R Iguassu 250</t>
  </si>
  <si>
    <t>chuva</t>
  </si>
  <si>
    <t>4 ABERTURA E FECHAMENTO, 4 FUSÕES, 2 TESTES OTDR, 2 TESTE.</t>
  </si>
  <si>
    <t>4 ABERTURA E FECHAMENTO,1 CX NOVA, 12 FUSÕES, 5 TESTES.</t>
  </si>
  <si>
    <t>Condomínio Edifício Itaroquem</t>
  </si>
  <si>
    <t>R Duque de Caxias,1576</t>
  </si>
  <si>
    <t>CNTAA.131.M020</t>
  </si>
  <si>
    <t>2 ABERTURA E FECHAMENTO, 4 FUSÕES, 2 TESTES.</t>
  </si>
  <si>
    <t>RSCLER0984</t>
  </si>
  <si>
    <t>RSCLER0985</t>
  </si>
  <si>
    <t>RSCLER0986</t>
  </si>
  <si>
    <t>RSCLER0987</t>
  </si>
  <si>
    <t>RSCLER0988</t>
  </si>
  <si>
    <t>RSCLER0989</t>
  </si>
  <si>
    <t>R CARAZINHO 242</t>
  </si>
  <si>
    <t>PETAA.152.M030</t>
  </si>
  <si>
    <t>Edifício Abott Carazinho</t>
  </si>
  <si>
    <t>Edifício Solar Petrópolis</t>
  </si>
  <si>
    <t>R CARAZINHO 299</t>
  </si>
  <si>
    <t>AV TAQUARA 422</t>
  </si>
  <si>
    <t>25 ABERTURA E FECHAMENTO, 54 FUSÕES, 26 TESTES OTDR, 6 TESTES.</t>
  </si>
  <si>
    <t>5 ABERTURA E FECHAMENTO, 13 FUSÕES, 3 TESTES, 4 TESTES OTDR</t>
  </si>
  <si>
    <t>Edifício Giardino Di Sorrento</t>
  </si>
  <si>
    <t>AV ALEGRETE 318</t>
  </si>
  <si>
    <t>PETAA.082.M030</t>
  </si>
  <si>
    <t>19 ABERTURA E FECHAMENTO, 86 FUSÕES, 37 TESTES OTDR, 3 TESTES.</t>
  </si>
  <si>
    <t>R CASTRO ALVES 45</t>
  </si>
  <si>
    <t xml:space="preserve">2 ABERTURA E FECHAMENTO, 4 FUSÕES, 2 TESTES OTDR </t>
  </si>
  <si>
    <t>4 ABERTURA E FECHAMENTO, 6 FUSÕES, 1 TESTE OTDR, 2 TESTES</t>
  </si>
  <si>
    <t>FOI LANÇADO 454 METROS DE CABO DE 12 FO, 4 ABERTURA E FECHAMENTO, 12 FUSÕES, 3 DERIVAÇÕES, 5 TESTES.</t>
  </si>
  <si>
    <t>FOI LANÇADO 665 METROS DE CABO DE 12FO, 3 ABERTURA E FECHAMENTO, 6 FUSÕES, 1 CX NOVA, 2 TESTES.</t>
  </si>
  <si>
    <t>NODE SAIU DA CX EXISTENTE T080, ALIMENTOU AS FISTS 031,032,033, COBRAR TODAS AS SECUNDARIAS DAS 031,032,033.COBRAR 1 ADEQUAÇÃO DE POSTE COBRAR 4 ABERTURA E FECHAMENTO E 36 FUSÕES A MAIS.</t>
  </si>
  <si>
    <t>COND CONCORDIA</t>
  </si>
  <si>
    <t>R HOFFMANN 543</t>
  </si>
  <si>
    <t>BFMAA.031.M010</t>
  </si>
  <si>
    <t>R CASTRO ALVES 45 / R FERNANDES VIEIRA 181</t>
  </si>
  <si>
    <t>CATIA / CLEVERSON</t>
  </si>
  <si>
    <t>FOI LANÇADO 928 METROS DE CABO DE 12 FO, 3 ABERTURA E FECHAMENTO, 8 FUSÕES, 1 DERIVAÇÃO, 3 TESTES OTDR.</t>
  </si>
  <si>
    <t>FOI LANÇADO 500 METROS DE 12FO, 3 ABERTURA E FECHAMENTO, 2 DERIVAÇÃO, 2 FUSÃO, 1 TESTE.</t>
  </si>
  <si>
    <t>FOI LANÇADO 115 METROS DE CABO DE 12FO, 1 ABERTURA E FECHAMENTO, 2 FUSÃO, 1 NAP NOVA, 1 DERIVAÇÃO, 1 TESTES</t>
  </si>
  <si>
    <t>NODE SAIU DO SITE, ALIMENTOU AS FISTS 031,032,033,034,035,036,037,  COBRAR TODAS AS SECUNDARIAS DAS 031,032,033,034,035,036,037.COBRAR 236 METROS DE CORDOALHAS.</t>
  </si>
  <si>
    <t>R 24 DE MAIO 244</t>
  </si>
  <si>
    <t>CNTAA.134.M030</t>
  </si>
  <si>
    <t>BFMAA.151.01</t>
  </si>
  <si>
    <t>BFMAA.151.02</t>
  </si>
  <si>
    <t>BFMAA.151.03</t>
  </si>
  <si>
    <t>SITE RSPLE78 - DIO 1D</t>
  </si>
  <si>
    <t>Estr. Caminho do Meio, 4772</t>
  </si>
  <si>
    <t>Condomínio Residencial VIVER COOMETAL </t>
  </si>
  <si>
    <t>RSCLND0661</t>
  </si>
  <si>
    <t>RSCLND0662</t>
  </si>
  <si>
    <t>RSCLND0663</t>
  </si>
  <si>
    <t>RSCLND0664</t>
  </si>
  <si>
    <t>RSCLND0665</t>
  </si>
  <si>
    <t>RSCLND0666</t>
  </si>
  <si>
    <t>RSCLND0667</t>
  </si>
  <si>
    <t>RSCLER0990</t>
  </si>
  <si>
    <t>RSCLER0991</t>
  </si>
  <si>
    <t>RSCLER0992</t>
  </si>
  <si>
    <t>RSCLER0993</t>
  </si>
  <si>
    <t>RSCLER0994</t>
  </si>
  <si>
    <t>RSCLER0995</t>
  </si>
  <si>
    <t>RSCLER0996</t>
  </si>
  <si>
    <t>Edifício The Elegance</t>
  </si>
  <si>
    <t>AV PALMEIRA 228</t>
  </si>
  <si>
    <t>PETAA.101.M040</t>
  </si>
  <si>
    <t>R CDOR AZEVEDO 497</t>
  </si>
  <si>
    <t>BFMAA.033.M030</t>
  </si>
  <si>
    <t>AV CRISTOVÃO COLOMBO 840</t>
  </si>
  <si>
    <t>FLOAA.104.M080</t>
  </si>
  <si>
    <t>NODE SAIU DA CX EXISTENTE 151, COBRAR TODAS AS SECUNDARIAS DA 151.COBRAR 22 ABERTURA E FECHAMENTO, 114 FUSÕES A MAIS.</t>
  </si>
  <si>
    <t>2 ABERTURA E FECHAMENTO, 1 DERIVAÇÃO, 10 FUSÕES, 5 TESTES.</t>
  </si>
  <si>
    <t>Edifício Hermitage</t>
  </si>
  <si>
    <t>R BORGES DO CANTO 189</t>
  </si>
  <si>
    <t>JBOAA.051.M070</t>
  </si>
  <si>
    <t>2 ABERTURA E FECHAMENTO, 1 FUSÃO, 1 TESTE..</t>
  </si>
  <si>
    <t>CLEVERSON / CATIA</t>
  </si>
  <si>
    <t>FOI LANÇADO 180 METROS DE CABO DE 24FO, MAIS 64 METROS DE CABO DE 12FO, 5 ABERTURA E FECHAMENTO, 2 CX NOVA, 4 DERIVAÇÃO, 46 FUSÕES, 30 TESTES.</t>
  </si>
  <si>
    <t>2 ABERTURA E FECHAMENTO, 4 FUSÕES, 2 TESTES, 2 TESTES OTDR.</t>
  </si>
  <si>
    <t>12FO</t>
  </si>
  <si>
    <t>3 ABERTURA E FECHAMENTO, 2 FUSÃO, 1 TESTE.</t>
  </si>
  <si>
    <t>4 ABERTURA E FECHAMENTO, 9 FUSÕES, 3 TESTES</t>
  </si>
  <si>
    <t>FOI LANÇADO 167 METROS DE CABO DE 24FO, 6 ABERTURA E FECHAMENTO, 14 FUSÕES, 2 DERIVAÇÕES, 2 TESTES</t>
  </si>
  <si>
    <t>RSCLER0997</t>
  </si>
  <si>
    <t>RSCLER0998</t>
  </si>
  <si>
    <t>RSCLER0999</t>
  </si>
  <si>
    <t>RSCLER1000</t>
  </si>
  <si>
    <t>RSCLER1001</t>
  </si>
  <si>
    <t>RSCLER1002</t>
  </si>
  <si>
    <t>RSCLER1003</t>
  </si>
  <si>
    <t>Cond. Ed. Nuevo Laredo</t>
  </si>
  <si>
    <t>R FIGUEIREDO MASCARENHAS 1011</t>
  </si>
  <si>
    <t>SRDAA.061.M010</t>
  </si>
  <si>
    <t>R FIGUEIREDO MASCARENHAS 980</t>
  </si>
  <si>
    <t>R FIGUEIREDO MASCARENHAS 991</t>
  </si>
  <si>
    <t>R FIGUEIREDO MASCARENHAS 1020</t>
  </si>
  <si>
    <t>Cond. San Diego</t>
  </si>
  <si>
    <t> Cond. Ed. Piedras Blancas</t>
  </si>
  <si>
    <t>Cond. Residencial Bahamas</t>
  </si>
  <si>
    <t>FOI LANÇADO 506 METROS DE CABO DE 48FO E 147 METROS DE CABO DE 12FO, 1 ABERTURA E FECHAMENTO, 2 CX NOVAS, 3 DERIVAÇÃO, 12 FUSÕES, 6 TESTES. COBRAR AS BUILTS.</t>
  </si>
  <si>
    <t>R. Sapé, 900</t>
  </si>
  <si>
    <t>Villa Parisi</t>
  </si>
  <si>
    <t>GUILHERME</t>
  </si>
  <si>
    <t>2 ABERTURA E FECHAMENTO, 2 FUSÕES, 1 DERIVAÇÃO, 1 TESTE.</t>
  </si>
  <si>
    <t>NODE SAIU DA CX EXISTENTE T060, ALIMENTOU AS FISTS 133, 132, 131, 125, T090 E 123, COBRAR TODAS AS SECUNDARIAS DA 123.COBRAR 2 ABERTURA E FECHAMENTO E 8 FUSÕES A MAIS.</t>
  </si>
  <si>
    <t>COBRAR JUNTO COM A OS RSCLER0980</t>
  </si>
  <si>
    <t xml:space="preserve"> EDIFICIO CARAIBA </t>
  </si>
  <si>
    <t> R OSVALDO ARANHA 232</t>
  </si>
  <si>
    <t>(BFMAA.141.M020)</t>
  </si>
  <si>
    <t>Cond. Edifício Dora</t>
  </si>
  <si>
    <t>AV PROTASIO ALVES 3210</t>
  </si>
  <si>
    <t>PETAA.153.M040</t>
  </si>
  <si>
    <t>AV PROTASIO ALVES 3020</t>
  </si>
  <si>
    <t>AV PROTASIO ALVES 3032</t>
  </si>
  <si>
    <t>AV PROTASIO ALVES 3062</t>
  </si>
  <si>
    <t>ED MONTENEGRO</t>
  </si>
  <si>
    <t>PETAA.153.M041</t>
  </si>
  <si>
    <t>PETAA.153.M042</t>
  </si>
  <si>
    <t>PETAA.153.M043</t>
  </si>
  <si>
    <t>DOM CAMILO </t>
  </si>
  <si>
    <t>R CDOR AZEVEDO 464</t>
  </si>
  <si>
    <t>RSCLER1004</t>
  </si>
  <si>
    <t>RSCLER1005</t>
  </si>
  <si>
    <t>RSCLER1006</t>
  </si>
  <si>
    <t>Edificio Prado</t>
  </si>
  <si>
    <t>R MOSTARDEIRO 539</t>
  </si>
  <si>
    <t>BFMAB.164.M30</t>
  </si>
  <si>
    <t> RAMIRO BARCELOS 1215</t>
  </si>
  <si>
    <t>Edifício Castro Alves</t>
  </si>
  <si>
    <t>R CASTRO ALVES 607 </t>
  </si>
  <si>
    <t>BFMAB.182.M020</t>
  </si>
  <si>
    <t> COND. IPANEMA GARDEN</t>
  </si>
  <si>
    <t> Av. Juca Batista, 5505 - Hípica</t>
  </si>
  <si>
    <t>HPCAA.402 </t>
  </si>
  <si>
    <t>RSCLER1007</t>
  </si>
  <si>
    <t>JOAO NUNES DA SILVA 194</t>
  </si>
  <si>
    <t>RSCLER1008</t>
  </si>
  <si>
    <t>RSCLER1009</t>
  </si>
  <si>
    <t>RSCLER1010</t>
  </si>
  <si>
    <t>ED MILENE </t>
  </si>
  <si>
    <t>AV PROTASIO ALVES 2468</t>
  </si>
  <si>
    <t>PETAA.156.M020</t>
  </si>
  <si>
    <t xml:space="preserve">CATIA </t>
  </si>
  <si>
    <t>ED TARASCONE</t>
  </si>
  <si>
    <t>AV PROTASIO ALVES 3560 </t>
  </si>
  <si>
    <t>PETAA.063.M020</t>
  </si>
  <si>
    <t>Edifício Monroe </t>
  </si>
  <si>
    <t>R MONROE 67 </t>
  </si>
  <si>
    <t>MNDAC.111.M020</t>
  </si>
  <si>
    <t>RSCLER1011</t>
  </si>
  <si>
    <t>mndamb</t>
  </si>
  <si>
    <t> Edifício Planalto </t>
  </si>
  <si>
    <t> R ADÃO BAINO 680</t>
  </si>
  <si>
    <t>VIPAA.124.M020</t>
  </si>
  <si>
    <t>RSCLER1012</t>
  </si>
  <si>
    <t>RSCLER1013</t>
  </si>
  <si>
    <t>RSPNO019</t>
  </si>
  <si>
    <t xml:space="preserve">CLEVERSON- FALTA 300 METROS PARA ESPINAR </t>
  </si>
  <si>
    <t>PAE CL / RSPSU02</t>
  </si>
  <si>
    <t>FOI LANÇADO 1535 METROS DE CABO DE 12FO, 8 ABERTURA E FECHAMENTO, 56 FUSÕES, 2 DERIVAÇÃO, 2 CX NOVA, 1 TESTE OTDR, 7 TESTES.</t>
  </si>
  <si>
    <t>RSCLER1014</t>
  </si>
  <si>
    <t>RSCLER1015</t>
  </si>
  <si>
    <t>RSCLER1016</t>
  </si>
  <si>
    <t>RSCLER1017</t>
  </si>
  <si>
    <t>RSCLER1018</t>
  </si>
  <si>
    <t>RSCLER1019</t>
  </si>
  <si>
    <t>RSCLER1020</t>
  </si>
  <si>
    <t>RSCLER1021</t>
  </si>
  <si>
    <t>RSCLER1022</t>
  </si>
  <si>
    <t>RSCLER1023</t>
  </si>
  <si>
    <t>R CARAZINHO 245</t>
  </si>
  <si>
    <t>AV IJUÍ 141</t>
  </si>
  <si>
    <t>PETAA.152.M010</t>
  </si>
  <si>
    <t> Cond. Edifício Ijuí</t>
  </si>
  <si>
    <t>Edifício Carazinho</t>
  </si>
  <si>
    <t>RSGUB07</t>
  </si>
  <si>
    <t>FOI LANÇADO 164 METROS DE CABO DE 12FO, 1 ABERTURA E FECHAMENTO, 2 CX NOVA, 1 DERIVAÇÃO, 5 FUSÕES, 2 TESTES.</t>
  </si>
  <si>
    <t>Edifício Julieta</t>
  </si>
  <si>
    <t>R GEN. JOÃO TELLES 292</t>
  </si>
  <si>
    <t>BFMAB.282.M040</t>
  </si>
  <si>
    <t>FOI LANÇADO 752 METROS DE CABO DE 12FO, 5 ABERTURA E FECHHAMENTO, 15 FUSÕES, 1 DERIVAÇÃO, 1 CX NOVA, 5 TESTES.</t>
  </si>
  <si>
    <t>FOI LANÇADO 171 METROS DE CABO DE 24FO, 1 ABERTURA E FECHAMENTO, 1 NAP NOVA, 2 FUSÕES, 1 TESTE.</t>
  </si>
  <si>
    <t>COND. THE SLIM</t>
  </si>
  <si>
    <t>R NEY DA GAMA AHRENDS 51</t>
  </si>
  <si>
    <t>JCVAA.071.M010</t>
  </si>
  <si>
    <t>TOM 219</t>
  </si>
  <si>
    <t>R TOMAZ FLORES 219</t>
  </si>
  <si>
    <t>BFMAA.143.M040</t>
  </si>
  <si>
    <t>COND ROSARIA</t>
  </si>
  <si>
    <t>AV CRISTOVÃO COLOMBO 878</t>
  </si>
  <si>
    <t>Residencial Fernando Cortez</t>
  </si>
  <si>
    <t>R FERNANDO CORTEZ 137</t>
  </si>
  <si>
    <t>VIPAA.021.M050</t>
  </si>
  <si>
    <t>Edifício Sabará</t>
  </si>
  <si>
    <t>AZNAA.052.M040</t>
  </si>
  <si>
    <t>R DR. VOLTAIRE PIRES 260</t>
  </si>
  <si>
    <t>FOI LANÇADO 155 METROS DE CABO DE 12FO, 5 ABERTURA E FECHAMENTO, 21 FUSÕES, 5 TESTES.</t>
  </si>
  <si>
    <t>BFMAA.151</t>
  </si>
  <si>
    <t>BFMAA.146</t>
  </si>
  <si>
    <t>48FO</t>
  </si>
  <si>
    <t>24FO</t>
  </si>
  <si>
    <t>BFMAA.142</t>
  </si>
  <si>
    <t>BFMAA.141</t>
  </si>
  <si>
    <t>PRIMARIAS</t>
  </si>
  <si>
    <t>141.13</t>
  </si>
  <si>
    <t>141.14</t>
  </si>
  <si>
    <t>141.15</t>
  </si>
  <si>
    <t>FOI LANÇADO 161 METROS DE CABO DE 12FO, 3 ABERTURA E FECHAMENTO, 5 FUSÕES, 2 DERIVAÇÕES, 2 TESTES.</t>
  </si>
  <si>
    <t>FOI LANÇADO 125 METROS DE CABO DE 12FO, 4 ABERTURA E FECHAMENTO, 12 FUSÕES, 2 DERIVAÇÃO, 10 TESTES.</t>
  </si>
  <si>
    <t>NÃO COBRAR É A BASE JLE DE NOVO HAMBURGO.</t>
  </si>
  <si>
    <t>NAVAGA</t>
  </si>
  <si>
    <t>MUNDO NOVO</t>
  </si>
  <si>
    <t>FOI LANÇADO 496 METROS DE CABO DE 24FO, 3 ABERTURA E FECHAMENTO, 12 FUSÕES, 1 CX NOVA, 1 DERIVAÇÃO, 5 TESTES.</t>
  </si>
  <si>
    <t>SJO04</t>
  </si>
  <si>
    <t>3 ABERTURA E FECHAMENTO, 1 CX NOVA, 30 FUSÕES, 10 TESTES, 1 DERIVAÇÃO.</t>
  </si>
  <si>
    <t>FOI LANÇADO 408 METROS DE CABO DE 24FO, 5 ABERTURA E FECHAMENTO, 23 FUSÕES, 1 DERIVAÇÃO, 1 CX NOVA, 3 TESTES, 8 TESTES OTDR.</t>
  </si>
  <si>
    <t>FOI LANÇADO 378 METROS DE CABO DE 12FO, 1 ABERTURA E FECHAMENTO, 1 CX NOVA, 1 DERIVAÇÕA, 4 FUSÕES, 4 TESTES.</t>
  </si>
  <si>
    <t>R DR BARROS CASSAL 475, 513</t>
  </si>
  <si>
    <t>BFMAA.122.M030</t>
  </si>
  <si>
    <t>FOI LANÇADO 207 METROS DE CABO DE 24FO, 3 ABERTURA E FECHAMENTO, 2 DERIVAÇÕES, 8 FUSÕES, 6 TESTES.</t>
  </si>
  <si>
    <t>FOI LANÇADO 185 METROS DE CABO DE 24FO, 2 ABERTURA E FECHAMENTO, 10 FUSÕES, 2 DERIVAÇÕES, 5 TESTES.</t>
  </si>
  <si>
    <t>CLC024-M2</t>
  </si>
  <si>
    <t>FOI LANÇADO 391 METROS DE CABO DE 24FO E 534 METROS DE CABO DE 12FO, 5 ABERTURA E FECHAMENTO, 5 CX NOVA, 1 NAP NOVA, 1 DERIVAÇÃO, 36 FUSÕES,3 TESTES</t>
  </si>
  <si>
    <t>FOI LANÇADO 1705 METROS DE CABO DE 12FO E 99 METROS DE CABO DE 24FO, 600 METROS DE CORDOALHA, 4 ABERTURA E FECHAMENTO, 1 CX NOVA, 12 NAP NOVA, 2 DERIVAÇÃO, 59 FUSÕES, 54 TESTES.</t>
  </si>
  <si>
    <t>FOI LANÇADO 1726 METROS DE CABO DE 12FO, 2 ABERTURA E FECHAMENTO, 3 CX NOVA, 7 FUSÕES, 1 DERIVAÇÃO.</t>
  </si>
  <si>
    <t>RSCLER1024</t>
  </si>
  <si>
    <t>RSCLER1025</t>
  </si>
  <si>
    <t>RSCLER1026</t>
  </si>
  <si>
    <t>RSCLER1027</t>
  </si>
  <si>
    <t>RSCLER1028</t>
  </si>
  <si>
    <t>Edifício Roberta</t>
  </si>
  <si>
    <t>R OURO PRETO 65</t>
  </si>
  <si>
    <t>Edifício Ana Paula</t>
  </si>
  <si>
    <t>R OURO PRETO 71</t>
  </si>
  <si>
    <t>Cond. Edifício Armenia</t>
  </si>
  <si>
    <t>R MOSTARDEIRO 12</t>
  </si>
  <si>
    <t>Cond. Edifício Astarte</t>
  </si>
  <si>
    <t>R SANTO ANTONIO 638</t>
  </si>
  <si>
    <t>Edifício Paladium</t>
  </si>
  <si>
    <t>AV JOÃO PESSOA 211</t>
  </si>
  <si>
    <t>SANAA.272.M060</t>
  </si>
  <si>
    <t>R CARLOS ESTEVÃO 460</t>
  </si>
  <si>
    <t>RSCLER1029</t>
  </si>
  <si>
    <t>RSCLER1030</t>
  </si>
  <si>
    <t>RSCLER1031</t>
  </si>
  <si>
    <t>RSCLER1032</t>
  </si>
  <si>
    <t>RSCLER1033</t>
  </si>
  <si>
    <t>RSCLER1034</t>
  </si>
  <si>
    <t>RSCLER1035</t>
  </si>
  <si>
    <t>FOI LANÇADO 293 DE CABO DE 12FO, 5 ABERTURA E FECHAMENTO, 7 FUSÕES, 4 DERIVAÇÕES, 2 TESTES</t>
  </si>
  <si>
    <t>Edifício Hamburgo Living</t>
  </si>
  <si>
    <t>GRIAA.053.M040</t>
  </si>
  <si>
    <t>R SÃO LUIS GONZAGA 140, 150</t>
  </si>
  <si>
    <t>FOI LANÇADO 586 METROS DE CABO DE 12FO, 7 ABERTURA E FECHAMENTO, 35 FUSÕES, 5 DERIVAÇÕES, 1 CX NOVA, 5 TESTES, 2 TESTES OTDR.</t>
  </si>
  <si>
    <t>FOI LANÇADO 436 METROS DE CABO DE 12FO, 2 ABERTURA E FECHAMENTO, 2 CX NOVA, 1 NAP NOVA, 1 DERIVAÇÃO, 27 FUSÕES, 3 TESTES.</t>
  </si>
  <si>
    <t>2 ABERTURA E FECHAMENTO, 3 FUSÕES, 2 TESTES, 1 TESTE OTDR.</t>
  </si>
  <si>
    <t>COND. LOUZANNE</t>
  </si>
  <si>
    <t>R CARAZINHO 217</t>
  </si>
  <si>
    <t>FOI LANÇADO 80 METROS DE CABO, 4 ABERTURA E FECHAMENTO, 8 FUSÃO, 2 DERIVAÇÃO, 2 TESTE</t>
  </si>
  <si>
    <t>AV IGUASSÚ 57</t>
  </si>
  <si>
    <t>PETAA.061.M030</t>
  </si>
  <si>
    <t>R SANTO ANTONIO 325</t>
  </si>
  <si>
    <t>BFMAA.103.M010</t>
  </si>
  <si>
    <t>Edifício Professor Lucchesi</t>
  </si>
  <si>
    <t>ENDEREÇOS</t>
  </si>
  <si>
    <t>DATA DE RECEBIMENTO</t>
  </si>
  <si>
    <t>PREVISÃO DE ENTREGA</t>
  </si>
  <si>
    <t>R DR BARROS CASSAL 531</t>
  </si>
  <si>
    <t>BFMAA.112.M050</t>
  </si>
  <si>
    <t>Edifício Cintia </t>
  </si>
  <si>
    <t>R DONA ALICE, 34</t>
  </si>
  <si>
    <t>RBRAA.091.M040</t>
  </si>
  <si>
    <t>COND. OURO VELHO</t>
  </si>
  <si>
    <t>FOI LANÇADO 399 METROS DE CABO DE 12FO, 6 ABERTURA E FECHAMENTO, 14 FUSÕES, 2 DERIVAÇÕES, 7 TESTES.</t>
  </si>
  <si>
    <t>36FO</t>
  </si>
  <si>
    <t>ED CENTRO PROFISSIONAL SAVERIO TRUDA</t>
  </si>
  <si>
    <t>R LUCIANA DE ABREU 337</t>
  </si>
  <si>
    <t>RSCLER1036</t>
  </si>
  <si>
    <t>COND. VILA MONTANA</t>
  </si>
  <si>
    <t>R CEL. MARCOS 240</t>
  </si>
  <si>
    <t>TRZAA.141.M020</t>
  </si>
  <si>
    <t>3 ABERTURA E FECHAMENTO, 12 FUSÕES, 5 TESTES, 3 TESTE OTDR</t>
  </si>
  <si>
    <t>FOI LANÇADO 802 METROS DE CABO DE 12FO, 3 ABERTURA E FECHAMENTO, 3 CX NOVA, 2 DERIVAÇÃO, 32 FUSÕES, 5 TESTES. 2 TESTES OTDR.</t>
  </si>
  <si>
    <t>UMBAA.401/UMBAA.402</t>
  </si>
  <si>
    <t>Condomínio Residencial Viver COOHAGIG</t>
  </si>
  <si>
    <t>Estr. Caminho do Meio, 4250 </t>
  </si>
  <si>
    <t>UMBAA.403/UMBAA.404</t>
  </si>
  <si>
    <t>RSCLER1037</t>
  </si>
  <si>
    <t>RSCLER1038</t>
  </si>
  <si>
    <t>RSCLER1039</t>
  </si>
  <si>
    <t>RSCLER1040</t>
  </si>
  <si>
    <t>RSCLER1041</t>
  </si>
  <si>
    <t>RSCLER1042</t>
  </si>
  <si>
    <t>RSCLER1043</t>
  </si>
  <si>
    <t>RSCLER1044</t>
  </si>
  <si>
    <t>ED RESIDENCIAL NORMANDIE</t>
  </si>
  <si>
    <t>R FERNANDO CORTEZ 151</t>
  </si>
  <si>
    <t xml:space="preserve">FLOAJ </t>
  </si>
  <si>
    <t>PETAA.154.M040</t>
  </si>
  <si>
    <t>R SILVA JARDIM 749</t>
  </si>
  <si>
    <t>MTSAA.295.M010</t>
  </si>
  <si>
    <t>BVSAB.082.M020</t>
  </si>
  <si>
    <t>Cond. Edifício Manchester </t>
  </si>
  <si>
    <t>AV PROTÁSIO ALVES, 2950 </t>
  </si>
  <si>
    <t>ENTREGUE NO PRAZO</t>
  </si>
  <si>
    <t>RELATÓRIOS A FAZER</t>
  </si>
  <si>
    <t>SARs PERÍODO JUNHO, JULHO E AGOSTO</t>
  </si>
  <si>
    <t>QUANTIDADE</t>
  </si>
  <si>
    <t>DASHBOARD SAR</t>
  </si>
  <si>
    <t>ENTREGUE ATRASADO</t>
  </si>
  <si>
    <t xml:space="preserve">2 ABERTURA E FECHAMENTO, 1 DERIVAÇÃO, 10 FUSÃO, 5 TESTES </t>
  </si>
  <si>
    <t>Cond. Edifício Santorini Santa Tereza</t>
  </si>
  <si>
    <t>R SEPÉ TIARAJÚ, 488</t>
  </si>
  <si>
    <t>TRLAA.094.M010</t>
  </si>
  <si>
    <t>COND. R LUIZ AFONSO 603</t>
  </si>
  <si>
    <t>Cond. Edifício Albina</t>
  </si>
  <si>
    <t>R GEN. SOUZA DOCA, 52</t>
  </si>
  <si>
    <t>JBOAA.061.M030</t>
  </si>
  <si>
    <t>COND. Bristol</t>
  </si>
  <si>
    <t>R IMO JOSE OTAO 170</t>
  </si>
  <si>
    <t>BFMAA.122.M050</t>
  </si>
  <si>
    <t>LIRA</t>
  </si>
  <si>
    <t>FOI LANÇADO 84 METROS DE CABO DE 36FO, E 357 METROS DE CABO DE 24FO, 4 ABERTURA E FECHAMENTO, 2 CX NOVA, 1 DERIVAÇÃO, 35 FUSÕES, 27 TESTES.</t>
  </si>
  <si>
    <t>SRDAI</t>
  </si>
  <si>
    <t>FOI COBRADO JUNTO A OS RSCLER0994.</t>
  </si>
  <si>
    <t>COND. ALVARO ESTEVES</t>
  </si>
  <si>
    <t>AV FARRAPOS 1456</t>
  </si>
  <si>
    <t>BFMAA.272.M030</t>
  </si>
  <si>
    <t>RSCLER1045</t>
  </si>
  <si>
    <t>RSCLER1046</t>
  </si>
  <si>
    <t>RSCLER1047</t>
  </si>
  <si>
    <t>RSCLER1048</t>
  </si>
  <si>
    <t>RSCLER1049</t>
  </si>
  <si>
    <t>RUA LOPO GONÇALVES 235</t>
  </si>
  <si>
    <t>MNDAB.035.M030</t>
  </si>
  <si>
    <t>Cond. Residencial Jardim Flamboyant</t>
  </si>
  <si>
    <t>R Voluntários da Pátria,795</t>
  </si>
  <si>
    <t>IDLAA.053.M050</t>
  </si>
  <si>
    <t>Ed Senior Living</t>
  </si>
  <si>
    <t>R GONÇALO DE CARVALHO 347</t>
  </si>
  <si>
    <t>BFMAA.241.M040</t>
  </si>
  <si>
    <t>FOI LANÇADO 842 METTROS DE CABO DE 36FO, 2 ABERTURA E FECHAMENTO, 2 CX NOVA,  8 FUSÕES, 1 DERIVAÇÃO, 4 TESTES, 1 TESTE OTDR.</t>
  </si>
  <si>
    <t>SPEAJ</t>
  </si>
  <si>
    <t>3 ABERTURA E FECHAMENTO, 4 FUSÕES, 2 TESTES, 2 TESTES OTDR</t>
  </si>
  <si>
    <t>COBRAR JUNTO COM A OS RSCLER1014</t>
  </si>
  <si>
    <t>2 ABERTURA E FECHAMENTO, 2 FUSÕES, 1 TESTE, 1 TESTE OTDR.</t>
  </si>
  <si>
    <t>MSTAC</t>
  </si>
  <si>
    <t>BFMAA.143</t>
  </si>
  <si>
    <t>BFMAA.T050</t>
  </si>
  <si>
    <t>9 ABERTURA E FECHAMENTO, 14 FUSÕES, 1 TESTES, 9 TESTES OTDR.</t>
  </si>
  <si>
    <t>3 ABERTURA E FECHAMENTO, 2 FUSÕES, 1 TESTE.</t>
  </si>
  <si>
    <t>5 ABERTURA E FECHAMENTO, 15 FUSÕES, 8 TESTES, 1 TESTE OTDR.</t>
  </si>
  <si>
    <t>4 ABERTURA E FECHAMENTO, 11 FUSÕES, 5 TESTES.1 TESTE OTDR, 1 DERIVAÇÃO.</t>
  </si>
  <si>
    <t>3 ABERTURA E FECHAMENTO, 3 FUSÕES, 1 TESTE, 2 OTDR.</t>
  </si>
  <si>
    <t>2 ABERTURA E FECHAMENTO, 2 FUSÕES, 1 TESTE, 1 OTDR.</t>
  </si>
  <si>
    <t>2 ABERTURA E FECHAMENTO, 6 FUSÕES, 3 TESTES, 3 TESTES OTDR.</t>
  </si>
  <si>
    <t>4 ABERTURA E FECHAMENTO, 5 FUSÕES, 3 TESTES, 2 TESTES OTDR.</t>
  </si>
  <si>
    <t>4 ABERTURA E FECHAMENTO, 7 FUSÕES, 3 TESTES, 1 TESTES OTDR.</t>
  </si>
  <si>
    <t>5 ABERTURA E FECHAMENTO, 16 FUSÕES, 4 TESTES.</t>
  </si>
  <si>
    <t>3 ABERTURA E FECHAMENTO, 6 FUSÕES, 3 TESTES.</t>
  </si>
  <si>
    <t>COBRAR JUNTO COM A OS RSCLER1022.</t>
  </si>
  <si>
    <t>4 ABERTURA E FECHAMENTO, 8 FUSÕES, 2 DERIVAÇÕES, 2 TESTES.</t>
  </si>
  <si>
    <t>4 ABERTURA E FECHAMENTO, 3 FUSÕES, 1 TESTE, 3 TESTES OTDR.</t>
  </si>
  <si>
    <t>4 ABERTURA E FECHAMENTO, 6 FUSÕES, 3 TESTES.</t>
  </si>
  <si>
    <t>4 ABERTURA E FECHAMENTO, 16 FUSÕES, 1 DERIVAÇÃO, 4 TESTES.</t>
  </si>
  <si>
    <t>3 ABERTURA E FECHAMENTO, 3 FUSÕES, 1 DERIVAÇÃO, 1 TESTE.</t>
  </si>
  <si>
    <t>3 ABERTURA E FECHAMENTO, 3 FUSÕES, 2 TESTES, 2 TESTES OTDR.</t>
  </si>
  <si>
    <t>2 ABERTURA E FECHAMENTO, 5 FUSÕES, 5 TESTES.</t>
  </si>
  <si>
    <t>5 ABERTURA E FECHAMENTO, 17 FUSÕES, 1 CX NOVA, 1 DERIVAÇÃO, 4 TESTES OTDR, 8 TESTES.</t>
  </si>
  <si>
    <t>5 ABERTURA E FECHAMENTO, 6 FUSÕES, 2 TESTES OTDR, 1 TESTE.</t>
  </si>
  <si>
    <t>ED SIMONE</t>
  </si>
  <si>
    <t>R MARQUES DO ALEGRETE 291</t>
  </si>
  <si>
    <t>NAVAB.043.M050</t>
  </si>
  <si>
    <t xml:space="preserve">FOI LANÇADO 1631 METROS DE CABO, 4 ABERTURA E FECHAMENTO, 18 FUSÕES, 3 DERIVAÇÕES, 6 TESTES OTDR - paralizado lancou só a parte de fora </t>
  </si>
  <si>
    <t xml:space="preserve">FOI LANÇADO 520 METROS DE CABO AS, E 3810 METROS DE CABO DDS, COBRAR 2400 METROS DE CORDOALHA. 1 ABERTURA E FECHAMENTO, 3 CX NOVAS, 19 NAPS NOVAS, 4 DERIVAÇÕES, 122 FUSÕES, </t>
  </si>
  <si>
    <t>Cond. Edifício SEN. ANNIBAL DI PRIMIO BECK</t>
  </si>
  <si>
    <t>R Duque de Caxias, 1284</t>
  </si>
  <si>
    <t>CNTAB.572.M010</t>
  </si>
  <si>
    <t>R DR CARLOS MARIA BINS 230</t>
  </si>
  <si>
    <t>RBTAB.034.M040</t>
  </si>
  <si>
    <t>8 ABERTURA E FECHAMENTO, 13 FUSÕES, 4 TESTES OTDR, 3 TESTES.</t>
  </si>
  <si>
    <t>RSCLER1050</t>
  </si>
  <si>
    <t>RSCLER1051</t>
  </si>
  <si>
    <t>RSCLER1052</t>
  </si>
  <si>
    <t>RSCLER1053</t>
  </si>
  <si>
    <t>RSCLER1054</t>
  </si>
  <si>
    <t>RSCLER1055</t>
  </si>
  <si>
    <t>RSCLER1056</t>
  </si>
  <si>
    <t>RSCLER1057</t>
  </si>
  <si>
    <t>RSCLER1058</t>
  </si>
  <si>
    <t>RSCLER1059</t>
  </si>
  <si>
    <t>RSCLER1060</t>
  </si>
  <si>
    <t>RSCLER1061</t>
  </si>
  <si>
    <t>RSCLER1062</t>
  </si>
  <si>
    <t>FOI LANÇADO 150 METROS DE CABO DE 12FO, 4 ABERTURA E FECHAMENTO, 14 FUSÕES,1 DERIVAÇÃO,1 CX NOVA, 6 TESTE OTDR, 2 TESTES.</t>
  </si>
  <si>
    <t>SSAOFA</t>
  </si>
  <si>
    <t>FOI LANÇADO 261 METROS DE CABO, 3 ABERTURA E FECHAMENTO, 1 CX NOVA, 1 DERIVAÇÃO, 16 FUSÕES,12 TESTES.</t>
  </si>
  <si>
    <t>Cond. Edifício Samuel Morse</t>
  </si>
  <si>
    <t>R Leopoldo Bier,574</t>
  </si>
  <si>
    <t>RBRAA.001.M030</t>
  </si>
  <si>
    <t>VIPAA.091.M030</t>
  </si>
  <si>
    <t>BFMAB.071.M020</t>
  </si>
  <si>
    <t>RSPAU11</t>
  </si>
  <si>
    <t>FOI LANÇADO 362 METROS DE CABO DE 24FO, 3 ABERTURAS E FECHAMENTOS, 2 DERIVAÇÕES, 7 FUSÕES, 1 TESTE OTDR, 3 TESTES.</t>
  </si>
  <si>
    <t>RSPLE35 (PAE BV)</t>
  </si>
  <si>
    <t>6 ABERTURA E FECHAMENTO, 10 FUSÕES, 2 TESTES, 6 TESTES OTDR.</t>
  </si>
  <si>
    <t>Status Geral</t>
  </si>
  <si>
    <t>AG. MEDIÇÃO</t>
  </si>
  <si>
    <t>CNTAA.353.M020</t>
  </si>
  <si>
    <t>AV MAURICIO CARDOSO 1190</t>
  </si>
  <si>
    <t>CNTAA.093.M040</t>
  </si>
  <si>
    <t>3 ABERTURA E FECHAMENTO, 9 FUSÕES, 1 DERIVAÇÃO, 3 TESTES.</t>
  </si>
  <si>
    <t>NÃO COBRAR POIS O LIRA DA CLARO QUEM FEZ.</t>
  </si>
  <si>
    <t>FOI LANÇADO 298 METROS DE CABO DE 24FO, 5 ABERTURA E FECHAMENTO, 20 FUSÕES, 3 DERIVAÇÕES, 4 TESTES.</t>
  </si>
  <si>
    <t>4 ABERTURA E FECHAMENTO, 5 FUSÕES, 1 TESTES, 2 TESTES OTDR.</t>
  </si>
  <si>
    <t>FOI LANÇADO 200 METROS DE CABO DE 24FO, 1 ABERTURA E FECHAMENTO, 1 DERIVAÇÃO, 1 CX NOVA, 2 FUSÕES, 2 TESTES.</t>
  </si>
  <si>
    <t>REANÁLISE </t>
  </si>
  <si>
    <t>RUA LOPO GONÇALVES 235.</t>
  </si>
  <si>
    <t>MNDAB.352.M090</t>
  </si>
  <si>
    <t xml:space="preserve">     </t>
  </si>
  <si>
    <t>5 ABERTURA E FECHAMENTO, 6 FUSÕES, 3 TESTES OTDR, 1 TESTE.</t>
  </si>
  <si>
    <t>FOI LANÇADO 40 METROS DE DROP 8FO, 5 ABERTURA E FECHAMENTO, 1 DERIVAÇÃO, 10 FUSÕES, 2 TESTES. 3 TESTES OTDR.</t>
  </si>
  <si>
    <t>BFMAA.241</t>
  </si>
  <si>
    <t>COBRAR 332 TROCAS DE ETIQUETAS</t>
  </si>
  <si>
    <t xml:space="preserve"> RUA MANOEL LOPES MEIRELLES, 115</t>
  </si>
  <si>
    <t>COND.ED SÃO RAPHAEL</t>
  </si>
  <si>
    <t>AV. DES. ANDRE DA ROCHA, 25</t>
  </si>
  <si>
    <t>CNTAA.133.M010</t>
  </si>
  <si>
    <t>LAJEADO</t>
  </si>
  <si>
    <t>RSLJO14</t>
  </si>
  <si>
    <t>MTNAA</t>
  </si>
  <si>
    <t>NODE SAIU DO SITE, ALIMENTOU AS FISTS, 012,013,T010,016,018,017, COBRAR TODAS AS SECUNDARIAS DA 017.</t>
  </si>
  <si>
    <t>3 ABERTURA E FECHAMENTO, 4 FUSÕES, 2 TESTES, 4 TESTES OTDR</t>
  </si>
  <si>
    <t>FOI LANÇADO 2303 METROS DE CABO, 122 ABERTURAS E FECHAMENTO, 345 FUSÕES, 31 DERIVAÇÃO.</t>
  </si>
  <si>
    <t xml:space="preserve">🟢 ED CENTRO PROFISSIONAL </t>
  </si>
  <si>
    <t>R Ada Mascarenhas de Moraes,913</t>
  </si>
  <si>
    <t>R BR DO AMAZONAS 1040</t>
  </si>
  <si>
    <t>🟢CONDOMÍNIO ED. PORTO BELO</t>
  </si>
  <si>
    <t>🟢Edifício Ipiranga</t>
  </si>
  <si>
    <t>🟢ED MILENE</t>
  </si>
  <si>
    <t>🟢EDIFÍCIO MARCIA</t>
  </si>
  <si>
    <t>🟢EDIFÍCIO PLANALTO</t>
  </si>
  <si>
    <t>🟢COND. EDIFÍCIO DORA</t>
  </si>
  <si>
    <t>🟢ED SIMONE</t>
  </si>
  <si>
    <t>🟢ED TARASCONE</t>
  </si>
  <si>
    <t>🟢 AV OSVALDO ARANHA 340/350</t>
  </si>
  <si>
    <t>🟢 COND - R SILVA JARDIM</t>
  </si>
  <si>
    <t>🟢 COND EDIFÍCIO RIO GUAIRA</t>
  </si>
  <si>
    <t>🟢 COND. EDIFÍCIO MANCHESTER</t>
  </si>
  <si>
    <t>🟢 ED RESIDENCIAL NORMANDIE</t>
  </si>
  <si>
    <t>🟢 EDIFÍCIO JULIETA</t>
  </si>
  <si>
    <t>🟢 EDIFÍCIO PROFESSOR LUCCHESI</t>
  </si>
  <si>
    <t>🟢 EDIFÍCIO RESIDENCIAL DON FELIPE</t>
  </si>
  <si>
    <t>🟢 POA - EDIFÍCIO CINTIA</t>
  </si>
  <si>
    <t>🟢Edifício Carazinho</t>
  </si>
  <si>
    <t>🟢Cond. Residencial Bahamas</t>
  </si>
  <si>
    <t>R FIGUEIREDO MASCARENHAS 980,991,1011,1020</t>
  </si>
  <si>
    <t>CONDOMINIO</t>
  </si>
  <si>
    <t>🟢 TOM 219</t>
  </si>
  <si>
    <t>R DOUTOR DARIO BITTENCOURT 440</t>
  </si>
  <si>
    <t>🟢DARIO BITTENCOURT</t>
  </si>
  <si>
    <t>R REPUBLICA, 64</t>
  </si>
  <si>
    <t>🟢COND ED MARIA MANOELA</t>
  </si>
  <si>
    <t>R DA ZULMIRA 198</t>
  </si>
  <si>
    <t>🟢DA ZULMIRA</t>
  </si>
  <si>
    <t>R ERNESTO ALVES 60</t>
  </si>
  <si>
    <t>R ERNESTO DA FONTOURA 699</t>
  </si>
  <si>
    <t>RUA JOSE DO PATROCINIO 653</t>
  </si>
  <si>
    <t>R SAPIRANGA, 1340</t>
  </si>
  <si>
    <t>RUA FERNANDES VIEIRA 427</t>
  </si>
  <si>
    <t>🟢COND. ED 60</t>
  </si>
  <si>
    <t>🟢ERNESTO DA FONTOURA</t>
  </si>
  <si>
    <t>🟢COND. EDIF SAO JACO</t>
  </si>
  <si>
    <t>🟢SAPIRANGA</t>
  </si>
  <si>
    <t xml:space="preserve">🟢CENTRO PROFISSIONAL FERNANDES VIEIRA II </t>
  </si>
  <si>
    <t>🟢</t>
  </si>
  <si>
    <t>🟢Edifício Monroe</t>
  </si>
  <si>
    <t>🟢Residencial Fernando Cortez</t>
  </si>
  <si>
    <t>🟢Edifício Sabará</t>
  </si>
  <si>
    <t>🟢Cond. Edifício Armenia</t>
  </si>
  <si>
    <t>🟢Edifício Ana Paula</t>
  </si>
  <si>
    <t>🟢Edifício Roberta</t>
  </si>
  <si>
    <t>🟢COND. LOUZANNE</t>
  </si>
  <si>
    <t>🟢COND. OURO VELHO</t>
  </si>
  <si>
    <t>🟢COND. VILA MONTANA</t>
  </si>
  <si>
    <t>🟢Cond. Edifício Albina</t>
  </si>
  <si>
    <t>R Atanásio Belmonte 71</t>
  </si>
  <si>
    <t>R FERNANDO CORTEZ 137.</t>
  </si>
  <si>
    <t>🟢Edifício Piazza Maggiore</t>
  </si>
  <si>
    <t>TRZAB.T040</t>
  </si>
  <si>
    <t>TRZAB.T030</t>
  </si>
  <si>
    <t>TRZAB.T020</t>
  </si>
  <si>
    <t>TRZAB.013</t>
  </si>
  <si>
    <t>TRZAB.012</t>
  </si>
  <si>
    <t>TRZAB.011</t>
  </si>
  <si>
    <t>TRZAB.011.M010</t>
  </si>
  <si>
    <t>TRZAB.011.M020</t>
  </si>
  <si>
    <t>TRZAB.011.M030</t>
  </si>
  <si>
    <t>TRZAB.011.01.01</t>
  </si>
  <si>
    <t>TRZAB.011.01.02</t>
  </si>
  <si>
    <t>TRZAB.011.01.03</t>
  </si>
  <si>
    <t>TRZAB.011.01.04</t>
  </si>
  <si>
    <t>TRZAB.011.02.01</t>
  </si>
  <si>
    <t>TRZAB.011.02.08</t>
  </si>
  <si>
    <t>TRZAB.011.M040</t>
  </si>
  <si>
    <t>CNTAA.081.M020</t>
  </si>
  <si>
    <t>CNTAA.081.M010</t>
  </si>
  <si>
    <t>CNTAA.082.M020</t>
  </si>
  <si>
    <t>CNTAA.082.M010</t>
  </si>
  <si>
    <t>CNTAA.081.A010</t>
  </si>
  <si>
    <t>CNTAA.081</t>
  </si>
  <si>
    <t>CNTAA.082</t>
  </si>
  <si>
    <t>CNTAA.081.02.02</t>
  </si>
  <si>
    <t>CNTAA.081.02.01</t>
  </si>
  <si>
    <t>CNTAA.081.03.05</t>
  </si>
  <si>
    <t>CNTAA.082.03.01</t>
  </si>
  <si>
    <t>CNTAA.081.01.06</t>
  </si>
  <si>
    <t>CNTAA.081.02.07</t>
  </si>
  <si>
    <t>CNTAA.081.02.03</t>
  </si>
  <si>
    <t>CNTAA.081.01.08</t>
  </si>
  <si>
    <t>CNTAA.082.02.06</t>
  </si>
  <si>
    <t>CNTAA.081.01.07</t>
  </si>
  <si>
    <t>CNTAA.081.01.05</t>
  </si>
  <si>
    <t>CNTAA.081.01.04</t>
  </si>
  <si>
    <t>CNTAA.081.01.03</t>
  </si>
  <si>
    <t>CNTAA.081.01.02</t>
  </si>
  <si>
    <t>CNTAA.081.01.01</t>
  </si>
  <si>
    <t>CNTAA.081.02.06</t>
  </si>
  <si>
    <t>CNTAA.081.04.07</t>
  </si>
  <si>
    <t>CNTAA.081.04.06</t>
  </si>
  <si>
    <t>CNTAA.081.04.05</t>
  </si>
  <si>
    <t>CNTAA.081.04.03</t>
  </si>
  <si>
    <t>CNTAA.081.04.02</t>
  </si>
  <si>
    <t>CNTAA.081.03.01</t>
  </si>
  <si>
    <t>CNTAA.081.03.02</t>
  </si>
  <si>
    <t>CNTAA.081.03.03</t>
  </si>
  <si>
    <t>CNTAA.081.03.04</t>
  </si>
  <si>
    <t>CNTAA.082.03.02</t>
  </si>
  <si>
    <t>CNTAA.082.03.03</t>
  </si>
  <si>
    <t>CNTAA.082.03.04</t>
  </si>
  <si>
    <t>CNTAA.082.03.05</t>
  </si>
  <si>
    <t>CNTAA.082.03.06</t>
  </si>
  <si>
    <t>CNTAA.082.03.07</t>
  </si>
  <si>
    <t>CNTAA.082.03.08</t>
  </si>
  <si>
    <t>CNTAA.082.04.01</t>
  </si>
  <si>
    <t>CNTAA.082.04.02</t>
  </si>
  <si>
    <t>CNTAA.082.04.03</t>
  </si>
  <si>
    <t>CNTAA.082.04.04</t>
  </si>
  <si>
    <t>CNTAA.082.04.05</t>
  </si>
  <si>
    <t>CNTAA.082.04.06</t>
  </si>
  <si>
    <t>CNTAA.082.02.07</t>
  </si>
  <si>
    <t>CNTAA.082.02.02</t>
  </si>
  <si>
    <t>CNTAA.082.02.01</t>
  </si>
  <si>
    <t>CNTAA.082.01.05</t>
  </si>
  <si>
    <t>CNTAA.082.01.01</t>
  </si>
  <si>
    <t>CNTAA.082.01.02</t>
  </si>
  <si>
    <t>CNTAA.082.01.03</t>
  </si>
  <si>
    <t>CNTAA.082.01.04</t>
  </si>
  <si>
    <t>CNTAA.081.04.04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</si>
</sst>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R$-416]\ * #,##0.00_-;\-[$R$-416]\ * #,##0.00_-;_-[$R$-416]\ * &quot;-&quot;??_-;_-@"/>
    <numFmt numFmtId="166" formatCode="0.000"/>
    <numFmt numFmtId="167" formatCode="mmm/yyyy"/>
  </numFmts>
  <fonts count="7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font>
    <font>
      <b/>
      <sz val="18"/>
      <color rgb="FF1F3864"/>
      <name val="Calibri"/>
      <family val="2"/>
    </font>
    <font>
      <sz val="11"/>
      <color rgb="FF9C6500"/>
      <name val="Calibri"/>
      <family val="2"/>
    </font>
    <font>
      <b/>
      <sz val="16"/>
      <color theme="0"/>
      <name val="Calibri"/>
      <family val="2"/>
    </font>
    <font>
      <sz val="11"/>
      <name val="Calibri"/>
      <family val="2"/>
    </font>
    <font>
      <b/>
      <sz val="18"/>
      <color theme="0"/>
      <name val="Calibri"/>
      <family val="2"/>
    </font>
    <font>
      <b/>
      <sz val="11"/>
      <color theme="0"/>
      <name val="Calibri"/>
      <family val="2"/>
    </font>
    <font>
      <b/>
      <sz val="11"/>
      <color theme="1"/>
      <name val="Calibri"/>
      <family val="2"/>
    </font>
    <font>
      <sz val="11"/>
      <color theme="1"/>
      <name val="Calibri"/>
      <family val="2"/>
    </font>
    <font>
      <sz val="11"/>
      <color theme="1"/>
      <name val="Calibri"/>
      <family val="2"/>
      <scheme val="minor"/>
    </font>
    <font>
      <sz val="11"/>
      <color theme="1"/>
      <name val="Calibri"/>
      <family val="2"/>
      <scheme val="minor"/>
    </font>
    <font>
      <b/>
      <sz val="11"/>
      <color indexed="64"/>
      <name val="Calibri"/>
      <family val="2"/>
    </font>
    <font>
      <sz val="11"/>
      <color indexed="64"/>
      <name val="Calibri"/>
      <family val="2"/>
    </font>
    <font>
      <b/>
      <sz val="11"/>
      <color theme="1"/>
      <name val="Calibri"/>
      <family val="2"/>
      <scheme val="minor"/>
    </font>
    <font>
      <sz val="11"/>
      <color indexed="2"/>
      <name val="Calibri"/>
      <family val="2"/>
    </font>
    <font>
      <b/>
      <sz val="11"/>
      <color indexed="64"/>
      <name val="Carlito"/>
      <family val="2"/>
    </font>
    <font>
      <b/>
      <sz val="11"/>
      <color indexed="2"/>
      <name val="Calibri"/>
      <family val="2"/>
    </font>
    <font>
      <b/>
      <sz val="11"/>
      <color rgb="FF0C0C0C"/>
      <name val="Calibri"/>
      <family val="2"/>
    </font>
    <font>
      <b/>
      <sz val="11"/>
      <name val="Calibri"/>
      <family val="2"/>
    </font>
    <font>
      <b/>
      <sz val="11"/>
      <name val="Calibri"/>
      <family val="2"/>
    </font>
    <font>
      <sz val="13.5"/>
      <color indexed="63"/>
      <name val="Arial"/>
      <family val="2"/>
    </font>
    <font>
      <sz val="12"/>
      <color indexed="64"/>
      <name val="Arial"/>
      <family val="2"/>
    </font>
    <font>
      <b/>
      <sz val="11"/>
      <color theme="1"/>
      <name val="Calibri"/>
      <family val="2"/>
      <scheme val="minor"/>
    </font>
    <font>
      <sz val="13"/>
      <color indexed="63"/>
      <name val="Arial"/>
      <family val="2"/>
    </font>
    <font>
      <b/>
      <sz val="11"/>
      <color indexed="64"/>
      <name val="Arial"/>
      <family val="2"/>
    </font>
    <font>
      <b/>
      <sz val="11"/>
      <color indexed="63"/>
      <name val="Arial"/>
      <family val="2"/>
    </font>
    <font>
      <b/>
      <sz val="12"/>
      <color indexed="64"/>
      <name val="Arial"/>
      <family val="2"/>
    </font>
    <font>
      <b/>
      <sz val="14"/>
      <color theme="1"/>
      <name val="Calibri"/>
      <family val="2"/>
    </font>
    <font>
      <sz val="11"/>
      <color rgb="FF3F3F3F"/>
      <name val="Calibri"/>
      <family val="2"/>
    </font>
    <font>
      <sz val="11"/>
      <color rgb="FF0C0C0C"/>
      <name val="Calibri"/>
      <family val="2"/>
    </font>
    <font>
      <b/>
      <sz val="14"/>
      <color rgb="FF222A35"/>
      <name val="Calibri"/>
      <family val="2"/>
    </font>
    <font>
      <sz val="14"/>
      <color theme="1"/>
      <name val="Calibri"/>
      <family val="2"/>
    </font>
    <font>
      <b/>
      <sz val="12"/>
      <color theme="1"/>
      <name val="Arial"/>
      <family val="2"/>
    </font>
    <font>
      <b/>
      <sz val="12"/>
      <color indexed="63"/>
      <name val="Arial"/>
      <family val="2"/>
    </font>
    <font>
      <b/>
      <sz val="16"/>
      <color indexed="64"/>
      <name val="Calibri"/>
      <family val="2"/>
    </font>
    <font>
      <b/>
      <sz val="14"/>
      <color rgb="FF3F3F3F"/>
      <name val="Calibri"/>
      <family val="2"/>
    </font>
    <font>
      <b/>
      <sz val="11"/>
      <color rgb="FF1F3864"/>
      <name val="Calibri"/>
      <family val="2"/>
    </font>
    <font>
      <b/>
      <sz val="12"/>
      <color theme="0"/>
      <name val="Calibri"/>
      <family val="2"/>
    </font>
    <font>
      <sz val="8"/>
      <name val="Calibri"/>
      <scheme val="minor"/>
    </font>
    <font>
      <b/>
      <sz val="11"/>
      <name val="Arial"/>
      <family val="2"/>
    </font>
    <font>
      <b/>
      <sz val="12"/>
      <name val="Arial"/>
      <family val="2"/>
    </font>
    <font>
      <b/>
      <sz val="13"/>
      <name val="Arial"/>
      <family val="2"/>
    </font>
    <font>
      <u/>
      <sz val="11"/>
      <color theme="10"/>
      <name val="Calibri"/>
      <scheme val="minor"/>
    </font>
    <font>
      <b/>
      <sz val="11"/>
      <color theme="0"/>
      <name val="Calibri"/>
      <family val="2"/>
      <scheme val="minor"/>
    </font>
    <font>
      <b/>
      <sz val="12"/>
      <name val="Calibri"/>
      <family val="2"/>
    </font>
    <font>
      <b/>
      <sz val="10"/>
      <color theme="0"/>
      <name val="Calibri"/>
      <scheme val="minor"/>
    </font>
    <font>
      <b/>
      <sz val="11"/>
      <name val="Calibri"/>
      <family val="2"/>
      <scheme val="minor"/>
    </font>
    <font>
      <sz val="11"/>
      <name val="Calibri"/>
      <family val="2"/>
      <scheme val="minor"/>
    </font>
    <font>
      <b/>
      <sz val="10"/>
      <color theme="1"/>
      <name val="Calibri"/>
      <family val="2"/>
      <scheme val="minor"/>
    </font>
    <font>
      <sz val="11"/>
      <color theme="0"/>
      <name val="Calibri"/>
      <family val="2"/>
      <scheme val="minor"/>
    </font>
    <font>
      <b/>
      <sz val="11"/>
      <color theme="3"/>
      <name val="Calibri"/>
      <family val="2"/>
      <scheme val="minor"/>
    </font>
    <font>
      <b/>
      <sz val="11"/>
      <color rgb="FF4D4D4D"/>
      <name val="Arial"/>
      <family val="2"/>
    </font>
    <font>
      <b/>
      <sz val="11"/>
      <color theme="1"/>
      <name val="Arial"/>
      <family val="2"/>
    </font>
    <font>
      <b/>
      <sz val="11"/>
      <color rgb="FF000000"/>
      <name val="Calibri"/>
      <family val="2"/>
      <scheme val="minor"/>
    </font>
    <font>
      <b/>
      <sz val="13"/>
      <color theme="1"/>
      <name val="Calibri"/>
      <family val="2"/>
      <scheme val="minor"/>
    </font>
    <font>
      <sz val="8"/>
      <color rgb="FF000000"/>
      <name val="Docs-Calibri"/>
    </font>
  </fonts>
  <fills count="48">
    <fill>
      <patternFill patternType="none"/>
    </fill>
    <fill>
      <patternFill patternType="gray125"/>
    </fill>
    <fill>
      <patternFill patternType="solid">
        <fgColor theme="5"/>
        <bgColor theme="5"/>
      </patternFill>
    </fill>
    <fill>
      <patternFill patternType="solid">
        <fgColor theme="0"/>
        <bgColor theme="0"/>
      </patternFill>
    </fill>
    <fill>
      <patternFill patternType="solid">
        <fgColor rgb="FF1E4E79"/>
        <bgColor rgb="FF1E4E79"/>
      </patternFill>
    </fill>
    <fill>
      <patternFill patternType="solid">
        <fgColor theme="9" tint="0.59999389629810485"/>
        <bgColor theme="9" tint="0.59999389629810485"/>
      </patternFill>
    </fill>
    <fill>
      <patternFill patternType="solid">
        <fgColor rgb="FFC5E0B3"/>
        <bgColor rgb="FFC5E0B3"/>
      </patternFill>
    </fill>
    <fill>
      <patternFill patternType="solid">
        <fgColor rgb="FFFEF2CB"/>
        <bgColor rgb="FFFEF2CB"/>
      </patternFill>
    </fill>
    <fill>
      <patternFill patternType="solid">
        <fgColor theme="0"/>
        <bgColor theme="0"/>
      </patternFill>
    </fill>
    <fill>
      <patternFill patternType="solid">
        <fgColor theme="2"/>
        <bgColor theme="2"/>
      </patternFill>
    </fill>
    <fill>
      <patternFill patternType="solid">
        <fgColor rgb="FFFFE598"/>
        <bgColor rgb="FFFFE598"/>
      </patternFill>
    </fill>
    <fill>
      <patternFill patternType="solid">
        <fgColor rgb="FFFFCCCC"/>
        <bgColor rgb="FFFFCCCC"/>
      </patternFill>
    </fill>
    <fill>
      <patternFill patternType="solid">
        <fgColor rgb="FFFF9999"/>
        <bgColor rgb="FFFF9999"/>
      </patternFill>
    </fill>
    <fill>
      <patternFill patternType="solid">
        <fgColor theme="7" tint="0.59999389629810485"/>
        <bgColor indexed="64"/>
      </patternFill>
    </fill>
    <fill>
      <patternFill patternType="solid">
        <fgColor theme="9" tint="0.59999389629810485"/>
        <bgColor rgb="FFC5E0B3"/>
      </patternFill>
    </fill>
    <fill>
      <patternFill patternType="solid">
        <fgColor theme="9" tint="0.59999389629810485"/>
        <bgColor theme="7" tint="0.59999389629810485"/>
      </patternFill>
    </fill>
    <fill>
      <patternFill patternType="solid">
        <fgColor theme="9" tint="0.59999389629810485"/>
        <bgColor theme="5"/>
      </patternFill>
    </fill>
    <fill>
      <patternFill patternType="solid">
        <fgColor theme="0"/>
        <bgColor rgb="FFFFEB9C"/>
      </patternFill>
    </fill>
    <fill>
      <patternFill patternType="solid">
        <fgColor rgb="FFFFCCCC"/>
        <bgColor rgb="FFFFE598"/>
      </patternFill>
    </fill>
    <fill>
      <patternFill patternType="solid">
        <fgColor rgb="FFFFCCCC"/>
        <bgColor indexed="5"/>
      </patternFill>
    </fill>
    <fill>
      <patternFill patternType="solid">
        <fgColor rgb="FFFFCCCC"/>
        <bgColor rgb="FFC5E0B3"/>
      </patternFill>
    </fill>
    <fill>
      <patternFill patternType="solid">
        <fgColor theme="9" tint="0.59999389629810485"/>
        <bgColor rgb="FFFFE598"/>
      </patternFill>
    </fill>
    <fill>
      <patternFill patternType="solid">
        <fgColor theme="9" tint="0.59999389629810485"/>
        <bgColor rgb="FFFFCCCC"/>
      </patternFill>
    </fill>
    <fill>
      <patternFill patternType="solid">
        <fgColor theme="9" tint="0.59999389629810485"/>
        <bgColor indexed="64"/>
      </patternFill>
    </fill>
    <fill>
      <patternFill patternType="solid">
        <fgColor theme="9" tint="0.59999389629810485"/>
        <bgColor theme="5" tint="0.39997558519241921"/>
      </patternFill>
    </fill>
    <fill>
      <patternFill patternType="solid">
        <fgColor theme="9" tint="0.59999389629810485"/>
        <bgColor rgb="FFFFC000"/>
      </patternFill>
    </fill>
    <fill>
      <patternFill patternType="solid">
        <fgColor theme="9" tint="0.59999389629810485"/>
        <bgColor theme="0"/>
      </patternFill>
    </fill>
    <fill>
      <patternFill patternType="solid">
        <fgColor rgb="FFFFCCCC"/>
        <bgColor indexed="64"/>
      </patternFill>
    </fill>
    <fill>
      <patternFill patternType="solid">
        <fgColor rgb="FFFFCCCC"/>
        <bgColor theme="5" tint="0.39997558519241921"/>
      </patternFill>
    </fill>
    <fill>
      <patternFill patternType="solid">
        <fgColor rgb="FFFFCCCC"/>
        <bgColor theme="5"/>
      </patternFill>
    </fill>
    <fill>
      <patternFill patternType="solid">
        <fgColor rgb="FFED7D31"/>
        <bgColor theme="0"/>
      </patternFill>
    </fill>
    <fill>
      <patternFill patternType="solid">
        <fgColor rgb="FFFFCCCC"/>
        <bgColor theme="0"/>
      </patternFill>
    </fill>
    <fill>
      <patternFill patternType="solid">
        <fgColor theme="4" tint="-0.499984740745262"/>
        <bgColor indexed="64"/>
      </patternFill>
    </fill>
    <fill>
      <patternFill patternType="solid">
        <fgColor rgb="FF1E4E79"/>
        <bgColor indexed="64"/>
      </patternFill>
    </fill>
    <fill>
      <patternFill patternType="solid">
        <fgColor rgb="FFFFFF00"/>
        <bgColor theme="9" tint="0.59999389629810485"/>
      </patternFill>
    </fill>
    <fill>
      <patternFill patternType="solid">
        <fgColor rgb="FFFFFF00"/>
        <bgColor theme="0"/>
      </patternFill>
    </fill>
    <fill>
      <patternFill patternType="solid">
        <fgColor rgb="FFFFFF00"/>
        <bgColor theme="5"/>
      </patternFill>
    </fill>
    <fill>
      <patternFill patternType="solid">
        <fgColor rgb="FFFFFF00"/>
        <bgColor theme="5" tint="0.39997558519241921"/>
      </patternFill>
    </fill>
    <fill>
      <patternFill patternType="solid">
        <fgColor rgb="FFFFFF00"/>
        <bgColor indexed="64"/>
      </patternFill>
    </fill>
    <fill>
      <patternFill patternType="solid">
        <fgColor theme="0"/>
        <bgColor indexed="64"/>
      </patternFill>
    </fill>
    <fill>
      <patternFill patternType="solid">
        <fgColor rgb="FFFF9999"/>
        <bgColor indexed="64"/>
      </patternFill>
    </fill>
    <fill>
      <patternFill patternType="solid">
        <fgColor rgb="FFFFFF00"/>
        <bgColor rgb="FFFFC000"/>
      </patternFill>
    </fill>
    <fill>
      <patternFill patternType="solid">
        <fgColor rgb="FF002060"/>
        <bgColor indexed="64"/>
      </patternFill>
    </fill>
    <fill>
      <patternFill patternType="solid">
        <fgColor rgb="FF00B050"/>
        <bgColor indexed="64"/>
      </patternFill>
    </fill>
    <fill>
      <patternFill patternType="solid">
        <fgColor rgb="FFFFCCCC"/>
        <bgColor theme="9" tint="0.59999389629810485"/>
      </patternFill>
    </fill>
    <fill>
      <patternFill patternType="solid">
        <fgColor theme="4"/>
        <bgColor rgb="FF1E4E79"/>
      </patternFill>
    </fill>
    <fill>
      <patternFill patternType="solid">
        <fgColor rgb="FFFF9999"/>
        <bgColor rgb="FFC5E0B3"/>
      </patternFill>
    </fill>
    <fill>
      <patternFill patternType="solid">
        <fgColor theme="9" tint="0.59999389629810485"/>
        <bgColor rgb="FFFF9999"/>
      </patternFill>
    </fill>
  </fills>
  <borders count="65">
    <border>
      <left/>
      <right/>
      <top/>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rgb="FFBFBFBF"/>
      </left>
      <right style="thin">
        <color rgb="FFBFBFBF"/>
      </right>
      <top style="thin">
        <color indexed="23"/>
      </top>
      <bottom style="thin">
        <color indexed="23"/>
      </bottom>
      <diagonal/>
    </border>
    <border>
      <left style="thin">
        <color rgb="FFBFBFBF"/>
      </left>
      <right style="thin">
        <color rgb="FFBFBFBF"/>
      </right>
      <top/>
      <bottom style="thin">
        <color indexed="23"/>
      </bottom>
      <diagonal/>
    </border>
    <border>
      <left/>
      <right style="thin">
        <color indexed="64"/>
      </right>
      <top/>
      <bottom/>
      <diagonal/>
    </border>
    <border>
      <left style="thin">
        <color indexed="64"/>
      </left>
      <right style="thin">
        <color indexed="64"/>
      </right>
      <top style="thin">
        <color theme="1"/>
      </top>
      <bottom style="thin">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1"/>
      </left>
      <right/>
      <top style="thin">
        <color theme="1"/>
      </top>
      <bottom style="thin">
        <color theme="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1"/>
    <xf numFmtId="0" fontId="61" fillId="0" borderId="1" applyNumberFormat="0" applyFill="0" applyBorder="0" applyAlignment="0" applyProtection="0"/>
  </cellStyleXfs>
  <cellXfs count="767">
    <xf numFmtId="0" fontId="0" fillId="0" borderId="1" xfId="0"/>
    <xf numFmtId="0" fontId="18" fillId="0" borderId="1" xfId="0" applyFont="1" applyAlignment="1">
      <alignment horizontal="center" vertical="center"/>
    </xf>
    <xf numFmtId="0" fontId="19" fillId="0" borderId="1" xfId="0" applyFont="1" applyAlignment="1">
      <alignment horizontal="center" vertical="center"/>
    </xf>
    <xf numFmtId="14" fontId="18" fillId="0" borderId="1" xfId="0" applyNumberFormat="1" applyFont="1" applyAlignment="1">
      <alignment horizontal="center" vertical="center"/>
    </xf>
    <xf numFmtId="0" fontId="18" fillId="0" borderId="1" xfId="0" applyFont="1" applyAlignment="1">
      <alignment horizontal="center" vertical="center" wrapText="1"/>
    </xf>
    <xf numFmtId="164" fontId="18" fillId="0" borderId="1" xfId="0" applyNumberFormat="1" applyFont="1" applyAlignment="1">
      <alignment horizontal="center" vertical="center"/>
    </xf>
    <xf numFmtId="1" fontId="18" fillId="0" borderId="1" xfId="0" applyNumberFormat="1" applyFont="1" applyAlignment="1">
      <alignment horizontal="center" vertical="center"/>
    </xf>
    <xf numFmtId="14" fontId="18" fillId="0" borderId="1" xfId="0" applyNumberFormat="1" applyFont="1" applyAlignment="1">
      <alignment horizontal="center" vertical="center" wrapText="1"/>
    </xf>
    <xf numFmtId="0" fontId="20" fillId="0" borderId="1" xfId="0" applyFont="1" applyAlignment="1">
      <alignment horizontal="center" vertical="center" wrapText="1"/>
    </xf>
    <xf numFmtId="0" fontId="20" fillId="0" borderId="1" xfId="0" applyFont="1" applyAlignment="1">
      <alignment vertical="center"/>
    </xf>
    <xf numFmtId="0" fontId="18" fillId="0" borderId="2" xfId="0" applyFont="1" applyBorder="1"/>
    <xf numFmtId="0" fontId="18" fillId="0" borderId="3" xfId="0" applyFont="1" applyBorder="1"/>
    <xf numFmtId="0" fontId="18" fillId="0" borderId="4" xfId="0" applyFont="1" applyBorder="1"/>
    <xf numFmtId="164" fontId="24" fillId="2" borderId="1" xfId="0" applyNumberFormat="1" applyFont="1" applyFill="1" applyAlignment="1">
      <alignment horizontal="center" vertical="center"/>
    </xf>
    <xf numFmtId="0" fontId="21" fillId="3" borderId="1" xfId="0" applyFont="1" applyFill="1" applyAlignment="1">
      <alignment vertical="center"/>
    </xf>
    <xf numFmtId="0" fontId="18" fillId="0" borderId="5" xfId="0" applyFont="1" applyBorder="1"/>
    <xf numFmtId="0" fontId="18" fillId="0" borderId="6" xfId="0" applyFont="1" applyBorder="1"/>
    <xf numFmtId="0" fontId="18" fillId="0" borderId="7" xfId="0" applyFont="1" applyBorder="1"/>
    <xf numFmtId="0" fontId="18" fillId="0" borderId="1" xfId="0" applyFont="1" applyAlignment="1">
      <alignment vertical="center"/>
    </xf>
    <xf numFmtId="0" fontId="22" fillId="0" borderId="1" xfId="0" applyFont="1" applyAlignment="1">
      <alignment horizontal="center" vertical="center" wrapText="1"/>
    </xf>
    <xf numFmtId="0" fontId="20" fillId="0" borderId="6" xfId="0" applyFont="1" applyBorder="1" applyAlignment="1">
      <alignment vertical="center"/>
    </xf>
    <xf numFmtId="0" fontId="18" fillId="0" borderId="6" xfId="0" applyFont="1" applyBorder="1" applyAlignment="1">
      <alignment vertical="center"/>
    </xf>
    <xf numFmtId="0" fontId="25" fillId="4" borderId="8" xfId="0" applyFont="1" applyFill="1" applyBorder="1" applyAlignment="1">
      <alignment horizontal="center" vertical="center" wrapText="1"/>
    </xf>
    <xf numFmtId="14" fontId="25" fillId="4" borderId="8" xfId="0" applyNumberFormat="1" applyFont="1" applyFill="1" applyBorder="1" applyAlignment="1">
      <alignment horizontal="center" vertical="center" wrapText="1"/>
    </xf>
    <xf numFmtId="164" fontId="25" fillId="4" borderId="8" xfId="0" applyNumberFormat="1" applyFont="1" applyFill="1" applyBorder="1" applyAlignment="1">
      <alignment horizontal="center" vertical="center" wrapText="1"/>
    </xf>
    <xf numFmtId="0" fontId="19" fillId="5" borderId="8" xfId="0" applyFont="1" applyFill="1" applyBorder="1" applyAlignment="1">
      <alignment horizontal="center" vertical="center"/>
    </xf>
    <xf numFmtId="0" fontId="19" fillId="5" borderId="9" xfId="0" applyFont="1" applyFill="1" applyBorder="1" applyAlignment="1">
      <alignment horizontal="center" vertical="center"/>
    </xf>
    <xf numFmtId="0" fontId="18" fillId="5" borderId="8" xfId="0" applyFont="1" applyFill="1" applyBorder="1" applyAlignment="1">
      <alignment horizontal="center" vertical="center"/>
    </xf>
    <xf numFmtId="17" fontId="18" fillId="5" borderId="10" xfId="0" applyNumberFormat="1" applyFont="1" applyFill="1" applyBorder="1" applyAlignment="1">
      <alignment horizontal="center" vertical="center"/>
    </xf>
    <xf numFmtId="14" fontId="18" fillId="5" borderId="10" xfId="0" applyNumberFormat="1" applyFont="1" applyFill="1" applyBorder="1" applyAlignment="1">
      <alignment horizontal="center" vertical="center"/>
    </xf>
    <xf numFmtId="14" fontId="18" fillId="5" borderId="8" xfId="0" applyNumberFormat="1" applyFont="1" applyFill="1" applyBorder="1" applyAlignment="1">
      <alignment horizontal="center" vertical="center"/>
    </xf>
    <xf numFmtId="0" fontId="18" fillId="5" borderId="8" xfId="0" applyFont="1" applyFill="1" applyBorder="1" applyAlignment="1">
      <alignment horizontal="center" vertical="center" wrapText="1"/>
    </xf>
    <xf numFmtId="164" fontId="18" fillId="5" borderId="8" xfId="0" applyNumberFormat="1" applyFont="1" applyFill="1" applyBorder="1" applyAlignment="1">
      <alignment horizontal="center" vertical="center"/>
    </xf>
    <xf numFmtId="14" fontId="18" fillId="5" borderId="8" xfId="0" applyNumberFormat="1" applyFont="1" applyFill="1" applyBorder="1" applyAlignment="1">
      <alignment horizontal="center" vertical="center" wrapText="1"/>
    </xf>
    <xf numFmtId="0" fontId="26" fillId="5" borderId="8" xfId="0" applyFont="1" applyFill="1" applyBorder="1" applyAlignment="1">
      <alignment horizontal="center" vertical="center"/>
    </xf>
    <xf numFmtId="0" fontId="26" fillId="5" borderId="9" xfId="0" applyFont="1" applyFill="1" applyBorder="1" applyAlignment="1">
      <alignment horizontal="center" vertical="center"/>
    </xf>
    <xf numFmtId="0" fontId="27" fillId="5" borderId="8" xfId="0" applyFont="1" applyFill="1" applyBorder="1" applyAlignment="1">
      <alignment horizontal="center" vertical="center"/>
    </xf>
    <xf numFmtId="17" fontId="27" fillId="5" borderId="10" xfId="0" applyNumberFormat="1" applyFont="1" applyFill="1" applyBorder="1" applyAlignment="1">
      <alignment horizontal="center" vertical="center"/>
    </xf>
    <xf numFmtId="14" fontId="27" fillId="5" borderId="10" xfId="0" applyNumberFormat="1" applyFont="1" applyFill="1" applyBorder="1" applyAlignment="1">
      <alignment horizontal="center" vertical="center"/>
    </xf>
    <xf numFmtId="14" fontId="27" fillId="5" borderId="8" xfId="0" applyNumberFormat="1" applyFont="1" applyFill="1" applyBorder="1" applyAlignment="1">
      <alignment horizontal="center" vertical="center"/>
    </xf>
    <xf numFmtId="0" fontId="27" fillId="5" borderId="8" xfId="0" applyFont="1" applyFill="1" applyBorder="1" applyAlignment="1">
      <alignment horizontal="center" vertical="center" wrapText="1"/>
    </xf>
    <xf numFmtId="164" fontId="27" fillId="5" borderId="8" xfId="0" applyNumberFormat="1" applyFont="1" applyFill="1" applyBorder="1" applyAlignment="1">
      <alignment horizontal="center" vertical="center"/>
    </xf>
    <xf numFmtId="14" fontId="27" fillId="5" borderId="8" xfId="0" applyNumberFormat="1" applyFont="1" applyFill="1" applyBorder="1" applyAlignment="1">
      <alignment horizontal="center" vertical="center" wrapText="1"/>
    </xf>
    <xf numFmtId="0" fontId="18" fillId="6" borderId="8" xfId="0" applyFont="1" applyFill="1" applyBorder="1" applyAlignment="1">
      <alignment horizontal="center" vertical="center"/>
    </xf>
    <xf numFmtId="14" fontId="18" fillId="6" borderId="10" xfId="0" applyNumberFormat="1" applyFont="1" applyFill="1" applyBorder="1" applyAlignment="1">
      <alignment horizontal="center" vertical="center"/>
    </xf>
    <xf numFmtId="14" fontId="18" fillId="6" borderId="8" xfId="0" applyNumberFormat="1" applyFont="1" applyFill="1" applyBorder="1" applyAlignment="1">
      <alignment horizontal="center" vertical="center"/>
    </xf>
    <xf numFmtId="0" fontId="18" fillId="6" borderId="8" xfId="0" applyFont="1" applyFill="1" applyBorder="1" applyAlignment="1">
      <alignment horizontal="center" vertical="center" wrapText="1"/>
    </xf>
    <xf numFmtId="14" fontId="18" fillId="6" borderId="8" xfId="0" applyNumberFormat="1" applyFont="1" applyFill="1" applyBorder="1" applyAlignment="1">
      <alignment horizontal="center" vertical="center" wrapText="1"/>
    </xf>
    <xf numFmtId="0" fontId="28" fillId="5" borderId="8" xfId="0" applyFont="1" applyFill="1" applyBorder="1" applyAlignment="1">
      <alignment horizontal="center" vertical="center" wrapText="1"/>
    </xf>
    <xf numFmtId="0" fontId="18" fillId="3" borderId="1" xfId="0" applyFont="1" applyFill="1" applyAlignment="1">
      <alignment horizontal="center" vertical="center"/>
    </xf>
    <xf numFmtId="0" fontId="29" fillId="5" borderId="8" xfId="0" applyFont="1" applyFill="1" applyBorder="1" applyAlignment="1">
      <alignment horizontal="center" vertical="center"/>
    </xf>
    <xf numFmtId="0" fontId="30" fillId="5" borderId="8" xfId="0" applyFont="1" applyFill="1" applyBorder="1" applyAlignment="1">
      <alignment horizontal="center" vertical="center"/>
    </xf>
    <xf numFmtId="0" fontId="31" fillId="5" borderId="8" xfId="0" applyFont="1" applyFill="1" applyBorder="1" applyAlignment="1">
      <alignment horizontal="center" vertical="center"/>
    </xf>
    <xf numFmtId="0" fontId="32" fillId="5" borderId="8" xfId="0" applyFont="1" applyFill="1" applyBorder="1" applyAlignment="1">
      <alignment horizontal="center" vertical="center"/>
    </xf>
    <xf numFmtId="0" fontId="34" fillId="5" borderId="8" xfId="0" applyFont="1" applyFill="1" applyBorder="1" applyAlignment="1">
      <alignment horizontal="center" vertical="center"/>
    </xf>
    <xf numFmtId="0" fontId="19" fillId="6" borderId="8" xfId="0" applyFont="1" applyFill="1" applyBorder="1" applyAlignment="1">
      <alignment horizontal="center" vertical="center"/>
    </xf>
    <xf numFmtId="0" fontId="19" fillId="6" borderId="8" xfId="0" applyFont="1" applyFill="1" applyBorder="1" applyAlignment="1">
      <alignment horizontal="center" vertical="center" wrapText="1"/>
    </xf>
    <xf numFmtId="0" fontId="18" fillId="7" borderId="1" xfId="0" applyFont="1" applyFill="1" applyAlignment="1">
      <alignment horizontal="center" vertical="center"/>
    </xf>
    <xf numFmtId="0" fontId="18" fillId="6" borderId="1" xfId="0" applyFont="1" applyFill="1" applyAlignment="1">
      <alignment horizontal="center" vertical="center"/>
    </xf>
    <xf numFmtId="0" fontId="18" fillId="8" borderId="1" xfId="0" applyFont="1" applyFill="1" applyAlignment="1">
      <alignment horizontal="center" vertical="center"/>
    </xf>
    <xf numFmtId="0" fontId="30" fillId="6" borderId="8" xfId="0" applyFont="1" applyFill="1" applyBorder="1" applyAlignment="1">
      <alignment horizontal="center" vertical="center"/>
    </xf>
    <xf numFmtId="0" fontId="18" fillId="6" borderId="10" xfId="0" applyFont="1" applyFill="1" applyBorder="1" applyAlignment="1">
      <alignment horizontal="center" vertical="center"/>
    </xf>
    <xf numFmtId="0" fontId="0" fillId="3" borderId="1" xfId="0" applyFill="1"/>
    <xf numFmtId="0" fontId="0" fillId="9" borderId="1" xfId="0" applyFill="1"/>
    <xf numFmtId="0" fontId="0" fillId="5" borderId="1" xfId="0" applyFill="1"/>
    <xf numFmtId="0" fontId="18" fillId="11" borderId="8" xfId="0" applyFont="1" applyFill="1" applyBorder="1" applyAlignment="1">
      <alignment horizontal="center" vertical="center" wrapText="1"/>
    </xf>
    <xf numFmtId="0" fontId="19" fillId="0" borderId="8" xfId="0" applyFont="1" applyBorder="1" applyAlignment="1">
      <alignment horizontal="center" vertical="center"/>
    </xf>
    <xf numFmtId="14" fontId="18" fillId="0" borderId="8" xfId="0" applyNumberFormat="1" applyFont="1" applyBorder="1" applyAlignment="1">
      <alignment horizontal="center" vertical="center"/>
    </xf>
    <xf numFmtId="0" fontId="18" fillId="0" borderId="8" xfId="0" applyFont="1" applyBorder="1" applyAlignment="1">
      <alignment horizontal="center" vertical="center"/>
    </xf>
    <xf numFmtId="0" fontId="18" fillId="0" borderId="8" xfId="0" applyFont="1" applyBorder="1" applyAlignment="1">
      <alignment horizontal="center" vertical="center" wrapText="1"/>
    </xf>
    <xf numFmtId="164" fontId="18" fillId="0" borderId="8" xfId="0" applyNumberFormat="1" applyFont="1" applyBorder="1" applyAlignment="1">
      <alignment horizontal="center" vertical="center"/>
    </xf>
    <xf numFmtId="14" fontId="18" fillId="0" borderId="8" xfId="0" applyNumberFormat="1" applyFont="1" applyBorder="1" applyAlignment="1">
      <alignment horizontal="center" vertical="center" wrapText="1"/>
    </xf>
    <xf numFmtId="0" fontId="19" fillId="11" borderId="8" xfId="0" applyFont="1" applyFill="1" applyBorder="1" applyAlignment="1">
      <alignment horizontal="center" vertical="center"/>
    </xf>
    <xf numFmtId="0" fontId="19" fillId="11" borderId="9" xfId="0" applyFont="1" applyFill="1" applyBorder="1" applyAlignment="1">
      <alignment horizontal="center" vertical="center"/>
    </xf>
    <xf numFmtId="0" fontId="18" fillId="11" borderId="8" xfId="0" applyFont="1" applyFill="1" applyBorder="1" applyAlignment="1">
      <alignment horizontal="center" vertical="center"/>
    </xf>
    <xf numFmtId="17" fontId="18" fillId="11" borderId="10" xfId="0" applyNumberFormat="1" applyFont="1" applyFill="1" applyBorder="1" applyAlignment="1">
      <alignment horizontal="center" vertical="center"/>
    </xf>
    <xf numFmtId="14" fontId="18" fillId="11" borderId="10" xfId="0" applyNumberFormat="1" applyFont="1" applyFill="1" applyBorder="1" applyAlignment="1">
      <alignment horizontal="center" vertical="center"/>
    </xf>
    <xf numFmtId="14" fontId="18" fillId="11" borderId="8" xfId="0" applyNumberFormat="1" applyFont="1" applyFill="1" applyBorder="1" applyAlignment="1">
      <alignment horizontal="center" vertical="center"/>
    </xf>
    <xf numFmtId="0" fontId="35" fillId="11" borderId="8" xfId="0" applyFont="1" applyFill="1" applyBorder="1" applyAlignment="1">
      <alignment horizontal="center" vertical="center" wrapText="1"/>
    </xf>
    <xf numFmtId="164" fontId="18" fillId="11" borderId="8" xfId="0" applyNumberFormat="1" applyFont="1" applyFill="1" applyBorder="1" applyAlignment="1">
      <alignment horizontal="center" vertical="center"/>
    </xf>
    <xf numFmtId="14" fontId="18" fillId="11" borderId="8" xfId="0" applyNumberFormat="1" applyFont="1" applyFill="1" applyBorder="1" applyAlignment="1">
      <alignment horizontal="center" vertical="center" wrapText="1"/>
    </xf>
    <xf numFmtId="1" fontId="18" fillId="11" borderId="8" xfId="0" applyNumberFormat="1" applyFont="1" applyFill="1" applyBorder="1" applyAlignment="1">
      <alignment horizontal="center" vertical="center"/>
    </xf>
    <xf numFmtId="0" fontId="30" fillId="11" borderId="8" xfId="0" applyFont="1" applyFill="1" applyBorder="1" applyAlignment="1">
      <alignment horizontal="center" vertical="center"/>
    </xf>
    <xf numFmtId="166" fontId="18" fillId="11" borderId="8" xfId="0" applyNumberFormat="1" applyFont="1" applyFill="1" applyBorder="1" applyAlignment="1">
      <alignment horizontal="center" vertical="center"/>
    </xf>
    <xf numFmtId="17" fontId="18" fillId="11" borderId="8" xfId="0" applyNumberFormat="1" applyFont="1" applyFill="1" applyBorder="1" applyAlignment="1">
      <alignment horizontal="center" vertical="center"/>
    </xf>
    <xf numFmtId="0" fontId="41" fillId="11" borderId="8" xfId="0" applyFont="1" applyFill="1" applyBorder="1" applyAlignment="1">
      <alignment horizontal="center" vertical="center"/>
    </xf>
    <xf numFmtId="0" fontId="26" fillId="0" borderId="1" xfId="0" applyFont="1" applyAlignment="1">
      <alignment horizontal="center" vertical="center"/>
    </xf>
    <xf numFmtId="0" fontId="19" fillId="0" borderId="1" xfId="0" applyFont="1" applyAlignment="1">
      <alignment horizontal="center" vertical="center" wrapText="1"/>
    </xf>
    <xf numFmtId="0" fontId="20" fillId="0" borderId="6" xfId="0" applyFont="1" applyBorder="1" applyAlignment="1">
      <alignment horizontal="center" vertical="center" wrapText="1"/>
    </xf>
    <xf numFmtId="0" fontId="46" fillId="6" borderId="8" xfId="0" applyFont="1" applyFill="1" applyBorder="1" applyAlignment="1">
      <alignment horizontal="center" vertical="center"/>
    </xf>
    <xf numFmtId="167" fontId="19" fillId="6" borderId="8" xfId="0" applyNumberFormat="1" applyFont="1" applyFill="1" applyBorder="1" applyAlignment="1">
      <alignment horizontal="center" vertical="center"/>
    </xf>
    <xf numFmtId="0" fontId="46" fillId="6" borderId="8" xfId="0" applyFont="1" applyFill="1" applyBorder="1" applyAlignment="1">
      <alignment horizontal="center" vertical="center" wrapText="1"/>
    </xf>
    <xf numFmtId="0" fontId="18" fillId="10" borderId="1" xfId="0" applyFont="1" applyFill="1" applyAlignment="1">
      <alignment horizontal="center" vertical="center"/>
    </xf>
    <xf numFmtId="0" fontId="33" fillId="0" borderId="1" xfId="0" applyFont="1" applyAlignment="1">
      <alignment horizontal="center" vertical="center"/>
    </xf>
    <xf numFmtId="17" fontId="18" fillId="0" borderId="1" xfId="0" applyNumberFormat="1" applyFont="1" applyAlignment="1">
      <alignment horizontal="center" vertical="center"/>
    </xf>
    <xf numFmtId="9" fontId="19" fillId="6" borderId="8" xfId="0" applyNumberFormat="1" applyFont="1" applyFill="1" applyBorder="1" applyAlignment="1">
      <alignment horizontal="center" vertical="center" wrapText="1"/>
    </xf>
    <xf numFmtId="0" fontId="19" fillId="0" borderId="8" xfId="0" applyFont="1" applyBorder="1" applyAlignment="1">
      <alignment horizontal="center" vertical="center" wrapText="1"/>
    </xf>
    <xf numFmtId="0" fontId="46" fillId="0" borderId="8" xfId="0" applyFont="1" applyBorder="1" applyAlignment="1">
      <alignment horizontal="center" vertical="center"/>
    </xf>
    <xf numFmtId="167" fontId="19" fillId="0" borderId="8" xfId="0" applyNumberFormat="1" applyFont="1" applyBorder="1" applyAlignment="1">
      <alignment horizontal="center" vertical="center"/>
    </xf>
    <xf numFmtId="0" fontId="46" fillId="0" borderId="8" xfId="0" applyFont="1" applyBorder="1" applyAlignment="1">
      <alignment horizontal="center" vertical="center" wrapText="1"/>
    </xf>
    <xf numFmtId="0" fontId="35" fillId="0" borderId="8" xfId="0" applyFont="1" applyBorder="1" applyAlignment="1">
      <alignment horizontal="center" vertical="center" wrapText="1"/>
    </xf>
    <xf numFmtId="14" fontId="18" fillId="0" borderId="20" xfId="0" applyNumberFormat="1" applyFont="1" applyBorder="1" applyAlignment="1">
      <alignment horizontal="center" vertical="center"/>
    </xf>
    <xf numFmtId="0" fontId="18" fillId="0" borderId="20" xfId="0" applyFont="1" applyBorder="1" applyAlignment="1">
      <alignment horizontal="center" vertical="center"/>
    </xf>
    <xf numFmtId="17" fontId="19" fillId="0" borderId="8" xfId="0" applyNumberFormat="1" applyFont="1" applyBorder="1" applyAlignment="1">
      <alignment horizontal="center" vertical="center"/>
    </xf>
    <xf numFmtId="0" fontId="47" fillId="0" borderId="8" xfId="0" applyFont="1" applyBorder="1" applyAlignment="1">
      <alignment horizontal="center" vertical="center" wrapText="1"/>
    </xf>
    <xf numFmtId="0" fontId="19" fillId="0" borderId="13" xfId="0" applyFont="1" applyBorder="1" applyAlignment="1">
      <alignment horizontal="center" vertical="center"/>
    </xf>
    <xf numFmtId="0" fontId="19" fillId="0" borderId="13" xfId="0" applyFont="1" applyBorder="1" applyAlignment="1">
      <alignment horizontal="center" vertical="center" wrapText="1"/>
    </xf>
    <xf numFmtId="0" fontId="48" fillId="0" borderId="8" xfId="0" applyFont="1" applyBorder="1" applyAlignment="1">
      <alignment horizontal="center" vertical="center" wrapText="1"/>
    </xf>
    <xf numFmtId="167" fontId="19" fillId="0" borderId="8" xfId="0" applyNumberFormat="1" applyFont="1" applyBorder="1" applyAlignment="1">
      <alignment horizontal="center" vertical="center" wrapText="1"/>
    </xf>
    <xf numFmtId="16" fontId="18" fillId="0" borderId="8" xfId="0" applyNumberFormat="1" applyFont="1" applyBorder="1" applyAlignment="1">
      <alignment horizontal="center" vertical="center"/>
    </xf>
    <xf numFmtId="0" fontId="46" fillId="0" borderId="1" xfId="0" applyFont="1" applyAlignment="1">
      <alignment horizontal="center" vertical="center" wrapText="1"/>
    </xf>
    <xf numFmtId="0" fontId="49" fillId="0" borderId="8" xfId="0" applyFont="1" applyBorder="1" applyAlignment="1">
      <alignment horizontal="center" vertical="center"/>
    </xf>
    <xf numFmtId="0" fontId="50" fillId="0" borderId="8" xfId="0" applyFont="1" applyBorder="1" applyAlignment="1">
      <alignment horizontal="center" vertical="center" wrapText="1"/>
    </xf>
    <xf numFmtId="0" fontId="50" fillId="0" borderId="8" xfId="0" applyFont="1" applyBorder="1" applyAlignment="1">
      <alignment horizontal="center" vertical="center"/>
    </xf>
    <xf numFmtId="164" fontId="18" fillId="0" borderId="8" xfId="0" applyNumberFormat="1" applyFont="1" applyBorder="1" applyAlignment="1">
      <alignment horizontal="center" vertical="center" wrapText="1"/>
    </xf>
    <xf numFmtId="0" fontId="53" fillId="6" borderId="8" xfId="0" applyFont="1" applyFill="1" applyBorder="1" applyAlignment="1">
      <alignment horizontal="center" vertical="center"/>
    </xf>
    <xf numFmtId="167" fontId="50" fillId="6" borderId="8" xfId="0" applyNumberFormat="1" applyFont="1" applyFill="1" applyBorder="1" applyAlignment="1">
      <alignment horizontal="center" vertical="center"/>
    </xf>
    <xf numFmtId="0" fontId="18" fillId="6" borderId="9" xfId="0" applyFont="1" applyFill="1" applyBorder="1" applyAlignment="1">
      <alignment horizontal="center" vertical="center" wrapText="1"/>
    </xf>
    <xf numFmtId="0" fontId="53" fillId="6" borderId="1" xfId="0" applyFont="1" applyFill="1" applyAlignment="1">
      <alignment horizontal="center" vertical="center"/>
    </xf>
    <xf numFmtId="167" fontId="50" fillId="0" borderId="8" xfId="0" applyNumberFormat="1" applyFont="1" applyBorder="1" applyAlignment="1">
      <alignment horizontal="center" vertical="center"/>
    </xf>
    <xf numFmtId="14" fontId="18" fillId="0" borderId="20" xfId="0" applyNumberFormat="1" applyFont="1" applyBorder="1" applyAlignment="1">
      <alignment horizontal="center" vertical="center" wrapText="1"/>
    </xf>
    <xf numFmtId="17" fontId="50" fillId="0" borderId="8" xfId="0" applyNumberFormat="1" applyFont="1" applyBorder="1" applyAlignment="1">
      <alignment horizontal="center" vertical="center"/>
    </xf>
    <xf numFmtId="17" fontId="18" fillId="0" borderId="8" xfId="0" applyNumberFormat="1" applyFont="1" applyBorder="1" applyAlignment="1">
      <alignment horizontal="center" vertical="center"/>
    </xf>
    <xf numFmtId="167" fontId="50" fillId="0" borderId="8" xfId="0" applyNumberFormat="1" applyFont="1" applyBorder="1" applyAlignment="1">
      <alignment horizontal="center" vertical="center" wrapText="1"/>
    </xf>
    <xf numFmtId="0" fontId="54" fillId="0" borderId="8" xfId="0" applyFont="1" applyBorder="1" applyAlignment="1">
      <alignment horizontal="center" vertical="center"/>
    </xf>
    <xf numFmtId="0" fontId="55" fillId="0" borderId="1" xfId="0" applyFont="1"/>
    <xf numFmtId="0" fontId="18" fillId="0" borderId="1" xfId="0" applyFont="1" applyAlignment="1">
      <alignment horizontal="center"/>
    </xf>
    <xf numFmtId="0" fontId="56" fillId="4" borderId="21" xfId="0" applyFont="1" applyFill="1" applyBorder="1" applyAlignment="1">
      <alignment horizontal="center" vertical="center"/>
    </xf>
    <xf numFmtId="0" fontId="56" fillId="4" borderId="22" xfId="0" applyFont="1" applyFill="1" applyBorder="1" applyAlignment="1">
      <alignment horizontal="center" vertical="center" wrapText="1"/>
    </xf>
    <xf numFmtId="0" fontId="56" fillId="4" borderId="23" xfId="0" applyFont="1" applyFill="1" applyBorder="1" applyAlignment="1">
      <alignment horizontal="center" vertical="center" wrapText="1"/>
    </xf>
    <xf numFmtId="0" fontId="29" fillId="0" borderId="1" xfId="0" applyFont="1"/>
    <xf numFmtId="0" fontId="30" fillId="0" borderId="1" xfId="0" applyFont="1"/>
    <xf numFmtId="0" fontId="19" fillId="0" borderId="8" xfId="0" applyFont="1" applyBorder="1" applyAlignment="1">
      <alignment horizontal="center"/>
    </xf>
    <xf numFmtId="16" fontId="19" fillId="0" borderId="8" xfId="0" applyNumberFormat="1" applyFont="1" applyBorder="1" applyAlignment="1">
      <alignment horizontal="center"/>
    </xf>
    <xf numFmtId="0" fontId="19" fillId="0" borderId="1" xfId="0" applyFont="1"/>
    <xf numFmtId="0" fontId="19" fillId="0" borderId="1" xfId="0" applyFont="1" applyAlignment="1">
      <alignment horizontal="center"/>
    </xf>
    <xf numFmtId="0" fontId="31" fillId="0" borderId="1" xfId="0" applyFont="1" applyAlignment="1">
      <alignment horizontal="center" vertical="center"/>
    </xf>
    <xf numFmtId="16" fontId="19" fillId="0" borderId="1" xfId="0" applyNumberFormat="1" applyFont="1" applyAlignment="1">
      <alignment horizontal="center"/>
    </xf>
    <xf numFmtId="0" fontId="41" fillId="0" borderId="1" xfId="0" applyFont="1" applyAlignment="1">
      <alignment horizontal="center" vertical="center"/>
    </xf>
    <xf numFmtId="0" fontId="19" fillId="0" borderId="24" xfId="0" applyFont="1" applyBorder="1" applyAlignment="1">
      <alignment horizontal="center"/>
    </xf>
    <xf numFmtId="0" fontId="19" fillId="0" borderId="25" xfId="0" applyFont="1" applyBorder="1" applyAlignment="1">
      <alignment horizontal="center"/>
    </xf>
    <xf numFmtId="0" fontId="23" fillId="3" borderId="8" xfId="0" applyFont="1" applyFill="1" applyBorder="1" applyAlignment="1">
      <alignment horizontal="center" vertical="center"/>
    </xf>
    <xf numFmtId="16" fontId="19" fillId="0" borderId="25" xfId="0" applyNumberFormat="1" applyFont="1" applyBorder="1" applyAlignment="1">
      <alignment horizontal="center"/>
    </xf>
    <xf numFmtId="16" fontId="19" fillId="0" borderId="26" xfId="0" applyNumberFormat="1" applyFont="1" applyBorder="1" applyAlignment="1">
      <alignment horizontal="center"/>
    </xf>
    <xf numFmtId="0" fontId="19" fillId="0" borderId="27" xfId="0" applyFont="1" applyBorder="1" applyAlignment="1">
      <alignment horizontal="center"/>
    </xf>
    <xf numFmtId="0" fontId="29" fillId="3" borderId="8" xfId="0" applyFont="1" applyFill="1" applyBorder="1" applyAlignment="1">
      <alignment horizontal="center" vertical="center"/>
    </xf>
    <xf numFmtId="16" fontId="19" fillId="0" borderId="28" xfId="0" applyNumberFormat="1" applyFont="1" applyBorder="1" applyAlignment="1">
      <alignment horizontal="center"/>
    </xf>
    <xf numFmtId="0" fontId="29" fillId="3" borderId="12" xfId="0" applyFont="1" applyFill="1" applyBorder="1" applyAlignment="1">
      <alignment horizontal="center"/>
    </xf>
    <xf numFmtId="16" fontId="19" fillId="0" borderId="13" xfId="0" applyNumberFormat="1" applyFont="1" applyBorder="1" applyAlignment="1">
      <alignment horizontal="center"/>
    </xf>
    <xf numFmtId="0" fontId="23" fillId="3" borderId="12" xfId="0" applyFont="1" applyFill="1" applyBorder="1" applyAlignment="1">
      <alignment horizontal="center"/>
    </xf>
    <xf numFmtId="16" fontId="19" fillId="0" borderId="29" xfId="0" applyNumberFormat="1" applyFont="1" applyBorder="1" applyAlignment="1">
      <alignment horizontal="center"/>
    </xf>
    <xf numFmtId="0" fontId="18" fillId="14" borderId="8" xfId="0" applyFont="1" applyFill="1" applyBorder="1" applyAlignment="1">
      <alignment horizontal="center" vertical="center"/>
    </xf>
    <xf numFmtId="0" fontId="19" fillId="14" borderId="9" xfId="0" applyFont="1" applyFill="1" applyBorder="1" applyAlignment="1">
      <alignment horizontal="center" vertical="center"/>
    </xf>
    <xf numFmtId="17" fontId="18" fillId="14" borderId="10" xfId="0" applyNumberFormat="1" applyFont="1" applyFill="1" applyBorder="1" applyAlignment="1">
      <alignment horizontal="center" vertical="center"/>
    </xf>
    <xf numFmtId="14" fontId="18" fillId="14" borderId="10" xfId="0" applyNumberFormat="1" applyFont="1" applyFill="1" applyBorder="1" applyAlignment="1">
      <alignment horizontal="center" vertical="center"/>
    </xf>
    <xf numFmtId="14" fontId="18" fillId="14" borderId="8" xfId="0" applyNumberFormat="1" applyFont="1" applyFill="1" applyBorder="1" applyAlignment="1">
      <alignment horizontal="center" vertical="center"/>
    </xf>
    <xf numFmtId="0" fontId="18" fillId="14" borderId="8" xfId="0" applyFont="1" applyFill="1" applyBorder="1" applyAlignment="1">
      <alignment horizontal="center" vertical="center" wrapText="1"/>
    </xf>
    <xf numFmtId="164" fontId="18" fillId="14" borderId="8" xfId="0" applyNumberFormat="1" applyFont="1" applyFill="1" applyBorder="1" applyAlignment="1">
      <alignment horizontal="center" vertical="center"/>
    </xf>
    <xf numFmtId="14" fontId="18" fillId="14" borderId="8" xfId="0" applyNumberFormat="1" applyFont="1" applyFill="1" applyBorder="1" applyAlignment="1">
      <alignment horizontal="center" vertical="center" wrapText="1"/>
    </xf>
    <xf numFmtId="0" fontId="19" fillId="14" borderId="8" xfId="0" applyFont="1" applyFill="1" applyBorder="1" applyAlignment="1">
      <alignment horizontal="center" vertical="center"/>
    </xf>
    <xf numFmtId="17" fontId="18" fillId="14" borderId="8" xfId="0" applyNumberFormat="1" applyFont="1" applyFill="1" applyBorder="1" applyAlignment="1">
      <alignment horizontal="center" vertical="center"/>
    </xf>
    <xf numFmtId="1" fontId="18" fillId="14" borderId="8" xfId="0" applyNumberFormat="1" applyFont="1" applyFill="1" applyBorder="1" applyAlignment="1">
      <alignment horizontal="center" vertical="center"/>
    </xf>
    <xf numFmtId="0" fontId="19" fillId="14" borderId="8" xfId="0" applyFont="1" applyFill="1" applyBorder="1" applyAlignment="1">
      <alignment horizontal="center" vertical="center" wrapText="1"/>
    </xf>
    <xf numFmtId="0" fontId="19" fillId="14" borderId="13" xfId="0" applyFont="1" applyFill="1" applyBorder="1" applyAlignment="1">
      <alignment horizontal="center" vertical="center"/>
    </xf>
    <xf numFmtId="14" fontId="35" fillId="14" borderId="8" xfId="0" applyNumberFormat="1" applyFont="1" applyFill="1" applyBorder="1" applyAlignment="1">
      <alignment horizontal="center" vertical="center" wrapText="1"/>
    </xf>
    <xf numFmtId="164" fontId="18" fillId="14" borderId="8" xfId="0" applyNumberFormat="1" applyFont="1" applyFill="1" applyBorder="1" applyAlignment="1">
      <alignment horizontal="center" vertical="center" wrapText="1"/>
    </xf>
    <xf numFmtId="165" fontId="18" fillId="14" borderId="8" xfId="0" applyNumberFormat="1" applyFont="1" applyFill="1" applyBorder="1" applyAlignment="1">
      <alignment horizontal="center" vertical="center" wrapText="1"/>
    </xf>
    <xf numFmtId="1" fontId="18" fillId="14" borderId="8" xfId="0" applyNumberFormat="1" applyFont="1" applyFill="1" applyBorder="1" applyAlignment="1">
      <alignment horizontal="center" vertical="center" wrapText="1"/>
    </xf>
    <xf numFmtId="0" fontId="35" fillId="14" borderId="8" xfId="0" applyFont="1" applyFill="1" applyBorder="1" applyAlignment="1">
      <alignment horizontal="center" vertical="center" wrapText="1"/>
    </xf>
    <xf numFmtId="0" fontId="30" fillId="14" borderId="8" xfId="0" applyFont="1" applyFill="1" applyBorder="1" applyAlignment="1">
      <alignment horizontal="center" vertical="center"/>
    </xf>
    <xf numFmtId="0" fontId="36" fillId="14" borderId="8" xfId="0" applyFont="1" applyFill="1" applyBorder="1" applyAlignment="1">
      <alignment horizontal="center" vertical="center"/>
    </xf>
    <xf numFmtId="14" fontId="31" fillId="14" borderId="8" xfId="0" applyNumberFormat="1" applyFont="1" applyFill="1" applyBorder="1" applyAlignment="1">
      <alignment horizontal="center" vertical="center" wrapText="1"/>
    </xf>
    <xf numFmtId="14" fontId="18" fillId="14" borderId="9" xfId="0" applyNumberFormat="1" applyFont="1" applyFill="1" applyBorder="1" applyAlignment="1">
      <alignment horizontal="center" vertical="center"/>
    </xf>
    <xf numFmtId="14" fontId="19" fillId="14" borderId="8" xfId="0" applyNumberFormat="1" applyFont="1" applyFill="1" applyBorder="1" applyAlignment="1">
      <alignment horizontal="center" vertical="center"/>
    </xf>
    <xf numFmtId="0" fontId="29" fillId="14" borderId="8" xfId="0" applyFont="1" applyFill="1" applyBorder="1" applyAlignment="1">
      <alignment horizontal="center" vertical="center"/>
    </xf>
    <xf numFmtId="0" fontId="18" fillId="15" borderId="8" xfId="0" applyFont="1" applyFill="1" applyBorder="1" applyAlignment="1">
      <alignment horizontal="center" vertical="center"/>
    </xf>
    <xf numFmtId="0" fontId="37" fillId="15" borderId="8" xfId="0" applyFont="1" applyFill="1" applyBorder="1" applyAlignment="1">
      <alignment horizontal="center" vertical="center"/>
    </xf>
    <xf numFmtId="0" fontId="19" fillId="15" borderId="8" xfId="0" applyFont="1" applyFill="1" applyBorder="1" applyAlignment="1">
      <alignment horizontal="center" vertical="center"/>
    </xf>
    <xf numFmtId="0" fontId="18" fillId="16" borderId="8" xfId="0" applyFont="1" applyFill="1" applyBorder="1" applyAlignment="1">
      <alignment horizontal="center" vertical="center"/>
    </xf>
    <xf numFmtId="14" fontId="18" fillId="15" borderId="8" xfId="0" applyNumberFormat="1" applyFont="1" applyFill="1" applyBorder="1" applyAlignment="1">
      <alignment horizontal="center" vertical="center"/>
    </xf>
    <xf numFmtId="0" fontId="18" fillId="15" borderId="8" xfId="0" applyFont="1" applyFill="1" applyBorder="1" applyAlignment="1">
      <alignment horizontal="center" vertical="center" wrapText="1"/>
    </xf>
    <xf numFmtId="164" fontId="18" fillId="15" borderId="8" xfId="0" applyNumberFormat="1" applyFont="1" applyFill="1" applyBorder="1" applyAlignment="1">
      <alignment horizontal="center" vertical="center"/>
    </xf>
    <xf numFmtId="14" fontId="18" fillId="15" borderId="8" xfId="0" applyNumberFormat="1" applyFont="1" applyFill="1" applyBorder="1" applyAlignment="1">
      <alignment horizontal="center" vertical="center" wrapText="1"/>
    </xf>
    <xf numFmtId="0" fontId="21" fillId="17" borderId="1" xfId="0" applyFont="1" applyFill="1" applyAlignment="1">
      <alignment horizontal="center" vertical="center" wrapText="1"/>
    </xf>
    <xf numFmtId="0" fontId="19" fillId="18" borderId="8" xfId="0" applyFont="1" applyFill="1" applyBorder="1" applyAlignment="1">
      <alignment horizontal="center" vertical="center"/>
    </xf>
    <xf numFmtId="0" fontId="19" fillId="19" borderId="8" xfId="0" applyFont="1" applyFill="1" applyBorder="1" applyAlignment="1">
      <alignment horizontal="center" vertical="center"/>
    </xf>
    <xf numFmtId="0" fontId="18" fillId="19" borderId="8" xfId="0" applyFont="1" applyFill="1" applyBorder="1" applyAlignment="1">
      <alignment horizontal="center" vertical="center"/>
    </xf>
    <xf numFmtId="14" fontId="18" fillId="18" borderId="8" xfId="0" applyNumberFormat="1" applyFont="1" applyFill="1" applyBorder="1" applyAlignment="1">
      <alignment horizontal="center" vertical="center"/>
    </xf>
    <xf numFmtId="0" fontId="18" fillId="20" borderId="8" xfId="0" applyFont="1" applyFill="1" applyBorder="1" applyAlignment="1">
      <alignment horizontal="center" vertical="center"/>
    </xf>
    <xf numFmtId="0" fontId="18" fillId="18" borderId="8" xfId="0" applyFont="1" applyFill="1" applyBorder="1" applyAlignment="1">
      <alignment horizontal="center" vertical="center"/>
    </xf>
    <xf numFmtId="0" fontId="18" fillId="18" borderId="8" xfId="0" applyFont="1" applyFill="1" applyBorder="1" applyAlignment="1">
      <alignment horizontal="center" vertical="center" wrapText="1"/>
    </xf>
    <xf numFmtId="164" fontId="18" fillId="18" borderId="8" xfId="0" applyNumberFormat="1" applyFont="1" applyFill="1" applyBorder="1" applyAlignment="1">
      <alignment horizontal="center" vertical="center"/>
    </xf>
    <xf numFmtId="14" fontId="18" fillId="18" borderId="8" xfId="0" applyNumberFormat="1" applyFont="1" applyFill="1" applyBorder="1" applyAlignment="1">
      <alignment horizontal="center" vertical="center" wrapText="1"/>
    </xf>
    <xf numFmtId="0" fontId="18" fillId="22" borderId="8" xfId="0" applyFont="1" applyFill="1" applyBorder="1" applyAlignment="1">
      <alignment horizontal="center" vertical="center" wrapText="1"/>
    </xf>
    <xf numFmtId="14" fontId="18" fillId="21" borderId="8" xfId="0" applyNumberFormat="1" applyFont="1" applyFill="1" applyBorder="1" applyAlignment="1">
      <alignment horizontal="center" vertical="center" wrapText="1"/>
    </xf>
    <xf numFmtId="0" fontId="18" fillId="23" borderId="8" xfId="0" applyFont="1" applyFill="1" applyBorder="1" applyAlignment="1">
      <alignment horizontal="center" vertical="center"/>
    </xf>
    <xf numFmtId="0" fontId="18" fillId="24" borderId="8" xfId="0" applyFont="1" applyFill="1" applyBorder="1" applyAlignment="1">
      <alignment horizontal="center" vertical="center"/>
    </xf>
    <xf numFmtId="0" fontId="32" fillId="15" borderId="8" xfId="0" applyFont="1" applyFill="1" applyBorder="1" applyAlignment="1">
      <alignment horizontal="center" vertical="center"/>
    </xf>
    <xf numFmtId="0" fontId="18" fillId="25" borderId="8" xfId="0" applyFont="1" applyFill="1" applyBorder="1" applyAlignment="1">
      <alignment horizontal="center" vertical="center"/>
    </xf>
    <xf numFmtId="14" fontId="18" fillId="21" borderId="8" xfId="0" applyNumberFormat="1" applyFont="1" applyFill="1" applyBorder="1" applyAlignment="1">
      <alignment horizontal="center" vertical="center"/>
    </xf>
    <xf numFmtId="0" fontId="18" fillId="21" borderId="8" xfId="0" applyFont="1" applyFill="1" applyBorder="1" applyAlignment="1">
      <alignment horizontal="center" vertical="center"/>
    </xf>
    <xf numFmtId="0" fontId="18" fillId="21" borderId="8" xfId="0" applyFont="1" applyFill="1" applyBorder="1" applyAlignment="1">
      <alignment horizontal="center" vertical="center" wrapText="1"/>
    </xf>
    <xf numFmtId="164" fontId="18" fillId="21" borderId="8" xfId="0" applyNumberFormat="1" applyFont="1" applyFill="1" applyBorder="1" applyAlignment="1">
      <alignment horizontal="center" vertical="center"/>
    </xf>
    <xf numFmtId="0" fontId="38" fillId="15" borderId="8" xfId="0" applyFont="1" applyFill="1" applyBorder="1" applyAlignment="1">
      <alignment horizontal="center" vertical="center"/>
    </xf>
    <xf numFmtId="14" fontId="61" fillId="5" borderId="8" xfId="1" applyNumberFormat="1" applyFill="1" applyBorder="1" applyAlignment="1">
      <alignment horizontal="center" vertical="center" wrapText="1"/>
    </xf>
    <xf numFmtId="14" fontId="61" fillId="15" borderId="8" xfId="1" applyNumberFormat="1" applyFill="1" applyBorder="1" applyAlignment="1">
      <alignment horizontal="center" vertical="center" wrapText="1"/>
    </xf>
    <xf numFmtId="0" fontId="40" fillId="15" borderId="8" xfId="0" applyFont="1" applyFill="1" applyBorder="1" applyAlignment="1">
      <alignment horizontal="center" vertical="center" wrapText="1"/>
    </xf>
    <xf numFmtId="14" fontId="18" fillId="23" borderId="8" xfId="0" applyNumberFormat="1" applyFont="1" applyFill="1" applyBorder="1" applyAlignment="1">
      <alignment horizontal="center" vertical="center" wrapText="1"/>
    </xf>
    <xf numFmtId="0" fontId="39" fillId="15" borderId="8" xfId="0" applyFont="1" applyFill="1" applyBorder="1" applyAlignment="1">
      <alignment horizontal="center" vertical="center" wrapText="1"/>
    </xf>
    <xf numFmtId="14" fontId="18" fillId="5" borderId="9" xfId="0" applyNumberFormat="1" applyFont="1" applyFill="1" applyBorder="1" applyAlignment="1">
      <alignment horizontal="center" vertical="center" wrapText="1"/>
    </xf>
    <xf numFmtId="14" fontId="27" fillId="5" borderId="9" xfId="0" applyNumberFormat="1" applyFont="1" applyFill="1" applyBorder="1" applyAlignment="1">
      <alignment horizontal="center" vertical="center" wrapText="1"/>
    </xf>
    <xf numFmtId="14" fontId="18" fillId="14" borderId="9" xfId="0" applyNumberFormat="1" applyFont="1" applyFill="1" applyBorder="1" applyAlignment="1">
      <alignment horizontal="center" vertical="center" wrapText="1"/>
    </xf>
    <xf numFmtId="14" fontId="18" fillId="15" borderId="9" xfId="0" applyNumberFormat="1" applyFont="1" applyFill="1" applyBorder="1" applyAlignment="1">
      <alignment horizontal="center" vertical="center" wrapText="1"/>
    </xf>
    <xf numFmtId="14" fontId="19" fillId="14" borderId="9" xfId="0" applyNumberFormat="1" applyFont="1" applyFill="1" applyBorder="1" applyAlignment="1">
      <alignment horizontal="center" vertical="center"/>
    </xf>
    <xf numFmtId="14" fontId="18" fillId="18" borderId="9" xfId="0" applyNumberFormat="1" applyFont="1" applyFill="1" applyBorder="1" applyAlignment="1">
      <alignment horizontal="center" vertical="center" wrapText="1"/>
    </xf>
    <xf numFmtId="14" fontId="18" fillId="11" borderId="9" xfId="0" applyNumberFormat="1" applyFont="1" applyFill="1" applyBorder="1" applyAlignment="1">
      <alignment horizontal="center" vertical="center" wrapText="1"/>
    </xf>
    <xf numFmtId="14" fontId="31" fillId="5" borderId="8" xfId="0" applyNumberFormat="1" applyFont="1" applyFill="1" applyBorder="1" applyAlignment="1">
      <alignment horizontal="center" vertical="center" wrapText="1"/>
    </xf>
    <xf numFmtId="0" fontId="37" fillId="23" borderId="8" xfId="0" applyFont="1" applyFill="1" applyBorder="1" applyAlignment="1">
      <alignment horizontal="center" vertical="center"/>
    </xf>
    <xf numFmtId="0" fontId="19" fillId="23" borderId="8" xfId="0" applyFont="1" applyFill="1" applyBorder="1" applyAlignment="1">
      <alignment horizontal="center" vertical="center"/>
    </xf>
    <xf numFmtId="0" fontId="37" fillId="26" borderId="8" xfId="0" applyFont="1" applyFill="1" applyBorder="1" applyAlignment="1">
      <alignment horizontal="center" vertical="center"/>
    </xf>
    <xf numFmtId="0" fontId="19" fillId="23" borderId="9" xfId="0" applyFont="1" applyFill="1" applyBorder="1" applyAlignment="1">
      <alignment horizontal="center" vertical="center"/>
    </xf>
    <xf numFmtId="0" fontId="18" fillId="26" borderId="8" xfId="0" applyFont="1" applyFill="1" applyBorder="1" applyAlignment="1">
      <alignment horizontal="center" vertical="center"/>
    </xf>
    <xf numFmtId="17" fontId="18" fillId="23" borderId="10" xfId="0" applyNumberFormat="1" applyFont="1" applyFill="1" applyBorder="1" applyAlignment="1">
      <alignment horizontal="center" vertical="center"/>
    </xf>
    <xf numFmtId="14" fontId="18" fillId="23" borderId="10" xfId="0" applyNumberFormat="1" applyFont="1" applyFill="1" applyBorder="1" applyAlignment="1">
      <alignment horizontal="center" vertical="center"/>
    </xf>
    <xf numFmtId="14" fontId="18" fillId="23" borderId="8" xfId="0" applyNumberFormat="1" applyFont="1" applyFill="1" applyBorder="1" applyAlignment="1">
      <alignment horizontal="center" vertical="center"/>
    </xf>
    <xf numFmtId="0" fontId="18" fillId="23" borderId="8" xfId="0" applyFont="1" applyFill="1" applyBorder="1" applyAlignment="1">
      <alignment horizontal="center" vertical="center" wrapText="1"/>
    </xf>
    <xf numFmtId="164" fontId="18" fillId="23" borderId="8" xfId="0" applyNumberFormat="1" applyFont="1" applyFill="1" applyBorder="1" applyAlignment="1">
      <alignment horizontal="center" vertical="center"/>
    </xf>
    <xf numFmtId="14" fontId="18" fillId="23" borderId="9" xfId="0" applyNumberFormat="1" applyFont="1" applyFill="1" applyBorder="1" applyAlignment="1">
      <alignment horizontal="center" vertical="center" wrapText="1"/>
    </xf>
    <xf numFmtId="0" fontId="19" fillId="14" borderId="9" xfId="0" applyFont="1" applyFill="1" applyBorder="1" applyAlignment="1">
      <alignment horizontal="center" vertical="center" wrapText="1"/>
    </xf>
    <xf numFmtId="0" fontId="18" fillId="14" borderId="12" xfId="0" applyFont="1" applyFill="1" applyBorder="1" applyAlignment="1">
      <alignment horizontal="center" vertical="center" wrapText="1"/>
    </xf>
    <xf numFmtId="0" fontId="31" fillId="5" borderId="8" xfId="0" applyFont="1" applyFill="1" applyBorder="1" applyAlignment="1">
      <alignment horizontal="center" vertical="center" wrapText="1"/>
    </xf>
    <xf numFmtId="14" fontId="31" fillId="5" borderId="8" xfId="0" applyNumberFormat="1" applyFont="1" applyFill="1" applyBorder="1" applyAlignment="1">
      <alignment horizontal="center" vertical="center"/>
    </xf>
    <xf numFmtId="14" fontId="31" fillId="5" borderId="9" xfId="0" applyNumberFormat="1" applyFont="1" applyFill="1" applyBorder="1" applyAlignment="1">
      <alignment horizontal="center" vertical="center" wrapText="1"/>
    </xf>
    <xf numFmtId="0" fontId="40" fillId="23" borderId="8" xfId="0" applyFont="1" applyFill="1" applyBorder="1" applyAlignment="1">
      <alignment horizontal="center" vertical="center" wrapText="1"/>
    </xf>
    <xf numFmtId="0" fontId="37" fillId="27" borderId="8" xfId="0" applyFont="1" applyFill="1" applyBorder="1" applyAlignment="1">
      <alignment horizontal="center" vertical="center"/>
    </xf>
    <xf numFmtId="0" fontId="19" fillId="27" borderId="8" xfId="0" applyFont="1" applyFill="1" applyBorder="1" applyAlignment="1">
      <alignment horizontal="center" vertical="center"/>
    </xf>
    <xf numFmtId="0" fontId="38" fillId="28" borderId="8" xfId="0" applyFont="1" applyFill="1" applyBorder="1" applyAlignment="1">
      <alignment horizontal="center" vertical="center"/>
    </xf>
    <xf numFmtId="0" fontId="19" fillId="27" borderId="9" xfId="0" applyFont="1" applyFill="1" applyBorder="1" applyAlignment="1">
      <alignment horizontal="center" vertical="center"/>
    </xf>
    <xf numFmtId="17" fontId="18" fillId="27" borderId="10" xfId="0" applyNumberFormat="1" applyFont="1" applyFill="1" applyBorder="1" applyAlignment="1">
      <alignment horizontal="center" vertical="center"/>
    </xf>
    <xf numFmtId="14" fontId="18" fillId="27" borderId="10" xfId="0" applyNumberFormat="1" applyFont="1" applyFill="1" applyBorder="1" applyAlignment="1">
      <alignment horizontal="center" vertical="center"/>
    </xf>
    <xf numFmtId="14" fontId="18" fillId="27" borderId="8" xfId="0" applyNumberFormat="1" applyFont="1" applyFill="1" applyBorder="1" applyAlignment="1">
      <alignment horizontal="center" vertical="center"/>
    </xf>
    <xf numFmtId="0" fontId="18" fillId="27" borderId="8" xfId="0" applyFont="1" applyFill="1" applyBorder="1" applyAlignment="1">
      <alignment horizontal="center" vertical="center"/>
    </xf>
    <xf numFmtId="0" fontId="18" fillId="27" borderId="8" xfId="0" applyFont="1" applyFill="1" applyBorder="1" applyAlignment="1">
      <alignment horizontal="center" vertical="center" wrapText="1"/>
    </xf>
    <xf numFmtId="164" fontId="18" fillId="27" borderId="8" xfId="0" applyNumberFormat="1" applyFont="1" applyFill="1" applyBorder="1" applyAlignment="1">
      <alignment horizontal="center" vertical="center"/>
    </xf>
    <xf numFmtId="14" fontId="18" fillId="27" borderId="8" xfId="0" applyNumberFormat="1" applyFont="1" applyFill="1" applyBorder="1" applyAlignment="1">
      <alignment horizontal="center" vertical="center" wrapText="1"/>
    </xf>
    <xf numFmtId="14" fontId="18" fillId="27" borderId="9" xfId="0" applyNumberFormat="1" applyFont="1" applyFill="1" applyBorder="1" applyAlignment="1">
      <alignment horizontal="center" vertical="center" wrapText="1"/>
    </xf>
    <xf numFmtId="0" fontId="18" fillId="29" borderId="8" xfId="0" applyFont="1" applyFill="1" applyBorder="1" applyAlignment="1">
      <alignment horizontal="center" vertical="center"/>
    </xf>
    <xf numFmtId="0" fontId="17" fillId="3" borderId="8" xfId="0" applyFont="1" applyFill="1" applyBorder="1" applyAlignment="1">
      <alignment horizontal="center" vertical="center"/>
    </xf>
    <xf numFmtId="0" fontId="19" fillId="0" borderId="31" xfId="0" applyFont="1" applyBorder="1" applyAlignment="1">
      <alignment horizontal="center"/>
    </xf>
    <xf numFmtId="16" fontId="19" fillId="0" borderId="33" xfId="0" applyNumberFormat="1" applyFont="1" applyBorder="1" applyAlignment="1">
      <alignment horizontal="center"/>
    </xf>
    <xf numFmtId="16" fontId="19" fillId="0" borderId="32" xfId="0" applyNumberFormat="1" applyFont="1" applyBorder="1" applyAlignment="1">
      <alignment horizontal="center"/>
    </xf>
    <xf numFmtId="0" fontId="19" fillId="0" borderId="36" xfId="0" applyFont="1" applyBorder="1" applyAlignment="1">
      <alignment horizontal="center"/>
    </xf>
    <xf numFmtId="0" fontId="19" fillId="0" borderId="37" xfId="0" applyFont="1" applyBorder="1" applyAlignment="1">
      <alignment horizontal="center"/>
    </xf>
    <xf numFmtId="0" fontId="0" fillId="0" borderId="1" xfId="0" applyAlignment="1">
      <alignment horizontal="center"/>
    </xf>
    <xf numFmtId="0" fontId="37" fillId="30" borderId="8" xfId="0" applyFont="1" applyFill="1" applyBorder="1" applyAlignment="1">
      <alignment horizontal="center" vertical="center"/>
    </xf>
    <xf numFmtId="14" fontId="18" fillId="14" borderId="10" xfId="0" applyNumberFormat="1" applyFont="1" applyFill="1" applyBorder="1" applyAlignment="1">
      <alignment horizontal="center" vertical="center" wrapText="1"/>
    </xf>
    <xf numFmtId="0" fontId="37" fillId="31" borderId="8" xfId="0" applyFont="1" applyFill="1" applyBorder="1" applyAlignment="1">
      <alignment horizontal="center" vertical="center"/>
    </xf>
    <xf numFmtId="0" fontId="62" fillId="32" borderId="1" xfId="0" applyFont="1" applyFill="1" applyAlignment="1">
      <alignment horizontal="center"/>
    </xf>
    <xf numFmtId="17" fontId="18" fillId="5" borderId="8" xfId="0" applyNumberFormat="1" applyFont="1" applyFill="1" applyBorder="1" applyAlignment="1">
      <alignment horizontal="center" vertical="center"/>
    </xf>
    <xf numFmtId="0" fontId="56" fillId="4" borderId="38" xfId="0" applyFont="1" applyFill="1" applyBorder="1" applyAlignment="1">
      <alignment horizontal="center" vertical="center" wrapText="1"/>
    </xf>
    <xf numFmtId="16" fontId="19" fillId="0" borderId="39" xfId="0" applyNumberFormat="1" applyFont="1" applyBorder="1" applyAlignment="1">
      <alignment horizontal="center"/>
    </xf>
    <xf numFmtId="16" fontId="19" fillId="0" borderId="34" xfId="0" applyNumberFormat="1" applyFont="1" applyBorder="1" applyAlignment="1">
      <alignment horizontal="center"/>
    </xf>
    <xf numFmtId="0" fontId="56" fillId="4" borderId="40" xfId="0" applyFont="1" applyFill="1" applyBorder="1" applyAlignment="1">
      <alignment horizontal="center" vertical="center" wrapText="1"/>
    </xf>
    <xf numFmtId="16" fontId="19" fillId="0" borderId="36" xfId="0" applyNumberFormat="1" applyFont="1" applyBorder="1" applyAlignment="1">
      <alignment horizontal="center"/>
    </xf>
    <xf numFmtId="14" fontId="19" fillId="0" borderId="36" xfId="0" applyNumberFormat="1" applyFont="1" applyBorder="1" applyAlignment="1">
      <alignment horizontal="center"/>
    </xf>
    <xf numFmtId="14" fontId="19" fillId="0" borderId="37" xfId="0" applyNumberFormat="1" applyFont="1" applyBorder="1" applyAlignment="1">
      <alignment horizontal="center"/>
    </xf>
    <xf numFmtId="0" fontId="19" fillId="34" borderId="8" xfId="0" applyFont="1" applyFill="1" applyBorder="1" applyAlignment="1">
      <alignment horizontal="center" vertical="center"/>
    </xf>
    <xf numFmtId="0" fontId="37" fillId="35" borderId="8" xfId="0" applyFont="1" applyFill="1" applyBorder="1" applyAlignment="1">
      <alignment horizontal="center" vertical="center"/>
    </xf>
    <xf numFmtId="0" fontId="34" fillId="36" borderId="8" xfId="0" applyFont="1" applyFill="1" applyBorder="1" applyAlignment="1">
      <alignment horizontal="center" vertical="center"/>
    </xf>
    <xf numFmtId="0" fontId="34" fillId="34" borderId="8" xfId="0" applyFont="1" applyFill="1" applyBorder="1" applyAlignment="1">
      <alignment horizontal="center" vertical="center"/>
    </xf>
    <xf numFmtId="0" fontId="64" fillId="0" borderId="1" xfId="0" applyFont="1" applyAlignment="1">
      <alignment horizontal="center" vertical="center" textRotation="90" wrapText="1"/>
    </xf>
    <xf numFmtId="1" fontId="0" fillId="0" borderId="1" xfId="0" applyNumberFormat="1" applyAlignment="1">
      <alignment horizontal="center" vertical="center" wrapText="1"/>
    </xf>
    <xf numFmtId="0" fontId="38" fillId="36" borderId="8" xfId="0" applyFont="1" applyFill="1" applyBorder="1" applyAlignment="1">
      <alignment horizontal="center" vertical="center"/>
    </xf>
    <xf numFmtId="0" fontId="26" fillId="34" borderId="8" xfId="0" applyFont="1" applyFill="1" applyBorder="1" applyAlignment="1">
      <alignment horizontal="center" vertical="center"/>
    </xf>
    <xf numFmtId="0" fontId="19" fillId="36" borderId="8" xfId="0" applyFont="1" applyFill="1" applyBorder="1" applyAlignment="1">
      <alignment horizontal="center" vertical="center"/>
    </xf>
    <xf numFmtId="0" fontId="37" fillId="36" borderId="8" xfId="0" applyFont="1" applyFill="1" applyBorder="1" applyAlignment="1">
      <alignment horizontal="center" vertical="center"/>
    </xf>
    <xf numFmtId="0" fontId="37" fillId="37" borderId="8" xfId="0" applyFont="1" applyFill="1" applyBorder="1" applyAlignment="1">
      <alignment horizontal="center" vertical="center"/>
    </xf>
    <xf numFmtId="0" fontId="38" fillId="37" borderId="8" xfId="0" applyFont="1" applyFill="1" applyBorder="1" applyAlignment="1">
      <alignment horizontal="center" vertical="center"/>
    </xf>
    <xf numFmtId="0" fontId="65" fillId="0" borderId="1" xfId="0" applyFont="1" applyAlignment="1">
      <alignment horizontal="center"/>
    </xf>
    <xf numFmtId="0" fontId="66" fillId="0" borderId="1" xfId="0" applyFont="1" applyAlignment="1">
      <alignment horizontal="center"/>
    </xf>
    <xf numFmtId="14" fontId="37" fillId="3" borderId="35" xfId="0" applyNumberFormat="1" applyFont="1" applyFill="1" applyBorder="1" applyAlignment="1">
      <alignment horizontal="center" vertical="center"/>
    </xf>
    <xf numFmtId="0" fontId="32" fillId="0" borderId="33" xfId="0" applyFont="1" applyBorder="1"/>
    <xf numFmtId="0" fontId="56" fillId="4" borderId="44" xfId="0" applyFont="1" applyFill="1" applyBorder="1" applyAlignment="1">
      <alignment horizontal="center" vertical="center"/>
    </xf>
    <xf numFmtId="0" fontId="56" fillId="4" borderId="44" xfId="0" applyFont="1" applyFill="1" applyBorder="1" applyAlignment="1">
      <alignment horizontal="center" vertical="center" wrapText="1"/>
    </xf>
    <xf numFmtId="0" fontId="19" fillId="0" borderId="35" xfId="0" applyFont="1" applyBorder="1" applyAlignment="1">
      <alignment horizontal="center"/>
    </xf>
    <xf numFmtId="0" fontId="32" fillId="0" borderId="34" xfId="0" applyFont="1" applyBorder="1"/>
    <xf numFmtId="0" fontId="37" fillId="38" borderId="8" xfId="0" applyFont="1" applyFill="1" applyBorder="1" applyAlignment="1">
      <alignment horizontal="center" vertical="center"/>
    </xf>
    <xf numFmtId="0" fontId="18" fillId="13" borderId="1" xfId="0" applyFont="1" applyFill="1" applyAlignment="1">
      <alignment horizontal="center" vertical="center"/>
    </xf>
    <xf numFmtId="0" fontId="65" fillId="0" borderId="1" xfId="0" applyFont="1" applyAlignment="1">
      <alignment vertical="center"/>
    </xf>
    <xf numFmtId="0" fontId="66" fillId="39" borderId="1" xfId="0" applyFont="1" applyFill="1"/>
    <xf numFmtId="1" fontId="66" fillId="39" borderId="1" xfId="0" applyNumberFormat="1" applyFont="1" applyFill="1" applyAlignment="1">
      <alignment horizontal="center" vertical="center" wrapText="1"/>
    </xf>
    <xf numFmtId="0" fontId="30" fillId="0" borderId="1" xfId="0" applyFont="1" applyAlignment="1">
      <alignment horizontal="center" vertical="center"/>
    </xf>
    <xf numFmtId="0" fontId="30" fillId="0" borderId="1" xfId="0" applyFont="1" applyAlignment="1">
      <alignment vertical="center"/>
    </xf>
    <xf numFmtId="0" fontId="19" fillId="0" borderId="1" xfId="0" applyFont="1" applyAlignment="1">
      <alignment vertical="center"/>
    </xf>
    <xf numFmtId="0" fontId="19" fillId="14" borderId="10" xfId="0" applyFont="1" applyFill="1" applyBorder="1" applyAlignment="1">
      <alignment horizontal="center" vertical="center"/>
    </xf>
    <xf numFmtId="0" fontId="19" fillId="14" borderId="11" xfId="0" applyFont="1" applyFill="1" applyBorder="1" applyAlignment="1">
      <alignment horizontal="center" vertical="center"/>
    </xf>
    <xf numFmtId="14" fontId="18" fillId="14" borderId="14" xfId="0" applyNumberFormat="1" applyFont="1" applyFill="1" applyBorder="1" applyAlignment="1">
      <alignment horizontal="center" vertical="center"/>
    </xf>
    <xf numFmtId="0" fontId="18" fillId="14" borderId="10" xfId="0" applyFont="1" applyFill="1" applyBorder="1" applyAlignment="1">
      <alignment horizontal="center" vertical="center"/>
    </xf>
    <xf numFmtId="0" fontId="18" fillId="14" borderId="10" xfId="0" applyFont="1" applyFill="1" applyBorder="1" applyAlignment="1">
      <alignment horizontal="center" vertical="center" wrapText="1"/>
    </xf>
    <xf numFmtId="0" fontId="61" fillId="23" borderId="8" xfId="1" applyFill="1" applyBorder="1" applyAlignment="1">
      <alignment horizontal="center" vertical="center"/>
    </xf>
    <xf numFmtId="14" fontId="61" fillId="23" borderId="8" xfId="1" applyNumberFormat="1" applyFill="1" applyBorder="1" applyAlignment="1">
      <alignment horizontal="center" vertical="center" wrapText="1"/>
    </xf>
    <xf numFmtId="14" fontId="18" fillId="14" borderId="11" xfId="0" applyNumberFormat="1" applyFont="1" applyFill="1" applyBorder="1" applyAlignment="1">
      <alignment horizontal="center" vertical="center" wrapText="1"/>
    </xf>
    <xf numFmtId="0" fontId="19" fillId="41" borderId="8" xfId="0" applyFont="1" applyFill="1" applyBorder="1" applyAlignment="1">
      <alignment horizontal="center" vertical="center"/>
    </xf>
    <xf numFmtId="14" fontId="23" fillId="5" borderId="9" xfId="0" applyNumberFormat="1" applyFont="1" applyFill="1" applyBorder="1" applyAlignment="1">
      <alignment horizontal="center" vertical="center" wrapText="1"/>
    </xf>
    <xf numFmtId="14" fontId="61" fillId="21" borderId="8" xfId="1" applyNumberFormat="1" applyFill="1" applyBorder="1" applyAlignment="1">
      <alignment horizontal="center" vertical="center" wrapText="1"/>
    </xf>
    <xf numFmtId="0" fontId="30" fillId="34" borderId="8" xfId="0" applyFont="1" applyFill="1" applyBorder="1" applyAlignment="1">
      <alignment horizontal="center" vertical="center"/>
    </xf>
    <xf numFmtId="0" fontId="19" fillId="15" borderId="9" xfId="0" applyFont="1" applyFill="1" applyBorder="1" applyAlignment="1">
      <alignment horizontal="center" vertical="center"/>
    </xf>
    <xf numFmtId="17" fontId="18" fillId="15" borderId="10" xfId="0" applyNumberFormat="1" applyFont="1" applyFill="1" applyBorder="1" applyAlignment="1">
      <alignment horizontal="center" vertical="center"/>
    </xf>
    <xf numFmtId="14" fontId="18" fillId="15" borderId="10" xfId="0" applyNumberFormat="1" applyFont="1" applyFill="1" applyBorder="1" applyAlignment="1">
      <alignment horizontal="center" vertical="center"/>
    </xf>
    <xf numFmtId="0" fontId="32" fillId="0" borderId="45" xfId="0" applyFont="1" applyBorder="1" applyAlignment="1">
      <alignment horizontal="center"/>
    </xf>
    <xf numFmtId="0" fontId="32" fillId="0" borderId="46" xfId="0" applyFont="1" applyBorder="1" applyAlignment="1">
      <alignment horizontal="center"/>
    </xf>
    <xf numFmtId="0" fontId="32" fillId="0" borderId="47" xfId="0" applyFont="1" applyBorder="1" applyAlignment="1">
      <alignment horizontal="center" vertical="center"/>
    </xf>
    <xf numFmtId="0" fontId="32" fillId="0" borderId="48" xfId="0" applyFont="1" applyBorder="1" applyAlignment="1">
      <alignment horizontal="center" vertical="center"/>
    </xf>
    <xf numFmtId="0" fontId="37" fillId="24" borderId="8" xfId="0" applyFont="1" applyFill="1" applyBorder="1" applyAlignment="1">
      <alignment horizontal="center" vertical="center"/>
    </xf>
    <xf numFmtId="0" fontId="62" fillId="42" borderId="49" xfId="0" applyFont="1" applyFill="1" applyBorder="1" applyAlignment="1">
      <alignment horizontal="center"/>
    </xf>
    <xf numFmtId="0" fontId="0" fillId="0" borderId="45" xfId="0" applyBorder="1"/>
    <xf numFmtId="0" fontId="16" fillId="0" borderId="45" xfId="0" applyFont="1" applyBorder="1"/>
    <xf numFmtId="0" fontId="0" fillId="0" borderId="46" xfId="0" applyBorder="1"/>
    <xf numFmtId="0" fontId="16" fillId="0" borderId="40" xfId="0" applyFont="1" applyBorder="1"/>
    <xf numFmtId="0" fontId="32" fillId="0" borderId="40" xfId="0" applyFont="1" applyBorder="1" applyAlignment="1">
      <alignment horizontal="center"/>
    </xf>
    <xf numFmtId="0" fontId="16" fillId="38" borderId="45" xfId="0" applyFont="1" applyFill="1" applyBorder="1"/>
    <xf numFmtId="0" fontId="0" fillId="38" borderId="45" xfId="0" applyFill="1" applyBorder="1"/>
    <xf numFmtId="0" fontId="32" fillId="0" borderId="44" xfId="0" applyFont="1" applyBorder="1" applyAlignment="1">
      <alignment horizontal="center" vertical="center"/>
    </xf>
    <xf numFmtId="0" fontId="19" fillId="23" borderId="12" xfId="0" applyFont="1" applyFill="1" applyBorder="1" applyAlignment="1">
      <alignment horizontal="center" vertical="center"/>
    </xf>
    <xf numFmtId="0" fontId="18" fillId="23" borderId="12" xfId="0" applyFont="1" applyFill="1" applyBorder="1" applyAlignment="1">
      <alignment horizontal="center" vertical="center" wrapText="1"/>
    </xf>
    <xf numFmtId="0" fontId="15" fillId="3" borderId="12" xfId="0" applyFont="1" applyFill="1" applyBorder="1" applyAlignment="1">
      <alignment horizontal="center"/>
    </xf>
    <xf numFmtId="0" fontId="18" fillId="22" borderId="8" xfId="0" applyFont="1" applyFill="1" applyBorder="1" applyAlignment="1">
      <alignment horizontal="center" vertical="center"/>
    </xf>
    <xf numFmtId="0" fontId="56" fillId="0" borderId="16" xfId="0" applyFont="1" applyBorder="1" applyAlignment="1">
      <alignment horizontal="center" vertical="center"/>
    </xf>
    <xf numFmtId="0" fontId="56" fillId="0" borderId="50" xfId="0" applyFont="1" applyBorder="1" applyAlignment="1">
      <alignment horizontal="center" vertical="center" wrapText="1"/>
    </xf>
    <xf numFmtId="0" fontId="56" fillId="0" borderId="51" xfId="0" applyFont="1" applyBorder="1" applyAlignment="1">
      <alignment horizontal="center" vertical="center" wrapText="1"/>
    </xf>
    <xf numFmtId="0" fontId="32" fillId="0" borderId="1" xfId="0" applyFont="1" applyAlignment="1">
      <alignment horizontal="center" vertical="center"/>
    </xf>
    <xf numFmtId="0" fontId="32" fillId="0" borderId="1" xfId="0" applyFont="1" applyAlignment="1">
      <alignment horizontal="center"/>
    </xf>
    <xf numFmtId="0" fontId="0" fillId="0" borderId="8" xfId="0" applyBorder="1"/>
    <xf numFmtId="0" fontId="32" fillId="0" borderId="52" xfId="0" applyFont="1" applyBorder="1" applyAlignment="1">
      <alignment horizontal="center"/>
    </xf>
    <xf numFmtId="0" fontId="32" fillId="0" borderId="53" xfId="0" applyFont="1" applyBorder="1" applyAlignment="1">
      <alignment horizontal="center"/>
    </xf>
    <xf numFmtId="0" fontId="32" fillId="0" borderId="38" xfId="0" applyFont="1" applyBorder="1" applyAlignment="1">
      <alignment horizontal="center"/>
    </xf>
    <xf numFmtId="0" fontId="19" fillId="15" borderId="12" xfId="0" applyFont="1" applyFill="1" applyBorder="1" applyAlignment="1">
      <alignment horizontal="center" vertical="center"/>
    </xf>
    <xf numFmtId="0" fontId="18" fillId="15" borderId="12" xfId="0" applyFont="1" applyFill="1" applyBorder="1" applyAlignment="1">
      <alignment horizontal="center" vertical="center" wrapText="1"/>
    </xf>
    <xf numFmtId="0" fontId="62" fillId="42" borderId="8" xfId="0" applyFont="1" applyFill="1" applyBorder="1" applyAlignment="1">
      <alignment horizontal="center"/>
    </xf>
    <xf numFmtId="0" fontId="62" fillId="43" borderId="8" xfId="0" applyFont="1" applyFill="1" applyBorder="1" applyAlignment="1">
      <alignment horizontal="center" vertical="center"/>
    </xf>
    <xf numFmtId="0" fontId="0" fillId="0" borderId="8" xfId="0" applyBorder="1" applyAlignment="1">
      <alignment horizontal="center" vertical="center"/>
    </xf>
    <xf numFmtId="49" fontId="67" fillId="0" borderId="1" xfId="0" applyNumberFormat="1" applyFont="1" applyAlignment="1">
      <alignment vertical="center"/>
    </xf>
    <xf numFmtId="0" fontId="67" fillId="0" borderId="1" xfId="0" applyFont="1" applyAlignment="1">
      <alignment horizontal="center" vertical="center"/>
    </xf>
    <xf numFmtId="3" fontId="67" fillId="0" borderId="1" xfId="0" applyNumberFormat="1" applyFont="1" applyAlignment="1">
      <alignment horizontal="center" vertical="center"/>
    </xf>
    <xf numFmtId="0" fontId="14" fillId="3" borderId="12" xfId="0" applyFont="1" applyFill="1" applyBorder="1" applyAlignment="1">
      <alignment horizontal="center"/>
    </xf>
    <xf numFmtId="14" fontId="18" fillId="22" borderId="8" xfId="0" applyNumberFormat="1" applyFont="1" applyFill="1" applyBorder="1" applyAlignment="1">
      <alignment horizontal="center" vertical="center" wrapText="1"/>
    </xf>
    <xf numFmtId="14" fontId="18" fillId="14" borderId="12" xfId="0" applyNumberFormat="1" applyFont="1" applyFill="1" applyBorder="1" applyAlignment="1">
      <alignment horizontal="center" vertical="center"/>
    </xf>
    <xf numFmtId="0" fontId="66" fillId="39" borderId="8" xfId="0" applyFont="1" applyFill="1" applyBorder="1" applyAlignment="1">
      <alignment horizontal="center" vertical="center"/>
    </xf>
    <xf numFmtId="0" fontId="19" fillId="5" borderId="12" xfId="0" applyFont="1" applyFill="1" applyBorder="1" applyAlignment="1">
      <alignment horizontal="center" vertical="center"/>
    </xf>
    <xf numFmtId="2" fontId="19" fillId="14" borderId="9" xfId="0" applyNumberFormat="1" applyFont="1" applyFill="1" applyBorder="1" applyAlignment="1">
      <alignment horizontal="center" vertical="center"/>
    </xf>
    <xf numFmtId="0" fontId="18" fillId="5" borderId="12" xfId="0" applyFont="1" applyFill="1" applyBorder="1" applyAlignment="1">
      <alignment horizontal="center" vertical="center" wrapText="1"/>
    </xf>
    <xf numFmtId="0" fontId="32" fillId="0" borderId="45" xfId="0" applyFont="1" applyBorder="1"/>
    <xf numFmtId="0" fontId="19" fillId="21" borderId="9" xfId="0" applyFont="1" applyFill="1" applyBorder="1" applyAlignment="1">
      <alignment horizontal="center" vertical="center"/>
    </xf>
    <xf numFmtId="0" fontId="37" fillId="15" borderId="9" xfId="0" applyFont="1" applyFill="1" applyBorder="1" applyAlignment="1">
      <alignment horizontal="center" vertical="center"/>
    </xf>
    <xf numFmtId="0" fontId="38" fillId="15" borderId="9" xfId="0" applyFont="1" applyFill="1" applyBorder="1" applyAlignment="1">
      <alignment horizontal="center" vertical="center"/>
    </xf>
    <xf numFmtId="0" fontId="30" fillId="5" borderId="9" xfId="0" applyFont="1" applyFill="1" applyBorder="1" applyAlignment="1">
      <alignment horizontal="center" vertical="center"/>
    </xf>
    <xf numFmtId="0" fontId="38" fillId="23" borderId="9" xfId="0" applyFont="1" applyFill="1" applyBorder="1" applyAlignment="1">
      <alignment horizontal="center" vertical="center"/>
    </xf>
    <xf numFmtId="16" fontId="31" fillId="5" borderId="10" xfId="0" applyNumberFormat="1" applyFont="1" applyFill="1" applyBorder="1" applyAlignment="1">
      <alignment horizontal="center" vertical="center"/>
    </xf>
    <xf numFmtId="17" fontId="18" fillId="21" borderId="10" xfId="0" applyNumberFormat="1" applyFont="1" applyFill="1" applyBorder="1" applyAlignment="1">
      <alignment horizontal="center" vertical="center"/>
    </xf>
    <xf numFmtId="0" fontId="31" fillId="5" borderId="10" xfId="0" applyFont="1" applyFill="1" applyBorder="1" applyAlignment="1">
      <alignment horizontal="center" vertical="center"/>
    </xf>
    <xf numFmtId="14" fontId="18" fillId="21" borderId="10" xfId="0" applyNumberFormat="1" applyFont="1" applyFill="1" applyBorder="1" applyAlignment="1">
      <alignment horizontal="center" vertical="center"/>
    </xf>
    <xf numFmtId="1" fontId="18" fillId="14" borderId="10" xfId="0" applyNumberFormat="1" applyFont="1" applyFill="1" applyBorder="1" applyAlignment="1">
      <alignment horizontal="center" vertical="center"/>
    </xf>
    <xf numFmtId="0" fontId="13" fillId="0" borderId="1" xfId="0" applyFont="1"/>
    <xf numFmtId="0" fontId="0" fillId="39" borderId="1" xfId="0" applyFill="1"/>
    <xf numFmtId="0" fontId="62" fillId="39" borderId="1" xfId="0" applyFont="1" applyFill="1" applyAlignment="1">
      <alignment vertical="center"/>
    </xf>
    <xf numFmtId="0" fontId="32" fillId="0" borderId="40" xfId="0" applyFont="1" applyBorder="1" applyAlignment="1">
      <alignment horizontal="center" vertical="center"/>
    </xf>
    <xf numFmtId="0" fontId="32" fillId="0" borderId="38" xfId="0" applyFont="1" applyBorder="1" applyAlignment="1">
      <alignment horizontal="center" vertical="center"/>
    </xf>
    <xf numFmtId="0" fontId="32" fillId="0" borderId="45" xfId="0" applyFont="1" applyBorder="1" applyAlignment="1">
      <alignment horizontal="center" vertical="center"/>
    </xf>
    <xf numFmtId="0" fontId="32" fillId="0" borderId="52" xfId="0" applyFont="1" applyBorder="1" applyAlignment="1">
      <alignment horizontal="center" vertical="center"/>
    </xf>
    <xf numFmtId="0" fontId="32" fillId="0" borderId="46" xfId="0" applyFont="1" applyBorder="1" applyAlignment="1">
      <alignment horizontal="center" vertical="center"/>
    </xf>
    <xf numFmtId="0" fontId="32" fillId="0" borderId="53" xfId="0" applyFont="1" applyBorder="1" applyAlignment="1">
      <alignment horizontal="center" vertical="center"/>
    </xf>
    <xf numFmtId="0" fontId="32" fillId="0" borderId="49" xfId="0" applyFont="1" applyBorder="1" applyAlignment="1">
      <alignment horizontal="center" vertical="center"/>
    </xf>
    <xf numFmtId="0" fontId="19" fillId="22" borderId="8" xfId="0" applyFont="1" applyFill="1" applyBorder="1" applyAlignment="1">
      <alignment horizontal="center" vertical="center"/>
    </xf>
    <xf numFmtId="0" fontId="19" fillId="22" borderId="9" xfId="0" applyFont="1" applyFill="1" applyBorder="1" applyAlignment="1">
      <alignment horizontal="center" vertical="center"/>
    </xf>
    <xf numFmtId="17" fontId="18" fillId="22" borderId="10" xfId="0" applyNumberFormat="1" applyFont="1" applyFill="1" applyBorder="1" applyAlignment="1">
      <alignment horizontal="center" vertical="center"/>
    </xf>
    <xf numFmtId="14" fontId="18" fillId="22" borderId="8" xfId="0" applyNumberFormat="1" applyFont="1" applyFill="1" applyBorder="1" applyAlignment="1">
      <alignment horizontal="center" vertical="center"/>
    </xf>
    <xf numFmtId="14" fontId="18" fillId="22" borderId="10" xfId="0" applyNumberFormat="1" applyFont="1" applyFill="1" applyBorder="1" applyAlignment="1">
      <alignment horizontal="center" vertical="center"/>
    </xf>
    <xf numFmtId="164" fontId="18" fillId="22" borderId="8" xfId="0" applyNumberFormat="1" applyFont="1" applyFill="1" applyBorder="1" applyAlignment="1">
      <alignment horizontal="center" vertical="center"/>
    </xf>
    <xf numFmtId="14" fontId="18" fillId="22" borderId="9" xfId="0" applyNumberFormat="1" applyFont="1" applyFill="1" applyBorder="1" applyAlignment="1">
      <alignment horizontal="center" vertical="center" wrapText="1"/>
    </xf>
    <xf numFmtId="0" fontId="32" fillId="0" borderId="1" xfId="0" applyFont="1"/>
    <xf numFmtId="0" fontId="19" fillId="11" borderId="12" xfId="0" applyFont="1" applyFill="1" applyBorder="1" applyAlignment="1">
      <alignment horizontal="center" vertical="center"/>
    </xf>
    <xf numFmtId="17" fontId="18" fillId="15" borderId="8" xfId="0" applyNumberFormat="1" applyFont="1" applyFill="1" applyBorder="1" applyAlignment="1">
      <alignment horizontal="center" vertical="center"/>
    </xf>
    <xf numFmtId="17" fontId="18" fillId="5" borderId="9" xfId="0" applyNumberFormat="1" applyFont="1" applyFill="1" applyBorder="1" applyAlignment="1">
      <alignment horizontal="center" vertical="center"/>
    </xf>
    <xf numFmtId="14" fontId="18" fillId="14" borderId="15" xfId="0" applyNumberFormat="1" applyFont="1" applyFill="1" applyBorder="1" applyAlignment="1">
      <alignment horizontal="center" vertical="center"/>
    </xf>
    <xf numFmtId="14" fontId="18" fillId="5" borderId="9" xfId="0" applyNumberFormat="1" applyFont="1" applyFill="1" applyBorder="1" applyAlignment="1">
      <alignment horizontal="center" vertical="center"/>
    </xf>
    <xf numFmtId="0" fontId="18" fillId="11" borderId="12" xfId="0" applyFont="1" applyFill="1" applyBorder="1" applyAlignment="1">
      <alignment horizontal="center" vertical="center" wrapText="1"/>
    </xf>
    <xf numFmtId="14" fontId="18" fillId="5" borderId="30" xfId="0" applyNumberFormat="1" applyFont="1" applyFill="1" applyBorder="1" applyAlignment="1">
      <alignment horizontal="center" vertical="center" wrapText="1"/>
    </xf>
    <xf numFmtId="0" fontId="63" fillId="0" borderId="8" xfId="0" applyFont="1" applyBorder="1" applyAlignment="1">
      <alignment horizontal="center" vertical="center" wrapText="1"/>
    </xf>
    <xf numFmtId="14" fontId="61" fillId="22" borderId="8" xfId="1" applyNumberFormat="1" applyFill="1" applyBorder="1" applyAlignment="1">
      <alignment horizontal="center" vertical="center" wrapText="1"/>
    </xf>
    <xf numFmtId="0" fontId="37" fillId="11" borderId="8" xfId="0" applyFont="1" applyFill="1" applyBorder="1" applyAlignment="1">
      <alignment horizontal="center" vertical="center"/>
    </xf>
    <xf numFmtId="0" fontId="37" fillId="27" borderId="17" xfId="0" applyFont="1" applyFill="1" applyBorder="1" applyAlignment="1">
      <alignment horizontal="center" vertical="center"/>
    </xf>
    <xf numFmtId="0" fontId="19" fillId="27" borderId="17" xfId="0" applyFont="1" applyFill="1" applyBorder="1" applyAlignment="1">
      <alignment horizontal="center" vertical="center"/>
    </xf>
    <xf numFmtId="0" fontId="37" fillId="31" borderId="17" xfId="0" applyFont="1" applyFill="1" applyBorder="1" applyAlignment="1">
      <alignment horizontal="center" vertical="center"/>
    </xf>
    <xf numFmtId="0" fontId="19" fillId="27" borderId="18" xfId="0" applyFont="1" applyFill="1" applyBorder="1" applyAlignment="1">
      <alignment horizontal="center" vertical="center"/>
    </xf>
    <xf numFmtId="17" fontId="18" fillId="27" borderId="19" xfId="0" applyNumberFormat="1" applyFont="1" applyFill="1" applyBorder="1" applyAlignment="1">
      <alignment horizontal="center" vertical="center"/>
    </xf>
    <xf numFmtId="14" fontId="18" fillId="27" borderId="19" xfId="0" applyNumberFormat="1" applyFont="1" applyFill="1" applyBorder="1" applyAlignment="1">
      <alignment horizontal="center" vertical="center"/>
    </xf>
    <xf numFmtId="14" fontId="18" fillId="27" borderId="17" xfId="0" applyNumberFormat="1" applyFont="1" applyFill="1" applyBorder="1" applyAlignment="1">
      <alignment horizontal="center" vertical="center"/>
    </xf>
    <xf numFmtId="0" fontId="18" fillId="27" borderId="17" xfId="0" applyFont="1" applyFill="1" applyBorder="1" applyAlignment="1">
      <alignment horizontal="center" vertical="center" wrapText="1"/>
    </xf>
    <xf numFmtId="0" fontId="18" fillId="27" borderId="12" xfId="0" applyFont="1" applyFill="1" applyBorder="1" applyAlignment="1">
      <alignment horizontal="center" vertical="center" wrapText="1"/>
    </xf>
    <xf numFmtId="0" fontId="18" fillId="27" borderId="17" xfId="0" applyFont="1" applyFill="1" applyBorder="1" applyAlignment="1">
      <alignment horizontal="center" vertical="center"/>
    </xf>
    <xf numFmtId="164" fontId="18" fillId="27" borderId="17" xfId="0" applyNumberFormat="1" applyFont="1" applyFill="1" applyBorder="1" applyAlignment="1">
      <alignment horizontal="center" vertical="center"/>
    </xf>
    <xf numFmtId="14" fontId="18" fillId="27" borderId="17" xfId="0" applyNumberFormat="1" applyFont="1" applyFill="1" applyBorder="1" applyAlignment="1">
      <alignment horizontal="center" vertical="center" wrapText="1"/>
    </xf>
    <xf numFmtId="14" fontId="18" fillId="27" borderId="18" xfId="0" applyNumberFormat="1" applyFont="1" applyFill="1" applyBorder="1" applyAlignment="1">
      <alignment horizontal="center" vertical="center" wrapText="1"/>
    </xf>
    <xf numFmtId="0" fontId="19" fillId="37" borderId="8" xfId="0" applyFont="1" applyFill="1" applyBorder="1" applyAlignment="1">
      <alignment horizontal="center" vertical="center"/>
    </xf>
    <xf numFmtId="0" fontId="19" fillId="29" borderId="8" xfId="0" applyFont="1" applyFill="1" applyBorder="1" applyAlignment="1">
      <alignment horizontal="center" vertical="center"/>
    </xf>
    <xf numFmtId="0" fontId="18" fillId="44" borderId="8" xfId="0" applyFont="1" applyFill="1" applyBorder="1" applyAlignment="1">
      <alignment horizontal="center" vertical="center"/>
    </xf>
    <xf numFmtId="0" fontId="68" fillId="43" borderId="8" xfId="0" applyFont="1" applyFill="1" applyBorder="1" applyAlignment="1">
      <alignment horizontal="center" vertical="center"/>
    </xf>
    <xf numFmtId="0" fontId="66" fillId="0" borderId="8" xfId="0" applyFont="1" applyBorder="1" applyAlignment="1">
      <alignment horizontal="center" vertical="center"/>
    </xf>
    <xf numFmtId="0" fontId="65" fillId="39" borderId="8" xfId="0" applyFont="1" applyFill="1" applyBorder="1" applyAlignment="1">
      <alignment horizontal="center" vertical="center"/>
    </xf>
    <xf numFmtId="0" fontId="62" fillId="42" borderId="51" xfId="0" applyFont="1" applyFill="1" applyBorder="1"/>
    <xf numFmtId="0" fontId="62" fillId="42" borderId="1" xfId="0" applyFont="1" applyFill="1"/>
    <xf numFmtId="0" fontId="0" fillId="0" borderId="8" xfId="0" applyBorder="1" applyAlignment="1">
      <alignment horizontal="center"/>
    </xf>
    <xf numFmtId="0" fontId="12" fillId="0" borderId="1" xfId="0" applyFont="1" applyAlignment="1">
      <alignment horizontal="center" vertical="center"/>
    </xf>
    <xf numFmtId="0" fontId="0" fillId="0" borderId="1" xfId="0" applyAlignment="1">
      <alignment horizontal="center" vertical="center"/>
    </xf>
    <xf numFmtId="0" fontId="18" fillId="0" borderId="1" xfId="0" applyFont="1" applyAlignment="1" applyProtection="1">
      <alignment horizontal="center" vertical="center"/>
      <protection locked="0"/>
    </xf>
    <xf numFmtId="0" fontId="19" fillId="0" borderId="1" xfId="0" applyFont="1" applyAlignment="1" applyProtection="1">
      <alignment horizontal="center" vertical="center"/>
      <protection locked="0"/>
    </xf>
    <xf numFmtId="0" fontId="19" fillId="0" borderId="1" xfId="0" applyFont="1" applyAlignment="1" applyProtection="1">
      <alignment horizontal="center" vertical="center" wrapText="1"/>
      <protection locked="0"/>
    </xf>
    <xf numFmtId="0" fontId="18" fillId="0" borderId="1" xfId="0" applyFont="1" applyAlignment="1" applyProtection="1">
      <alignment horizontal="center" vertical="center" wrapText="1"/>
      <protection locked="0"/>
    </xf>
    <xf numFmtId="164" fontId="18" fillId="0" borderId="1" xfId="0" applyNumberFormat="1" applyFont="1" applyAlignment="1" applyProtection="1">
      <alignment horizontal="center" vertical="center"/>
      <protection locked="0"/>
    </xf>
    <xf numFmtId="14" fontId="18" fillId="0" borderId="1" xfId="0" applyNumberFormat="1" applyFont="1" applyAlignment="1" applyProtection="1">
      <alignment horizontal="center" vertical="center"/>
      <protection locked="0"/>
    </xf>
    <xf numFmtId="14" fontId="18" fillId="0" borderId="1" xfId="0" applyNumberFormat="1" applyFont="1" applyAlignment="1" applyProtection="1">
      <alignment horizontal="center" vertical="center" wrapText="1"/>
      <protection locked="0"/>
    </xf>
    <xf numFmtId="0" fontId="0" fillId="0" borderId="1" xfId="0" applyProtection="1">
      <protection locked="0"/>
    </xf>
    <xf numFmtId="0" fontId="18" fillId="0" borderId="1" xfId="0" applyFont="1" applyAlignment="1" applyProtection="1">
      <alignment vertical="center"/>
      <protection locked="0"/>
    </xf>
    <xf numFmtId="0" fontId="20" fillId="0" borderId="1" xfId="0" applyFont="1" applyAlignment="1" applyProtection="1">
      <alignment horizontal="center" vertical="center" wrapText="1"/>
      <protection locked="0"/>
    </xf>
    <xf numFmtId="0" fontId="20" fillId="0" borderId="1" xfId="0" applyFont="1" applyAlignment="1" applyProtection="1">
      <alignment vertical="center"/>
      <protection locked="0"/>
    </xf>
    <xf numFmtId="0" fontId="22" fillId="0" borderId="1" xfId="0" applyFont="1" applyAlignment="1" applyProtection="1">
      <alignment horizontal="center" vertical="center" wrapText="1"/>
      <protection locked="0"/>
    </xf>
    <xf numFmtId="0" fontId="18" fillId="0" borderId="6" xfId="0" applyFont="1" applyBorder="1" applyAlignment="1" applyProtection="1">
      <alignment vertical="center"/>
      <protection locked="0"/>
    </xf>
    <xf numFmtId="0" fontId="20" fillId="0" borderId="6" xfId="0" applyFont="1" applyBorder="1" applyAlignment="1" applyProtection="1">
      <alignment horizontal="center" vertical="center" wrapText="1"/>
      <protection locked="0"/>
    </xf>
    <xf numFmtId="0" fontId="20" fillId="0" borderId="6" xfId="0" applyFont="1" applyBorder="1" applyAlignment="1" applyProtection="1">
      <alignment vertical="center"/>
      <protection locked="0"/>
    </xf>
    <xf numFmtId="0" fontId="19" fillId="23" borderId="8" xfId="0" applyFont="1" applyFill="1" applyBorder="1" applyAlignment="1" applyProtection="1">
      <alignment horizontal="center" vertical="center"/>
      <protection locked="0"/>
    </xf>
    <xf numFmtId="0" fontId="37" fillId="23" borderId="8" xfId="0" applyFont="1" applyFill="1" applyBorder="1" applyAlignment="1" applyProtection="1">
      <alignment horizontal="center" vertical="center"/>
      <protection locked="0"/>
    </xf>
    <xf numFmtId="0" fontId="38" fillId="23" borderId="8" xfId="0" applyFont="1" applyFill="1" applyBorder="1" applyAlignment="1" applyProtection="1">
      <alignment horizontal="center" vertical="center"/>
      <protection locked="0"/>
    </xf>
    <xf numFmtId="17" fontId="19" fillId="23" borderId="8" xfId="0" applyNumberFormat="1" applyFont="1" applyFill="1" applyBorder="1" applyAlignment="1" applyProtection="1">
      <alignment horizontal="center" vertical="center"/>
      <protection locked="0"/>
    </xf>
    <xf numFmtId="0" fontId="19" fillId="23" borderId="8" xfId="0" applyFont="1" applyFill="1" applyBorder="1" applyAlignment="1" applyProtection="1">
      <alignment horizontal="center" vertical="center" wrapText="1"/>
      <protection locked="0"/>
    </xf>
    <xf numFmtId="0" fontId="44" fillId="23" borderId="8" xfId="0" applyFont="1" applyFill="1" applyBorder="1" applyAlignment="1" applyProtection="1">
      <alignment horizontal="center" vertical="center" wrapText="1"/>
      <protection locked="0"/>
    </xf>
    <xf numFmtId="0" fontId="59" fillId="23" borderId="8" xfId="0" applyFont="1" applyFill="1" applyBorder="1" applyAlignment="1" applyProtection="1">
      <alignment horizontal="center" vertical="center" wrapText="1"/>
      <protection locked="0"/>
    </xf>
    <xf numFmtId="0" fontId="18" fillId="23" borderId="8" xfId="0" applyFont="1" applyFill="1" applyBorder="1" applyAlignment="1" applyProtection="1">
      <alignment horizontal="center" vertical="center"/>
      <protection locked="0"/>
    </xf>
    <xf numFmtId="0" fontId="18" fillId="23" borderId="8" xfId="0" applyFont="1" applyFill="1" applyBorder="1" applyAlignment="1" applyProtection="1">
      <alignment horizontal="center" vertical="center" wrapText="1"/>
      <protection locked="0"/>
    </xf>
    <xf numFmtId="14" fontId="18" fillId="23" borderId="8" xfId="0" applyNumberFormat="1" applyFont="1" applyFill="1" applyBorder="1" applyAlignment="1" applyProtection="1">
      <alignment horizontal="center" vertical="center"/>
      <protection locked="0"/>
    </xf>
    <xf numFmtId="14" fontId="18" fillId="23" borderId="8" xfId="0" applyNumberFormat="1" applyFont="1" applyFill="1" applyBorder="1" applyAlignment="1" applyProtection="1">
      <alignment horizontal="center" vertical="center" wrapText="1"/>
      <protection locked="0"/>
    </xf>
    <xf numFmtId="0" fontId="19" fillId="14" borderId="8" xfId="0" applyFont="1" applyFill="1" applyBorder="1" applyAlignment="1" applyProtection="1">
      <alignment horizontal="center" vertical="center"/>
      <protection locked="0"/>
    </xf>
    <xf numFmtId="0" fontId="19" fillId="14" borderId="8" xfId="0" applyFont="1" applyFill="1" applyBorder="1" applyAlignment="1" applyProtection="1">
      <alignment horizontal="center" vertical="center" wrapText="1"/>
      <protection locked="0"/>
    </xf>
    <xf numFmtId="0" fontId="46" fillId="14" borderId="8" xfId="0" applyFont="1" applyFill="1" applyBorder="1" applyAlignment="1" applyProtection="1">
      <alignment horizontal="center" vertical="center"/>
      <protection locked="0"/>
    </xf>
    <xf numFmtId="167" fontId="19" fillId="14" borderId="8" xfId="0" applyNumberFormat="1" applyFont="1" applyFill="1" applyBorder="1" applyAlignment="1" applyProtection="1">
      <alignment horizontal="center" vertical="center"/>
      <protection locked="0"/>
    </xf>
    <xf numFmtId="0" fontId="18" fillId="14" borderId="8" xfId="0" applyFont="1" applyFill="1" applyBorder="1" applyAlignment="1" applyProtection="1">
      <alignment horizontal="center" vertical="center"/>
      <protection locked="0"/>
    </xf>
    <xf numFmtId="0" fontId="18" fillId="14" borderId="8" xfId="0" applyFont="1" applyFill="1" applyBorder="1" applyAlignment="1" applyProtection="1">
      <alignment horizontal="center" vertical="center" wrapText="1"/>
      <protection locked="0"/>
    </xf>
    <xf numFmtId="14" fontId="18" fillId="14" borderId="8" xfId="0" applyNumberFormat="1" applyFont="1" applyFill="1" applyBorder="1" applyAlignment="1" applyProtection="1">
      <alignment horizontal="center" vertical="center"/>
      <protection locked="0"/>
    </xf>
    <xf numFmtId="14" fontId="18" fillId="14" borderId="8" xfId="0" applyNumberFormat="1" applyFont="1" applyFill="1" applyBorder="1" applyAlignment="1" applyProtection="1">
      <alignment horizontal="center" vertical="center" wrapText="1"/>
      <protection locked="0"/>
    </xf>
    <xf numFmtId="0" fontId="0" fillId="5" borderId="8" xfId="0" applyFill="1" applyBorder="1" applyProtection="1">
      <protection locked="0"/>
    </xf>
    <xf numFmtId="0" fontId="46" fillId="14" borderId="8" xfId="0" applyFont="1" applyFill="1" applyBorder="1" applyAlignment="1" applyProtection="1">
      <alignment horizontal="center" vertical="center" wrapText="1"/>
      <protection locked="0"/>
    </xf>
    <xf numFmtId="17" fontId="19" fillId="14" borderId="8" xfId="0" applyNumberFormat="1" applyFont="1" applyFill="1" applyBorder="1" applyAlignment="1" applyProtection="1">
      <alignment horizontal="center" vertical="center"/>
      <protection locked="0"/>
    </xf>
    <xf numFmtId="164" fontId="18" fillId="14" borderId="8" xfId="0" applyNumberFormat="1" applyFont="1" applyFill="1" applyBorder="1" applyAlignment="1" applyProtection="1">
      <alignment horizontal="center" vertical="center"/>
      <protection locked="0"/>
    </xf>
    <xf numFmtId="0" fontId="35" fillId="14" borderId="8" xfId="0" applyFont="1" applyFill="1" applyBorder="1" applyAlignment="1" applyProtection="1">
      <alignment horizontal="center" vertical="center" wrapText="1"/>
      <protection locked="0"/>
    </xf>
    <xf numFmtId="0" fontId="47" fillId="14" borderId="8" xfId="0" applyFont="1" applyFill="1" applyBorder="1" applyAlignment="1" applyProtection="1">
      <alignment horizontal="center" vertical="center" wrapText="1"/>
      <protection locked="0"/>
    </xf>
    <xf numFmtId="0" fontId="48" fillId="14" borderId="8" xfId="0" applyFont="1" applyFill="1" applyBorder="1" applyAlignment="1" applyProtection="1">
      <alignment horizontal="center" vertical="center" wrapText="1"/>
      <protection locked="0"/>
    </xf>
    <xf numFmtId="167" fontId="19" fillId="14" borderId="8" xfId="0" applyNumberFormat="1" applyFont="1" applyFill="1" applyBorder="1" applyAlignment="1" applyProtection="1">
      <alignment horizontal="center" vertical="center" wrapText="1"/>
      <protection locked="0"/>
    </xf>
    <xf numFmtId="0" fontId="49" fillId="14" borderId="8" xfId="0" applyFont="1" applyFill="1" applyBorder="1" applyAlignment="1" applyProtection="1">
      <alignment horizontal="center" vertical="center"/>
      <protection locked="0"/>
    </xf>
    <xf numFmtId="0" fontId="50" fillId="14" borderId="8" xfId="0" applyFont="1" applyFill="1" applyBorder="1" applyAlignment="1" applyProtection="1">
      <alignment horizontal="center" vertical="center" wrapText="1"/>
      <protection locked="0"/>
    </xf>
    <xf numFmtId="0" fontId="50" fillId="14" borderId="8" xfId="0" applyFont="1" applyFill="1" applyBorder="1" applyAlignment="1" applyProtection="1">
      <alignment horizontal="center" vertical="center"/>
      <protection locked="0"/>
    </xf>
    <xf numFmtId="164" fontId="18" fillId="14" borderId="8" xfId="0" applyNumberFormat="1" applyFont="1" applyFill="1" applyBorder="1" applyAlignment="1" applyProtection="1">
      <alignment horizontal="center" vertical="center" wrapText="1"/>
      <protection locked="0"/>
    </xf>
    <xf numFmtId="0" fontId="33" fillId="0" borderId="1" xfId="0" applyFont="1" applyAlignment="1" applyProtection="1">
      <alignment horizontal="center" vertical="center"/>
      <protection locked="0"/>
    </xf>
    <xf numFmtId="0" fontId="19" fillId="14" borderId="13" xfId="0" applyFont="1" applyFill="1" applyBorder="1" applyAlignment="1" applyProtection="1">
      <alignment horizontal="center" vertical="center"/>
      <protection locked="0"/>
    </xf>
    <xf numFmtId="0" fontId="18" fillId="14" borderId="20" xfId="0" applyFont="1" applyFill="1" applyBorder="1" applyAlignment="1" applyProtection="1">
      <alignment horizontal="center" vertical="center"/>
      <protection locked="0"/>
    </xf>
    <xf numFmtId="0" fontId="18" fillId="8" borderId="1" xfId="0" applyFont="1" applyFill="1" applyAlignment="1" applyProtection="1">
      <alignment horizontal="center" vertical="center"/>
      <protection locked="0"/>
    </xf>
    <xf numFmtId="16" fontId="18" fillId="14" borderId="8" xfId="0" applyNumberFormat="1" applyFont="1" applyFill="1" applyBorder="1" applyAlignment="1" applyProtection="1">
      <alignment horizontal="center" vertical="center" wrapText="1"/>
      <protection locked="0"/>
    </xf>
    <xf numFmtId="0" fontId="27" fillId="5" borderId="8" xfId="0" applyFont="1" applyFill="1" applyBorder="1" applyAlignment="1" applyProtection="1">
      <alignment horizontal="center" vertical="center"/>
      <protection locked="0"/>
    </xf>
    <xf numFmtId="0" fontId="19" fillId="5" borderId="8" xfId="0" applyFont="1" applyFill="1" applyBorder="1" applyAlignment="1" applyProtection="1">
      <alignment horizontal="center" vertical="center"/>
      <protection locked="0"/>
    </xf>
    <xf numFmtId="0" fontId="19" fillId="15" borderId="8" xfId="0" applyFont="1" applyFill="1" applyBorder="1" applyAlignment="1" applyProtection="1">
      <alignment horizontal="center" vertical="center" wrapText="1"/>
      <protection locked="0"/>
    </xf>
    <xf numFmtId="0" fontId="44" fillId="15" borderId="8" xfId="0" applyFont="1" applyFill="1" applyBorder="1" applyAlignment="1" applyProtection="1">
      <alignment horizontal="center" vertical="center" wrapText="1"/>
      <protection locked="0"/>
    </xf>
    <xf numFmtId="17" fontId="19" fillId="15" borderId="8" xfId="0" applyNumberFormat="1" applyFont="1" applyFill="1" applyBorder="1" applyAlignment="1" applyProtection="1">
      <alignment horizontal="center" vertical="center"/>
      <protection locked="0"/>
    </xf>
    <xf numFmtId="0" fontId="27" fillId="15" borderId="8" xfId="0" applyFont="1" applyFill="1" applyBorder="1" applyAlignment="1" applyProtection="1">
      <alignment horizontal="center" vertical="center"/>
      <protection locked="0"/>
    </xf>
    <xf numFmtId="0" fontId="18" fillId="15" borderId="8" xfId="0" applyFont="1" applyFill="1" applyBorder="1" applyAlignment="1" applyProtection="1">
      <alignment horizontal="center" vertical="center"/>
      <protection locked="0"/>
    </xf>
    <xf numFmtId="0" fontId="18" fillId="15" borderId="8" xfId="0" applyFont="1" applyFill="1" applyBorder="1" applyAlignment="1" applyProtection="1">
      <alignment horizontal="center" vertical="center" wrapText="1"/>
      <protection locked="0"/>
    </xf>
    <xf numFmtId="14" fontId="18" fillId="15" borderId="8" xfId="0" applyNumberFormat="1" applyFont="1" applyFill="1" applyBorder="1" applyAlignment="1" applyProtection="1">
      <alignment horizontal="center" vertical="center"/>
      <protection locked="0"/>
    </xf>
    <xf numFmtId="14" fontId="18" fillId="15" borderId="8" xfId="0" applyNumberFormat="1" applyFont="1" applyFill="1" applyBorder="1" applyAlignment="1" applyProtection="1">
      <alignment horizontal="center" vertical="center" wrapText="1"/>
      <protection locked="0"/>
    </xf>
    <xf numFmtId="0" fontId="19" fillId="5" borderId="8" xfId="0" applyFont="1" applyFill="1" applyBorder="1" applyAlignment="1" applyProtection="1">
      <alignment horizontal="center" vertical="center" wrapText="1"/>
      <protection locked="0"/>
    </xf>
    <xf numFmtId="17" fontId="19" fillId="5" borderId="8" xfId="0" applyNumberFormat="1" applyFont="1" applyFill="1" applyBorder="1" applyAlignment="1" applyProtection="1">
      <alignment horizontal="center" vertical="center"/>
      <protection locked="0"/>
    </xf>
    <xf numFmtId="0" fontId="18" fillId="5" borderId="8" xfId="0" applyFont="1" applyFill="1" applyBorder="1" applyAlignment="1" applyProtection="1">
      <alignment horizontal="center" vertical="center"/>
      <protection locked="0"/>
    </xf>
    <xf numFmtId="16" fontId="18" fillId="5" borderId="8" xfId="0" applyNumberFormat="1" applyFont="1" applyFill="1" applyBorder="1" applyAlignment="1" applyProtection="1">
      <alignment horizontal="center" vertical="center" wrapText="1"/>
      <protection locked="0"/>
    </xf>
    <xf numFmtId="0" fontId="18" fillId="5" borderId="8" xfId="0" applyFont="1" applyFill="1" applyBorder="1" applyAlignment="1" applyProtection="1">
      <alignment horizontal="center" vertical="center" wrapText="1"/>
      <protection locked="0"/>
    </xf>
    <xf numFmtId="14" fontId="18" fillId="5" borderId="8" xfId="0" applyNumberFormat="1" applyFont="1" applyFill="1" applyBorder="1" applyAlignment="1" applyProtection="1">
      <alignment horizontal="center" vertical="center"/>
      <protection locked="0"/>
    </xf>
    <xf numFmtId="14" fontId="18" fillId="5" borderId="8" xfId="0" applyNumberFormat="1" applyFont="1" applyFill="1" applyBorder="1" applyAlignment="1" applyProtection="1">
      <alignment horizontal="center" vertical="center" wrapText="1"/>
      <protection locked="0"/>
    </xf>
    <xf numFmtId="0" fontId="44" fillId="5" borderId="8" xfId="0" applyFont="1" applyFill="1" applyBorder="1" applyAlignment="1" applyProtection="1">
      <alignment horizontal="center" vertical="center" wrapText="1"/>
      <protection locked="0"/>
    </xf>
    <xf numFmtId="0" fontId="19" fillId="15" borderId="8" xfId="0" applyFont="1" applyFill="1" applyBorder="1" applyAlignment="1" applyProtection="1">
      <alignment horizontal="center" vertical="center"/>
      <protection locked="0"/>
    </xf>
    <xf numFmtId="0" fontId="41" fillId="14" borderId="8" xfId="0" applyFont="1" applyFill="1" applyBorder="1" applyAlignment="1" applyProtection="1">
      <alignment horizontal="center" vertical="center"/>
      <protection locked="0"/>
    </xf>
    <xf numFmtId="0" fontId="32" fillId="14" borderId="8" xfId="0" applyFont="1" applyFill="1" applyBorder="1" applyAlignment="1" applyProtection="1">
      <alignment horizontal="center" vertical="center" wrapText="1"/>
      <protection locked="0"/>
    </xf>
    <xf numFmtId="0" fontId="41" fillId="5" borderId="8" xfId="0" applyFont="1" applyFill="1" applyBorder="1" applyAlignment="1" applyProtection="1">
      <alignment horizontal="center" vertical="center"/>
      <protection locked="0"/>
    </xf>
    <xf numFmtId="0" fontId="27" fillId="23" borderId="8" xfId="0" applyFont="1" applyFill="1" applyBorder="1" applyAlignment="1" applyProtection="1">
      <alignment horizontal="center" vertical="center"/>
      <protection locked="0"/>
    </xf>
    <xf numFmtId="0" fontId="37" fillId="5" borderId="8" xfId="0" applyFont="1" applyFill="1" applyBorder="1" applyAlignment="1" applyProtection="1">
      <alignment horizontal="center" vertical="center"/>
      <protection locked="0"/>
    </xf>
    <xf numFmtId="0" fontId="38" fillId="5" borderId="8" xfId="0" applyFont="1" applyFill="1" applyBorder="1" applyAlignment="1" applyProtection="1">
      <alignment horizontal="center" vertical="center"/>
      <protection locked="0"/>
    </xf>
    <xf numFmtId="0" fontId="60" fillId="23" borderId="8" xfId="0" applyFont="1" applyFill="1" applyBorder="1" applyAlignment="1" applyProtection="1">
      <alignment horizontal="center" vertical="center"/>
      <protection locked="0"/>
    </xf>
    <xf numFmtId="0" fontId="35" fillId="23" borderId="8" xfId="0" applyFont="1" applyFill="1" applyBorder="1" applyAlignment="1" applyProtection="1">
      <alignment horizontal="center" vertical="center" wrapText="1"/>
      <protection locked="0"/>
    </xf>
    <xf numFmtId="0" fontId="19" fillId="12" borderId="8" xfId="0" applyFont="1" applyFill="1" applyBorder="1" applyAlignment="1" applyProtection="1">
      <alignment horizontal="center" vertical="center"/>
      <protection locked="0"/>
    </xf>
    <xf numFmtId="0" fontId="19" fillId="12" borderId="8" xfId="0" applyFont="1" applyFill="1" applyBorder="1" applyAlignment="1" applyProtection="1">
      <alignment horizontal="center" vertical="center" wrapText="1"/>
      <protection locked="0"/>
    </xf>
    <xf numFmtId="17" fontId="19" fillId="12" borderId="8" xfId="0" applyNumberFormat="1" applyFont="1" applyFill="1" applyBorder="1" applyAlignment="1" applyProtection="1">
      <alignment horizontal="center" vertical="center"/>
      <protection locked="0"/>
    </xf>
    <xf numFmtId="0" fontId="18" fillId="12" borderId="8" xfId="0" applyFont="1" applyFill="1" applyBorder="1" applyAlignment="1" applyProtection="1">
      <alignment horizontal="center" vertical="center"/>
      <protection locked="0"/>
    </xf>
    <xf numFmtId="0" fontId="18" fillId="12" borderId="8" xfId="0" applyFont="1" applyFill="1" applyBorder="1" applyAlignment="1" applyProtection="1">
      <alignment horizontal="center" vertical="center" wrapText="1"/>
      <protection locked="0"/>
    </xf>
    <xf numFmtId="14" fontId="18" fillId="12" borderId="8" xfId="0" applyNumberFormat="1" applyFont="1" applyFill="1" applyBorder="1" applyAlignment="1" applyProtection="1">
      <alignment horizontal="center" vertical="center"/>
      <protection locked="0"/>
    </xf>
    <xf numFmtId="14" fontId="18" fillId="12" borderId="8" xfId="0" applyNumberFormat="1" applyFont="1" applyFill="1" applyBorder="1" applyAlignment="1" applyProtection="1">
      <alignment horizontal="center" vertical="center" wrapText="1"/>
      <protection locked="0"/>
    </xf>
    <xf numFmtId="0" fontId="23" fillId="23" borderId="8" xfId="0" applyFont="1" applyFill="1" applyBorder="1" applyAlignment="1" applyProtection="1">
      <alignment horizontal="center" vertical="center" wrapText="1"/>
      <protection locked="0"/>
    </xf>
    <xf numFmtId="0" fontId="18" fillId="13" borderId="8" xfId="0" applyFont="1" applyFill="1" applyBorder="1" applyAlignment="1" applyProtection="1">
      <alignment horizontal="center" vertical="center"/>
      <protection locked="0"/>
    </xf>
    <xf numFmtId="0" fontId="18" fillId="14" borderId="8" xfId="0" quotePrefix="1" applyFont="1" applyFill="1" applyBorder="1" applyAlignment="1" applyProtection="1">
      <alignment horizontal="center" vertical="center"/>
      <protection locked="0"/>
    </xf>
    <xf numFmtId="0" fontId="26" fillId="15" borderId="8" xfId="0" applyFont="1" applyFill="1" applyBorder="1" applyAlignment="1" applyProtection="1">
      <alignment horizontal="center" vertical="center"/>
      <protection locked="0"/>
    </xf>
    <xf numFmtId="0" fontId="26" fillId="15" borderId="8" xfId="0" applyFont="1" applyFill="1" applyBorder="1" applyAlignment="1" applyProtection="1">
      <alignment horizontal="center" vertical="center" wrapText="1"/>
      <protection locked="0"/>
    </xf>
    <xf numFmtId="17" fontId="26" fillId="15" borderId="8" xfId="0" applyNumberFormat="1" applyFont="1" applyFill="1" applyBorder="1" applyAlignment="1" applyProtection="1">
      <alignment horizontal="center" vertical="center"/>
      <protection locked="0"/>
    </xf>
    <xf numFmtId="0" fontId="27" fillId="15" borderId="8" xfId="0" applyFont="1" applyFill="1" applyBorder="1" applyAlignment="1" applyProtection="1">
      <alignment horizontal="center" vertical="center" wrapText="1"/>
      <protection locked="0"/>
    </xf>
    <xf numFmtId="14" fontId="27" fillId="15" borderId="8" xfId="0" applyNumberFormat="1" applyFont="1" applyFill="1" applyBorder="1" applyAlignment="1" applyProtection="1">
      <alignment horizontal="center" vertical="center"/>
      <protection locked="0"/>
    </xf>
    <xf numFmtId="14" fontId="27" fillId="15" borderId="8" xfId="0" applyNumberFormat="1" applyFont="1" applyFill="1" applyBorder="1" applyAlignment="1" applyProtection="1">
      <alignment horizontal="center" vertical="center" wrapText="1"/>
      <protection locked="0"/>
    </xf>
    <xf numFmtId="167" fontId="19" fillId="12" borderId="8" xfId="0" applyNumberFormat="1" applyFont="1" applyFill="1" applyBorder="1" applyAlignment="1" applyProtection="1">
      <alignment horizontal="center" vertical="center"/>
      <protection locked="0"/>
    </xf>
    <xf numFmtId="0" fontId="46" fillId="12" borderId="8" xfId="0" applyFont="1" applyFill="1" applyBorder="1" applyAlignment="1" applyProtection="1">
      <alignment horizontal="center" vertical="center" wrapText="1"/>
      <protection locked="0"/>
    </xf>
    <xf numFmtId="167" fontId="19" fillId="12" borderId="8" xfId="0" applyNumberFormat="1" applyFont="1" applyFill="1" applyBorder="1" applyAlignment="1" applyProtection="1">
      <alignment horizontal="center" vertical="center" wrapText="1"/>
      <protection locked="0"/>
    </xf>
    <xf numFmtId="0" fontId="35" fillId="12" borderId="8" xfId="0" applyFont="1" applyFill="1" applyBorder="1" applyAlignment="1" applyProtection="1">
      <alignment horizontal="center" vertical="center" wrapText="1"/>
      <protection locked="0"/>
    </xf>
    <xf numFmtId="0" fontId="19" fillId="40" borderId="8" xfId="0" applyFont="1" applyFill="1" applyBorder="1" applyAlignment="1" applyProtection="1">
      <alignment horizontal="center" vertical="center"/>
      <protection locked="0"/>
    </xf>
    <xf numFmtId="0" fontId="19" fillId="40" borderId="8" xfId="0" applyFont="1" applyFill="1" applyBorder="1" applyAlignment="1" applyProtection="1">
      <alignment horizontal="center" vertical="center" wrapText="1"/>
      <protection locked="0"/>
    </xf>
    <xf numFmtId="0" fontId="18" fillId="40" borderId="8" xfId="0" applyFont="1" applyFill="1" applyBorder="1" applyAlignment="1" applyProtection="1">
      <alignment horizontal="center" vertical="center"/>
      <protection locked="0"/>
    </xf>
    <xf numFmtId="0" fontId="18" fillId="40" borderId="8" xfId="0" applyFont="1" applyFill="1" applyBorder="1" applyAlignment="1" applyProtection="1">
      <alignment horizontal="center" vertical="center" wrapText="1"/>
      <protection locked="0"/>
    </xf>
    <xf numFmtId="14" fontId="18" fillId="40" borderId="8" xfId="0" applyNumberFormat="1" applyFont="1" applyFill="1" applyBorder="1" applyAlignment="1" applyProtection="1">
      <alignment horizontal="center" vertical="center"/>
      <protection locked="0"/>
    </xf>
    <xf numFmtId="14" fontId="18" fillId="40" borderId="8" xfId="0" applyNumberFormat="1" applyFont="1" applyFill="1" applyBorder="1" applyAlignment="1" applyProtection="1">
      <alignment horizontal="center" vertical="center" wrapText="1"/>
      <protection locked="0"/>
    </xf>
    <xf numFmtId="0" fontId="0" fillId="0" borderId="1" xfId="0" pivotButton="1"/>
    <xf numFmtId="0" fontId="0" fillId="0" borderId="1" xfId="0" applyAlignment="1">
      <alignment horizontal="left"/>
    </xf>
    <xf numFmtId="14" fontId="29" fillId="5" borderId="8" xfId="0" applyNumberFormat="1" applyFont="1" applyFill="1" applyBorder="1" applyAlignment="1" applyProtection="1">
      <alignment horizontal="center" vertical="center"/>
      <protection locked="0"/>
    </xf>
    <xf numFmtId="14" fontId="0" fillId="0" borderId="1" xfId="0" applyNumberFormat="1" applyProtection="1">
      <protection locked="0"/>
    </xf>
    <xf numFmtId="0" fontId="11" fillId="0" borderId="1" xfId="0" applyFont="1"/>
    <xf numFmtId="14" fontId="0" fillId="0" borderId="1" xfId="0" applyNumberFormat="1"/>
    <xf numFmtId="164" fontId="24" fillId="0" borderId="1" xfId="0" applyNumberFormat="1" applyFont="1" applyAlignment="1" applyProtection="1">
      <alignment vertical="center"/>
      <protection locked="0"/>
    </xf>
    <xf numFmtId="14" fontId="27" fillId="0" borderId="1" xfId="0" applyNumberFormat="1" applyFont="1" applyAlignment="1" applyProtection="1">
      <alignment horizontal="center" vertical="center" wrapText="1"/>
      <protection locked="0"/>
    </xf>
    <xf numFmtId="0" fontId="56" fillId="0" borderId="1" xfId="0" applyFont="1" applyAlignment="1">
      <alignment horizontal="center" vertical="center"/>
    </xf>
    <xf numFmtId="0" fontId="56" fillId="0" borderId="1" xfId="0" applyFont="1" applyAlignment="1">
      <alignment horizontal="center" vertical="center" wrapText="1"/>
    </xf>
    <xf numFmtId="0" fontId="29" fillId="0" borderId="8" xfId="0" applyFont="1" applyBorder="1"/>
    <xf numFmtId="0" fontId="65" fillId="0" borderId="8" xfId="0" applyFont="1" applyBorder="1" applyAlignment="1">
      <alignment vertical="center"/>
    </xf>
    <xf numFmtId="0" fontId="65" fillId="0" borderId="8" xfId="0" applyFont="1" applyBorder="1" applyAlignment="1">
      <alignment horizontal="center"/>
    </xf>
    <xf numFmtId="1" fontId="66" fillId="39" borderId="8" xfId="0" applyNumberFormat="1" applyFont="1" applyFill="1" applyBorder="1" applyAlignment="1">
      <alignment horizontal="center" vertical="center" wrapText="1"/>
    </xf>
    <xf numFmtId="0" fontId="66" fillId="0" borderId="8" xfId="0" applyFont="1" applyBorder="1" applyAlignment="1">
      <alignment horizontal="center"/>
    </xf>
    <xf numFmtId="0" fontId="46" fillId="12" borderId="8" xfId="0" applyFont="1" applyFill="1" applyBorder="1" applyAlignment="1" applyProtection="1">
      <alignment horizontal="center" vertical="center"/>
      <protection locked="0"/>
    </xf>
    <xf numFmtId="0" fontId="37" fillId="39" borderId="8" xfId="0" applyFont="1" applyFill="1" applyBorder="1" applyAlignment="1">
      <alignment horizontal="center" vertical="center"/>
    </xf>
    <xf numFmtId="0" fontId="19" fillId="39" borderId="8" xfId="0" applyFont="1" applyFill="1" applyBorder="1" applyAlignment="1">
      <alignment horizontal="center" vertical="center"/>
    </xf>
    <xf numFmtId="0" fontId="19" fillId="39" borderId="9" xfId="0" applyFont="1" applyFill="1" applyBorder="1" applyAlignment="1">
      <alignment horizontal="center" vertical="center"/>
    </xf>
    <xf numFmtId="0" fontId="18" fillId="39" borderId="8" xfId="0" applyFont="1" applyFill="1" applyBorder="1" applyAlignment="1">
      <alignment horizontal="center" vertical="center"/>
    </xf>
    <xf numFmtId="17" fontId="18" fillId="39" borderId="10" xfId="0" applyNumberFormat="1" applyFont="1" applyFill="1" applyBorder="1" applyAlignment="1">
      <alignment horizontal="center" vertical="center"/>
    </xf>
    <xf numFmtId="14" fontId="18" fillId="39" borderId="10" xfId="0" applyNumberFormat="1" applyFont="1" applyFill="1" applyBorder="1" applyAlignment="1">
      <alignment horizontal="center" vertical="center"/>
    </xf>
    <xf numFmtId="14" fontId="18" fillId="39" borderId="8" xfId="0" applyNumberFormat="1" applyFont="1" applyFill="1" applyBorder="1" applyAlignment="1">
      <alignment horizontal="center" vertical="center"/>
    </xf>
    <xf numFmtId="0" fontId="18" fillId="39" borderId="12" xfId="0" applyFont="1" applyFill="1" applyBorder="1" applyAlignment="1">
      <alignment horizontal="center" vertical="center" wrapText="1"/>
    </xf>
    <xf numFmtId="0" fontId="18" fillId="39" borderId="8" xfId="0" applyFont="1" applyFill="1" applyBorder="1" applyAlignment="1">
      <alignment horizontal="center" vertical="center" wrapText="1"/>
    </xf>
    <xf numFmtId="164" fontId="18" fillId="39" borderId="8" xfId="0" applyNumberFormat="1" applyFont="1" applyFill="1" applyBorder="1" applyAlignment="1">
      <alignment horizontal="center" vertical="center"/>
    </xf>
    <xf numFmtId="14" fontId="18" fillId="39" borderId="8" xfId="0" applyNumberFormat="1" applyFont="1" applyFill="1" applyBorder="1" applyAlignment="1">
      <alignment horizontal="center" vertical="center" wrapText="1"/>
    </xf>
    <xf numFmtId="14" fontId="18" fillId="39" borderId="9" xfId="0" applyNumberFormat="1" applyFont="1" applyFill="1" applyBorder="1" applyAlignment="1">
      <alignment horizontal="center" vertical="center" wrapText="1"/>
    </xf>
    <xf numFmtId="0" fontId="18" fillId="39" borderId="1" xfId="0" applyFont="1" applyFill="1" applyAlignment="1">
      <alignment horizontal="center" vertical="center"/>
    </xf>
    <xf numFmtId="0" fontId="30" fillId="14" borderId="1" xfId="0" applyFont="1" applyFill="1" applyAlignment="1">
      <alignment horizontal="center" vertical="center"/>
    </xf>
    <xf numFmtId="0" fontId="19" fillId="18" borderId="9" xfId="0" applyFont="1" applyFill="1" applyBorder="1" applyAlignment="1">
      <alignment horizontal="center" vertical="center"/>
    </xf>
    <xf numFmtId="17" fontId="18" fillId="18" borderId="10" xfId="0" applyNumberFormat="1" applyFont="1" applyFill="1" applyBorder="1" applyAlignment="1">
      <alignment horizontal="center" vertical="center"/>
    </xf>
    <xf numFmtId="14" fontId="18" fillId="18" borderId="10" xfId="0" applyNumberFormat="1" applyFont="1" applyFill="1" applyBorder="1" applyAlignment="1">
      <alignment horizontal="center" vertical="center"/>
    </xf>
    <xf numFmtId="14" fontId="18" fillId="14" borderId="1" xfId="0" applyNumberFormat="1" applyFont="1" applyFill="1" applyAlignment="1">
      <alignment horizontal="center" vertical="center"/>
    </xf>
    <xf numFmtId="14" fontId="18" fillId="21" borderId="9" xfId="0" applyNumberFormat="1" applyFont="1" applyFill="1" applyBorder="1" applyAlignment="1">
      <alignment horizontal="center" vertical="center" wrapText="1"/>
    </xf>
    <xf numFmtId="0" fontId="18" fillId="0" borderId="16" xfId="0" applyFont="1" applyBorder="1" applyAlignment="1">
      <alignment horizontal="center" vertical="center"/>
    </xf>
    <xf numFmtId="0" fontId="19" fillId="0" borderId="12" xfId="0" applyFont="1" applyBorder="1" applyAlignment="1">
      <alignment horizontal="center" vertical="center"/>
    </xf>
    <xf numFmtId="0" fontId="19" fillId="14" borderId="1" xfId="0" applyFont="1" applyFill="1" applyAlignment="1">
      <alignment horizontal="center" vertical="center"/>
    </xf>
    <xf numFmtId="0" fontId="18" fillId="31" borderId="17" xfId="0" applyFont="1" applyFill="1" applyBorder="1" applyAlignment="1">
      <alignment horizontal="center" vertical="center"/>
    </xf>
    <xf numFmtId="0" fontId="9" fillId="0" borderId="1" xfId="0" applyFont="1"/>
    <xf numFmtId="0" fontId="68" fillId="0" borderId="1" xfId="0" applyFont="1" applyAlignment="1">
      <alignment horizontal="center" vertical="center"/>
    </xf>
    <xf numFmtId="0" fontId="10" fillId="0" borderId="1" xfId="0" applyFont="1" applyAlignment="1">
      <alignment horizontal="center" vertical="center"/>
    </xf>
    <xf numFmtId="0" fontId="62" fillId="0" borderId="1" xfId="0" applyFont="1"/>
    <xf numFmtId="0" fontId="69" fillId="23" borderId="8" xfId="0" applyFont="1" applyFill="1" applyBorder="1" applyAlignment="1">
      <alignment horizontal="center" vertical="center"/>
    </xf>
    <xf numFmtId="0" fontId="32" fillId="23" borderId="8" xfId="0" applyFont="1" applyFill="1" applyBorder="1" applyAlignment="1">
      <alignment horizontal="center" vertical="center"/>
    </xf>
    <xf numFmtId="0" fontId="72" fillId="23" borderId="8" xfId="0" applyFont="1" applyFill="1" applyBorder="1" applyAlignment="1">
      <alignment vertical="center"/>
    </xf>
    <xf numFmtId="0" fontId="72" fillId="23" borderId="8" xfId="0" applyFont="1" applyFill="1" applyBorder="1" applyAlignment="1">
      <alignment horizontal="center" vertical="center"/>
    </xf>
    <xf numFmtId="0" fontId="73" fillId="23" borderId="8" xfId="0" applyFont="1" applyFill="1" applyBorder="1" applyAlignment="1">
      <alignment horizontal="center" vertical="center"/>
    </xf>
    <xf numFmtId="0" fontId="71" fillId="23" borderId="8" xfId="0" applyFont="1" applyFill="1" applyBorder="1" applyAlignment="1">
      <alignment horizontal="center" vertical="center"/>
    </xf>
    <xf numFmtId="0" fontId="8" fillId="23" borderId="8" xfId="0" applyFont="1" applyFill="1" applyBorder="1" applyAlignment="1">
      <alignment horizontal="center" vertical="center"/>
    </xf>
    <xf numFmtId="0" fontId="18" fillId="13" borderId="1" xfId="0" applyFont="1" applyFill="1" applyAlignment="1" applyProtection="1">
      <alignment horizontal="center" vertical="center"/>
      <protection locked="0"/>
    </xf>
    <xf numFmtId="14" fontId="18" fillId="0" borderId="8" xfId="0" applyNumberFormat="1" applyFont="1" applyBorder="1" applyAlignment="1" applyProtection="1">
      <alignment horizontal="center" vertical="center" wrapText="1"/>
      <protection locked="0"/>
    </xf>
    <xf numFmtId="0" fontId="58" fillId="23" borderId="8" xfId="0" applyFont="1" applyFill="1" applyBorder="1" applyAlignment="1">
      <alignment horizontal="center" vertical="center"/>
    </xf>
    <xf numFmtId="0" fontId="37" fillId="23" borderId="8" xfId="0" applyFont="1" applyFill="1" applyBorder="1" applyAlignment="1" applyProtection="1">
      <alignment horizontal="center" vertical="center" wrapText="1"/>
      <protection locked="0"/>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7" fillId="0" borderId="28" xfId="0" applyFont="1" applyBorder="1" applyAlignment="1">
      <alignment horizontal="center" vertical="center"/>
    </xf>
    <xf numFmtId="0" fontId="7" fillId="0" borderId="57" xfId="0" applyFont="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7" fillId="0" borderId="59" xfId="0" applyFont="1" applyBorder="1" applyAlignment="1">
      <alignment horizontal="center" vertical="center"/>
    </xf>
    <xf numFmtId="0" fontId="32" fillId="0" borderId="60" xfId="0" applyFont="1" applyBorder="1" applyAlignment="1">
      <alignment horizontal="center" vertical="center"/>
    </xf>
    <xf numFmtId="0" fontId="32" fillId="0" borderId="61" xfId="0" applyFont="1" applyBorder="1" applyAlignment="1">
      <alignment horizontal="center" vertical="center"/>
    </xf>
    <xf numFmtId="0" fontId="65" fillId="0" borderId="60" xfId="0" applyFont="1" applyBorder="1" applyAlignment="1">
      <alignment horizontal="center" vertical="center"/>
    </xf>
    <xf numFmtId="0" fontId="65" fillId="0" borderId="61" xfId="0" applyFont="1" applyBorder="1" applyAlignment="1">
      <alignment horizontal="center" vertical="center"/>
    </xf>
    <xf numFmtId="0" fontId="70" fillId="23" borderId="8" xfId="0" applyFont="1" applyFill="1" applyBorder="1" applyAlignment="1">
      <alignment horizontal="center" vertical="center"/>
    </xf>
    <xf numFmtId="0" fontId="62" fillId="42" borderId="1" xfId="0" applyFont="1" applyFill="1" applyAlignment="1">
      <alignment horizontal="center" vertical="center"/>
    </xf>
    <xf numFmtId="14" fontId="0" fillId="0" borderId="38" xfId="0" applyNumberFormat="1" applyBorder="1" applyAlignment="1">
      <alignment horizontal="center" vertical="center"/>
    </xf>
    <xf numFmtId="14" fontId="0" fillId="0" borderId="52" xfId="0" applyNumberFormat="1" applyBorder="1" applyAlignment="1">
      <alignment horizontal="center" vertical="center"/>
    </xf>
    <xf numFmtId="14" fontId="0" fillId="0" borderId="53" xfId="0" applyNumberFormat="1" applyBorder="1" applyAlignment="1">
      <alignment horizontal="center" vertical="center"/>
    </xf>
    <xf numFmtId="0" fontId="0" fillId="0" borderId="40" xfId="0" applyBorder="1"/>
    <xf numFmtId="0" fontId="19" fillId="0" borderId="62" xfId="0" applyFont="1" applyBorder="1" applyAlignment="1">
      <alignment horizontal="center"/>
    </xf>
    <xf numFmtId="0" fontId="62" fillId="42" borderId="1" xfId="0" applyFont="1" applyFill="1" applyAlignment="1">
      <alignment horizontal="center"/>
    </xf>
    <xf numFmtId="0" fontId="16" fillId="0" borderId="1" xfId="0" applyFont="1"/>
    <xf numFmtId="0" fontId="16" fillId="38" borderId="1" xfId="0" applyFont="1" applyFill="1"/>
    <xf numFmtId="0" fontId="0" fillId="38" borderId="1" xfId="0" applyFill="1"/>
    <xf numFmtId="0" fontId="0" fillId="0" borderId="53" xfId="0" applyBorder="1"/>
    <xf numFmtId="14" fontId="6" fillId="0" borderId="52" xfId="0" applyNumberFormat="1" applyFont="1" applyBorder="1" applyAlignment="1">
      <alignment horizontal="center" vertical="center"/>
    </xf>
    <xf numFmtId="0" fontId="37" fillId="39" borderId="1" xfId="0" applyFont="1" applyFill="1" applyAlignment="1" applyProtection="1">
      <alignment horizontal="center" vertical="center" wrapText="1"/>
      <protection locked="0"/>
    </xf>
    <xf numFmtId="17" fontId="18" fillId="23" borderId="8" xfId="0" applyNumberFormat="1" applyFont="1" applyFill="1" applyBorder="1" applyAlignment="1" applyProtection="1">
      <alignment horizontal="center" vertical="center"/>
      <protection locked="0"/>
    </xf>
    <xf numFmtId="0" fontId="19" fillId="12" borderId="13" xfId="0" applyFont="1" applyFill="1" applyBorder="1" applyAlignment="1" applyProtection="1">
      <alignment horizontal="center" vertical="center"/>
      <protection locked="0"/>
    </xf>
    <xf numFmtId="0" fontId="18" fillId="14" borderId="13" xfId="0" applyFont="1" applyFill="1" applyBorder="1" applyAlignment="1">
      <alignment horizontal="center" vertical="center" wrapText="1"/>
    </xf>
    <xf numFmtId="14" fontId="18" fillId="46" borderId="8" xfId="0" applyNumberFormat="1" applyFont="1" applyFill="1" applyBorder="1" applyAlignment="1" applyProtection="1">
      <alignment horizontal="center" vertical="center" wrapText="1"/>
      <protection locked="0"/>
    </xf>
    <xf numFmtId="0" fontId="5" fillId="0" borderId="59" xfId="0" applyFont="1" applyBorder="1" applyAlignment="1">
      <alignment horizontal="center" vertical="center"/>
    </xf>
    <xf numFmtId="0" fontId="0" fillId="23" borderId="8" xfId="0" applyFill="1" applyBorder="1"/>
    <xf numFmtId="14" fontId="18" fillId="38" borderId="1" xfId="0" applyNumberFormat="1" applyFont="1" applyFill="1" applyAlignment="1" applyProtection="1">
      <alignment horizontal="center" vertical="center" wrapText="1"/>
      <protection locked="0"/>
    </xf>
    <xf numFmtId="0" fontId="4" fillId="0" borderId="31" xfId="0" applyFont="1" applyBorder="1"/>
    <xf numFmtId="0" fontId="4" fillId="0" borderId="63" xfId="0" applyFont="1" applyBorder="1"/>
    <xf numFmtId="0" fontId="4" fillId="0" borderId="64" xfId="0" applyFont="1" applyBorder="1"/>
    <xf numFmtId="0" fontId="62" fillId="42" borderId="49" xfId="0" applyFont="1" applyFill="1"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17" fontId="18" fillId="40" borderId="8" xfId="0" applyNumberFormat="1" applyFont="1" applyFill="1" applyBorder="1" applyAlignment="1" applyProtection="1">
      <alignment horizontal="center" vertical="center"/>
      <protection locked="0"/>
    </xf>
    <xf numFmtId="0" fontId="37" fillId="15" borderId="8" xfId="0" applyFont="1" applyFill="1" applyBorder="1" applyAlignment="1" applyProtection="1">
      <alignment horizontal="center" vertical="center"/>
      <protection locked="0"/>
    </xf>
    <xf numFmtId="0" fontId="38" fillId="15" borderId="8" xfId="0" applyFont="1" applyFill="1" applyBorder="1" applyAlignment="1" applyProtection="1">
      <alignment horizontal="center" vertical="center"/>
      <protection locked="0"/>
    </xf>
    <xf numFmtId="17" fontId="19" fillId="47" borderId="8" xfId="0" applyNumberFormat="1" applyFont="1" applyFill="1" applyBorder="1" applyAlignment="1" applyProtection="1">
      <alignment horizontal="center" vertical="center"/>
      <protection locked="0"/>
    </xf>
    <xf numFmtId="14" fontId="18" fillId="47" borderId="8" xfId="0" applyNumberFormat="1" applyFont="1" applyFill="1" applyBorder="1" applyAlignment="1" applyProtection="1">
      <alignment horizontal="center" vertical="center" wrapText="1"/>
      <protection locked="0"/>
    </xf>
    <xf numFmtId="0" fontId="19" fillId="23" borderId="13" xfId="0" applyFont="1" applyFill="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19" fillId="0" borderId="13" xfId="0" applyFont="1" applyBorder="1" applyAlignment="1" applyProtection="1">
      <alignment horizontal="center" vertical="center" wrapText="1"/>
      <protection locked="0"/>
    </xf>
    <xf numFmtId="17" fontId="18" fillId="0" borderId="13" xfId="0" applyNumberFormat="1" applyFont="1" applyBorder="1" applyAlignment="1" applyProtection="1">
      <alignment horizontal="center" vertical="center"/>
      <protection locked="0"/>
    </xf>
    <xf numFmtId="0" fontId="18" fillId="0" borderId="13" xfId="0" applyFont="1" applyBorder="1" applyAlignment="1" applyProtection="1">
      <alignment horizontal="center" vertical="center"/>
      <protection locked="0"/>
    </xf>
    <xf numFmtId="0" fontId="18" fillId="0" borderId="13" xfId="0" applyFont="1" applyBorder="1" applyAlignment="1" applyProtection="1">
      <alignment horizontal="center" vertical="center" wrapText="1"/>
      <protection locked="0"/>
    </xf>
    <xf numFmtId="14" fontId="18" fillId="0" borderId="13" xfId="0" applyNumberFormat="1" applyFont="1" applyBorder="1" applyAlignment="1" applyProtection="1">
      <alignment horizontal="center" vertical="center"/>
      <protection locked="0"/>
    </xf>
    <xf numFmtId="14" fontId="18" fillId="0" borderId="13" xfId="0" applyNumberFormat="1" applyFont="1" applyBorder="1" applyAlignment="1" applyProtection="1">
      <alignment horizontal="center" vertical="center" wrapText="1"/>
      <protection locked="0"/>
    </xf>
    <xf numFmtId="0" fontId="19" fillId="0" borderId="8" xfId="0" applyFont="1" applyBorder="1" applyAlignment="1" applyProtection="1">
      <alignment horizontal="center" vertical="center"/>
      <protection locked="0"/>
    </xf>
    <xf numFmtId="0" fontId="19" fillId="0" borderId="8" xfId="0" applyFont="1" applyBorder="1" applyAlignment="1" applyProtection="1">
      <alignment horizontal="center" vertical="center" wrapText="1"/>
      <protection locked="0"/>
    </xf>
    <xf numFmtId="17" fontId="18" fillId="0" borderId="8" xfId="0" applyNumberFormat="1" applyFont="1" applyBorder="1" applyAlignment="1" applyProtection="1">
      <alignment horizontal="center" vertical="center"/>
      <protection locked="0"/>
    </xf>
    <xf numFmtId="0" fontId="18" fillId="0" borderId="8" xfId="0" applyFont="1" applyBorder="1" applyAlignment="1" applyProtection="1">
      <alignment horizontal="center" vertical="center"/>
      <protection locked="0"/>
    </xf>
    <xf numFmtId="0" fontId="18" fillId="0" borderId="8" xfId="0" applyFont="1" applyBorder="1" applyAlignment="1" applyProtection="1">
      <alignment horizontal="center" vertical="center" wrapText="1"/>
      <protection locked="0"/>
    </xf>
    <xf numFmtId="14" fontId="18" fillId="0" borderId="8" xfId="0" applyNumberFormat="1" applyFont="1" applyBorder="1" applyAlignment="1" applyProtection="1">
      <alignment horizontal="center" vertical="center"/>
      <protection locked="0"/>
    </xf>
    <xf numFmtId="0" fontId="0" fillId="0" borderId="26" xfId="0" applyBorder="1" applyAlignment="1">
      <alignment horizontal="center" vertical="center"/>
    </xf>
    <xf numFmtId="17" fontId="19" fillId="23" borderId="13" xfId="0" applyNumberFormat="1" applyFont="1" applyFill="1" applyBorder="1" applyAlignment="1" applyProtection="1">
      <alignment horizontal="center" vertical="center"/>
      <protection locked="0"/>
    </xf>
    <xf numFmtId="0" fontId="3" fillId="0" borderId="24" xfId="0" applyFont="1" applyBorder="1" applyAlignment="1">
      <alignment horizontal="center" vertical="center"/>
    </xf>
    <xf numFmtId="0" fontId="25" fillId="4" borderId="8" xfId="0" applyFont="1" applyFill="1" applyBorder="1" applyAlignment="1" applyProtection="1">
      <alignment horizontal="center" vertical="center"/>
      <protection locked="0"/>
    </xf>
    <xf numFmtId="0" fontId="59" fillId="23" borderId="8" xfId="0" applyFont="1" applyFill="1" applyBorder="1" applyAlignment="1" applyProtection="1">
      <alignment horizontal="center" vertical="center"/>
      <protection locked="0"/>
    </xf>
    <xf numFmtId="0" fontId="19" fillId="14" borderId="8" xfId="0" applyFont="1" applyFill="1" applyBorder="1" applyAlignment="1" applyProtection="1">
      <alignment horizontal="left" vertical="center"/>
      <protection locked="0"/>
    </xf>
    <xf numFmtId="0" fontId="51" fillId="14" borderId="8" xfId="0" applyFont="1" applyFill="1" applyBorder="1" applyAlignment="1" applyProtection="1">
      <alignment horizontal="center" vertical="center"/>
      <protection locked="0"/>
    </xf>
    <xf numFmtId="0" fontId="44" fillId="14" borderId="8" xfId="0" applyFont="1" applyFill="1" applyBorder="1" applyAlignment="1" applyProtection="1">
      <alignment horizontal="center" vertical="center"/>
      <protection locked="0"/>
    </xf>
    <xf numFmtId="0" fontId="45" fillId="14" borderId="8" xfId="0" applyFont="1" applyFill="1" applyBorder="1" applyAlignment="1" applyProtection="1">
      <alignment horizontal="center" vertical="center"/>
      <protection locked="0"/>
    </xf>
    <xf numFmtId="0" fontId="32" fillId="14" borderId="8" xfId="0" applyFont="1" applyFill="1" applyBorder="1" applyAlignment="1" applyProtection="1">
      <alignment horizontal="center" vertical="center"/>
      <protection locked="0"/>
    </xf>
    <xf numFmtId="0" fontId="52" fillId="14" borderId="8" xfId="0" applyFont="1" applyFill="1" applyBorder="1" applyAlignment="1" applyProtection="1">
      <alignment horizontal="center" vertical="center"/>
      <protection locked="0"/>
    </xf>
    <xf numFmtId="0" fontId="42" fillId="5" borderId="8" xfId="0" applyFont="1" applyFill="1" applyBorder="1" applyAlignment="1" applyProtection="1">
      <alignment horizontal="center" vertical="center"/>
      <protection locked="0"/>
    </xf>
    <xf numFmtId="0" fontId="43" fillId="5" borderId="8" xfId="0" applyFont="1" applyFill="1" applyBorder="1" applyAlignment="1" applyProtection="1">
      <alignment horizontal="center" vertical="center"/>
      <protection locked="0"/>
    </xf>
    <xf numFmtId="0" fontId="44" fillId="5" borderId="8" xfId="0" applyFont="1" applyFill="1" applyBorder="1" applyAlignment="1" applyProtection="1">
      <alignment horizontal="center" vertical="center"/>
      <protection locked="0"/>
    </xf>
    <xf numFmtId="0" fontId="58" fillId="15" borderId="8" xfId="0" applyFont="1" applyFill="1" applyBorder="1" applyAlignment="1" applyProtection="1">
      <alignment horizontal="center" vertical="center"/>
      <protection locked="0"/>
    </xf>
    <xf numFmtId="0" fontId="45" fillId="5" borderId="8" xfId="0" applyFont="1" applyFill="1" applyBorder="1" applyAlignment="1" applyProtection="1">
      <alignment horizontal="center" vertical="center"/>
      <protection locked="0"/>
    </xf>
    <xf numFmtId="0" fontId="59" fillId="15" borderId="8" xfId="0" applyFont="1" applyFill="1" applyBorder="1" applyAlignment="1" applyProtection="1">
      <alignment horizontal="center" vertical="center"/>
      <protection locked="0"/>
    </xf>
    <xf numFmtId="0" fontId="23" fillId="5" borderId="8" xfId="0" applyFont="1" applyFill="1" applyBorder="1" applyAlignment="1" applyProtection="1">
      <alignment horizontal="center" vertical="center"/>
      <protection locked="0"/>
    </xf>
    <xf numFmtId="0" fontId="44" fillId="15" borderId="8" xfId="0" applyFont="1" applyFill="1" applyBorder="1" applyAlignment="1" applyProtection="1">
      <alignment horizontal="center" vertical="center"/>
      <protection locked="0"/>
    </xf>
    <xf numFmtId="0" fontId="44" fillId="23" borderId="8" xfId="0" applyFont="1" applyFill="1" applyBorder="1" applyAlignment="1" applyProtection="1">
      <alignment horizontal="center" vertical="center"/>
      <protection locked="0"/>
    </xf>
    <xf numFmtId="0" fontId="58" fillId="23" borderId="8" xfId="0" applyFont="1" applyFill="1" applyBorder="1" applyAlignment="1" applyProtection="1">
      <alignment horizontal="center" vertical="center"/>
      <protection locked="0"/>
    </xf>
    <xf numFmtId="0" fontId="58" fillId="0" borderId="13" xfId="0" applyFont="1" applyBorder="1" applyAlignment="1" applyProtection="1">
      <alignment horizontal="center" vertical="center"/>
      <protection locked="0"/>
    </xf>
    <xf numFmtId="0" fontId="37" fillId="39" borderId="1" xfId="0" applyFont="1" applyFill="1" applyAlignment="1" applyProtection="1">
      <alignment horizontal="center" vertical="center"/>
      <protection locked="0"/>
    </xf>
    <xf numFmtId="164" fontId="25" fillId="4" borderId="8" xfId="0" applyNumberFormat="1" applyFont="1" applyFill="1" applyBorder="1" applyAlignment="1" applyProtection="1">
      <alignment horizontal="center" vertical="center"/>
      <protection locked="0"/>
    </xf>
    <xf numFmtId="14" fontId="25" fillId="4" borderId="8" xfId="0" applyNumberFormat="1" applyFont="1" applyFill="1" applyBorder="1" applyAlignment="1" applyProtection="1">
      <alignment horizontal="center" vertical="center"/>
      <protection locked="0"/>
    </xf>
    <xf numFmtId="14" fontId="25" fillId="0" borderId="1" xfId="0" applyNumberFormat="1" applyFont="1" applyAlignment="1" applyProtection="1">
      <alignment horizontal="center" vertical="center"/>
      <protection locked="0"/>
    </xf>
    <xf numFmtId="14" fontId="25" fillId="45" borderId="8" xfId="0" applyNumberFormat="1" applyFont="1" applyFill="1" applyBorder="1" applyAlignment="1" applyProtection="1">
      <alignment horizontal="center" vertical="center"/>
      <protection locked="0"/>
    </xf>
    <xf numFmtId="0" fontId="37" fillId="23" borderId="13" xfId="0" applyFont="1" applyFill="1" applyBorder="1" applyAlignment="1" applyProtection="1">
      <alignment horizontal="center" vertical="center"/>
      <protection locked="0"/>
    </xf>
    <xf numFmtId="0" fontId="19" fillId="14" borderId="1" xfId="0" applyFont="1" applyFill="1" applyAlignment="1" applyProtection="1">
      <alignment horizontal="center" vertical="center" wrapText="1"/>
      <protection locked="0"/>
    </xf>
    <xf numFmtId="0" fontId="19" fillId="23" borderId="1" xfId="0" applyFont="1" applyFill="1" applyAlignment="1" applyProtection="1">
      <alignment horizontal="center" vertical="center" wrapText="1"/>
      <protection locked="0"/>
    </xf>
    <xf numFmtId="0" fontId="19" fillId="14" borderId="1" xfId="0" applyFont="1" applyFill="1" applyAlignment="1" applyProtection="1">
      <alignment horizontal="center" vertical="center"/>
      <protection locked="0"/>
    </xf>
    <xf numFmtId="0" fontId="46" fillId="14" borderId="1" xfId="0" applyFont="1" applyFill="1" applyAlignment="1" applyProtection="1">
      <alignment horizontal="center" vertical="center" wrapText="1"/>
      <protection locked="0"/>
    </xf>
    <xf numFmtId="0" fontId="18" fillId="14" borderId="1" xfId="0" applyFont="1" applyFill="1" applyAlignment="1" applyProtection="1">
      <alignment horizontal="center" vertical="center"/>
      <protection locked="0"/>
    </xf>
    <xf numFmtId="0" fontId="18" fillId="23" borderId="20" xfId="0" applyFont="1" applyFill="1" applyBorder="1" applyAlignment="1" applyProtection="1">
      <alignment horizontal="center" vertical="center"/>
      <protection locked="0"/>
    </xf>
    <xf numFmtId="0" fontId="18" fillId="23" borderId="1" xfId="0" applyFont="1" applyFill="1" applyAlignment="1" applyProtection="1">
      <alignment horizontal="center" vertical="center" wrapText="1"/>
      <protection locked="0"/>
    </xf>
    <xf numFmtId="0" fontId="19" fillId="13" borderId="8" xfId="0" applyFont="1" applyFill="1" applyBorder="1" applyAlignment="1" applyProtection="1">
      <alignment horizontal="center" vertical="center"/>
      <protection locked="0"/>
    </xf>
    <xf numFmtId="0" fontId="19" fillId="13" borderId="8" xfId="0" applyFont="1" applyFill="1" applyBorder="1" applyAlignment="1" applyProtection="1">
      <alignment horizontal="center" vertical="center" wrapText="1"/>
      <protection locked="0"/>
    </xf>
    <xf numFmtId="0" fontId="58" fillId="0" borderId="8" xfId="0" applyFont="1" applyBorder="1" applyAlignment="1" applyProtection="1">
      <alignment horizontal="center" vertical="center"/>
      <protection locked="0"/>
    </xf>
    <xf numFmtId="0" fontId="58" fillId="13" borderId="8" xfId="0" applyFont="1" applyFill="1" applyBorder="1" applyAlignment="1" applyProtection="1">
      <alignment horizontal="center" vertical="center"/>
      <protection locked="0"/>
    </xf>
    <xf numFmtId="17" fontId="18" fillId="13" borderId="8" xfId="0" applyNumberFormat="1" applyFont="1" applyFill="1" applyBorder="1" applyAlignment="1" applyProtection="1">
      <alignment horizontal="center" vertical="center"/>
      <protection locked="0"/>
    </xf>
    <xf numFmtId="0" fontId="18" fillId="13" borderId="8" xfId="0" applyFont="1" applyFill="1" applyBorder="1" applyAlignment="1" applyProtection="1">
      <alignment horizontal="center" vertical="center" wrapText="1"/>
      <protection locked="0"/>
    </xf>
    <xf numFmtId="14" fontId="18" fillId="13" borderId="8" xfId="0" applyNumberFormat="1" applyFont="1" applyFill="1" applyBorder="1" applyAlignment="1" applyProtection="1">
      <alignment horizontal="center" vertical="center"/>
      <protection locked="0"/>
    </xf>
    <xf numFmtId="14" fontId="18" fillId="13" borderId="8" xfId="0" applyNumberFormat="1" applyFont="1" applyFill="1" applyBorder="1" applyAlignment="1" applyProtection="1">
      <alignment horizontal="center" vertical="center" wrapText="1"/>
      <protection locked="0"/>
    </xf>
    <xf numFmtId="0" fontId="19" fillId="40" borderId="13" xfId="0" applyFont="1" applyFill="1" applyBorder="1" applyAlignment="1" applyProtection="1">
      <alignment horizontal="center" vertical="center"/>
      <protection locked="0"/>
    </xf>
    <xf numFmtId="0" fontId="37" fillId="40" borderId="13" xfId="0" applyFont="1" applyFill="1" applyBorder="1" applyAlignment="1" applyProtection="1">
      <alignment horizontal="center" vertical="center"/>
      <protection locked="0"/>
    </xf>
    <xf numFmtId="0" fontId="38" fillId="40" borderId="13" xfId="0" applyFont="1" applyFill="1" applyBorder="1" applyAlignment="1" applyProtection="1">
      <alignment horizontal="center" vertical="center"/>
      <protection locked="0"/>
    </xf>
    <xf numFmtId="17" fontId="19" fillId="40" borderId="13" xfId="0" applyNumberFormat="1" applyFont="1" applyFill="1" applyBorder="1" applyAlignment="1" applyProtection="1">
      <alignment horizontal="center" vertical="center"/>
      <protection locked="0"/>
    </xf>
    <xf numFmtId="0" fontId="19" fillId="12" borderId="13" xfId="0" applyFont="1" applyFill="1" applyBorder="1" applyAlignment="1" applyProtection="1">
      <alignment horizontal="center" vertical="center" wrapText="1"/>
      <protection locked="0"/>
    </xf>
    <xf numFmtId="0" fontId="44" fillId="40" borderId="13" xfId="0" applyFont="1" applyFill="1" applyBorder="1" applyAlignment="1" applyProtection="1">
      <alignment horizontal="center" vertical="center" wrapText="1"/>
      <protection locked="0"/>
    </xf>
    <xf numFmtId="0" fontId="32" fillId="40" borderId="13" xfId="0" applyFont="1" applyFill="1" applyBorder="1" applyAlignment="1">
      <alignment horizontal="center" vertical="center"/>
    </xf>
    <xf numFmtId="0" fontId="37" fillId="5" borderId="1" xfId="0" applyFont="1" applyFill="1" applyAlignment="1" applyProtection="1">
      <alignment horizontal="center" vertical="center"/>
      <protection locked="0"/>
    </xf>
    <xf numFmtId="0" fontId="59" fillId="40" borderId="13" xfId="0" applyFont="1" applyFill="1" applyBorder="1" applyAlignment="1" applyProtection="1">
      <alignment horizontal="center" vertical="center"/>
      <protection locked="0"/>
    </xf>
    <xf numFmtId="0" fontId="46" fillId="12" borderId="13" xfId="0" applyFont="1" applyFill="1" applyBorder="1" applyAlignment="1" applyProtection="1">
      <alignment horizontal="center" vertical="center" wrapText="1"/>
      <protection locked="0"/>
    </xf>
    <xf numFmtId="0" fontId="19" fillId="40" borderId="13" xfId="0" applyFont="1" applyFill="1" applyBorder="1" applyAlignment="1" applyProtection="1">
      <alignment horizontal="center" vertical="center" wrapText="1"/>
      <protection locked="0"/>
    </xf>
    <xf numFmtId="167" fontId="19" fillId="12" borderId="13" xfId="0" applyNumberFormat="1" applyFont="1" applyFill="1" applyBorder="1" applyAlignment="1" applyProtection="1">
      <alignment horizontal="center" vertical="center"/>
      <protection locked="0"/>
    </xf>
    <xf numFmtId="17" fontId="19" fillId="12" borderId="13" xfId="0" applyNumberFormat="1" applyFont="1" applyFill="1" applyBorder="1" applyAlignment="1" applyProtection="1">
      <alignment horizontal="center" vertical="center"/>
      <protection locked="0"/>
    </xf>
    <xf numFmtId="167" fontId="19" fillId="12" borderId="13" xfId="0" applyNumberFormat="1" applyFont="1" applyFill="1" applyBorder="1" applyAlignment="1" applyProtection="1">
      <alignment horizontal="center" vertical="center" wrapText="1"/>
      <protection locked="0"/>
    </xf>
    <xf numFmtId="0" fontId="18" fillId="12" borderId="13" xfId="0" applyFont="1" applyFill="1" applyBorder="1" applyAlignment="1" applyProtection="1">
      <alignment horizontal="center" vertical="center"/>
      <protection locked="0"/>
    </xf>
    <xf numFmtId="0" fontId="27" fillId="15" borderId="20" xfId="0" applyFont="1" applyFill="1" applyBorder="1" applyAlignment="1" applyProtection="1">
      <alignment horizontal="center" vertical="center"/>
      <protection locked="0"/>
    </xf>
    <xf numFmtId="0" fontId="27" fillId="40" borderId="13" xfId="0" applyFont="1" applyFill="1" applyBorder="1" applyAlignment="1" applyProtection="1">
      <alignment horizontal="center" vertical="center"/>
      <protection locked="0"/>
    </xf>
    <xf numFmtId="0" fontId="18" fillId="40" borderId="13" xfId="0" applyFont="1" applyFill="1" applyBorder="1" applyAlignment="1" applyProtection="1">
      <alignment horizontal="center" vertical="center"/>
      <protection locked="0"/>
    </xf>
    <xf numFmtId="0" fontId="18" fillId="40" borderId="13" xfId="0" applyFont="1" applyFill="1" applyBorder="1" applyAlignment="1" applyProtection="1">
      <alignment horizontal="center" vertical="center" wrapText="1"/>
      <protection locked="0"/>
    </xf>
    <xf numFmtId="0" fontId="18" fillId="12" borderId="13" xfId="0" applyFont="1" applyFill="1" applyBorder="1" applyAlignment="1" applyProtection="1">
      <alignment horizontal="center" vertical="center" wrapText="1"/>
      <protection locked="0"/>
    </xf>
    <xf numFmtId="0" fontId="23" fillId="40" borderId="13" xfId="0" applyFont="1" applyFill="1" applyBorder="1" applyAlignment="1" applyProtection="1">
      <alignment horizontal="center" vertical="center" wrapText="1"/>
      <protection locked="0"/>
    </xf>
    <xf numFmtId="14" fontId="18" fillId="12" borderId="13" xfId="0" applyNumberFormat="1" applyFont="1" applyFill="1" applyBorder="1" applyAlignment="1" applyProtection="1">
      <alignment horizontal="center" vertical="center"/>
      <protection locked="0"/>
    </xf>
    <xf numFmtId="14" fontId="18" fillId="40" borderId="13" xfId="0" applyNumberFormat="1" applyFont="1" applyFill="1" applyBorder="1" applyAlignment="1" applyProtection="1">
      <alignment horizontal="center" vertical="center"/>
      <protection locked="0"/>
    </xf>
    <xf numFmtId="14" fontId="18" fillId="12" borderId="13" xfId="0" applyNumberFormat="1" applyFont="1" applyFill="1" applyBorder="1" applyAlignment="1" applyProtection="1">
      <alignment horizontal="center" vertical="center" wrapText="1"/>
      <protection locked="0"/>
    </xf>
    <xf numFmtId="14" fontId="18" fillId="40" borderId="13" xfId="0" applyNumberFormat="1" applyFont="1" applyFill="1" applyBorder="1" applyAlignment="1" applyProtection="1">
      <alignment horizontal="center" vertical="center" wrapText="1"/>
      <protection locked="0"/>
    </xf>
    <xf numFmtId="14" fontId="18" fillId="46" borderId="13" xfId="0" applyNumberFormat="1" applyFont="1" applyFill="1" applyBorder="1" applyAlignment="1" applyProtection="1">
      <alignment horizontal="center" vertical="center" wrapText="1"/>
      <protection locked="0"/>
    </xf>
    <xf numFmtId="0" fontId="19" fillId="13" borderId="12" xfId="0" applyFont="1" applyFill="1" applyBorder="1" applyAlignment="1">
      <alignment horizontal="center" vertical="center"/>
    </xf>
    <xf numFmtId="0" fontId="37" fillId="13" borderId="8" xfId="0" applyFont="1" applyFill="1" applyBorder="1" applyAlignment="1">
      <alignment horizontal="center" vertical="center"/>
    </xf>
    <xf numFmtId="0" fontId="19" fillId="13" borderId="8" xfId="0" applyFont="1" applyFill="1" applyBorder="1" applyAlignment="1">
      <alignment horizontal="center" vertical="center"/>
    </xf>
    <xf numFmtId="0" fontId="19" fillId="13" borderId="9" xfId="0" applyFont="1" applyFill="1" applyBorder="1" applyAlignment="1">
      <alignment horizontal="center" vertical="center"/>
    </xf>
    <xf numFmtId="0" fontId="18" fillId="13" borderId="8" xfId="0" applyFont="1" applyFill="1" applyBorder="1" applyAlignment="1">
      <alignment horizontal="center" vertical="center"/>
    </xf>
    <xf numFmtId="17" fontId="18" fillId="13" borderId="10" xfId="0" applyNumberFormat="1" applyFont="1" applyFill="1" applyBorder="1" applyAlignment="1">
      <alignment horizontal="center" vertical="center"/>
    </xf>
    <xf numFmtId="14" fontId="18" fillId="13" borderId="10" xfId="0" applyNumberFormat="1" applyFont="1" applyFill="1" applyBorder="1" applyAlignment="1">
      <alignment horizontal="center" vertical="center"/>
    </xf>
    <xf numFmtId="14" fontId="18" fillId="13" borderId="8" xfId="0" applyNumberFormat="1" applyFont="1" applyFill="1" applyBorder="1" applyAlignment="1">
      <alignment horizontal="center" vertical="center"/>
    </xf>
    <xf numFmtId="0" fontId="18" fillId="13" borderId="12" xfId="0" applyFont="1" applyFill="1" applyBorder="1" applyAlignment="1">
      <alignment horizontal="center" vertical="center" wrapText="1"/>
    </xf>
    <xf numFmtId="0" fontId="18" fillId="13" borderId="8" xfId="0" applyFont="1" applyFill="1" applyBorder="1" applyAlignment="1">
      <alignment horizontal="center" vertical="center" wrapText="1"/>
    </xf>
    <xf numFmtId="164" fontId="18" fillId="13" borderId="8" xfId="0" applyNumberFormat="1" applyFont="1" applyFill="1" applyBorder="1" applyAlignment="1">
      <alignment horizontal="center" vertical="center"/>
    </xf>
    <xf numFmtId="14" fontId="18" fillId="13" borderId="8" xfId="0" applyNumberFormat="1" applyFont="1" applyFill="1" applyBorder="1" applyAlignment="1">
      <alignment horizontal="center" vertical="center" wrapText="1"/>
    </xf>
    <xf numFmtId="14" fontId="18" fillId="13" borderId="9" xfId="0" applyNumberFormat="1" applyFont="1" applyFill="1" applyBorder="1" applyAlignment="1">
      <alignment horizontal="center" vertical="center" wrapText="1"/>
    </xf>
    <xf numFmtId="0" fontId="62" fillId="42" borderId="44" xfId="0" applyFont="1" applyFill="1" applyBorder="1" applyAlignment="1">
      <alignment horizontal="center" vertical="center"/>
    </xf>
    <xf numFmtId="0" fontId="2" fillId="0" borderId="47" xfId="0" applyFont="1" applyBorder="1"/>
    <xf numFmtId="0" fontId="0" fillId="0" borderId="47" xfId="0" applyBorder="1"/>
    <xf numFmtId="0" fontId="2" fillId="0" borderId="48" xfId="0" applyFont="1" applyBorder="1"/>
    <xf numFmtId="0" fontId="62" fillId="42" borderId="40" xfId="0" applyFont="1" applyFill="1" applyBorder="1" applyAlignment="1">
      <alignment horizontal="center" vertical="center"/>
    </xf>
    <xf numFmtId="0" fontId="74" fillId="0" borderId="45" xfId="0" applyFont="1" applyBorder="1" applyAlignment="1">
      <alignment horizontal="left" vertical="center" wrapText="1"/>
    </xf>
    <xf numFmtId="0" fontId="2" fillId="0" borderId="45" xfId="0" applyFont="1" applyBorder="1"/>
    <xf numFmtId="0" fontId="2" fillId="0" borderId="46" xfId="0" applyFont="1" applyBorder="1"/>
    <xf numFmtId="0" fontId="2" fillId="0" borderId="44" xfId="0" applyFont="1" applyBorder="1"/>
    <xf numFmtId="0" fontId="20" fillId="0" borderId="1" xfId="0" applyFont="1" applyAlignment="1">
      <alignment horizontal="center" vertical="center" wrapText="1"/>
    </xf>
    <xf numFmtId="0" fontId="0" fillId="0" borderId="1" xfId="0"/>
    <xf numFmtId="0" fontId="22" fillId="2" borderId="2" xfId="0" applyFont="1" applyFill="1" applyBorder="1" applyAlignment="1">
      <alignment horizontal="center" vertical="center" wrapText="1"/>
    </xf>
    <xf numFmtId="0" fontId="23" fillId="0" borderId="4" xfId="0" applyFont="1" applyBorder="1"/>
    <xf numFmtId="0" fontId="23" fillId="0" borderId="5" xfId="0" applyFont="1" applyBorder="1"/>
    <xf numFmtId="0" fontId="23" fillId="0" borderId="7" xfId="0" applyFont="1" applyBorder="1"/>
    <xf numFmtId="0" fontId="23" fillId="0" borderId="3" xfId="0" applyFont="1" applyBorder="1"/>
    <xf numFmtId="0" fontId="23" fillId="0" borderId="6" xfId="0" applyFont="1" applyBorder="1"/>
    <xf numFmtId="164" fontId="24" fillId="2" borderId="2" xfId="0" applyNumberFormat="1" applyFont="1" applyFill="1" applyBorder="1" applyAlignment="1">
      <alignment horizontal="center" vertical="center"/>
    </xf>
    <xf numFmtId="0" fontId="20" fillId="0" borderId="1" xfId="0" applyFont="1" applyAlignment="1" applyProtection="1">
      <alignment horizontal="center" vertical="center"/>
      <protection locked="0"/>
    </xf>
    <xf numFmtId="0" fontId="0" fillId="0" borderId="1" xfId="0" applyProtection="1">
      <protection locked="0"/>
    </xf>
    <xf numFmtId="0" fontId="23" fillId="0" borderId="6" xfId="0" applyFont="1" applyBorder="1" applyProtection="1">
      <protection locked="0"/>
    </xf>
    <xf numFmtId="0" fontId="22" fillId="2" borderId="2" xfId="0" applyFont="1" applyFill="1" applyBorder="1" applyAlignment="1" applyProtection="1">
      <alignment horizontal="center" vertical="center" wrapText="1"/>
      <protection locked="0"/>
    </xf>
    <xf numFmtId="0" fontId="23" fillId="0" borderId="3" xfId="0" applyFont="1" applyBorder="1" applyProtection="1">
      <protection locked="0"/>
    </xf>
    <xf numFmtId="0" fontId="23" fillId="0" borderId="5" xfId="0" applyFont="1" applyBorder="1" applyProtection="1">
      <protection locked="0"/>
    </xf>
    <xf numFmtId="164" fontId="24" fillId="2" borderId="2" xfId="0" applyNumberFormat="1" applyFont="1" applyFill="1" applyBorder="1" applyAlignment="1" applyProtection="1">
      <alignment horizontal="center" vertical="center"/>
      <protection locked="0"/>
    </xf>
    <xf numFmtId="164" fontId="24" fillId="2" borderId="3" xfId="0" applyNumberFormat="1" applyFont="1" applyFill="1" applyBorder="1" applyAlignment="1" applyProtection="1">
      <alignment horizontal="center" vertical="center"/>
      <protection locked="0"/>
    </xf>
    <xf numFmtId="164" fontId="24" fillId="2" borderId="5" xfId="0" applyNumberFormat="1" applyFont="1" applyFill="1" applyBorder="1" applyAlignment="1" applyProtection="1">
      <alignment horizontal="center" vertical="center"/>
      <protection locked="0"/>
    </xf>
    <xf numFmtId="164" fontId="24" fillId="2" borderId="6" xfId="0" applyNumberFormat="1" applyFont="1" applyFill="1" applyBorder="1" applyAlignment="1" applyProtection="1">
      <alignment horizontal="center" vertical="center"/>
      <protection locked="0"/>
    </xf>
    <xf numFmtId="164" fontId="24" fillId="2" borderId="4" xfId="0" applyNumberFormat="1" applyFont="1" applyFill="1" applyBorder="1" applyAlignment="1" applyProtection="1">
      <alignment horizontal="center" vertical="center"/>
      <protection locked="0"/>
    </xf>
    <xf numFmtId="164" fontId="24" fillId="2" borderId="7" xfId="0" applyNumberFormat="1" applyFont="1" applyFill="1" applyBorder="1" applyAlignment="1" applyProtection="1">
      <alignment horizontal="center" vertical="center"/>
      <protection locked="0"/>
    </xf>
    <xf numFmtId="0" fontId="20" fillId="0" borderId="1" xfId="0" applyFont="1" applyAlignment="1">
      <alignment horizontal="center" vertical="center"/>
    </xf>
    <xf numFmtId="0" fontId="62" fillId="42" borderId="41" xfId="0" applyFont="1" applyFill="1" applyBorder="1" applyAlignment="1">
      <alignment horizontal="center"/>
    </xf>
    <xf numFmtId="0" fontId="62" fillId="42" borderId="43" xfId="0" applyFont="1" applyFill="1" applyBorder="1" applyAlignment="1">
      <alignment horizontal="center"/>
    </xf>
    <xf numFmtId="0" fontId="62" fillId="42" borderId="1" xfId="0" applyFont="1" applyFill="1" applyAlignment="1">
      <alignment horizontal="center" vertical="center"/>
    </xf>
    <xf numFmtId="0" fontId="62" fillId="42" borderId="47" xfId="0" applyFont="1" applyFill="1" applyBorder="1" applyAlignment="1">
      <alignment horizontal="center" vertical="center"/>
    </xf>
    <xf numFmtId="0" fontId="62" fillId="42" borderId="52" xfId="0" applyFont="1" applyFill="1" applyBorder="1" applyAlignment="1">
      <alignment horizontal="center" vertical="center"/>
    </xf>
    <xf numFmtId="0" fontId="62" fillId="42" borderId="44" xfId="0" applyFont="1" applyFill="1" applyBorder="1" applyAlignment="1">
      <alignment horizontal="center" vertical="center"/>
    </xf>
    <xf numFmtId="0" fontId="62" fillId="42" borderId="54" xfId="0" applyFont="1" applyFill="1" applyBorder="1" applyAlignment="1">
      <alignment horizontal="center" vertical="center"/>
    </xf>
    <xf numFmtId="0" fontId="62" fillId="42" borderId="38" xfId="0" applyFont="1" applyFill="1" applyBorder="1" applyAlignment="1">
      <alignment horizontal="center" vertical="center"/>
    </xf>
    <xf numFmtId="0" fontId="62" fillId="42" borderId="48" xfId="0" applyFont="1" applyFill="1" applyBorder="1" applyAlignment="1">
      <alignment horizontal="center" vertical="center"/>
    </xf>
    <xf numFmtId="0" fontId="62" fillId="42" borderId="55" xfId="0" applyFont="1" applyFill="1" applyBorder="1" applyAlignment="1">
      <alignment horizontal="center" vertical="center"/>
    </xf>
    <xf numFmtId="0" fontId="62" fillId="42" borderId="53" xfId="0" applyFont="1" applyFill="1" applyBorder="1" applyAlignment="1">
      <alignment horizontal="center" vertical="center"/>
    </xf>
    <xf numFmtId="0" fontId="19" fillId="0" borderId="1" xfId="0" applyFont="1" applyAlignment="1">
      <alignment horizontal="center"/>
    </xf>
    <xf numFmtId="0" fontId="25" fillId="33" borderId="41" xfId="0" applyFont="1" applyFill="1" applyBorder="1" applyAlignment="1">
      <alignment horizontal="center"/>
    </xf>
    <xf numFmtId="0" fontId="25" fillId="33" borderId="42" xfId="0" applyFont="1" applyFill="1" applyBorder="1" applyAlignment="1">
      <alignment horizontal="center"/>
    </xf>
    <xf numFmtId="0" fontId="25" fillId="33" borderId="43" xfId="0" applyFont="1" applyFill="1" applyBorder="1" applyAlignment="1">
      <alignment horizontal="center"/>
    </xf>
    <xf numFmtId="0" fontId="62" fillId="42" borderId="21" xfId="0" applyFont="1" applyFill="1" applyBorder="1" applyAlignment="1">
      <alignment horizontal="center"/>
    </xf>
    <xf numFmtId="0" fontId="62" fillId="42" borderId="23" xfId="0" applyFont="1" applyFill="1" applyBorder="1" applyAlignment="1">
      <alignment horizontal="center"/>
    </xf>
    <xf numFmtId="0" fontId="62" fillId="42" borderId="44" xfId="0" applyFont="1" applyFill="1" applyBorder="1" applyAlignment="1">
      <alignment horizontal="center"/>
    </xf>
    <xf numFmtId="0" fontId="62" fillId="42" borderId="38" xfId="0" applyFont="1" applyFill="1" applyBorder="1" applyAlignment="1">
      <alignment horizontal="center"/>
    </xf>
    <xf numFmtId="0" fontId="62" fillId="42" borderId="21" xfId="0" applyFont="1" applyFill="1" applyBorder="1" applyAlignment="1">
      <alignment horizontal="center" vertical="center"/>
    </xf>
    <xf numFmtId="0" fontId="62" fillId="42" borderId="23" xfId="0" applyFont="1" applyFill="1" applyBorder="1" applyAlignment="1">
      <alignment horizontal="center" vertical="center"/>
    </xf>
    <xf numFmtId="0" fontId="1" fillId="0" borderId="1" xfId="0" applyFont="1"/>
  </cellXfs>
  <cellStyles count="2">
    <cellStyle name="Hiperlink" xfId="1" builtinId="8"/>
    <cellStyle name="Normal" xfId="0" builtinId="0"/>
  </cellStyles>
  <dxfs count="13">
    <dxf>
      <font>
        <color rgb="FF9C0006"/>
      </font>
      <fill>
        <patternFill>
          <bgColor rgb="FFFFC7CE"/>
        </patternFill>
      </fill>
    </dxf>
    <dxf>
      <fill>
        <patternFill>
          <bgColor rgb="FF00B050"/>
        </patternFill>
      </fill>
    </dxf>
    <dxf>
      <fill>
        <patternFill>
          <bgColor rgb="FFC00000"/>
        </patternFill>
      </fill>
    </dxf>
    <dxf>
      <fill>
        <patternFill>
          <bgColor rgb="FFC00000"/>
        </patternFill>
      </fill>
    </dxf>
    <dxf>
      <font>
        <color rgb="FF9C0006"/>
      </font>
      <fill>
        <patternFill>
          <bgColor rgb="FFFFC7CE"/>
        </patternFill>
      </fill>
    </dxf>
    <dxf>
      <fill>
        <patternFill patternType="solid">
          <fgColor rgb="FFC6E0B4"/>
          <bgColor rgb="FFC6E0B4"/>
        </patternFill>
      </fill>
      <border>
        <left/>
        <right/>
        <top/>
        <bottom/>
        <vertical/>
        <horizontal/>
      </border>
    </dxf>
    <dxf>
      <alignment horizontal="center"/>
    </dxf>
    <dxf>
      <alignment horizontal="center"/>
    </dxf>
    <dxf>
      <alignment horizontal="center"/>
    </dxf>
    <dxf>
      <alignment horizontal="center"/>
    </dxf>
    <dxf>
      <alignment horizontal="center"/>
    </dxf>
    <dxf>
      <alignment horizontal="center"/>
    </dxf>
    <dxf>
      <fill>
        <patternFill patternType="solid">
          <fgColor rgb="FFC6E0B4"/>
          <bgColor rgb="FFC5E0B3"/>
        </patternFill>
      </fill>
    </dxf>
  </dxfs>
  <tableStyles count="0" defaultTableStyle="TableStyleMedium2" defaultPivotStyle="PivotStyleLight16"/>
  <colors>
    <mruColors>
      <color rgb="FFFF9999"/>
      <color rgb="FFFFCCCC"/>
      <color rgb="FFED7D31"/>
      <color rgb="FFBF8F00"/>
      <color rgb="FF1E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1</xdr:col>
      <xdr:colOff>76199</xdr:colOff>
      <xdr:row>0</xdr:row>
      <xdr:rowOff>85723</xdr:rowOff>
    </xdr:from>
    <xdr:ext cx="1323974" cy="628647"/>
    <xdr:pic>
      <xdr:nvPicPr>
        <xdr:cNvPr id="4" name="image1.jp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xdr:blipFill>
      <xdr:spPr bwMode="auto">
        <a:xfrm>
          <a:off x="180974" y="85724"/>
          <a:ext cx="1323974" cy="628648"/>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66675</xdr:colOff>
      <xdr:row>0</xdr:row>
      <xdr:rowOff>95250</xdr:rowOff>
    </xdr:from>
    <xdr:ext cx="828675" cy="800100"/>
    <xdr:pic>
      <xdr:nvPicPr>
        <xdr:cNvPr id="4" name="image1.jp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xdr:blipFill>
      <xdr:spPr bwMode="auto">
        <a:xfrm>
          <a:off x="161925" y="95250"/>
          <a:ext cx="828675" cy="800100"/>
        </a:xfrm>
        <a:prstGeom prst="rect">
          <a:avLst/>
        </a:prstGeom>
        <a:noFill/>
      </xdr:spPr>
    </xdr:pic>
    <xdr:clientData/>
  </xdr:oneCellAnchor>
  <xdr:twoCellAnchor editAs="oneCell">
    <xdr:from>
      <xdr:col>10</xdr:col>
      <xdr:colOff>750093</xdr:colOff>
      <xdr:row>80</xdr:row>
      <xdr:rowOff>309562</xdr:rowOff>
    </xdr:from>
    <xdr:to>
      <xdr:col>11</xdr:col>
      <xdr:colOff>174307</xdr:colOff>
      <xdr:row>496</xdr:row>
      <xdr:rowOff>316230</xdr:rowOff>
    </xdr:to>
    <xdr:sp macro="" textlink="">
      <xdr:nvSpPr>
        <xdr:cNvPr id="2049" name="AutoShape 1">
          <a:extLst>
            <a:ext uri="{FF2B5EF4-FFF2-40B4-BE49-F238E27FC236}">
              <a16:creationId xmlns:a16="http://schemas.microsoft.com/office/drawing/2014/main" id="{B96AE16A-5173-9BD1-2D81-E0D1BCDAEFEE}"/>
            </a:ext>
          </a:extLst>
        </xdr:cNvPr>
        <xdr:cNvSpPr>
          <a:spLocks noChangeAspect="1" noChangeArrowheads="1"/>
        </xdr:cNvSpPr>
      </xdr:nvSpPr>
      <xdr:spPr bwMode="auto">
        <a:xfrm>
          <a:off x="11549062"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10</xdr:col>
      <xdr:colOff>750093</xdr:colOff>
      <xdr:row>368</xdr:row>
      <xdr:rowOff>309562</xdr:rowOff>
    </xdr:from>
    <xdr:ext cx="297180" cy="316230"/>
    <xdr:sp macro="" textlink="">
      <xdr:nvSpPr>
        <xdr:cNvPr id="2" name="AutoShape 1">
          <a:extLst>
            <a:ext uri="{FF2B5EF4-FFF2-40B4-BE49-F238E27FC236}">
              <a16:creationId xmlns:a16="http://schemas.microsoft.com/office/drawing/2014/main" id="{C1D0C0DB-1451-4F6E-B53C-B914BE5FC057}"/>
            </a:ext>
          </a:extLst>
        </xdr:cNvPr>
        <xdr:cNvSpPr>
          <a:spLocks noChangeAspect="1" noChangeArrowheads="1"/>
        </xdr:cNvSpPr>
      </xdr:nvSpPr>
      <xdr:spPr bwMode="auto">
        <a:xfrm>
          <a:off x="11545252" y="1571625"/>
          <a:ext cx="297180" cy="3162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750093</xdr:colOff>
      <xdr:row>411</xdr:row>
      <xdr:rowOff>309562</xdr:rowOff>
    </xdr:from>
    <xdr:ext cx="293370" cy="320040"/>
    <xdr:sp macro="" textlink="">
      <xdr:nvSpPr>
        <xdr:cNvPr id="3" name="AutoShape 1">
          <a:extLst>
            <a:ext uri="{FF2B5EF4-FFF2-40B4-BE49-F238E27FC236}">
              <a16:creationId xmlns:a16="http://schemas.microsoft.com/office/drawing/2014/main" id="{6D88EEC0-D20F-4CA8-A58A-A35CCFDD083C}"/>
            </a:ext>
          </a:extLst>
        </xdr:cNvPr>
        <xdr:cNvSpPr>
          <a:spLocks noChangeAspect="1" noChangeArrowheads="1"/>
        </xdr:cNvSpPr>
      </xdr:nvSpPr>
      <xdr:spPr bwMode="auto">
        <a:xfrm>
          <a:off x="11545252" y="1571625"/>
          <a:ext cx="293370" cy="3200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750093</xdr:colOff>
      <xdr:row>426</xdr:row>
      <xdr:rowOff>309562</xdr:rowOff>
    </xdr:from>
    <xdr:ext cx="297180" cy="323850"/>
    <xdr:sp macro="" textlink="">
      <xdr:nvSpPr>
        <xdr:cNvPr id="5" name="AutoShape 1">
          <a:extLst>
            <a:ext uri="{FF2B5EF4-FFF2-40B4-BE49-F238E27FC236}">
              <a16:creationId xmlns:a16="http://schemas.microsoft.com/office/drawing/2014/main" id="{817DA444-1028-420C-ABFA-DE8FEFFBCE11}"/>
            </a:ext>
          </a:extLst>
        </xdr:cNvPr>
        <xdr:cNvSpPr>
          <a:spLocks noChangeAspect="1" noChangeArrowheads="1"/>
        </xdr:cNvSpPr>
      </xdr:nvSpPr>
      <xdr:spPr bwMode="auto">
        <a:xfrm>
          <a:off x="11545252" y="1571625"/>
          <a:ext cx="297180" cy="3238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352424</xdr:colOff>
      <xdr:row>0</xdr:row>
      <xdr:rowOff>95250</xdr:rowOff>
    </xdr:from>
    <xdr:ext cx="828675" cy="533400"/>
    <xdr:pic>
      <xdr:nvPicPr>
        <xdr:cNvPr id="4" name="image1.jp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bwMode="auto">
        <a:xfrm>
          <a:off x="0" y="0"/>
          <a:ext cx="0" cy="0"/>
        </a:xfrm>
        <a:prstGeom prst="rect">
          <a:avLst/>
        </a:prstGeom>
        <a:noFill/>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352424</xdr:colOff>
      <xdr:row>0</xdr:row>
      <xdr:rowOff>95250</xdr:rowOff>
    </xdr:from>
    <xdr:ext cx="828675" cy="533400"/>
    <xdr:pic>
      <xdr:nvPicPr>
        <xdr:cNvPr id="4" name="image1.jpg">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bwMode="auto">
        <a:xfrm>
          <a:off x="0" y="0"/>
          <a:ext cx="0" cy="0"/>
        </a:xfrm>
        <a:prstGeom prst="rect">
          <a:avLst/>
        </a:prstGeom>
        <a:noFill/>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114299</xdr:colOff>
      <xdr:row>2</xdr:row>
      <xdr:rowOff>133349</xdr:rowOff>
    </xdr:from>
    <xdr:ext cx="0" cy="0"/>
    <xdr:pic>
      <xdr:nvPicPr>
        <xdr:cNvPr id="4" name="image2.jpg">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bwMode="auto">
        <a:xfrm>
          <a:off x="114299" y="495299"/>
          <a:ext cx="0" cy="0"/>
        </a:xfrm>
        <a:prstGeom prst="rect">
          <a:avLst/>
        </a:prstGeom>
        <a:noFill/>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ele rejane souza" refreshedDate="46261.743099305553" createdVersion="8" refreshedVersion="8" minRefreshableVersion="3" recordCount="1045" xr:uid="{28E6517C-C375-4E4D-8CF3-BC0E293B4937}">
  <cacheSource type="worksheet">
    <worksheetSource ref="B4:AE1049" sheet="Ext. MDU"/>
  </cacheSource>
  <cacheFields count="30">
    <cacheField name="COD." numFmtId="0">
      <sharedItems/>
    </cacheField>
    <cacheField name="AREA TECNICA" numFmtId="0">
      <sharedItems containsBlank="1"/>
    </cacheField>
    <cacheField name="NODE" numFmtId="0">
      <sharedItems containsBlank="1"/>
    </cacheField>
    <cacheField name="SITE" numFmtId="0">
      <sharedItems containsBlank="1"/>
    </cacheField>
    <cacheField name="CIDADE" numFmtId="0">
      <sharedItems/>
    </cacheField>
    <cacheField name="COMDOMÍNIO" numFmtId="0">
      <sharedItems containsBlank="1"/>
    </cacheField>
    <cacheField name="ENDEREÇO" numFmtId="0">
      <sharedItems containsBlank="1"/>
    </cacheField>
    <cacheField name="CAIXA MDU" numFmtId="0">
      <sharedItems containsBlank="1"/>
    </cacheField>
    <cacheField name="MÊS" numFmtId="0">
      <sharedItems containsDate="1" containsMixedTypes="1" minDate="2023-01-01T00:00:00" maxDate="2026-08-02T00:00:00"/>
    </cacheField>
    <cacheField name="STATUS" numFmtId="0">
      <sharedItems containsBlank="1" count="11">
        <s v="CONCLUÍDO"/>
        <s v="CANCELADO"/>
        <s v="SEM SINAL"/>
        <s v="PARALISADO"/>
        <s v="ANDAMENTO" u="1"/>
        <m u="1"/>
        <s v="STANDBY" u="1"/>
        <s v="CONCLUIDO" u="1"/>
        <s v="CONCLUÍDA" u="1"/>
        <s v="CONCLUIÍDO" u="1"/>
        <s v="CONCLÍDO" u="1"/>
      </sharedItems>
    </cacheField>
    <cacheField name="Classe L" numFmtId="0">
      <sharedItems containsBlank="1"/>
    </cacheField>
    <cacheField name="Classe F" numFmtId="0">
      <sharedItems containsBlank="1"/>
    </cacheField>
    <cacheField name="Situação" numFmtId="0">
      <sharedItems containsBlank="1"/>
    </cacheField>
    <cacheField name="Relatório Fotográfico" numFmtId="0">
      <sharedItems containsDate="1" containsBlank="1" containsMixedTypes="1" minDate="2025-12-04T00:00:00" maxDate="2026-04-03T00:00:00"/>
    </cacheField>
    <cacheField name="PROJETADO" numFmtId="0">
      <sharedItems containsBlank="1" containsMixedTypes="1" containsNumber="1" containsInteger="1" minValue="20" maxValue="5880"/>
    </cacheField>
    <cacheField name="EXECUTADO" numFmtId="0">
      <sharedItems containsBlank="1" containsMixedTypes="1" containsNumber="1" containsInteger="1" minValue="2" maxValue="5774"/>
    </cacheField>
    <cacheField name="Serviço" numFmtId="0">
      <sharedItems containsBlank="1" containsMixedTypes="1" containsNumber="1" containsInteger="1" minValue="9.9999999999999905E+34" maxValue="9.9999999999999905E+34" longText="1"/>
    </cacheField>
    <cacheField name="Medição realizada" numFmtId="14">
      <sharedItems containsDate="1" containsBlank="1" containsMixedTypes="1" minDate="2023-05-20T00:00:00" maxDate="2026-08-28T00:00:00"/>
    </cacheField>
    <cacheField name="Data de entrada" numFmtId="0">
      <sharedItems containsNonDate="0" containsDate="1" containsString="0" containsBlank="1" minDate="2022-03-20T00:00:00" maxDate="2026-08-27T00:00:00"/>
    </cacheField>
    <cacheField name="Inicio em" numFmtId="14">
      <sharedItems containsDate="1" containsBlank="1" containsMixedTypes="1" minDate="2023-01-02T00:00:00" maxDate="2026-06-18T00:00:00"/>
    </cacheField>
    <cacheField name="Previsão para" numFmtId="14">
      <sharedItems containsDate="1" containsBlank="1" containsMixedTypes="1" minDate="2021-04-18T00:00:00" maxDate="2026-08-08T00:00:00"/>
    </cacheField>
    <cacheField name="Data de Entrega" numFmtId="14">
      <sharedItems containsDate="1" containsBlank="1" containsMixedTypes="1" minDate="2023-01-04T00:00:00" maxDate="2026-12-27T00:00:00"/>
    </cacheField>
    <cacheField name="Relatorio PPT" numFmtId="14">
      <sharedItems containsDate="1" containsBlank="1" containsMixedTypes="1" minDate="2025-08-05T00:00:00" maxDate="2026-08-28T00:00:00"/>
    </cacheField>
    <cacheField name="B" numFmtId="14">
      <sharedItems containsNonDate="0" containsString="0" containsBlank="1"/>
    </cacheField>
    <cacheField name="Status Medição" numFmtId="14">
      <sharedItems containsBlank="1" count="6">
        <s v="AG. MEDIÇÃO"/>
        <s v="CANCELADO"/>
        <s v="AG. RELATÓRIO"/>
        <s v="PENDENTE"/>
        <s v="CONCLUÍDA" u="1"/>
        <m u="1"/>
      </sharedItems>
    </cacheField>
    <cacheField name="Status Relatório" numFmtId="14">
      <sharedItems containsBlank="1" count="5">
        <s v="ENTREGUE"/>
        <s v="CANCELADO"/>
        <s v="PENDENTE"/>
        <m u="1"/>
        <s v="FALTA RELATÓRIO" u="1"/>
      </sharedItems>
    </cacheField>
    <cacheField name="Status Geral" numFmtId="14">
      <sharedItems/>
    </cacheField>
    <cacheField name="Tempo (Dias)" numFmtId="0">
      <sharedItems containsMixedTypes="1" containsNumber="1" containsInteger="1" minValue="-22" maxValue="842"/>
    </cacheField>
    <cacheField name="Prazo (SLA 3 dias)" numFmtId="0">
      <sharedItems containsBlank="1" count="3">
        <s v="NO PRAZO"/>
        <s v="ATRASADO"/>
        <m u="1"/>
      </sharedItems>
    </cacheField>
    <cacheField name="Atraso (Dias)" numFmtId="0">
      <sharedItems containsMixedTypes="1" containsNumber="1" containsInteger="1" minValue="-25" maxValue="8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5">
  <r>
    <s v="RSCLER0403"/>
    <s v="JITAB"/>
    <s v="JITAIA"/>
    <s v="RSPNO75"/>
    <s v="PORTO ALEGRE"/>
    <s v="Condomínio Edificio Passarela "/>
    <s v=" Adda Mascarenhas de Moraes, 955"/>
    <s v="JITAB.125.02.08"/>
    <d v="2024-08-01T00:00:00"/>
    <x v="0"/>
    <s v="LUCAS HOBERT"/>
    <s v="LUCAS HOBERT"/>
    <s v="100% - OK"/>
    <s v="OK"/>
    <m/>
    <n v="80"/>
    <s v="FOI LANÇADO 80 METROS DE CABO, 4 ABERTURA E FECHAMENTO, 5 FUSÃO, 1 DERIVAÇÃO, 1 NAP NOVA, 1 TESTE"/>
    <d v="2024-09-10T00:00:00"/>
    <d v="2024-08-28T00:00:00"/>
    <d v="2024-08-28T00:00:00"/>
    <d v="2024-08-30T00:00:00"/>
    <d v="2024-08-30T00:00:00"/>
    <s v="NÃO PRECISA"/>
    <m/>
    <x v="0"/>
    <x v="0"/>
    <s v="AG. MEDIÇÃO"/>
    <n v="2"/>
    <x v="0"/>
    <n v="-1"/>
  </r>
  <r>
    <s v="RSCLER0283"/>
    <s v="BVSAA"/>
    <s v="BVSAIA"/>
    <m/>
    <s v="PORTO ALEGRE"/>
    <s v="DIRETORIA"/>
    <s v=" Anita Gardibaldi, 1418"/>
    <s v="BVSAA.081.M030"/>
    <d v="2024-04-01T00:00:00"/>
    <x v="0"/>
    <s v="POMPEU / MALCOLN"/>
    <s v="ANDERSON"/>
    <s v="100% - OK"/>
    <s v="OK - ENVIADO "/>
    <m/>
    <n v="163"/>
    <s v="FOI LANÇADO 163 METROS DE CABO DE 12 FO, FOI LANÇADO 174 METROS DE CABO DE 12FO , 2 LANÇAMENTOS POIS HAVIA ERRO NO PROJETO,.4 ABERTURA E FECHAMENTO, 18 FUSÃO, 2 DERIVAÇÃO, 5 TESTE"/>
    <d v="2024-06-26T00:00:00"/>
    <d v="2024-04-23T00:00:00"/>
    <m/>
    <d v="2024-06-05T00:00:00"/>
    <d v="2024-06-05T00:00:00"/>
    <s v="NÃO PRECISA"/>
    <m/>
    <x v="0"/>
    <x v="0"/>
    <s v="AG. MEDIÇÃO"/>
    <n v="31"/>
    <x v="1"/>
    <n v="28"/>
  </r>
  <r>
    <s v="RSCLER0358"/>
    <s v="BVSAB"/>
    <s v="BVSALA"/>
    <s v="PAE NR"/>
    <s v="PORTO ALEGRE"/>
    <s v="ANDALUZ"/>
    <s v=" AV BAGÉ 1349"/>
    <s v="BVSAB.222.M090"/>
    <d v="2024-07-01T00:00:00"/>
    <x v="0"/>
    <s v="SAMURAI"/>
    <s v="FABIO AMARILIO"/>
    <s v="100% - OK"/>
    <s v="OK"/>
    <m/>
    <n v="359"/>
    <s v="FOI LANÇADO 359 METROS DE CABO DE 12FO, 6 ABERTURAE FECHAMENTO, 12 FUSÃO, 1 DERIVAÇÃO, 1 CX NOVA, 2 TESTE"/>
    <d v="2024-08-28T00:00:00"/>
    <d v="2024-07-24T00:00:00"/>
    <d v="2024-07-31T00:00:00"/>
    <d v="2024-07-31T00:00:00"/>
    <d v="2024-08-01T00:00:00"/>
    <s v="NÃO PRECISA"/>
    <m/>
    <x v="0"/>
    <x v="0"/>
    <s v="AG. MEDIÇÃO"/>
    <n v="6"/>
    <x v="1"/>
    <n v="3"/>
  </r>
  <r>
    <s v="RSCLER0214"/>
    <s v="RBTAA"/>
    <m/>
    <m/>
    <s v="PORTO ALEGRE"/>
    <s v=" Academia Eng. do Corpo"/>
    <s v=" Av Baltazar de Oliveira Garcia 2274 "/>
    <m/>
    <d v="2024-02-01T00:00:00"/>
    <x v="0"/>
    <s v="NATANIEL"/>
    <s v="NATANIEL"/>
    <s v="100% - OK"/>
    <s v="OK"/>
    <m/>
    <n v="377"/>
    <s v="FOI  LANÇADO  377 METROS DE CABO DE 12FO, 1 NAP NOVA, 1 DERIVAÇÃO, 4 ABERTURA E FECHAMENTO, 2 FUSÃO, 3 TESTE  ( TEVE 2 ABERTURA E FECHAMENTO A MAIS POIS ELE FOI 3 VEZES TESTAR POR FALTA DO CORDÃO NO SITE)"/>
    <d v="2024-02-23T00:00:00"/>
    <d v="2024-02-14T00:00:00"/>
    <d v="2024-02-15T00:00:00"/>
    <d v="2024-02-16T00:00:00"/>
    <d v="2024-02-16T00:00:00"/>
    <s v="NÃO PRECISA"/>
    <m/>
    <x v="0"/>
    <x v="0"/>
    <s v="AG. MEDIÇÃO"/>
    <n v="2"/>
    <x v="0"/>
    <n v="-1"/>
  </r>
  <r>
    <s v="RSCLER0122"/>
    <s v="JITAB"/>
    <m/>
    <m/>
    <s v="PORTO ALEGRE"/>
    <s v="POA - Cond. Morada do Norte "/>
    <s v=" Av Dom Claudio Jose Goncalves Ponce De Leão "/>
    <m/>
    <d v="2023-09-01T00:00:00"/>
    <x v="0"/>
    <m/>
    <s v="BRUNO MACIEL"/>
    <s v="100% - OK"/>
    <s v="OK"/>
    <s v="SEM LANÇAMENTO"/>
    <s v="SEM LANÇAMENTO"/>
    <s v="1 ABERTURA E FECHAMENTO, 3 TESTE "/>
    <d v="2023-10-24T00:00:00"/>
    <d v="2023-09-11T00:00:00"/>
    <m/>
    <d v="2023-10-06T00:00:00"/>
    <d v="2023-10-06T00:00:00"/>
    <s v="NÃO PRECISA"/>
    <m/>
    <x v="0"/>
    <x v="0"/>
    <s v="AG. MEDIÇÃO"/>
    <n v="19"/>
    <x v="1"/>
    <n v="16"/>
  </r>
  <r>
    <s v="RSCLER0344"/>
    <s v="BFMAA"/>
    <s v="RBRAR"/>
    <s v="PAE IND"/>
    <s v="PORTO ALEGRE"/>
    <s v="Ed San Sebastian "/>
    <s v=" Av Goethe 21 "/>
    <s v="BFMAA.013.M060"/>
    <d v="2024-07-01T00:00:00"/>
    <x v="0"/>
    <s v="TIAGO FERREIRA"/>
    <s v="FABIO AMARILIO"/>
    <s v="100% - OK"/>
    <s v="OK"/>
    <m/>
    <n v="320"/>
    <s v="FOI LANÇADO 320 METROS DE CABO DE 12FO, 4 ABERTURA E FECHAMENTO, 4 FUSÃO, 1 DERIVAÇÃO, 1 CX NOVA , 1 TESTE"/>
    <d v="2024-08-28T00:00:00"/>
    <d v="2024-07-09T00:00:00"/>
    <d v="2024-07-11T00:00:00"/>
    <d v="2024-07-16T00:00:00"/>
    <d v="2024-07-24T00:00:00"/>
    <s v="NÃO PRECISA"/>
    <m/>
    <x v="0"/>
    <x v="0"/>
    <s v="AG. MEDIÇÃO"/>
    <n v="11"/>
    <x v="1"/>
    <n v="8"/>
  </r>
  <r>
    <s v="RSCLER0860"/>
    <s v="BFMAA"/>
    <m/>
    <s v="PAE IND"/>
    <s v="PORTO ALEGRE"/>
    <s v="Cond Jardim Independencia"/>
    <s v=" AV INDEPENDENCIA 1138 "/>
    <s v="BFMAA.071.M010"/>
    <d v="2026-05-01T00:00:00"/>
    <x v="0"/>
    <s v="TIAGO FERREIRA"/>
    <s v="CATIA"/>
    <m/>
    <s v="OK"/>
    <n v="250"/>
    <n v="164"/>
    <s v="FOI LANÇADO 164 METROS DE CABO DE 12FO, 1 ABERTURA E FECHAMENTO, 2 CX NOVA, 1 DERIVAÇÃO, 5 FUSÕES, 2 TESTES."/>
    <d v="2026-08-07T00:00:00"/>
    <d v="2026-05-13T00:00:00"/>
    <m/>
    <m/>
    <d v="2026-05-20T00:00:00"/>
    <d v="2026-07-15T00:00:00"/>
    <m/>
    <x v="0"/>
    <x v="0"/>
    <s v="AG. MEDIÇÃO"/>
    <n v="5"/>
    <x v="1"/>
    <n v="2"/>
  </r>
  <r>
    <s v="RSCLER0118"/>
    <s v="TRZAB"/>
    <m/>
    <m/>
    <s v="PORTO ALEGRE"/>
    <s v="SEDE OAB"/>
    <s v=" AV. CEL MARCOS, 2179"/>
    <m/>
    <d v="2023-08-01T00:00:00"/>
    <x v="0"/>
    <m/>
    <s v="DIOGO"/>
    <s v="100% - OK"/>
    <s v="-"/>
    <s v="SEM LANÇAMENTO"/>
    <s v="SEM LANÇAMENTO"/>
    <s v="5 ABERTURA E FECHAMENTO /   5 FUSÃO / 4 TESTE / 1 DERIVAÇÃO / FIZEMOS A FUSÃO DO MDU  "/>
    <d v="2023-09-06T00:00:00"/>
    <d v="2023-08-22T00:00:00"/>
    <d v="2023-08-22T00:00:00"/>
    <d v="2023-08-22T00:00:00"/>
    <d v="2023-08-23T00:00:00"/>
    <s v="NÃO PRECISA"/>
    <m/>
    <x v="0"/>
    <x v="0"/>
    <s v="AG. MEDIÇÃO"/>
    <n v="1"/>
    <x v="0"/>
    <n v="-2"/>
  </r>
  <r>
    <s v="RSCLER0419"/>
    <s v="VNVAA"/>
    <m/>
    <s v="RSPSU13"/>
    <s v="PORTO ALEGRE"/>
    <s v="Cond Village Center Zona Sul "/>
    <s v=" Av. da Cavalhada, 4760 - DIRETORIA"/>
    <s v="VNVAA.131.M040 / VNVAA.131.M060"/>
    <d v="2024-09-01T00:00:00"/>
    <x v="0"/>
    <s v="TIAGO FERREIRA / UBIRATAN"/>
    <s v="ALANO"/>
    <s v="100% - OK"/>
    <s v="OK"/>
    <n v="1650"/>
    <n v="1351"/>
    <s v="FOI LANÇADO 400 METROS DE CABO DE 12FO E 490 METROS DE CABO DE 24FO, FOI LANÇADO 461 DE CABO DE 36FO, 6 ABERTURA E FECHAMENTO, 2 DERIVAÇÃO, 55 FUSÃO, 5 CX NOVA, 8 TESTE"/>
    <d v="2024-09-20T00:00:00"/>
    <d v="2024-09-06T00:00:00"/>
    <d v="2024-09-09T00:00:00"/>
    <d v="2024-09-12T00:00:00"/>
    <d v="2024-09-18T00:00:00"/>
    <s v="NÃO PRECISA"/>
    <m/>
    <x v="0"/>
    <x v="0"/>
    <s v="AG. MEDIÇÃO"/>
    <n v="8"/>
    <x v="1"/>
    <n v="5"/>
  </r>
  <r>
    <s v="RSCLER0105"/>
    <s v="AZNAH"/>
    <m/>
    <m/>
    <s v="PORTO ALEGRE"/>
    <s v="ED. GREENWICH"/>
    <s v=" AV. ERICO VERISSIMO, 595"/>
    <m/>
    <d v="2023-06-01T00:00:00"/>
    <x v="0"/>
    <s v="JORGE MATHUES"/>
    <s v="DIOGO"/>
    <s v="100% - OK"/>
    <s v="OK"/>
    <m/>
    <n v="72"/>
    <s v="OBS FOI FEITA  5 ABERTURA E FECHAMENTO , 5 FUSÃO  , 5 TESTE  1 CX NOVA,72 MTS DE CABO DE 12FO ESPINADO"/>
    <d v="2023-10-04T00:00:00"/>
    <d v="2023-06-15T00:00:00"/>
    <d v="2023-07-16T00:00:00"/>
    <d v="2023-08-24T00:00:00"/>
    <d v="2023-08-28T00:00:00"/>
    <s v="NÃO PRECISA"/>
    <m/>
    <x v="0"/>
    <x v="0"/>
    <s v="AG. MEDIÇÃO"/>
    <n v="52"/>
    <x v="1"/>
    <n v="49"/>
  </r>
  <r>
    <s v="RSCLER0113"/>
    <s v="MSTAFB"/>
    <m/>
    <m/>
    <s v="PORTO ALEGRE"/>
    <s v=" COND. ED. RESID MAIS ALTO PETRÓPOLIS"/>
    <s v=" AV. GERMANO SCMARCZEK, 100 - MORRO SANTANA"/>
    <m/>
    <d v="2023-08-01T00:00:00"/>
    <x v="0"/>
    <s v="JORGE MATEUS"/>
    <s v="DIOGO"/>
    <s v="100% - OK"/>
    <s v="-"/>
    <m/>
    <n v="329"/>
    <s v="FOI LANÇADO 329 METROS DE CABO DE 12FO, 1 CX NOVA, 3 ABERTURA E FECHAMENTO, 12 FUSÃO, 4 TESTE, 1 DERIVAÇÃO."/>
    <d v="2023-10-04T00:00:00"/>
    <d v="2023-08-17T00:00:00"/>
    <d v="2023-09-18T00:00:00"/>
    <d v="2023-09-25T00:00:00"/>
    <d v="2023-09-25T00:00:00"/>
    <s v="NÃO PRECISA"/>
    <m/>
    <x v="0"/>
    <x v="0"/>
    <s v="AG. MEDIÇÃO"/>
    <n v="27"/>
    <x v="1"/>
    <n v="24"/>
  </r>
  <r>
    <s v="RSCLER0127"/>
    <s v="BVSAB"/>
    <m/>
    <m/>
    <s v="PORTO ALEGRE"/>
    <s v="COND. FLOAT RESIDENCE"/>
    <s v=" AV. SENADOR TARSO DUTRA, 431"/>
    <m/>
    <d v="2023-09-01T00:00:00"/>
    <x v="0"/>
    <s v="JEFERSON"/>
    <s v="JEFERSON"/>
    <s v="100% - OK"/>
    <s v="OK"/>
    <m/>
    <n v="360"/>
    <s v="FOI LANÇADO 360 METROS DE CABO DE 12FO, 2 ABERTURA E FECHAMENTO, 1 CX NOVA, 6 FUSÃO, 2 DERIVAÇÃO, 2 TESTE"/>
    <d v="2023-10-04T00:00:00"/>
    <d v="2023-09-11T00:00:00"/>
    <d v="2023-09-28T00:00:00"/>
    <d v="2023-09-29T00:00:00"/>
    <d v="2023-09-30T00:00:00"/>
    <s v="NÃO PRECISA"/>
    <m/>
    <x v="0"/>
    <x v="0"/>
    <s v="AG. MEDIÇÃO"/>
    <n v="14"/>
    <x v="1"/>
    <n v="11"/>
  </r>
  <r>
    <s v="RSCLER0276"/>
    <s v="MNDAA"/>
    <s v="MNDAF"/>
    <s v="PAE MAD"/>
    <s v="PORTO ALEGRE"/>
    <s v="DIRETORIA"/>
    <s v=" Avenida Borges de Medeiros, 3160"/>
    <s v="MNDAA.115.M050."/>
    <d v="2024-04-01T00:00:00"/>
    <x v="0"/>
    <s v="UBIRATAN"/>
    <s v="VINICIUS"/>
    <s v="100% - OK"/>
    <s v="OK - ENVIADO"/>
    <m/>
    <n v="252"/>
    <s v="FOI LANÇADO 252 METROS DE CABO DE 12FO, 2 ABERTURA E FECHAMENTO, 2 FUSÃO, 1 DERIVAÇÃO, 1 CX NOVA, 1 TESTE, COBRAR CORDOALHA"/>
    <d v="2024-05-27T00:00:00"/>
    <d v="2024-04-18T00:00:00"/>
    <m/>
    <d v="2024-04-25T00:00:00"/>
    <d v="2024-04-25T00:00:00"/>
    <s v="NÃO PRECISA"/>
    <m/>
    <x v="0"/>
    <x v="0"/>
    <s v="AG. MEDIÇÃO"/>
    <n v="5"/>
    <x v="1"/>
    <n v="2"/>
  </r>
  <r>
    <s v="RSCLER0275"/>
    <s v="MNDAA"/>
    <s v="MNDAF"/>
    <s v="PAE MAD"/>
    <s v="PORTO ALEGRE"/>
    <s v="DIRETORIA"/>
    <s v=" Avenida Borges de Medeiros, 3200"/>
    <s v="MNDAA.115.M050"/>
    <d v="2024-04-01T00:00:00"/>
    <x v="0"/>
    <m/>
    <s v="VINICIUS"/>
    <s v="100% - OK"/>
    <s v="OK - ENVIADO"/>
    <s v="SEM LANÇAMENTO"/>
    <s v="SEM LANÇAMENTO"/>
    <s v="2 FUSÃO, 1 TESTE"/>
    <d v="2024-05-27T00:00:00"/>
    <d v="2024-04-18T00:00:00"/>
    <m/>
    <d v="2024-04-24T00:00:00"/>
    <d v="2024-04-25T00:00:00"/>
    <s v="NÃO PRECISA"/>
    <m/>
    <x v="0"/>
    <x v="0"/>
    <s v="AG. MEDIÇÃO"/>
    <n v="5"/>
    <x v="1"/>
    <n v="2"/>
  </r>
  <r>
    <s v="RSCLER0284"/>
    <s v="TRZAB"/>
    <s v="TRZANB"/>
    <s v="RSPSU22"/>
    <s v="PORTO ALEGRE"/>
    <s v="DIRETORIA"/>
    <s v=" Cel Marcos 2447 "/>
    <s v="TRZAB.109.M020"/>
    <d v="2024-04-01T00:00:00"/>
    <x v="0"/>
    <s v="THIAGO"/>
    <s v="ANDERSON"/>
    <s v="100% - OK"/>
    <s v="OK - ENVIADO"/>
    <m/>
    <n v="300"/>
    <s v="FOI LANÇADO 300 METROS DE CABO DE 12FO, 2 ABERTURA E FECHAMENTO, 1 DERIVAÇÃO, 1 CX NOVA , 2 TESTE, 4 FUSÃO"/>
    <d v="2024-06-26T00:00:00"/>
    <d v="2024-04-23T00:00:00"/>
    <d v="2024-05-20T00:00:00"/>
    <d v="2024-06-10T00:00:00"/>
    <d v="2024-06-10T00:00:00"/>
    <s v="NÃO PRECISA"/>
    <m/>
    <x v="0"/>
    <x v="0"/>
    <s v="AG. MEDIÇÃO"/>
    <n v="34"/>
    <x v="1"/>
    <n v="31"/>
  </r>
  <r>
    <s v="RSCLER0209"/>
    <s v="CNUAB"/>
    <m/>
    <m/>
    <s v="NOVO HAMBURGO"/>
    <s v=" Conj. Bartolomeu de Gusmão 230 e 240"/>
    <s v=" Conj. Bartolomeu de Gusmão 230 e 240"/>
    <m/>
    <d v="2024-01-01T00:00:00"/>
    <x v="0"/>
    <m/>
    <s v="LUCAS HOBERT"/>
    <s v="100% - OK"/>
    <s v="OK"/>
    <s v="SEM LANÇAMENTO"/>
    <s v="SEM LANÇAMENTO"/>
    <s v="1 ABERTURA E FECHAMENTO, 3 FUSÃO, 1 CX NOVA, 1 DERIVAÇÃO, 2 TESTE"/>
    <d v="2024-02-23T00:00:00"/>
    <d v="2024-01-24T00:00:00"/>
    <m/>
    <d v="2024-01-28T00:00:00"/>
    <d v="2024-01-28T00:00:00"/>
    <s v="NÃO PRECISA"/>
    <m/>
    <x v="0"/>
    <x v="0"/>
    <s v="AG. MEDIÇÃO"/>
    <n v="2"/>
    <x v="0"/>
    <n v="-1"/>
  </r>
  <r>
    <s v="RSCLER0303"/>
    <s v="JITAB"/>
    <s v="JITAIA"/>
    <m/>
    <s v="PORTO ALEGRE"/>
    <s v="DIRETORIA"/>
    <s v=" Copérnico, 50_55"/>
    <s v="JITAB.153.M060"/>
    <d v="2024-04-01T00:00:00"/>
    <x v="0"/>
    <s v="THIAGO LAMBRETA"/>
    <s v="ANDERSON"/>
    <s v="100% - OK"/>
    <s v="OK - ENVIADO"/>
    <m/>
    <n v="278"/>
    <s v="FOI LANÇADO 278 METROS DE CABO DE 24FO, 2 ABERTURA E FECHAMENTO, 1 DERIVAÇÃO, 14 FUSÃO, 1 CX NOVA, 6 TESTE"/>
    <d v="2024-06-26T00:00:00"/>
    <d v="2024-04-30T00:00:00"/>
    <d v="2024-06-07T00:00:00"/>
    <d v="2024-06-14T00:00:00"/>
    <d v="2024-06-14T00:00:00"/>
    <s v="NÃO PRECISA"/>
    <m/>
    <x v="0"/>
    <x v="0"/>
    <s v="AG. MEDIÇÃO"/>
    <n v="33"/>
    <x v="1"/>
    <n v="30"/>
  </r>
  <r>
    <s v="RSCLER0265"/>
    <s v="MNDAC"/>
    <m/>
    <m/>
    <s v="PORTO ALEGRE"/>
    <s v="DIRETORIA"/>
    <s v=" Miguel Couto, 714"/>
    <m/>
    <d v="2024-04-01T00:00:00"/>
    <x v="0"/>
    <s v="MALCOLN"/>
    <s v="ANDERSON"/>
    <s v="100% - OK"/>
    <s v="OK"/>
    <m/>
    <n v="105"/>
    <s v="FOI LANÇADO 105 METROS DE CABO DE 12FO, 7 ABERTURA E FECHAMENTO, 1 CX NOVA, 1 DERIVAÇÃO, 7 FUSÃO, 1 TESTE"/>
    <d v="2024-05-27T00:00:00"/>
    <d v="2024-04-17T00:00:00"/>
    <d v="2024-04-17T00:00:00"/>
    <d v="2024-04-23T00:00:00"/>
    <d v="2024-04-29T00:00:00"/>
    <s v="NÃO PRECISA"/>
    <m/>
    <x v="0"/>
    <x v="0"/>
    <s v="AG. MEDIÇÃO"/>
    <n v="8"/>
    <x v="1"/>
    <n v="5"/>
  </r>
  <r>
    <s v="RSCLER0297"/>
    <s v="MNDAC"/>
    <s v="MNDAM"/>
    <m/>
    <s v="PORTO ALEGRE"/>
    <s v="DIRETORIA"/>
    <s v=" Otávio Dutra, 164 174"/>
    <s v="MNDAC.081.M030"/>
    <d v="2024-04-01T00:00:00"/>
    <x v="0"/>
    <s v="THIAGO LAMBRETA"/>
    <s v="ANDERSON"/>
    <s v="100% - OK"/>
    <s v="OK"/>
    <m/>
    <n v="149"/>
    <s v="FOI LANÇADO 149 METROS DE CABO DE 24FO, 8 ABERTURA E FECHAMENTO, 25 FUSÃO, 1 DERIVAÇÃO, 1 SPLITTER NOVO, 1 CX NOVA, 4 TESTE"/>
    <d v="2024-06-26T00:00:00"/>
    <d v="2024-04-30T00:00:00"/>
    <d v="2024-05-15T00:00:00"/>
    <d v="2024-05-14T00:00:00"/>
    <d v="2024-06-12T00:00:00"/>
    <s v="NÃO PRECISA"/>
    <m/>
    <x v="0"/>
    <x v="0"/>
    <s v="AG. MEDIÇÃO"/>
    <n v="31"/>
    <x v="1"/>
    <n v="28"/>
  </r>
  <r>
    <s v="RSCLER0228"/>
    <s v="TRZAA"/>
    <m/>
    <m/>
    <s v="PORTO ALEGRE"/>
    <s v=" Pe. Joao Batista Reus 2163 - 2173"/>
    <s v=" Pe. Joao Batista Reus 2163 - 2173"/>
    <m/>
    <d v="2024-03-01T00:00:00"/>
    <x v="0"/>
    <s v="THIAGO"/>
    <s v="PAULO GOMES"/>
    <s v="100% - OK"/>
    <s v="OK"/>
    <m/>
    <n v="590"/>
    <s v="FOI LANÇADO 590 METROS DE CABO DE 12FO, 4 ABERTURA E FECHAMENTO, 6 FUSÃO, 3 DERIVAÇÃO, 1 CX NOVA, 2 TESTE"/>
    <d v="2024-03-26T00:00:00"/>
    <d v="2024-03-15T00:00:00"/>
    <d v="2024-03-16T00:00:00"/>
    <d v="2024-03-16T00:00:00"/>
    <d v="2024-03-16T00:00:00"/>
    <s v="NÃO PRECISA"/>
    <m/>
    <x v="0"/>
    <x v="0"/>
    <s v="AG. MEDIÇÃO"/>
    <n v="0"/>
    <x v="0"/>
    <n v="-3"/>
  </r>
  <r>
    <s v="RSCLER0229"/>
    <s v="JCVAA"/>
    <m/>
    <m/>
    <s v="PORTO ALEGRE"/>
    <s v=" Projeto ABRAHAM GOLDZTEIN"/>
    <s v=" Projeto ABRAHAM GOLDZTEIN"/>
    <m/>
    <d v="2024-03-01T00:00:00"/>
    <x v="0"/>
    <m/>
    <s v="MARCOS EMILIANO"/>
    <s v="100% - OK"/>
    <s v="OK"/>
    <m/>
    <n v="18"/>
    <s v="FOI LANÇADO 18 METROS DE CABO DE 12FO, 3 ABERTURA E FECHAMENTO, 4 FUSÃO, 1 DERIVAÇÃO, 1 NAP NOVA, 1 TESTE"/>
    <d v="2024-03-26T00:00:00"/>
    <d v="2024-03-18T00:00:00"/>
    <m/>
    <d v="2024-03-19T00:00:00"/>
    <d v="2024-03-19T00:00:00"/>
    <s v="NÃO PRECISA"/>
    <m/>
    <x v="0"/>
    <x v="0"/>
    <s v="AG. MEDIÇÃO"/>
    <n v="1"/>
    <x v="0"/>
    <n v="-2"/>
  </r>
  <r>
    <s v="RSCLER0357"/>
    <s v="JITAB"/>
    <s v="JITAIA"/>
    <s v="RSPNO75"/>
    <s v="PORTO ALEGRE"/>
    <s v="RESID BUENOS AIRES "/>
    <s v=" R CONGONHAS 50,60,80,100"/>
    <s v="JITAB.153.M010"/>
    <d v="2024-07-01T00:00:00"/>
    <x v="0"/>
    <m/>
    <s v="FABIO AMARILIO"/>
    <s v="100% - OK"/>
    <s v="OK"/>
    <s v="SEM LANÇAMENTO"/>
    <s v="SEM LANÇAMENTO"/>
    <s v="3 ABERTURA E FECHAMENTO, 6 FUSÃO, 2 TESTE "/>
    <d v="2024-08-28T00:00:00"/>
    <d v="2024-07-24T00:00:00"/>
    <d v="2024-07-30T00:00:00"/>
    <d v="2024-07-30T00:00:00"/>
    <d v="2024-07-30T00:00:00"/>
    <s v="NÃO PRECISA"/>
    <m/>
    <x v="0"/>
    <x v="0"/>
    <s v="AG. MEDIÇÃO"/>
    <n v="4"/>
    <x v="1"/>
    <n v="1"/>
  </r>
  <r>
    <s v="RSCLER0135"/>
    <s v="TRZAA"/>
    <m/>
    <m/>
    <s v="PORTO ALEGRE"/>
    <s v="Cond. Scenario"/>
    <s v=" R Dr Dias de Carvalho 530"/>
    <m/>
    <d v="2023-10-01T00:00:00"/>
    <x v="0"/>
    <s v="ALAN"/>
    <s v="GABRIEL"/>
    <s v="100% - OK"/>
    <s v="OK"/>
    <m/>
    <n v="105"/>
    <s v="FOI LANÇADO 105 METROS DE CABO DE 12FO, 3 ABERTURA E FECHAMENTO, 12 FUSÃO, 3 DERIVAÇÃO , 1 CX NOVA E 3 TESTE"/>
    <d v="2023-10-24T00:00:00"/>
    <d v="2023-10-06T00:00:00"/>
    <d v="2023-10-18T00:00:00"/>
    <d v="2023-10-18T00:00:00"/>
    <d v="2023-10-18T00:00:00"/>
    <s v="NÃO PRECISA"/>
    <m/>
    <x v="0"/>
    <x v="0"/>
    <s v="AG. MEDIÇÃO"/>
    <n v="8"/>
    <x v="1"/>
    <n v="5"/>
  </r>
  <r>
    <s v="RSCLER0162"/>
    <s v="BVSAA"/>
    <m/>
    <m/>
    <s v="PORTO ALEGRE"/>
    <s v=" Cond. Io Boa Vista"/>
    <s v=" R Francisco Petuco 288"/>
    <m/>
    <d v="2023-11-01T00:00:00"/>
    <x v="0"/>
    <s v="NEIMAR"/>
    <s v="LUCAS HOBERT"/>
    <s v="100% - OK"/>
    <s v="OK"/>
    <s v="SEM LANÇAMENTO"/>
    <s v="SEM LANÇAMENTO"/>
    <s v="2 ABERTURA E FECHAMENTO, 1 FUSÃO, 1 TESTE"/>
    <d v="2023-11-20T00:00:00"/>
    <d v="2023-11-08T00:00:00"/>
    <m/>
    <d v="2023-11-09T00:00:00"/>
    <d v="2023-11-09T00:00:00"/>
    <s v="NÃO PRECISA"/>
    <m/>
    <x v="0"/>
    <x v="0"/>
    <s v="AG. MEDIÇÃO"/>
    <n v="1"/>
    <x v="0"/>
    <n v="-2"/>
  </r>
  <r>
    <s v="RSCLER0193"/>
    <s v="MTSAA"/>
    <m/>
    <m/>
    <s v="PORTO ALEGRE"/>
    <s v="RESID. VARANDA "/>
    <s v=" R JOÃO OBINO 285"/>
    <m/>
    <d v="2023-10-01T00:00:00"/>
    <x v="0"/>
    <m/>
    <s v="LUCAS HOBERT"/>
    <s v="100% - OK"/>
    <s v="OK"/>
    <s v="SEM LANÇAMENTO"/>
    <s v="SEM LANÇAMENTO"/>
    <s v="4 ABERTURA E FECHAMENTO, 12 FUSÃO, 4 TESTE. OBS: ESTE MDU FOI CANCELADO, POIS SERIA FEITA MUITA ABERTURA E FECHAMENTO, FOI ABORDADO EM CAIXA NET, PELA PROPRIA NET."/>
    <d v="2023-12-13T00:00:00"/>
    <d v="2023-10-18T00:00:00"/>
    <m/>
    <m/>
    <m/>
    <s v="NÃO PRECISA"/>
    <m/>
    <x v="0"/>
    <x v="0"/>
    <s v="AG. MEDIÇÃO"/>
    <n v="746"/>
    <x v="1"/>
    <n v="743"/>
  </r>
  <r>
    <s v="RSCLER0094"/>
    <s v="CNTAK"/>
    <m/>
    <m/>
    <s v="PORTO ALEGRE"/>
    <s v=" R JOSE DO PATROCINIO 132"/>
    <s v=" R JOSE DO PATROCINIO 132"/>
    <m/>
    <d v="2023-06-01T00:00:00"/>
    <x v="0"/>
    <s v="JEFERSON "/>
    <s v="JEFERSON"/>
    <s v="100% - OK"/>
    <s v="-"/>
    <m/>
    <m/>
    <s v="A FIBRA ESTA FUSIONADA RETA, DEIXANDO O CABO DE 12 FO COM INSUFICIENCIA PARA ATENDER E NA FOSC M TA QUEBRADA NO PÉ, 2 ABERTURA E FECHAMENTO / 9 FUSÃO / 4 TESTE / 1 DERIVAÇÃO."/>
    <d v="2023-07-11T00:00:00"/>
    <d v="2023-06-22T00:00:00"/>
    <d v="2023-06-22T00:00:00"/>
    <d v="2023-07-07T00:00:00"/>
    <d v="2023-07-07T00:00:00"/>
    <s v="NÃO PRECISA"/>
    <m/>
    <x v="0"/>
    <x v="0"/>
    <s v="AG. MEDIÇÃO"/>
    <n v="11"/>
    <x v="1"/>
    <n v="8"/>
  </r>
  <r>
    <s v="RSCLER0201"/>
    <s v="TRZAA"/>
    <m/>
    <m/>
    <s v="PORTO ALEGRE"/>
    <s v="Galeria Luiz Henrique"/>
    <s v=" R Mario Totta 648"/>
    <m/>
    <d v="2024-01-01T00:00:00"/>
    <x v="0"/>
    <m/>
    <s v="LUCAS HOBERT"/>
    <s v="100% - OK"/>
    <s v="OK"/>
    <s v="SEM LANÇAMENTO"/>
    <s v="SEM LANÇAMENTO"/>
    <s v="2 ABERTURA E FECHAMENTO, 6 FUSÃO, 4 TESTE"/>
    <d v="2024-01-09T00:00:00"/>
    <d v="2024-01-02T00:00:00"/>
    <m/>
    <d v="2024-01-02T00:00:00"/>
    <d v="2024-01-04T00:00:00"/>
    <s v="NÃO PRECISA"/>
    <m/>
    <x v="0"/>
    <x v="0"/>
    <s v="AG. MEDIÇÃO"/>
    <n v="2"/>
    <x v="0"/>
    <n v="-1"/>
  </r>
  <r>
    <s v="RSCLER0077"/>
    <s v="PRTAA"/>
    <m/>
    <m/>
    <s v="PORTO ALEGRE"/>
    <s v="PARQUE PANAMBI"/>
    <s v=" R NICOLA MATHIAS FALCI 151"/>
    <m/>
    <d v="2023-05-01T00:00:00"/>
    <x v="0"/>
    <m/>
    <s v="PAULO"/>
    <s v="100% - OK"/>
    <s v="OK"/>
    <s v="SEM LANÇAMENTO"/>
    <s v="SEM LANÇAMENTO"/>
    <s v="2 ABERTURA E FECHAMENTO, 1 FUSÃO, 1 TESTE"/>
    <d v="2023-06-19T00:00:00"/>
    <m/>
    <m/>
    <m/>
    <d v="2023-04-29T00:00:00"/>
    <s v="NÃO PRECISA"/>
    <m/>
    <x v="0"/>
    <x v="0"/>
    <s v="AG. MEDIÇÃO"/>
    <s v="DATA ENTRADA"/>
    <x v="1"/>
    <s v="DATA ENTRADA"/>
  </r>
  <r>
    <s v="RSCLER0843"/>
    <s v="MNDAA"/>
    <s v="MNDAF"/>
    <s v="RSPCE41"/>
    <s v="PORTO ALEGRE"/>
    <s v="Edifício Visconde"/>
    <s v=" R VISC. DO HERVAL 533"/>
    <s v="MNDAA.111.M020"/>
    <d v="2026-04-01T00:00:00"/>
    <x v="0"/>
    <m/>
    <s v="CATIA"/>
    <m/>
    <m/>
    <s v="SEM LANÇAMENTO"/>
    <s v="SEM LANÇAMENTO"/>
    <s v="3 ABERTURA E FECHAMENTO, 7 FUSÕES, 2 TESTES, 1 TESTE OTDR"/>
    <d v="2026-05-05T00:00:00"/>
    <d v="2026-04-28T00:00:00"/>
    <m/>
    <m/>
    <d v="2026-04-30T00:00:00"/>
    <d v="2026-05-05T00:00:00"/>
    <m/>
    <x v="0"/>
    <x v="0"/>
    <s v="AG. MEDIÇÃO"/>
    <n v="2"/>
    <x v="0"/>
    <n v="-1"/>
  </r>
  <r>
    <s v="RSCLER0370"/>
    <s v="MNDAC"/>
    <s v="MNDAK"/>
    <s v="RSPSU02"/>
    <s v="PORTO ALEGRE"/>
    <s v="Phoenix Office Tower"/>
    <s v=" R. José de Alencar, 521 "/>
    <s v="MNDAC.054.M030"/>
    <d v="2024-08-01T00:00:00"/>
    <x v="0"/>
    <m/>
    <s v="PAULO GOMES"/>
    <s v="100% - OK"/>
    <s v="OK"/>
    <s v="SEM LANÇAMENTO"/>
    <s v="SEM LANÇAMENTO"/>
    <s v="2 ABERTURA E FECHAMENTO, 4 FUSÃO, 4 TESTE"/>
    <d v="2024-08-28T00:00:00"/>
    <d v="2024-08-01T00:00:00"/>
    <d v="2024-08-07T00:00:00"/>
    <d v="2024-08-07T00:00:00"/>
    <d v="2024-08-07T00:00:00"/>
    <s v="NÃO PRECISA"/>
    <m/>
    <x v="0"/>
    <x v="0"/>
    <s v="AG. MEDIÇÃO"/>
    <n v="4"/>
    <x v="1"/>
    <n v="1"/>
  </r>
  <r>
    <s v="RSCLER0434"/>
    <s v="CNTAA"/>
    <s v="CBXAE"/>
    <s v="PAE MF"/>
    <s v="PORTO ALEGRE"/>
    <m/>
    <s v=" R. José do Patrocínio, 557"/>
    <s v="CNTAA.352.020"/>
    <d v="2024-09-01T00:00:00"/>
    <x v="0"/>
    <s v="LUCAS HOBERT"/>
    <s v="LUCAS HOBERT"/>
    <s v="100% - OK"/>
    <s v="OK"/>
    <n v="100"/>
    <n v="102"/>
    <s v="FOI LANÇADO 102 METROS DE CABO DE 12FO, 4 ABERTURA E FECHAMENTO, 2 DERIVAÇÃO, 10 FUSÃO, 3 TESTE."/>
    <d v="2024-09-20T00:00:00"/>
    <d v="2024-09-12T00:00:00"/>
    <d v="2024-09-13T00:00:00"/>
    <d v="2024-09-18T00:00:00"/>
    <d v="2024-09-15T00:00:00"/>
    <s v="NÃO PRECISA"/>
    <m/>
    <x v="0"/>
    <x v="0"/>
    <s v="AG. MEDIÇÃO"/>
    <n v="1"/>
    <x v="0"/>
    <n v="-2"/>
  </r>
  <r>
    <s v="RSCLER0222"/>
    <s v="TRZAA"/>
    <m/>
    <m/>
    <s v="PORTO ALEGRE"/>
    <s v="Cond. Clarity"/>
    <s v=" R. Landel de Moura, 1541 "/>
    <m/>
    <d v="2024-03-01T00:00:00"/>
    <x v="0"/>
    <s v="VITOR"/>
    <s v="PAULO GOMES"/>
    <s v="100% - OK"/>
    <s v="OK"/>
    <m/>
    <n v="332"/>
    <s v="FOI  LANÇADO 332 METROS DE CABO DE 12FO, 3 ABERTURA E FECHAMENTO , 6 FUSÃO , 1 DERIVAÇÃO, 1 CX NOVA , 3 TESTE"/>
    <d v="2024-03-26T00:00:00"/>
    <d v="2024-03-13T00:00:00"/>
    <d v="2024-03-14T00:00:00"/>
    <d v="2024-03-15T00:00:00"/>
    <d v="2024-03-15T00:00:00"/>
    <s v="NÃO PRECISA"/>
    <m/>
    <x v="0"/>
    <x v="0"/>
    <s v="AG. MEDIÇÃO"/>
    <n v="2"/>
    <x v="0"/>
    <n v="-1"/>
  </r>
  <r>
    <s v="RSCLER0416"/>
    <s v="SANAB"/>
    <s v="PRTAB"/>
    <s v="RSPCE27"/>
    <s v="PORTO ALEGRE"/>
    <s v="Cond Ed Solar Firenze"/>
    <s v=" R. São Manoel, 2022 - DIRETORIA"/>
    <s v="SANAB.012.M050"/>
    <d v="2024-09-01T00:00:00"/>
    <x v="0"/>
    <m/>
    <s v="MARCOS EMILIANO"/>
    <s v="100% - OK"/>
    <s v="OK"/>
    <s v="SEM LANÇAMENTO"/>
    <s v="SEM LANÇAMENTO"/>
    <s v="4 ABERTURA E FECHAMENTO, 7 FUSÃO, 4 TESTE"/>
    <d v="2024-09-14T00:00:00"/>
    <d v="2024-09-06T00:00:00"/>
    <d v="2024-09-09T00:00:00"/>
    <d v="2024-09-12T00:00:00"/>
    <d v="2024-09-11T00:00:00"/>
    <s v="NÃO PRECISA"/>
    <m/>
    <x v="0"/>
    <x v="0"/>
    <s v="AG. MEDIÇÃO"/>
    <n v="3"/>
    <x v="0"/>
    <n v="0"/>
  </r>
  <r>
    <s v="RSCLER0404"/>
    <s v="BVSAB"/>
    <s v="BVSALA"/>
    <s v="PAE NR"/>
    <s v="PORTO ALEGRE"/>
    <s v="Condomínio Villa Toscana"/>
    <s v=" R. São Marcos, 251 - DIRETORIA"/>
    <s v="BVSAB.223.M040"/>
    <d v="2024-08-01T00:00:00"/>
    <x v="0"/>
    <s v="GIOVANE / VICTOR"/>
    <s v="ALANO"/>
    <s v="100% - OK"/>
    <s v="OK"/>
    <n v="450"/>
    <n v="469"/>
    <s v="FOI LANÇADO 401 METROS DE CABO DE 12FO E FOI LANÇADO 168 METROS DE CABO DE 24FO, 3 ABERTURA E FECHAMENTO, 2 DERIVAÇÃO, 10 FUSÃO, 1 CX NOVA, 8 TESTE"/>
    <d v="2024-09-20T00:00:00"/>
    <d v="2024-08-29T00:00:00"/>
    <d v="2024-09-03T00:00:00"/>
    <d v="2024-09-11T00:00:00"/>
    <d v="2024-09-11T00:00:00"/>
    <s v="NÃO PRECISA"/>
    <m/>
    <x v="0"/>
    <x v="0"/>
    <s v="AG. MEDIÇÃO"/>
    <n v="9"/>
    <x v="1"/>
    <n v="6"/>
  </r>
  <r>
    <s v="RSCLER0207"/>
    <s v="VJDAB"/>
    <m/>
    <m/>
    <s v="PORTO ALEGRE"/>
    <s v="Karen Hernandes"/>
    <s v=" R. Vital Brasil 69"/>
    <m/>
    <d v="2024-01-01T00:00:00"/>
    <x v="0"/>
    <s v="THIAGO"/>
    <s v="LUCAS HOBERT"/>
    <s v="100% - OK"/>
    <s v="OK"/>
    <m/>
    <n v="390"/>
    <s v="FOI LANÇADO 390 METROS DE CABO DE 12FO, 2 ABERTURA E FECHAMENTO, 3 FUSÃO, UMA NAP, 1 DERIVAÇÃO, 1 TESTE"/>
    <d v="2024-02-23T00:00:00"/>
    <d v="2024-01-16T00:00:00"/>
    <d v="2024-01-16T00:00:00"/>
    <d v="2024-01-22T00:00:00"/>
    <d v="2024-01-22T00:00:00"/>
    <s v="NÃO PRECISA"/>
    <m/>
    <x v="0"/>
    <x v="0"/>
    <s v="AG. MEDIÇÃO"/>
    <n v="4"/>
    <x v="1"/>
    <n v="1"/>
  </r>
  <r>
    <s v="RSCLER0292"/>
    <s v="RBRAA"/>
    <s v="RBRAA"/>
    <m/>
    <s v="PORTO ALEGRE"/>
    <s v="DIRETORIA"/>
    <s v=" Reis Louzada, 189 "/>
    <s v="RBRAA.093.M101"/>
    <d v="2024-04-01T00:00:00"/>
    <x v="0"/>
    <s v="POMPEU"/>
    <s v="ANDERSON"/>
    <s v="100% - OK"/>
    <s v="OK"/>
    <m/>
    <n v="771"/>
    <s v="FOI LANÇADO 771 METROS DE CABO DE 12 FO, 5 ABERTURA E FECHAMENTO, 1 DERIVAÇÃO, 1 CX NOVA, 2 TESTE, 12 FUSÃO"/>
    <d v="2024-05-27T00:00:00"/>
    <d v="2024-04-26T00:00:00"/>
    <d v="2024-04-26T00:00:00"/>
    <d v="2024-05-22T00:00:00"/>
    <d v="2024-05-22T00:00:00"/>
    <s v="NÃO PRECISA"/>
    <m/>
    <x v="0"/>
    <x v="0"/>
    <s v="AG. MEDIÇÃO"/>
    <n v="18"/>
    <x v="1"/>
    <n v="15"/>
  </r>
  <r>
    <s v="RSCLER0277"/>
    <s v="NAVAA"/>
    <s v="BVSAB"/>
    <m/>
    <s v="PORTO ALEGRE"/>
    <s v="DIRETORIA"/>
    <s v=" Rua Américo Vespúcio, 1099"/>
    <s v="NAVAA.145.M050"/>
    <d v="2024-04-01T00:00:00"/>
    <x v="0"/>
    <s v="THIAGO"/>
    <s v="ADRIANO"/>
    <s v="100% - OK"/>
    <s v="OK"/>
    <m/>
    <n v="240"/>
    <s v="FOI LANÇADO 240 METROS DE CABO DE 12FO, 2 ABERTURA E FECHAMENTO, 2 FUSÃO, 1 DERIVAÇÃO, 1 CX NOVA , 1 TESTE"/>
    <d v="2024-06-26T00:00:00"/>
    <d v="2024-04-18T00:00:00"/>
    <d v="2024-06-04T00:00:00"/>
    <d v="2024-06-06T00:00:00"/>
    <d v="2024-06-06T00:00:00"/>
    <s v="NÃO PRECISA"/>
    <m/>
    <x v="0"/>
    <x v="0"/>
    <s v="AG. MEDIÇÃO"/>
    <n v="35"/>
    <x v="1"/>
    <n v="32"/>
  </r>
  <r>
    <s v="RSCLER0096"/>
    <s v="CNT12A"/>
    <m/>
    <m/>
    <s v="CANOAS "/>
    <s v="COND. RESERVA DOS EUCALIPTOS II"/>
    <s v=" RUA ANTÔNIOLOURENÇO ROSA,  187"/>
    <m/>
    <d v="2023-06-01T00:00:00"/>
    <x v="0"/>
    <s v="JORGE MATEUS (350 METROS) / JEFERSON (725 METROS)"/>
    <s v="JEFERSON"/>
    <s v="100% - OK"/>
    <s v="-"/>
    <m/>
    <n v="1072"/>
    <s v="LANÇADO 1072 METROS CABO 12FO  / LANÇADO 300 METROS DE CORDOALHA / 1 ABERTURA E FECHAMENTO / 1 DERIVAÇÃO / 4 FUSÃO / 1 CX NOVA OBS: FOI LANÇADO CABO DE 12FO ATÉ A TRONCAL 111, POIS 111 A020 FOI CANCELADA."/>
    <d v="2023-07-11T00:00:00"/>
    <d v="2023-06-30T00:00:00"/>
    <d v="2023-07-07T00:00:00"/>
    <d v="2023-07-09T00:00:00"/>
    <d v="2023-07-09T00:00:00"/>
    <s v="NÃO PRECISA"/>
    <m/>
    <x v="0"/>
    <x v="0"/>
    <s v="AG. MEDIÇÃO"/>
    <n v="5"/>
    <x v="1"/>
    <n v="2"/>
  </r>
  <r>
    <s v="RSCLER0279"/>
    <s v="MTSAA"/>
    <s v="MTSAK"/>
    <s v="RSPNO24"/>
    <s v="PORTO ALEGRE"/>
    <s v="DIRETORIA"/>
    <s v=" Rua Cel Bordini, 1800 "/>
    <s v="MTSAA.304.M050"/>
    <d v="2024-04-01T00:00:00"/>
    <x v="0"/>
    <s v="TIAGO LAMBRETA"/>
    <s v="FABIO AMARILIO"/>
    <s v="100% - OK"/>
    <s v="OK"/>
    <m/>
    <n v="353"/>
    <s v="FOI LANÇADO 353 CABO DE 12FO, 3 ABERTURA E FECHAMENTO,4 FUSÃO, 2 DERIVAÇÃO, 1 CX NOVA, 1 TESTE"/>
    <d v="2024-06-26T00:00:00"/>
    <d v="2024-04-18T00:00:00"/>
    <d v="2024-06-05T00:00:00"/>
    <d v="2024-06-07T00:00:00"/>
    <d v="2024-06-07T00:00:00"/>
    <s v="NÃO PRECISA"/>
    <m/>
    <x v="0"/>
    <x v="0"/>
    <s v="AG. MEDIÇÃO"/>
    <n v="36"/>
    <x v="1"/>
    <n v="33"/>
  </r>
  <r>
    <s v="RSCLER0331"/>
    <s v="RBRAA"/>
    <s v="RBRAJ"/>
    <s v="RSPLE08"/>
    <s v="PORTO ALEGRE"/>
    <s v="Edifício 4 de maio"/>
    <s v=" Rua Cel. Paulino Teixeira, 341"/>
    <s v="RBRAA.021.M010"/>
    <d v="2024-06-01T00:00:00"/>
    <x v="0"/>
    <m/>
    <s v="MARCOS EMILIANO"/>
    <s v="100% - OK"/>
    <s v="OK"/>
    <s v="SEM LANÇAMENTO"/>
    <s v="SEM LANÇAMENTO"/>
    <s v="2 ABRTURA E FECHAMENTO, 3 FUSÃO, 3 TESTE"/>
    <d v="2024-07-24T00:00:00"/>
    <d v="2024-06-28T00:00:00"/>
    <d v="2024-07-01T00:00:00"/>
    <d v="2024-07-01T00:00:00"/>
    <d v="2024-07-01T00:00:00"/>
    <s v="NÃO PRECISA"/>
    <m/>
    <x v="0"/>
    <x v="0"/>
    <s v="AG. MEDIÇÃO"/>
    <n v="1"/>
    <x v="0"/>
    <n v="-2"/>
  </r>
  <r>
    <s v="RSCLER0310"/>
    <s v="MTSAA"/>
    <m/>
    <m/>
    <s v="PORTO ALEGRE"/>
    <s v="DIRETORIA"/>
    <s v=" Rua Couto de Magalhães, 736 e 756"/>
    <m/>
    <d v="2024-05-01T00:00:00"/>
    <x v="0"/>
    <m/>
    <s v="ANDERSON"/>
    <s v="100% - OK"/>
    <s v="OK"/>
    <s v="SEM LANÇAMENTO"/>
    <s v="SEM LANÇAMENTO"/>
    <s v="2 ABERTURA E FECHAMENTO, 3 FUSÃO, 3 TESTE"/>
    <d v="2024-05-27T00:00:00"/>
    <d v="2024-05-03T00:00:00"/>
    <d v="2024-05-15T00:00:00"/>
    <d v="2024-05-15T00:00:00"/>
    <d v="2024-05-15T00:00:00"/>
    <s v="NÃO PRECISA"/>
    <m/>
    <x v="0"/>
    <x v="0"/>
    <s v="AG. MEDIÇÃO"/>
    <n v="8"/>
    <x v="1"/>
    <n v="5"/>
  </r>
  <r>
    <s v="RSCLER0858"/>
    <s v="TRLAA"/>
    <m/>
    <m/>
    <s v="PORTO ALEGRE"/>
    <s v="Cond. SY PRAÇA"/>
    <s v=" RUA DÁRIO TOTTA 215"/>
    <s v="TRLAA.161.M030"/>
    <d v="2026-05-01T00:00:00"/>
    <x v="0"/>
    <m/>
    <s v="CATIA"/>
    <m/>
    <m/>
    <s v="SEM LANÇAMENTO"/>
    <s v="SEM LANÇAMENTO"/>
    <s v="4 ABERTURA E FECHAMENTO, 6 FUSÕES, 2 TESTES"/>
    <d v="2026-05-20T00:00:00"/>
    <d v="2026-05-13T00:00:00"/>
    <m/>
    <m/>
    <d v="2026-05-14T00:00:00"/>
    <d v="2026-05-20T00:00:00"/>
    <m/>
    <x v="0"/>
    <x v="0"/>
    <s v="AG. MEDIÇÃO"/>
    <n v="1"/>
    <x v="0"/>
    <n v="-2"/>
  </r>
  <r>
    <s v="RSCLER0252"/>
    <s v="CTLAA"/>
    <s v="CMQAN"/>
    <s v="RSPSU07"/>
    <s v="PORTO ALEGRE"/>
    <s v="Edifício Terrazas Mirador"/>
    <s v=" Rua Diário de Notícias, 1555"/>
    <s v="CTLAA.107.M060"/>
    <d v="2024-04-01T00:00:00"/>
    <x v="0"/>
    <s v="THIAGO"/>
    <s v="DIOGO / MARCOS EMILIANO"/>
    <s v="100% - OK"/>
    <s v="OK - ENVIADO"/>
    <m/>
    <n v="800"/>
    <s v="FOI LANÇADO 800 METROS DE CABO DE 12FO, 3 ABERTURA E FECHAMENTO, 1 DERIVAÇÃO, 2 FUSÃO, 1 TESTE"/>
    <d v="2024-04-23T00:00:00"/>
    <d v="2024-04-09T00:00:00"/>
    <d v="2024-04-10T00:00:00"/>
    <d v="2024-04-12T00:00:00"/>
    <d v="2024-04-20T00:00:00"/>
    <s v="NÃO PRECISA"/>
    <m/>
    <x v="0"/>
    <x v="0"/>
    <s v="AG. MEDIÇÃO"/>
    <n v="8"/>
    <x v="1"/>
    <n v="5"/>
  </r>
  <r>
    <s v="RSCLER0142"/>
    <s v="SPEAA"/>
    <m/>
    <m/>
    <s v="PORTO ALEGRE"/>
    <s v="Curaçao Acqua Home"/>
    <s v=" Rua Edmundo Bastian 1012"/>
    <m/>
    <d v="2023-10-01T00:00:00"/>
    <x v="0"/>
    <s v="LUCAS HOBERT"/>
    <s v="LUCAS HOBERT"/>
    <s v="100% - OK"/>
    <s v="OK"/>
    <m/>
    <n v="50"/>
    <s v="foi lançado 50 metros  de sobras feita 2 abertura  11 fusão 5 teste OBS: FOI FEITO FUSÃO NO MDU"/>
    <d v="2023-10-24T00:00:00"/>
    <d v="2023-10-18T00:00:00"/>
    <d v="2023-10-18T00:00:00"/>
    <d v="2023-10-18T00:00:00"/>
    <d v="2023-10-23T00:00:00"/>
    <s v="NÃO PRECISA"/>
    <m/>
    <x v="0"/>
    <x v="0"/>
    <s v="AG. MEDIÇÃO"/>
    <n v="3"/>
    <x v="0"/>
    <n v="0"/>
  </r>
  <r>
    <s v="RSCLER0361"/>
    <s v="RBTAA"/>
    <s v="RBTAQ"/>
    <s v="PAE ARY"/>
    <s v="PORTO ALEGRE"/>
    <s v=" Condomínio Ed. Patricia"/>
    <s v=" Rua Engenheiro Fernando Abreu Pereira, 164"/>
    <s v="RBTAA.122.M030"/>
    <d v="2024-07-26T00:00:00"/>
    <x v="0"/>
    <m/>
    <s v="MARCOS EMILIANO"/>
    <s v="100% - OK"/>
    <s v="OK"/>
    <m/>
    <n v="50"/>
    <s v="FOI LANÇADO 50 METROS DE CABO DE 12FO, 2 ABERTURA E FECHAMENTO, 1 CX NOVA, 1 DERIVAÇÃO, 6 FUSÃO, 3 TESTE "/>
    <d v="2024-08-28T00:00:00"/>
    <d v="2024-07-26T00:00:00"/>
    <d v="2024-08-03T00:00:00"/>
    <d v="2024-08-03T00:00:00"/>
    <d v="2024-08-03T00:00:00"/>
    <s v="NÃO PRECISA"/>
    <m/>
    <x v="0"/>
    <x v="0"/>
    <s v="AG. MEDIÇÃO"/>
    <n v="5"/>
    <x v="1"/>
    <n v="2"/>
  </r>
  <r>
    <s v="RSCLER0226"/>
    <s v="VIPAA"/>
    <m/>
    <m/>
    <s v="PORTO ALEGRE"/>
    <s v="Condomínio Royal Park"/>
    <s v=" Rua Fernando Cortez, 195"/>
    <m/>
    <d v="2024-03-01T00:00:00"/>
    <x v="0"/>
    <m/>
    <s v="PAULO GOMES"/>
    <s v="100% - OK"/>
    <s v="OK"/>
    <s v="SEM LANÇAMENTO"/>
    <s v="SEM LANÇAMENTO"/>
    <s v="5 ABERTURA E FECHAMENTO, 12 FUSÃO, 4 TESTE "/>
    <d v="2024-03-26T00:00:00"/>
    <d v="2024-03-13T00:00:00"/>
    <m/>
    <d v="2024-03-14T00:00:00"/>
    <d v="2024-03-18T00:00:00"/>
    <s v="NÃO PRECISA"/>
    <m/>
    <x v="0"/>
    <x v="0"/>
    <s v="AG. MEDIÇÃO"/>
    <n v="3"/>
    <x v="0"/>
    <n v="0"/>
  </r>
  <r>
    <s v="RSCLER0256"/>
    <s v="SANAA"/>
    <m/>
    <m/>
    <s v="PORTO ALEGRE"/>
    <s v=" Cond Edifício Residencial Freitas"/>
    <s v=" Rua Freitas e Castro, 300"/>
    <m/>
    <d v="2024-04-01T00:00:00"/>
    <x v="0"/>
    <m/>
    <s v="FABIO AMARILIO"/>
    <s v="100% - OK"/>
    <s v="OK"/>
    <s v="SEM LANÇAMENTO"/>
    <s v="SEM LANÇAMENTO"/>
    <s v="2 ABERTURA E FECHAMENTO, 2 FUSÃO, 2 TESTE"/>
    <d v="2024-04-23T00:00:00"/>
    <d v="2024-04-10T00:00:00"/>
    <m/>
    <d v="2024-04-15T00:00:00"/>
    <d v="2024-04-15T00:00:00"/>
    <s v="NÃO PRECISA"/>
    <m/>
    <x v="0"/>
    <x v="0"/>
    <s v="AG. MEDIÇÃO"/>
    <n v="3"/>
    <x v="0"/>
    <n v="0"/>
  </r>
  <r>
    <s v="RSCLER0124"/>
    <s v="JCVAA"/>
    <m/>
    <m/>
    <s v="PORTO ALEGRE"/>
    <s v="COND. TERRARA"/>
    <s v=" RUA GRALHA AZUL, 555"/>
    <m/>
    <d v="2023-09-01T00:00:00"/>
    <x v="0"/>
    <s v="VALDIR PASSOS ( ADRIANO)"/>
    <s v="JEFERSON"/>
    <s v="100% - OK"/>
    <s v="OK"/>
    <m/>
    <n v="284"/>
    <s v="FOI LANÇADO 284 METROS DE CABO DE 12FO, 2 CX NOVA, 4 FUSÃO, 1 DERIVAÇÃO E 2 ABERTURA E FECHAMENTO"/>
    <d v="2023-10-04T00:00:00"/>
    <d v="2023-09-06T00:00:00"/>
    <d v="2023-09-29T00:00:00"/>
    <d v="2023-09-29T00:00:00"/>
    <d v="2023-09-29T00:00:00"/>
    <s v="NÃO PRECISA"/>
    <m/>
    <x v="0"/>
    <x v="0"/>
    <s v="AG. MEDIÇÃO"/>
    <n v="17"/>
    <x v="1"/>
    <n v="14"/>
  </r>
  <r>
    <s v="RSCLER0187"/>
    <s v="GUAAA"/>
    <m/>
    <m/>
    <s v="PORTO ALEGRE"/>
    <s v="Condomínio Costa Esmeralda"/>
    <s v=" Rua Jacunda, 183"/>
    <m/>
    <d v="2023-12-01T00:00:00"/>
    <x v="0"/>
    <m/>
    <s v="ALEXANDRE/ MARCOS EMILIANO"/>
    <s v="100% - OK"/>
    <s v="OK"/>
    <s v="SEM LANÇAMENTO"/>
    <s v="SEM LANÇAMENTO"/>
    <s v="2 ABERTURA E FECHAMENTO, 1 FUSÃO , 1 CAIXA NOVA , 1 DERIVAÇÃO"/>
    <d v="2024-01-09T00:00:00"/>
    <d v="2023-12-14T00:00:00"/>
    <m/>
    <d v="2023-12-15T00:00:00"/>
    <d v="2023-12-15T00:00:00"/>
    <s v="NÃO PRECISA"/>
    <m/>
    <x v="0"/>
    <x v="0"/>
    <s v="AG. MEDIÇÃO"/>
    <n v="1"/>
    <x v="0"/>
    <n v="-2"/>
  </r>
  <r>
    <s v="RSCLER0082"/>
    <s v="PDRAHB"/>
    <m/>
    <m/>
    <s v="PORTO ALEGRE"/>
    <s v="SOLAR WALLIG - TUMELERO"/>
    <s v=" RUA JOÃO WALLIG, 306"/>
    <m/>
    <d v="2023-06-01T00:00:00"/>
    <x v="0"/>
    <s v="JEFERSON"/>
    <s v="JEFERSON"/>
    <s v="100% - OK"/>
    <s v="-"/>
    <m/>
    <n v="225"/>
    <s v="225 METROS CABO 12FO LANÇADO E ESPINADO / 2 ABERTURA E FECHAMENTO / 4 FUSÃO / 4 TESTE / 1 CX NOVA"/>
    <d v="2023-06-23T00:00:00"/>
    <d v="2023-06-21T00:00:00"/>
    <d v="2023-06-21T00:00:00"/>
    <d v="2023-06-22T00:00:00"/>
    <d v="2023-06-22T00:00:00"/>
    <s v="NÃO PRECISA"/>
    <m/>
    <x v="0"/>
    <x v="0"/>
    <s v="AG. MEDIÇÃO"/>
    <n v="1"/>
    <x v="0"/>
    <n v="-2"/>
  </r>
  <r>
    <s v="RSCLER0102"/>
    <s v="VNVAB"/>
    <m/>
    <m/>
    <s v="PORTO ALEGRE"/>
    <s v="COOP. HABIT GERALDO SANTANA "/>
    <s v=" RUA JOAQUIM DE CARVALHO, 700"/>
    <m/>
    <d v="2023-06-01T00:00:00"/>
    <x v="0"/>
    <s v="PAULO GASEN"/>
    <s v="DIOGO"/>
    <s v="100% - OK"/>
    <s v="-"/>
    <m/>
    <n v="534"/>
    <s v=" LANÇADO 534 METROS tmb foi repuxado 300 metros de cabo de 72 para fazer a fist para alimentar o mdu foi feito 2 caixas novas 1 fusão 1 teste 1 derivação"/>
    <d v="2023-08-30T00:00:00"/>
    <d v="2023-06-14T00:00:00"/>
    <d v="2023-06-26T00:00:00"/>
    <d v="2023-06-27T00:00:00"/>
    <d v="2023-06-27T00:00:00"/>
    <s v="NÃO PRECISA"/>
    <m/>
    <x v="0"/>
    <x v="0"/>
    <s v="AG. MEDIÇÃO"/>
    <n v="9"/>
    <x v="1"/>
    <n v="6"/>
  </r>
  <r>
    <s v="RSCLER0247"/>
    <s v="CNTAA"/>
    <m/>
    <m/>
    <s v="NOVO HAMBURGO"/>
    <s v="CNTAA.119.M030"/>
    <s v=" Rua Lavras do Sul 1 NHO"/>
    <s v="CNTAA.119.M030"/>
    <d v="2024-04-01T00:00:00"/>
    <x v="0"/>
    <m/>
    <s v="VINICIUS / RODRIGO"/>
    <s v="100% - OK"/>
    <s v="OK"/>
    <s v="SEM LANÇAMENTO"/>
    <s v="SEM LANÇAMENTO"/>
    <s v="2 ABERTURA E FECHAMENTO, 3 FUSÃO, 3 TESTE"/>
    <d v="2024-04-23T00:00:00"/>
    <d v="2024-04-02T00:00:00"/>
    <m/>
    <d v="2024-04-04T00:00:00"/>
    <d v="2024-04-04T00:00:00"/>
    <s v="NÃO PRECISA"/>
    <m/>
    <x v="0"/>
    <x v="0"/>
    <s v="AG. MEDIÇÃO"/>
    <n v="2"/>
    <x v="0"/>
    <n v="-1"/>
  </r>
  <r>
    <s v="RSCLER0083"/>
    <s v="SSOAFA"/>
    <m/>
    <m/>
    <s v="PORTO ALEGRE"/>
    <s v="COND. ED. CENNARIO LINDOIA"/>
    <s v=" RUA LUIZ SIEGMANN, 160"/>
    <m/>
    <d v="2023-06-01T00:00:00"/>
    <x v="0"/>
    <s v="JACKSON"/>
    <s v="JACKSON"/>
    <s v="100% - OK"/>
    <s v="-"/>
    <m/>
    <n v="2"/>
    <s v="2 ABERTURA E FECHAMENTO / 4 FUSÃO / 1 CX NOVA / 2 TESTE"/>
    <d v="2023-06-23T00:00:00"/>
    <d v="2023-06-07T00:00:00"/>
    <d v="2023-06-07T00:00:00"/>
    <d v="2023-06-10T00:00:00"/>
    <d v="2023-06-12T00:00:00"/>
    <s v="NÃO PRECISA"/>
    <m/>
    <x v="0"/>
    <x v="0"/>
    <s v="AG. MEDIÇÃO"/>
    <n v="3"/>
    <x v="0"/>
    <n v="0"/>
  </r>
  <r>
    <s v="RSCLER0084"/>
    <s v="SSOAFA"/>
    <m/>
    <m/>
    <s v="PORTO ALEGRE"/>
    <s v="COND. PATEO LINDOIA"/>
    <s v=" RUA LUIZ SIEGMANN, 30"/>
    <m/>
    <d v="2023-06-01T00:00:00"/>
    <x v="0"/>
    <s v="JACKSON"/>
    <s v="JACKSON"/>
    <s v="100% - OK"/>
    <s v="-"/>
    <m/>
    <n v="190"/>
    <s v="190 METROS LANÇADO / 190 METROS ESPINADO / 1 ABERTURA E FECHAMENTO /  1 CX NOVA / 2 FUSÃO / 1 TESTE"/>
    <d v="2023-06-23T00:00:00"/>
    <d v="2023-06-07T00:00:00"/>
    <d v="2023-06-07T00:00:00"/>
    <d v="2023-06-10T00:00:00"/>
    <d v="2023-06-12T00:00:00"/>
    <s v="NÃO PRECISA"/>
    <m/>
    <x v="0"/>
    <x v="0"/>
    <s v="AG. MEDIÇÃO"/>
    <n v="3"/>
    <x v="0"/>
    <n v="0"/>
  </r>
  <r>
    <s v="RSCLER0120"/>
    <s v="CNTAA"/>
    <m/>
    <m/>
    <s v="NOVO HAMBURGO"/>
    <s v=" MAGUALHÕES CALVET"/>
    <s v=" RUA MAGALHÕES CALVET, 251"/>
    <m/>
    <d v="2023-08-01T00:00:00"/>
    <x v="0"/>
    <m/>
    <s v="DIOGO"/>
    <s v="100% - OK"/>
    <s v="-"/>
    <s v="SEM LANÇAMENTO"/>
    <s v="SEM LANÇAMENTO"/>
    <s v="2 ABERTURA E FECHAMENTO / 1 FUSÃO  / 2 TESTE /  1 COM OTDR "/>
    <d v="2023-09-06T00:00:00"/>
    <d v="2023-08-22T00:00:00"/>
    <d v="2023-08-22T00:00:00"/>
    <d v="2023-08-22T00:00:00"/>
    <d v="2023-08-22T00:00:00"/>
    <s v="NÃO PRECISA"/>
    <m/>
    <x v="0"/>
    <x v="0"/>
    <s v="AG. MEDIÇÃO"/>
    <n v="0"/>
    <x v="0"/>
    <n v="-3"/>
  </r>
  <r>
    <s v="RSCLER0125"/>
    <s v="VJDAB"/>
    <m/>
    <m/>
    <s v="PORTO ALEGRE"/>
    <s v="JARDIM SABARÁ"/>
    <s v=" RUA MANOEL LOPES MEIRELLES, 115"/>
    <m/>
    <d v="2023-09-01T00:00:00"/>
    <x v="0"/>
    <s v="alan gomes "/>
    <s v="DIOGO"/>
    <s v="100% - OK"/>
    <s v="-"/>
    <m/>
    <n v="513"/>
    <s v="LANÇADO 513 METROS DE CABO DE 12FO, 1 ABERTURA E FECHAMENTO, 3 FUSÃO , 3 TESTE , 1 CX NOVA , 1 DERIVAÇÃO / Este mdu teve mudança mandar email pra Brenda mudou conforme o print _x000a__x000a_Mudou o unifilar criar um cabo saindo da fist pegando as mesmas fibras em roxo e levando até a m"/>
    <d v="2023-09-29T00:00:00"/>
    <d v="2023-09-14T00:00:00"/>
    <d v="2023-09-15T00:00:00"/>
    <d v="2023-09-18T00:00:00"/>
    <d v="2023-09-18T00:00:00"/>
    <s v="NÃO PRECISA"/>
    <m/>
    <x v="0"/>
    <x v="0"/>
    <s v="AG. MEDIÇÃO"/>
    <n v="2"/>
    <x v="0"/>
    <n v="-1"/>
  </r>
  <r>
    <s v="RSCLER0091"/>
    <s v="FLOAF"/>
    <m/>
    <m/>
    <s v="PORTO ALEGRE"/>
    <s v="TREND 24 RESIDENCE"/>
    <s v=" RUA MARILAND, 707 - 777"/>
    <m/>
    <d v="2023-06-01T00:00:00"/>
    <x v="0"/>
    <s v="WILLIAN ALVES"/>
    <s v="PAULO GOMES"/>
    <s v="100% - OK"/>
    <s v="-"/>
    <m/>
    <n v="710"/>
    <s v="710 METROS DE CABO 48FO / 4 ABERTURA E FECHAMENTO / 6 FUSÃO / 2 TESTE / 2 DERIVAÇÃO"/>
    <d v="2023-07-11T00:00:00"/>
    <d v="2023-06-14T00:00:00"/>
    <d v="2023-06-26T00:00:00"/>
    <d v="2023-06-29T00:00:00"/>
    <d v="2023-07-03T00:00:00"/>
    <s v="NÃO PRECISA"/>
    <m/>
    <x v="0"/>
    <x v="0"/>
    <s v="AG. MEDIÇÃO"/>
    <n v="13"/>
    <x v="1"/>
    <n v="10"/>
  </r>
  <r>
    <s v="RSCLER0101"/>
    <s v="RBRAKA"/>
    <m/>
    <m/>
    <s v="PORTO ALEGRE"/>
    <s v="COND. MANHATTAN"/>
    <s v=" RUA SANTA CECÍLIA, 2282"/>
    <m/>
    <d v="2023-08-01T00:00:00"/>
    <x v="0"/>
    <s v="JEFERSON"/>
    <s v="JEFERSON"/>
    <s v="100% - OK"/>
    <s v="-"/>
    <m/>
    <n v="340"/>
    <s v=" LANÇADO 340 MTS DE CABO DE 12FO, 3 ABERTURA E FECHAMENTO, 16 FUSÃO, 1 DERIVAÇÃO, 1 CX NOVA."/>
    <d v="2023-09-06T00:00:00"/>
    <d v="2023-08-16T00:00:00"/>
    <d v="2023-08-16T00:00:00"/>
    <d v="2023-08-17T00:00:00"/>
    <d v="2023-08-17T00:00:00"/>
    <s v="NÃO PRECISA"/>
    <m/>
    <x v="0"/>
    <x v="0"/>
    <s v="AG. MEDIÇÃO"/>
    <n v="1"/>
    <x v="0"/>
    <n v="-2"/>
  </r>
  <r>
    <s v="RSCLER0196"/>
    <s v="CNTAB"/>
    <m/>
    <m/>
    <s v="ESTEIO"/>
    <s v="Cond. Villa Bella"/>
    <s v=" Rua Soledade 126"/>
    <m/>
    <d v="2023-12-01T00:00:00"/>
    <x v="0"/>
    <m/>
    <s v="MARCOS EMILIANO"/>
    <s v="100% - OK"/>
    <s v="OK"/>
    <s v="SEM LANÇAMENTO"/>
    <s v="SEM LANÇAMENTO"/>
    <s v="1 ABERTURA E FECHAMENTO, 4 FUSÃO, 1 CX NOVA, 2 TESTE"/>
    <d v="2024-01-09T00:00:00"/>
    <d v="2023-12-28T00:00:00"/>
    <m/>
    <d v="2024-01-05T00:00:00"/>
    <d v="2024-01-05T00:00:00"/>
    <s v="NÃO PRECISA"/>
    <m/>
    <x v="0"/>
    <x v="0"/>
    <s v="AG. MEDIÇÃO"/>
    <n v="6"/>
    <x v="1"/>
    <n v="3"/>
  </r>
  <r>
    <s v="RSCLER0212"/>
    <s v="AZNAA"/>
    <m/>
    <m/>
    <s v="PORTO ALEGRE"/>
    <s v="Cond Ed Via Veneto"/>
    <s v=" Rua Vicente da Fontoura, 595 - 605"/>
    <m/>
    <d v="2024-01-01T00:00:00"/>
    <x v="0"/>
    <s v="NATANIEL "/>
    <s v="NATANIEL "/>
    <s v="100% - OK"/>
    <s v="OK"/>
    <m/>
    <n v="250"/>
    <s v="FOI LANÇANDO 250 METROS DE CABO DE 12FO,  1 CX NOVA, 6 ABERTURA E FECHAMENTO, 4 FUSÃO, 1 DERIVAÇÃO, TEVE 2 CX DE ROMPIMENTO NO TRECHO, 1 TESTE  ( TEVE 2 ABERTURA E FECHAMENTO A MAIS POIS ELE FOI 3 VEZES TESTAR POR FALTA DO CORDÃO NO SITE)"/>
    <d v="2024-02-23T00:00:00"/>
    <d v="2024-01-30T00:00:00"/>
    <d v="2024-02-09T00:00:00"/>
    <d v="2024-02-15T00:00:00"/>
    <d v="2024-02-15T00:00:00"/>
    <s v="NÃO PRECISA"/>
    <m/>
    <x v="0"/>
    <x v="0"/>
    <s v="AG. MEDIÇÃO"/>
    <n v="12"/>
    <x v="1"/>
    <n v="9"/>
  </r>
  <r>
    <s v="RSCLER0293"/>
    <s v="SLSAA"/>
    <s v="SLSAA"/>
    <m/>
    <s v="VIAMÃO"/>
    <s v="DIRETORIA"/>
    <s v=" TV Silveira 82"/>
    <s v="SLSAA.004.03.07"/>
    <d v="2024-04-01T00:00:00"/>
    <x v="0"/>
    <s v="UBIRATAN"/>
    <s v="EMILIANO"/>
    <s v="100% - OK"/>
    <m/>
    <m/>
    <n v="800"/>
    <s v="FOI LANÇADO 800 METROS DE CABO DE 12FO,  3 ABERTURA E FECHAMENTO, 6 FUSÃO, 1 DERIVAÇÃO, 1 NAP NOVA, 3 TESTE "/>
    <d v="2024-05-27T00:00:00"/>
    <d v="2024-04-26T00:00:00"/>
    <d v="2024-04-27T00:00:00"/>
    <d v="2024-05-07T00:00:00"/>
    <d v="2024-05-07T00:00:00"/>
    <s v="NÃO PRECISA"/>
    <m/>
    <x v="0"/>
    <x v="0"/>
    <s v="AG. MEDIÇÃO"/>
    <n v="7"/>
    <x v="1"/>
    <n v="4"/>
  </r>
  <r>
    <s v="RSCLER0840"/>
    <s v="SRDAA"/>
    <m/>
    <s v="RSPNO08"/>
    <s v="PORTO ALEGRE"/>
    <s v="PAMPAS I "/>
    <s v=" AV SOUZA MELO 1084"/>
    <s v="SRDAA.085.M020"/>
    <d v="2026-04-01T00:00:00"/>
    <x v="0"/>
    <m/>
    <s v="CATIA"/>
    <m/>
    <m/>
    <s v="SEM LANÇAMENTO"/>
    <s v="SEM LANÇAMENTO"/>
    <s v="2 ABERTURA E FECHAMENTO, 11 FUSÕES, 2 TESTES OTDR, 1 DERIVAÇÃO"/>
    <d v="2026-05-21T00:00:00"/>
    <d v="2026-04-17T00:00:00"/>
    <m/>
    <m/>
    <d v="2026-04-22T00:00:00"/>
    <d v="2026-05-21T00:00:00"/>
    <m/>
    <x v="0"/>
    <x v="0"/>
    <s v="AG. MEDIÇÃO"/>
    <n v="3"/>
    <x v="0"/>
    <n v="0"/>
  </r>
  <r>
    <s v="RSCLER0463"/>
    <s v="VIPAA"/>
    <m/>
    <s v="RSPNO19"/>
    <s v="PORTO ALEGRE"/>
    <s v="Condomínio Cipriani Nuova Architettura"/>
    <s v=" Av. Túlio de Rose, 330"/>
    <s v="VIPAA.041"/>
    <d v="2024-11-01T00:00:00"/>
    <x v="0"/>
    <m/>
    <s v="ANDERSON"/>
    <s v="100% - OK"/>
    <s v="OK"/>
    <s v="SEM LANÇAMENTO"/>
    <s v="SEM LANÇAMENTO"/>
    <s v="4 ABERTURA E FECHAMENTO, 2 FUSÃO, 1 TESTE"/>
    <d v="2024-12-06T00:00:00"/>
    <d v="2024-11-08T00:00:00"/>
    <d v="2024-11-11T00:00:00"/>
    <d v="2024-11-12T00:00:00"/>
    <d v="2024-11-11T00:00:00"/>
    <s v="NÃO PRECISA"/>
    <m/>
    <x v="0"/>
    <x v="0"/>
    <s v="AG. MEDIÇÃO"/>
    <n v="1"/>
    <x v="0"/>
    <n v="-2"/>
  </r>
  <r>
    <s v="RSCLER0741"/>
    <s v="LPRAB"/>
    <s v="LPRAA"/>
    <s v="RSPSU98"/>
    <s v="PORTO ALEGRE"/>
    <s v="COND. PINHEIROS"/>
    <s v=" Estrada João de Oliveira Remião, 6700"/>
    <s v="LPRAB.032.M030"/>
    <d v="2025-10-01T00:00:00"/>
    <x v="0"/>
    <s v="AUGUSTO"/>
    <s v="AUGUSTO"/>
    <m/>
    <m/>
    <n v="120"/>
    <n v="99"/>
    <s v="FOI LANÇADO 99 METROS DE CABO DE 12FO, 2 ABERTURA E FECHAMENTO, 1 CX NOVA, 1 DERIVAÇÃO, 4 FUSÕES, 2 TESTES"/>
    <d v="2025-10-20T00:00:00"/>
    <d v="2025-10-17T00:00:00"/>
    <m/>
    <m/>
    <d v="2025-10-17T00:00:00"/>
    <d v="2025-10-20T00:00:00"/>
    <m/>
    <x v="0"/>
    <x v="0"/>
    <s v="AG. MEDIÇÃO"/>
    <n v="0"/>
    <x v="0"/>
    <n v="-3"/>
  </r>
  <r>
    <s v="RSCLER1012"/>
    <s v="VIPAA"/>
    <s v="SPEAJ"/>
    <s v="RSPNO019"/>
    <s v="PORTO ALEGRE"/>
    <s v=" Edifício Planalto "/>
    <s v=" R ADÃO BAINO 680"/>
    <s v="VIPAA.124.M020"/>
    <d v="2026-08-01T00:00:00"/>
    <x v="0"/>
    <s v="TIAGO FERREIRA"/>
    <s v="CATIA"/>
    <m/>
    <s v="OK"/>
    <n v="704"/>
    <n v="842"/>
    <s v="FOI LANÇADO 842 METTROS DE CABO DE 36FO, 2 ABERTURA E FECHAMENTO, 2 CX NOVA,  8 FUSÕES, 1 DERIVAÇÃO, 4 TESTES, 1 TESTE OTDR."/>
    <d v="2026-08-20T00:00:00"/>
    <d v="2026-08-05T00:00:00"/>
    <m/>
    <m/>
    <d v="2026-08-11T00:00:00"/>
    <d v="2026-08-20T00:00:00"/>
    <m/>
    <x v="0"/>
    <x v="0"/>
    <s v="AG. MEDIÇÃO"/>
    <n v="4"/>
    <x v="1"/>
    <n v="1"/>
  </r>
  <r>
    <s v="RSCLER0808"/>
    <s v="JBOAA"/>
    <s v="PETAA"/>
    <s v="RSPLE18"/>
    <s v="PORTO ALEGRE"/>
    <m/>
    <s v=" R Barão do Amazonas, 130"/>
    <s v="JBOAA.062.M040"/>
    <d v="2026-03-01T00:00:00"/>
    <x v="0"/>
    <m/>
    <s v="CATIA"/>
    <m/>
    <m/>
    <s v="SEM LANÇAMENTO"/>
    <s v="SEM LANÇAMENTO"/>
    <s v="2 ABERTURA E FECHAMENTO, 2 FUSÕES, 1 TESTE OTDR, 1 TESTE."/>
    <d v="2026-03-20T00:00:00"/>
    <d v="2026-03-19T00:00:00"/>
    <d v="2026-03-19T00:00:00"/>
    <d v="2026-03-19T00:00:00"/>
    <d v="2026-03-19T00:00:00"/>
    <d v="2026-03-20T00:00:00"/>
    <m/>
    <x v="0"/>
    <x v="0"/>
    <s v="AG. MEDIÇÃO"/>
    <n v="0"/>
    <x v="0"/>
    <n v="-3"/>
  </r>
  <r>
    <s v="RSCLER0809"/>
    <s v="JBOAA"/>
    <s v="PETAA"/>
    <s v="RSPLE18"/>
    <s v="PORTO ALEGRE"/>
    <s v="Cond. DIEGO RIVERA "/>
    <s v=" R Barão do Amazonas, 156"/>
    <s v="JBOAA.062.M040"/>
    <d v="2026-03-01T00:00:00"/>
    <x v="0"/>
    <m/>
    <s v="CATIA"/>
    <m/>
    <m/>
    <s v="SEM LANÇAMENTO"/>
    <s v="SEM LANÇAMENTO"/>
    <s v="2 ABERTURAS, 3 FUSÕES, 1 TESTES OTDR E 2 TESTES"/>
    <d v="2026-03-19T00:00:00"/>
    <d v="2026-03-19T00:00:00"/>
    <d v="2026-03-19T00:00:00"/>
    <d v="2026-03-19T00:00:00"/>
    <d v="2026-03-19T00:00:00"/>
    <d v="2026-03-19T00:00:00"/>
    <m/>
    <x v="0"/>
    <x v="0"/>
    <s v="AG. MEDIÇÃO"/>
    <n v="0"/>
    <x v="0"/>
    <n v="-3"/>
  </r>
  <r>
    <s v="RSCLER0916"/>
    <s v="BFMAA"/>
    <s v="BFMAA"/>
    <s v="PAE IND"/>
    <s v="PORTO ALEGRE"/>
    <m/>
    <s v=" R BARROS CASSAL 723 "/>
    <s v="BFMAA.124.M020"/>
    <d v="2026-06-01T00:00:00"/>
    <x v="0"/>
    <m/>
    <s v="CATIA"/>
    <m/>
    <s v="OK"/>
    <s v="SEM LANÇAMENTO"/>
    <s v="SEM LANÇAMENTO"/>
    <s v="3 ABERTURA E FECHAMENTO, 8 FUSÕES, 1 DERIVAÇÃO, 2 TESTES."/>
    <d v="2026-07-07T00:00:00"/>
    <d v="2026-06-15T00:00:00"/>
    <m/>
    <m/>
    <d v="2026-06-16T00:00:00"/>
    <d v="2026-07-07T00:00:00"/>
    <m/>
    <x v="0"/>
    <x v="0"/>
    <s v="AG. MEDIÇÃO"/>
    <n v="1"/>
    <x v="0"/>
    <n v="-2"/>
  </r>
  <r>
    <s v="RSCLER0904"/>
    <s v="RBRAA"/>
    <s v="RBRAEA"/>
    <s v="RSPLE08"/>
    <s v="PORTO ALEGRE"/>
    <m/>
    <s v=" R JACINTO GOMES 421"/>
    <s v="RBRAA.010.M020"/>
    <d v="2026-06-01T00:00:00"/>
    <x v="0"/>
    <m/>
    <s v="AFONSO"/>
    <m/>
    <s v="OK"/>
    <s v="SEM LANÇAMENTO"/>
    <s v="SEM LANÇAMENTO"/>
    <s v="2 ABERTURA E FECHAMENTO, 1 FUSÃO, 1 TESTE."/>
    <d v="2026-07-07T00:00:00"/>
    <d v="2026-06-08T00:00:00"/>
    <m/>
    <m/>
    <d v="2026-06-09T00:00:00"/>
    <d v="2026-07-07T00:00:00"/>
    <m/>
    <x v="0"/>
    <x v="0"/>
    <s v="AG. MEDIÇÃO"/>
    <n v="1"/>
    <x v="0"/>
    <n v="-2"/>
  </r>
  <r>
    <s v="RSCLER0108"/>
    <m/>
    <m/>
    <m/>
    <s v="PORTO ALEGRE"/>
    <s v="COND. MONTAIN VILLE "/>
    <s v="AVENIDA EDIGAR PIRES DE CASTRO, 540"/>
    <m/>
    <d v="2023-01-01T00:00:00"/>
    <x v="1"/>
    <m/>
    <m/>
    <s v="SEM AUTORIZAÇÃO DE ACESSO"/>
    <m/>
    <m/>
    <m/>
    <m/>
    <m/>
    <d v="2023-01-02T00:00:00"/>
    <d v="2023-01-02T00:00:00"/>
    <d v="2023-01-09T00:00:00"/>
    <s v="CANCELADO"/>
    <s v="NÃO PRECISA"/>
    <m/>
    <x v="1"/>
    <x v="1"/>
    <s v="CANCELADO"/>
    <s v="CANCELADO"/>
    <x v="1"/>
    <s v="CANCELADO"/>
  </r>
  <r>
    <s v="RSCLER0941"/>
    <s v="IDLAA"/>
    <s v="CNTAI"/>
    <s v="RSNHO11"/>
    <s v="NOVO HAMBURGO"/>
    <m/>
    <s v=" R SALGADO FILHO 341"/>
    <s v="IDLAA.015.M030"/>
    <d v="2026-06-01T00:00:00"/>
    <x v="0"/>
    <m/>
    <s v="CATIA"/>
    <m/>
    <s v="OK"/>
    <s v="SEM LANÇAMENTO"/>
    <s v="SEM LANÇAMENTO"/>
    <s v="2 ABERTURA E FECHAMENTO, 2 FUSÃO, 1 TESTE."/>
    <d v="2026-07-08T00:00:00"/>
    <d v="2026-06-18T00:00:00"/>
    <m/>
    <m/>
    <d v="2026-06-26T00:00:00"/>
    <d v="2026-07-08T00:00:00"/>
    <m/>
    <x v="0"/>
    <x v="0"/>
    <s v="AG. MEDIÇÃO"/>
    <n v="6"/>
    <x v="1"/>
    <n v="3"/>
  </r>
  <r>
    <s v="RSCLER0572"/>
    <s v="TRA"/>
    <m/>
    <m/>
    <s v="TRAMANDAI"/>
    <m/>
    <s v=" R SÃO JOAO - Número 1596"/>
    <s v="TRA047M020"/>
    <d v="2025-04-01T00:00:00"/>
    <x v="0"/>
    <m/>
    <s v="FABIO AMARILIO"/>
    <m/>
    <m/>
    <m/>
    <m/>
    <s v="5 ABERTURA E FECHAMENTO, 11 FUSÕES, 4 TESTES"/>
    <d v="2025-05-08T00:00:00"/>
    <d v="2025-04-04T00:00:00"/>
    <d v="2025-04-08T00:00:00"/>
    <d v="2025-04-09T00:00:00"/>
    <d v="2025-04-10T00:00:00"/>
    <s v="NÃO PRECISA"/>
    <m/>
    <x v="0"/>
    <x v="0"/>
    <s v="AG. MEDIÇÃO"/>
    <n v="4"/>
    <x v="1"/>
    <n v="1"/>
  </r>
  <r>
    <s v="RSCLER0940"/>
    <s v="SANAA"/>
    <s v="CBXAH"/>
    <s v="RSPCE22"/>
    <s v="PORTO ALEGRE"/>
    <m/>
    <s v=" R SARMENTO LEITE 860"/>
    <s v="SANAA.276.M030"/>
    <d v="2026-06-01T00:00:00"/>
    <x v="0"/>
    <m/>
    <s v="CATIA"/>
    <m/>
    <s v="OK"/>
    <s v="SEM LANÇAMENTO"/>
    <s v="SEM LANÇAMENTO"/>
    <s v="2 ABERTURA E FECHAMENTO, 2 FUSÕES, 1 TESTES, 1 TESTE OTDR."/>
    <d v="2026-07-08T00:00:00"/>
    <d v="2026-06-18T00:00:00"/>
    <m/>
    <m/>
    <d v="2026-06-20T00:00:00"/>
    <d v="2026-07-08T00:00:00"/>
    <m/>
    <x v="0"/>
    <x v="0"/>
    <s v="AG. MEDIÇÃO"/>
    <n v="1"/>
    <x v="0"/>
    <n v="-2"/>
  </r>
  <r>
    <s v="RSCLER0652"/>
    <s v="MNDAA"/>
    <s v="MNDAN"/>
    <s v="PAE CL"/>
    <s v="PORTO ALEGRE"/>
    <m/>
    <s v=" R SILVEIRO 437 / R MIGUEL COUTO 350"/>
    <s v="MNDAC.091.M040"/>
    <d v="2025-06-01T00:00:00"/>
    <x v="0"/>
    <m/>
    <s v="AUGUSTO"/>
    <m/>
    <m/>
    <s v="SEM LANÇAMENTO"/>
    <s v="SEM LANÇAMENTO"/>
    <s v="6 ABERTURA E FECHAMENTO, 9 FUSÕES, 3 TESTES"/>
    <d v="2025-07-14T00:00:00"/>
    <d v="2025-06-30T00:00:00"/>
    <d v="2025-07-07T00:00:00"/>
    <d v="2025-07-09T00:00:00"/>
    <d v="2025-07-11T00:00:00"/>
    <d v="2025-08-07T00:00:00"/>
    <m/>
    <x v="0"/>
    <x v="0"/>
    <s v="AG. MEDIÇÃO"/>
    <n v="9"/>
    <x v="1"/>
    <n v="6"/>
  </r>
  <r>
    <s v="RSCLER0109"/>
    <s v="SRDAPA"/>
    <m/>
    <m/>
    <s v="PORTO ALEGRE"/>
    <s v="COND. RESERVA DO TAIM"/>
    <s v="AVENIDA ECOVILLE, 190"/>
    <m/>
    <d v="2023-03-01T00:00:00"/>
    <x v="1"/>
    <s v="PARALISADO"/>
    <s v="EM ANDAMENTO"/>
    <s v="100% - OK"/>
    <m/>
    <m/>
    <s v="OUT"/>
    <s v="EXECUTADO POR OUTRA EMPRETEIRA"/>
    <m/>
    <d v="2023-02-17T00:00:00"/>
    <d v="2023-03-10T00:00:00"/>
    <d v="2023-03-31T00:00:00"/>
    <s v="CANCELADO"/>
    <s v="NÃO PRECISA"/>
    <m/>
    <x v="1"/>
    <x v="1"/>
    <s v="CANCELADO"/>
    <s v="CANCELADO"/>
    <x v="1"/>
    <s v="CANCELADO"/>
  </r>
  <r>
    <s v="RSCLER0602"/>
    <s v="TRA"/>
    <m/>
    <m/>
    <s v="TRAMANDAI"/>
    <m/>
    <s v=" R VINTE E QUATRO DE SETEMBRO - Número 991"/>
    <s v="TRA.031.M050"/>
    <d v="2025-05-01T00:00:00"/>
    <x v="0"/>
    <m/>
    <s v="FABIO AMARILHO"/>
    <m/>
    <m/>
    <s v="SEM LANÇAMENTO"/>
    <s v="SEM LANÇAMENTO"/>
    <s v="4 ABERTURA E FECHAMENTO, 3 FUSÕES, 1 TESTE"/>
    <d v="2025-06-18T00:00:00"/>
    <d v="2025-05-23T00:00:00"/>
    <m/>
    <m/>
    <d v="2025-05-30T00:00:00"/>
    <s v="NÃO PRECISA"/>
    <m/>
    <x v="0"/>
    <x v="0"/>
    <s v="AG. MEDIÇÃO"/>
    <n v="5"/>
    <x v="1"/>
    <n v="2"/>
  </r>
  <r>
    <s v="RSCLER0464"/>
    <s v="VIPAA"/>
    <m/>
    <s v="RSPNO19"/>
    <s v="PORTO ALEGRE"/>
    <s v="Vila Ipiranga"/>
    <s v=" R. Bolívia, 90"/>
    <s v="VIPAA.015.M060"/>
    <d v="2024-11-01T00:00:00"/>
    <x v="0"/>
    <s v="PAULO GOMES"/>
    <s v="PAULO GOMES"/>
    <s v="100% - OK"/>
    <s v="OK - ENVIADO"/>
    <m/>
    <n v="20"/>
    <s v="FOI LANÇADO 20 METROS DE CABO, 2 ABERTURA E FECHAMENTO, 4 FUSÃO, 1 DERIVAÇÃO, 1 CX NOVA, 2 TESTE"/>
    <d v="2024-11-25T00:00:00"/>
    <d v="2024-11-11T00:00:00"/>
    <d v="2024-11-12T00:00:00"/>
    <d v="2024-11-13T00:00:00"/>
    <d v="2024-11-13T00:00:00"/>
    <s v="NÃO PRECISA"/>
    <m/>
    <x v="0"/>
    <x v="0"/>
    <s v="AG. MEDIÇÃO"/>
    <n v="2"/>
    <x v="0"/>
    <n v="-1"/>
  </r>
  <r>
    <s v="RSCLER0487"/>
    <s v="RBTAB"/>
    <s v="RBTABA"/>
    <s v="RSPNO22"/>
    <s v="PORTO ALEGRE"/>
    <m/>
    <s v=" R. Irmã Teresilda Steffen, 115"/>
    <s v="RBTAB.091.M040"/>
    <d v="2025-01-01T00:00:00"/>
    <x v="0"/>
    <s v="GABRIEL BRITO SANTOS"/>
    <s v="CATIA"/>
    <s v="100% - OK"/>
    <m/>
    <m/>
    <m/>
    <s v="2 ABERTURA E FECHAMENTO"/>
    <d v="2025-02-10T00:00:00"/>
    <d v="2025-01-08T00:00:00"/>
    <d v="2025-01-21T00:00:00"/>
    <d v="2025-02-03T00:00:00"/>
    <d v="2025-02-05T00:00:00"/>
    <s v="NÃO PRECISA"/>
    <m/>
    <x v="0"/>
    <x v="0"/>
    <s v="AG. MEDIÇÃO"/>
    <n v="20"/>
    <x v="1"/>
    <n v="17"/>
  </r>
  <r>
    <s v="RSCLER0486"/>
    <s v="RBTAB"/>
    <s v="RBTABA"/>
    <s v="RSPNO22"/>
    <s v="PORTO ALEGRE"/>
    <m/>
    <s v=" R. Irmã Teresilda Steffen, 255"/>
    <s v="RBTAB.091.M010"/>
    <d v="2025-01-01T00:00:00"/>
    <x v="0"/>
    <s v="GABRIEL BRITO SANTOS"/>
    <s v="CATIA"/>
    <s v="100% - OK"/>
    <m/>
    <m/>
    <m/>
    <s v="2 ABERTURA E FECHAMENTO"/>
    <d v="2025-02-10T00:00:00"/>
    <d v="2025-01-08T00:00:00"/>
    <d v="2025-01-21T00:00:00"/>
    <d v="2025-02-03T00:00:00"/>
    <d v="2025-02-05T00:00:00"/>
    <s v="NÃO PRECISA"/>
    <m/>
    <x v="0"/>
    <x v="0"/>
    <s v="AG. MEDIÇÃO"/>
    <n v="20"/>
    <x v="1"/>
    <n v="17"/>
  </r>
  <r>
    <s v="RSCLER0589"/>
    <s v="GUAAA"/>
    <s v="GUAAC"/>
    <s v="RSPSU21"/>
    <s v="PORTO ALEGRE"/>
    <m/>
    <s v=" R. Prof. Antônio José Remião 15"/>
    <s v="GUAAA.043.01.01"/>
    <d v="2025-05-01T00:00:00"/>
    <x v="0"/>
    <m/>
    <s v="CESAR LEANDRO"/>
    <m/>
    <m/>
    <m/>
    <m/>
    <s v="DENTRO DO NODE GUAAC"/>
    <s v="COBRAR NO NODE"/>
    <d v="2025-05-07T00:00:00"/>
    <m/>
    <m/>
    <d v="2025-05-19T00:00:00"/>
    <s v="NÃO PRECISA"/>
    <m/>
    <x v="0"/>
    <x v="0"/>
    <s v="AG. MEDIÇÃO"/>
    <n v="8"/>
    <x v="1"/>
    <n v="5"/>
  </r>
  <r>
    <s v="RSCLER0558"/>
    <s v="PDRAA"/>
    <s v="VIPAF"/>
    <s v="RSPNO17"/>
    <s v="PORTO ALEGRE"/>
    <m/>
    <s v=" R. Roque Calage 774 - 812"/>
    <s v="PDRAA.125.M040."/>
    <d v="2025-03-01T00:00:00"/>
    <x v="0"/>
    <s v="TIAGO FERREIRA"/>
    <s v="ANDERSON"/>
    <m/>
    <m/>
    <n v="675"/>
    <n v="846"/>
    <s v="FOI LANÇADO 845 METROS DE CABO DE 12FO, 6 ABERTURA E FECHAMENTO, 3 FUSÕES, 1 TESTE"/>
    <d v="2025-05-08T00:00:00"/>
    <d v="2025-03-25T00:00:00"/>
    <d v="2025-03-27T00:00:00"/>
    <d v="2025-03-28T00:00:00"/>
    <d v="2025-05-08T00:00:00"/>
    <s v="NÃO PRECISA"/>
    <m/>
    <x v="0"/>
    <x v="0"/>
    <s v="AG. MEDIÇÃO"/>
    <n v="32"/>
    <x v="1"/>
    <n v="29"/>
  </r>
  <r>
    <s v="RSCLER0110"/>
    <s v="VNVAC"/>
    <m/>
    <m/>
    <s v="PORTO ALEGRE"/>
    <s v="COND. EUROVILLE"/>
    <s v="AVENIDA JOÃO SALOMANI, 500"/>
    <m/>
    <d v="2023-03-01T00:00:00"/>
    <x v="1"/>
    <m/>
    <m/>
    <s v="SEM AUTORIZAÇÃO DE ACESSO"/>
    <m/>
    <m/>
    <m/>
    <m/>
    <m/>
    <d v="2023-02-22T00:00:00"/>
    <d v="2023-03-13T00:00:00"/>
    <d v="2023-03-20T00:00:00"/>
    <s v="CANCELADO"/>
    <s v="NÃO PRECISA"/>
    <m/>
    <x v="1"/>
    <x v="1"/>
    <s v="CANCELADO"/>
    <s v="CANCELADO"/>
    <x v="1"/>
    <s v="CANCELADO"/>
  </r>
  <r>
    <s v="RSCLER0807"/>
    <s v="PRIAA"/>
    <s v="PRIAB"/>
    <s v="RSNHO06"/>
    <s v="NOVO HAMBURGO"/>
    <m/>
    <s v=" RUA ESTRELA 295 "/>
    <s v="PRIAA.091.01.08"/>
    <d v="2026-03-01T00:00:00"/>
    <x v="0"/>
    <s v="AUGUSTO"/>
    <s v="AUGUSTO"/>
    <m/>
    <m/>
    <n v="500"/>
    <n v="947"/>
    <s v="FOI LANÇADO 947 METROS DE CABO DE 12FO, 38 METROS DE CORDOALHA, 1 ABERTURA E FECHAMENTO, 1 DERIVAÇÃO, 1 NAP NOVA, 2 FUSÕES, 3 TESTES."/>
    <d v="2026-03-18T00:00:00"/>
    <d v="2026-03-16T00:00:00"/>
    <d v="2026-03-17T00:00:00"/>
    <m/>
    <d v="2026-03-18T00:00:00"/>
    <d v="2026-03-18T00:00:00"/>
    <m/>
    <x v="0"/>
    <x v="0"/>
    <s v="AG. MEDIÇÃO"/>
    <n v="2"/>
    <x v="0"/>
    <n v="-1"/>
  </r>
  <r>
    <s v="RSCLER0562"/>
    <s v="TRZAA"/>
    <s v="TRZABA"/>
    <s v="RSPSU11"/>
    <s v="PORTO ALEGRE"/>
    <s v="Condomínio Edifício Victória Garden"/>
    <s v=" Rua Mário Totta, 506"/>
    <s v="TRZAA.092.M010"/>
    <d v="2025-03-01T00:00:00"/>
    <x v="0"/>
    <m/>
    <s v="AUGUSTO"/>
    <s v="100% - OK"/>
    <s v="OK - ENVIADO"/>
    <s v="SEM LANÇAMENTO"/>
    <s v="SEM LANÇAMENTO"/>
    <s v="2 ABERTURA E FECHAMENTO, 4 FUSÕES, 4 TESTES"/>
    <d v="2025-05-08T00:00:00"/>
    <d v="2025-03-27T00:00:00"/>
    <d v="2025-03-27T00:00:00"/>
    <d v="2025-03-28T00:00:00"/>
    <d v="2025-03-27T00:00:00"/>
    <s v="NÃO PRECISA"/>
    <m/>
    <x v="0"/>
    <x v="0"/>
    <s v="AG. MEDIÇÃO"/>
    <n v="0"/>
    <x v="0"/>
    <n v="-3"/>
  </r>
  <r>
    <s v="RSCLER0449"/>
    <s v="TRZAA"/>
    <s v="TRZAF"/>
    <s v="RSPSU11"/>
    <s v="PORTO ALEGRE"/>
    <m/>
    <s v=" Rua Pereira Neto, 501"/>
    <s v="TRZAA.052.M080."/>
    <d v="2024-10-01T00:00:00"/>
    <x v="0"/>
    <m/>
    <s v="MARCOS EMILIANO"/>
    <s v="100% - OK"/>
    <s v="OK - ENVIADO"/>
    <s v="SEM LANÇAMENTO"/>
    <s v="SEM LANÇAMENTO"/>
    <s v="3 ABERTURA E FECHAMENTO,2 FUSÃO, 1 TESTE"/>
    <d v="2024-10-23T00:00:00"/>
    <d v="2024-10-17T00:00:00"/>
    <d v="2024-10-18T00:00:00"/>
    <d v="2024-10-21T00:00:00"/>
    <d v="2024-10-19T00:00:00"/>
    <s v="NÃO PRECISA"/>
    <m/>
    <x v="0"/>
    <x v="0"/>
    <s v="AG. MEDIÇÃO"/>
    <n v="1"/>
    <x v="0"/>
    <n v="-2"/>
  </r>
  <r>
    <s v="RSCLER0571"/>
    <s v="TRA"/>
    <m/>
    <m/>
    <s v="TRAMANDAI"/>
    <m/>
    <s v=" Rua Quinze de Novembro, 124"/>
    <s v="TRA.066.M030"/>
    <d v="2025-04-01T00:00:00"/>
    <x v="0"/>
    <m/>
    <s v="FABIO AMARILIO"/>
    <m/>
    <m/>
    <s v="SEM LANÇAMENTO"/>
    <s v="SEM LANÇAMENTO"/>
    <s v="3 ABERTURA E FECHAMENTO, 4 FUSÕES, 2 TESTES"/>
    <d v="2025-05-08T00:00:00"/>
    <d v="2025-04-02T00:00:00"/>
    <m/>
    <m/>
    <d v="2025-04-21T00:00:00"/>
    <s v="NÃO PRECISA"/>
    <m/>
    <x v="0"/>
    <x v="0"/>
    <s v="AG. MEDIÇÃO"/>
    <n v="13"/>
    <x v="1"/>
    <n v="10"/>
  </r>
  <r>
    <s v="RSCLER0290"/>
    <s v="BVSAB"/>
    <m/>
    <m/>
    <s v="PORTO ALEGRE"/>
    <s v="ED FERRAZES"/>
    <s v="ACIONAMENTO PILOTTI"/>
    <m/>
    <d v="2024-04-01T00:00:00"/>
    <x v="0"/>
    <m/>
    <s v="MARCIO"/>
    <s v="100% - OK"/>
    <s v="OK"/>
    <s v="SEM LANÇAMENTO"/>
    <s v="SEM LANÇAMENTO"/>
    <s v="2 ABERTURA E FECHAMENTO, 2 FUSÃO, 1 TESTE "/>
    <d v="2024-05-27T00:00:00"/>
    <d v="2024-04-24T00:00:00"/>
    <m/>
    <d v="2024-04-24T00:00:00"/>
    <d v="2024-04-24T00:00:00"/>
    <s v="NÃO PRECISA"/>
    <m/>
    <x v="0"/>
    <x v="0"/>
    <s v="AG. MEDIÇÃO"/>
    <n v="0"/>
    <x v="0"/>
    <n v="-3"/>
  </r>
  <r>
    <s v="RSCLER0286"/>
    <s v="VIPAA"/>
    <s v="SPEAH"/>
    <m/>
    <s v="PORTO ALEGRE"/>
    <s v="DIRETORIA"/>
    <s v="Adão Baino, 261"/>
    <s v="VIPAA.021.M060"/>
    <d v="2024-04-01T00:00:00"/>
    <x v="0"/>
    <s v="ALAN / LAMBRETA / THIAGO"/>
    <s v="FABIO AMARILIO"/>
    <s v="100% - OK"/>
    <s v="OK - ENVIADO"/>
    <m/>
    <n v="937"/>
    <s v="FOI LANÇADO 323 METROS DE CABO DE 12FO, LANÇADO 209 METROS DE CABO DE 12FO-FOI LANÇADO 405 METROS DE CABO DE 12FO,  FOI FEITO 3 LANÇAMENTOS POR ERRO DE PROJETO, 3 ABERTURA E FECHAMENTO, 6 DERIVAÇÃO, 12 FUSÃO , 1 CX NOVA , 3 TESTE"/>
    <d v="2024-06-26T00:00:00"/>
    <d v="2024-04-23T00:00:00"/>
    <d v="2024-06-04T00:00:00"/>
    <s v="17/0/2024"/>
    <d v="2024-06-17T00:00:00"/>
    <s v="NÃO PRECISA"/>
    <m/>
    <x v="0"/>
    <x v="0"/>
    <s v="AG. MEDIÇÃO"/>
    <n v="39"/>
    <x v="1"/>
    <n v="36"/>
  </r>
  <r>
    <s v="RSCLER0287"/>
    <s v="VIPAA"/>
    <s v="SPEAH"/>
    <m/>
    <s v="PORTO ALEGRE"/>
    <s v="DIRETORIA"/>
    <s v="Adão Baino, 274"/>
    <s v="VIPAA.021.M060."/>
    <d v="2024-04-01T00:00:00"/>
    <x v="0"/>
    <m/>
    <s v="FABIO AMARILIO"/>
    <s v="100% - OK"/>
    <s v="OK - ENVIADO"/>
    <m/>
    <m/>
    <s v="OS COBRADA JUNTAMENTO COM A OS RSCLER0283"/>
    <d v="2024-07-24T00:00:00"/>
    <d v="2024-04-23T00:00:00"/>
    <m/>
    <s v="17/0/2025"/>
    <d v="2024-06-18T00:00:00"/>
    <s v="NÃO PRECISA"/>
    <m/>
    <x v="0"/>
    <x v="0"/>
    <s v="AG. MEDIÇÃO"/>
    <n v="40"/>
    <x v="1"/>
    <n v="37"/>
  </r>
  <r>
    <s v="RSCLER0111"/>
    <s v="SANAB"/>
    <m/>
    <m/>
    <s v="PORTO ALEGRE"/>
    <s v="MASTER GERIATRIA"/>
    <s v="RUA SÃO LUIS, 640"/>
    <m/>
    <d v="2023-03-01T00:00:00"/>
    <x v="1"/>
    <m/>
    <m/>
    <m/>
    <m/>
    <m/>
    <m/>
    <m/>
    <m/>
    <d v="2023-03-15T00:00:00"/>
    <d v="2023-03-16T00:00:00"/>
    <d v="2023-03-25T00:00:00"/>
    <s v="CANCELADO"/>
    <s v="NÃO PRECISA"/>
    <m/>
    <x v="1"/>
    <x v="1"/>
    <s v="CANCELADO"/>
    <s v="CANCELADO"/>
    <x v="1"/>
    <s v="CANCELADO"/>
  </r>
  <r>
    <s v="RSCLER0720"/>
    <s v="BVSAB "/>
    <s v="BVSAF"/>
    <s v="PAE NR"/>
    <s v="PORTO ALEGRE"/>
    <m/>
    <s v="AL RAIMUNDO CORREA, 66"/>
    <s v="BVSAB.355.M030."/>
    <d v="2025-09-01T00:00:00"/>
    <x v="0"/>
    <s v="UBIRAJARA"/>
    <s v="DIOGO"/>
    <m/>
    <m/>
    <m/>
    <m/>
    <s v="COBRAR DENTRO DO NODE BVSAF FASE 2 "/>
    <s v="BVSAF"/>
    <m/>
    <m/>
    <m/>
    <d v="2025-09-17T00:00:00"/>
    <s v="NÃO PRECISA"/>
    <m/>
    <x v="0"/>
    <x v="0"/>
    <s v="AG. MEDIÇÃO"/>
    <s v="DATA ENTRADA"/>
    <x v="1"/>
    <s v="DATA ENTRADA"/>
  </r>
  <r>
    <s v="RSCLER0285"/>
    <s v="BVSAB"/>
    <s v="BVSAHA"/>
    <m/>
    <s v="PORTO ALEGRE"/>
    <s v="DIRETORIA"/>
    <s v="Alameda Eduardo Guimarães, 135"/>
    <s v="BVSAB.033.M050"/>
    <d v="2024-04-01T00:00:00"/>
    <x v="0"/>
    <s v="THIAGO"/>
    <s v="FABIO AMARILIO"/>
    <s v="100% - OK"/>
    <s v="OK - ENVIADO"/>
    <m/>
    <n v="150"/>
    <s v="FOI LANÇADO 150 METROS DE CABO DE 12FO, 3 ABERTURA E FECHAMENTO, 6 FUSÃO, 1 DERIVAÇÃO, 1 CX NOVA, 2 TESTE, "/>
    <d v="2024-06-26T00:00:00"/>
    <d v="2024-04-23T00:00:00"/>
    <d v="2024-05-30T00:00:00"/>
    <d v="2024-06-01T00:00:00"/>
    <d v="2024-06-01T00:00:00"/>
    <s v="NÃO PRECISA"/>
    <m/>
    <x v="0"/>
    <x v="0"/>
    <s v="AG. MEDIÇÃO"/>
    <n v="28"/>
    <x v="1"/>
    <n v="25"/>
  </r>
  <r>
    <s v="RSCLER0755"/>
    <s v="STR"/>
    <m/>
    <m/>
    <s v="GUAÍBA"/>
    <m/>
    <s v="AMPLIAÇÃO DE NAP"/>
    <m/>
    <d v="2025-11-01T00:00:00"/>
    <x v="0"/>
    <s v="CLEVERSON"/>
    <s v="AUGUSTO  "/>
    <m/>
    <m/>
    <m/>
    <n v="2303"/>
    <s v="FOI LANÇADO 2303 METROS DE CABO, 94 ABERTURAS E FECHAMENTO, 345 FUSÕES, 31 DERIVAÇÃO."/>
    <d v="2026-06-09T00:00:00"/>
    <d v="2025-10-23T00:00:00"/>
    <m/>
    <m/>
    <d v="2026-06-09T00:00:00"/>
    <m/>
    <m/>
    <x v="2"/>
    <x v="2"/>
    <s v="AG. RELATÓRIO"/>
    <n v="163"/>
    <x v="1"/>
    <n v="160"/>
  </r>
  <r>
    <s v="RSCLER0756"/>
    <s v="VLI"/>
    <m/>
    <m/>
    <s v="GUAÍBA"/>
    <m/>
    <s v="AMPLIAÇÃO DE NAP"/>
    <m/>
    <d v="2025-11-01T00:00:00"/>
    <x v="0"/>
    <s v="AUGUSTO  "/>
    <s v="AUGUSTO  "/>
    <m/>
    <m/>
    <m/>
    <n v="80"/>
    <s v="COBRAR 80 METROS DE CABO DE 12FO, 36 ABERTURAS E FECHAMENTO, 89 FUSÕES, 1 DERIVAÇÃO E 1 CX NOVA. COBRAR MAIS 32 ABERTURA E FECHAMENTO, 110 FUSÕES, 6 DERIVAÇÕES, 1772 METROS DE CABO AS E 86 METROS DE CABO DDS"/>
    <d v="2026-06-09T00:00:00"/>
    <d v="2025-10-23T00:00:00"/>
    <m/>
    <m/>
    <d v="2026-06-09T00:00:00"/>
    <m/>
    <m/>
    <x v="2"/>
    <x v="2"/>
    <s v="AG. RELATÓRIO"/>
    <n v="163"/>
    <x v="1"/>
    <n v="160"/>
  </r>
  <r>
    <s v="RSCLER0759"/>
    <s v="CNT"/>
    <m/>
    <m/>
    <s v="GUAÍBA"/>
    <m/>
    <s v="AMPLIAÇÃO DE NAP"/>
    <m/>
    <d v="2025-11-02T00:00:00"/>
    <x v="0"/>
    <s v="CLEVERSON/ UBIRAJARA"/>
    <s v="CATIA"/>
    <m/>
    <m/>
    <m/>
    <n v="2665"/>
    <s v="FOI LANÇADO 2665 METROS DE CABO,96 ABERTURAS E FECHAMENTO, 312 FUSÕES, 12 DERIVAÇÃO, 57 TESTE OTDR, 5 CX NOVA COBRAR MAIS 10 ABERTURA E FECHAMENTO, 22 FUSÕES, 1 NAP NOVA, 3 DERIVAÇÕES, 4 TESTE OTDR."/>
    <d v="2026-06-09T00:00:00"/>
    <d v="2025-10-23T00:00:00"/>
    <m/>
    <m/>
    <d v="2026-06-09T00:00:00"/>
    <m/>
    <m/>
    <x v="2"/>
    <x v="2"/>
    <s v="AG. RELATÓRIO"/>
    <n v="163"/>
    <x v="1"/>
    <n v="160"/>
  </r>
  <r>
    <s v="RSCLER0762"/>
    <s v="CNT"/>
    <m/>
    <s v="RSESU05"/>
    <s v="ELDORADO"/>
    <m/>
    <s v="AMPLIAÇÃO DE NAP"/>
    <m/>
    <d v="2025-12-01T00:00:00"/>
    <x v="0"/>
    <s v="GIOVANE"/>
    <s v="AFONSO"/>
    <m/>
    <m/>
    <n v="5880"/>
    <n v="5774"/>
    <s v="FOI LANÇADO 5774 METROS DE 25 FO, 400 METROS DE CORDOALHA, 36 ABERTURA E FECHAMENTO, 116 FUSÕES, 1 CX NOVA, 2 CTO NOVA, 28 ABERTURA E FECHAMENTO, 39 FUSÕES, 2 DERIVAÇÃO, 1NAP NOVA."/>
    <d v="2026-06-09T00:00:00"/>
    <d v="2025-11-27T00:00:00"/>
    <m/>
    <m/>
    <d v="2026-06-09T00:00:00"/>
    <m/>
    <m/>
    <x v="2"/>
    <x v="2"/>
    <s v="AG. RELATÓRIO"/>
    <n v="138"/>
    <x v="1"/>
    <n v="135"/>
  </r>
  <r>
    <s v="RSCLER0774"/>
    <s v="CNT"/>
    <m/>
    <m/>
    <s v="CHARQUEADAS"/>
    <m/>
    <s v="AMPLIAÇÕES DE NAPS"/>
    <m/>
    <d v="2025-12-01T00:00:00"/>
    <x v="0"/>
    <m/>
    <s v="CATIA"/>
    <m/>
    <d v="2026-01-22T00:00:00"/>
    <m/>
    <m/>
    <s v="10 ABERTURA E FECHAMENTO, 28 FUSÕES, 5 TESTES OTDR"/>
    <d v="2026-01-22T00:00:00"/>
    <d v="2025-11-28T00:00:00"/>
    <m/>
    <m/>
    <d v="2025-12-17T00:00:00"/>
    <d v="2026-01-22T00:00:00"/>
    <m/>
    <x v="0"/>
    <x v="0"/>
    <s v="AG. MEDIÇÃO"/>
    <n v="13"/>
    <x v="1"/>
    <n v="10"/>
  </r>
  <r>
    <s v="RSCLER0301"/>
    <s v="NAVAA"/>
    <s v="NAVAB"/>
    <m/>
    <s v="PORTO ALEGRE"/>
    <s v="DIRETORIA"/>
    <s v="Augusto Severo, 125"/>
    <s v="NAVAA.017.M080"/>
    <d v="2024-04-01T00:00:00"/>
    <x v="0"/>
    <s v="THIAGO LAMBRETA"/>
    <s v="ADRIANO"/>
    <s v="100% - OK"/>
    <s v="OK - ENVIADO"/>
    <m/>
    <n v="530"/>
    <s v="FOI LANÇADO 530 METROS DE CABO DE 12FO, e ABERTURA E FECHAMENTO, 1 DERIVAÇÃO, 6 FUSÃO, 1 CX NOVA, 3 TESTE"/>
    <d v="2024-06-26T00:00:00"/>
    <d v="2024-04-30T00:00:00"/>
    <d v="2024-06-12T00:00:00"/>
    <d v="2024-06-20T00:00:00"/>
    <d v="2024-06-20T00:00:00"/>
    <s v="NÃO PRECISA"/>
    <m/>
    <x v="0"/>
    <x v="0"/>
    <s v="AG. MEDIÇÃO"/>
    <n v="37"/>
    <x v="1"/>
    <n v="34"/>
  </r>
  <r>
    <s v="RSCLER0983"/>
    <s v="PETAA"/>
    <m/>
    <s v="RSPLE11"/>
    <s v="PORTO ALEGRE"/>
    <s v="Edifício Giardino Di Sorrento"/>
    <s v="AV ALEGRETE 318"/>
    <s v="PETAA.082.M030"/>
    <d v="2026-07-01T00:00:00"/>
    <x v="0"/>
    <m/>
    <s v="CATIA"/>
    <m/>
    <s v="OK"/>
    <s v="SEM LANÇAMENTO"/>
    <s v="SEM LANÇAMENTO"/>
    <s v="2 ABERTURA E FECHAMENTO, 1 DERIVAÇÃO, 10 FUSÃO, 5 TESTES "/>
    <d v="2026-08-19T00:00:00"/>
    <d v="2026-07-20T00:00:00"/>
    <m/>
    <d v="2026-07-24T00:00:00"/>
    <d v="2026-07-24T00:00:00"/>
    <d v="2026-08-19T00:00:00"/>
    <m/>
    <x v="0"/>
    <x v="0"/>
    <s v="AG. MEDIÇÃO"/>
    <n v="4"/>
    <x v="1"/>
    <n v="1"/>
  </r>
  <r>
    <s v="RSCLER0684"/>
    <s v="PETAA"/>
    <s v="PETAQ"/>
    <s v="RSPLE11"/>
    <s v="PORTO ALEGRE"/>
    <m/>
    <s v="AV ALEGRETE, 50"/>
    <s v="PETAA.121.M020"/>
    <d v="2025-07-01T00:00:00"/>
    <x v="0"/>
    <m/>
    <s v="CLEVERSON"/>
    <m/>
    <m/>
    <m/>
    <m/>
    <s v="COBRAR DENTRO DO NODE PETAQ"/>
    <s v="PETAQ"/>
    <d v="2025-07-30T00:00:00"/>
    <m/>
    <m/>
    <d v="2025-07-30T00:00:00"/>
    <s v="NÃO PRECISA"/>
    <m/>
    <x v="0"/>
    <x v="0"/>
    <s v="AG. MEDIÇÃO"/>
    <n v="0"/>
    <x v="0"/>
    <n v="-3"/>
  </r>
  <r>
    <s v="RSCLER0750"/>
    <s v="CLC"/>
    <m/>
    <s v="RSTES02"/>
    <s v="TORRES "/>
    <m/>
    <s v="AV ALFIEIRO ZANARDI -135"/>
    <s v="CLC012-M7"/>
    <d v="2025-11-25T00:00:00"/>
    <x v="0"/>
    <m/>
    <s v="MAQUENZE"/>
    <m/>
    <m/>
    <m/>
    <m/>
    <s v="3 ABERTURA E FECHAMENTO, 6 FUSÕES, 2 TESTES, 2 TESTES OTDR"/>
    <s v="ok"/>
    <m/>
    <m/>
    <m/>
    <d v="2025-11-12T00:00:00"/>
    <d v="2025-12-03T00:00:00"/>
    <m/>
    <x v="0"/>
    <x v="0"/>
    <s v="AG. MEDIÇÃO"/>
    <s v="DATA ENTRADA"/>
    <x v="1"/>
    <s v="DATA ENTRADA"/>
  </r>
  <r>
    <s v="RSCLER0171"/>
    <s v="TRLAA"/>
    <m/>
    <m/>
    <s v="PORTO ALEGRE"/>
    <s v="Cond Ed Reserva Maccari "/>
    <s v="Av Aparicio Borges 1463 / 1495/ PART 1"/>
    <m/>
    <d v="2023-11-01T00:00:00"/>
    <x v="0"/>
    <s v="SAMURAI"/>
    <s v="PAULO GOMES/LUCAS HOBERT"/>
    <s v="100% - OK"/>
    <s v="OK"/>
    <m/>
    <n v="185"/>
    <s v="185 METROS DE CABO DE 12FO, 9 ABERTURA E FECHAMENTO, 6 FUSÃO, 2  DERIVAÇÃO, 2 CX NOVA, FAZER AS BUILTS, 1 TESTE"/>
    <d v="2023-12-13T00:00:00"/>
    <d v="2023-11-24T00:00:00"/>
    <d v="2023-11-27T00:00:00"/>
    <d v="2023-11-28T00:00:00"/>
    <d v="2023-11-30T00:00:00"/>
    <s v="NÃO PRECISA"/>
    <m/>
    <x v="0"/>
    <x v="0"/>
    <s v="AG. MEDIÇÃO"/>
    <n v="4"/>
    <x v="1"/>
    <n v="1"/>
  </r>
  <r>
    <s v="RSCLER0154"/>
    <s v="JCVAA"/>
    <m/>
    <m/>
    <s v="PORTO ALEGRE"/>
    <s v="Edifício New Life"/>
    <s v="AV ATTILIO BILIBIO 251"/>
    <m/>
    <d v="2023-10-01T00:00:00"/>
    <x v="0"/>
    <s v="NEIMAR"/>
    <s v="LUCAS HOBERT/MARCOS EMILIANO"/>
    <s v="100% - OK"/>
    <s v="-"/>
    <m/>
    <n v="420"/>
    <s v="420 MTS DE CABO DE 12FO AS, 3 ABERTURA E FECHAMENTO, 12 FUSÃO, 4 TESTE, 1 CX NOVA"/>
    <d v="2023-11-20T00:00:00"/>
    <d v="2023-10-30T00:00:00"/>
    <d v="2023-10-31T00:00:00"/>
    <d v="2023-11-12T00:00:00"/>
    <d v="2023-11-12T00:00:00"/>
    <s v="NÃO PRECISA"/>
    <m/>
    <x v="0"/>
    <x v="0"/>
    <s v="AG. MEDIÇÃO"/>
    <n v="9"/>
    <x v="1"/>
    <n v="6"/>
  </r>
  <r>
    <s v="RSCLER0686"/>
    <s v="PETAA"/>
    <s v="MTSAU"/>
    <s v="RSPLE11"/>
    <s v="PORTO ALEGRE"/>
    <m/>
    <s v="AV BAGE, 1259"/>
    <s v="PETAA.012.M010"/>
    <d v="2025-07-01T00:00:00"/>
    <x v="0"/>
    <m/>
    <s v="AFONSO"/>
    <m/>
    <m/>
    <m/>
    <m/>
    <s v="COBRAR DENTRO DO NODE MTSAU"/>
    <s v="MTSAU"/>
    <d v="2025-07-30T00:00:00"/>
    <m/>
    <d v="2025-08-07T00:00:00"/>
    <m/>
    <s v="NÃO PRECISA"/>
    <m/>
    <x v="0"/>
    <x v="0"/>
    <s v="AG. MEDIÇÃO"/>
    <n v="281"/>
    <x v="1"/>
    <n v="278"/>
  </r>
  <r>
    <s v="RSCLER0687"/>
    <s v="PETAA"/>
    <s v="MTSAU"/>
    <s v="RSPLE11"/>
    <s v="PORTO ALEGRE"/>
    <m/>
    <s v="AV BAGE, 1301,1313,1344"/>
    <s v="PETAA.012.M020"/>
    <d v="2025-07-01T00:00:00"/>
    <x v="0"/>
    <m/>
    <s v="AFONSO"/>
    <m/>
    <m/>
    <m/>
    <m/>
    <s v="COBRAR DENTRO DO NODE MTSAU"/>
    <s v="MTSAU"/>
    <d v="2025-07-30T00:00:00"/>
    <m/>
    <m/>
    <d v="2025-08-05T00:00:00"/>
    <s v="NÃO PRECISA"/>
    <m/>
    <x v="0"/>
    <x v="0"/>
    <s v="AG. MEDIÇÃO"/>
    <n v="4"/>
    <x v="1"/>
    <n v="1"/>
  </r>
  <r>
    <s v="RSCLER0106"/>
    <s v="VNVAEA"/>
    <m/>
    <m/>
    <s v="PORTO ALEGRE"/>
    <s v="LOT. CAVALHADA"/>
    <s v="R. PÉ-DE-DEUS 81 - 136"/>
    <m/>
    <d v="2023-05-01T00:00:00"/>
    <x v="1"/>
    <s v="km"/>
    <m/>
    <m/>
    <m/>
    <m/>
    <m/>
    <m/>
    <m/>
    <m/>
    <m/>
    <m/>
    <s v="CANCELADO"/>
    <s v="NÃO PRECISA"/>
    <m/>
    <x v="1"/>
    <x v="1"/>
    <s v="CANCELADO"/>
    <s v="CANCELADO"/>
    <x v="1"/>
    <s v="CANCELADO"/>
  </r>
  <r>
    <s v="RSCLER0107"/>
    <s v="PRTANA"/>
    <m/>
    <m/>
    <s v="PORTO ALEGRE"/>
    <s v=" Tecnopuc(Volters)"/>
    <s v=" Av. Ipiranga, 6681 - Partenon"/>
    <m/>
    <d v="2023-06-01T00:00:00"/>
    <x v="1"/>
    <m/>
    <m/>
    <m/>
    <m/>
    <m/>
    <m/>
    <m/>
    <m/>
    <d v="2023-06-30T00:00:00"/>
    <m/>
    <m/>
    <s v="CANCELADO"/>
    <s v="NÃO PRECISA"/>
    <m/>
    <x v="1"/>
    <x v="1"/>
    <s v="CANCELADO"/>
    <s v="CANCELADO"/>
    <x v="1"/>
    <s v="CANCELADO"/>
  </r>
  <r>
    <s v="RSCLER0243"/>
    <s v="MTSAA"/>
    <m/>
    <m/>
    <s v="PORTO ALEGRE"/>
    <m/>
    <s v="AUGUSTO LOUREIRO LIMA, 99,"/>
    <m/>
    <d v="2024-04-01T00:00:00"/>
    <x v="1"/>
    <s v="UBIRATAN"/>
    <s v="MARCOS EMILIANO"/>
    <m/>
    <m/>
    <m/>
    <s v="A"/>
    <s v="PARALIZADO PELO APELLANIZ"/>
    <m/>
    <d v="2024-04-01T00:00:00"/>
    <d v="2024-04-01T00:00:00"/>
    <m/>
    <s v="CANCELADO"/>
    <s v="NÃO PRECISA"/>
    <m/>
    <x v="1"/>
    <x v="1"/>
    <s v="CANCELADO"/>
    <s v="CANCELADO"/>
    <x v="1"/>
    <s v="CANCELADO"/>
  </r>
  <r>
    <s v="RSCLER0466"/>
    <m/>
    <m/>
    <m/>
    <s v="PORTO ALEGRE"/>
    <m/>
    <s v="SHOPPING PRAIA DE BELAS"/>
    <m/>
    <d v="2024-11-01T00:00:00"/>
    <x v="0"/>
    <s v="MALCOLN"/>
    <s v=""/>
    <m/>
    <m/>
    <m/>
    <m/>
    <m/>
    <m/>
    <m/>
    <m/>
    <m/>
    <m/>
    <s v="NÃO PRECISA"/>
    <m/>
    <x v="3"/>
    <x v="0"/>
    <s v="AG. MEDIÇÃO"/>
    <s v="DATA ENTRADA"/>
    <x v="1"/>
    <s v="DATA ENTRADA"/>
  </r>
  <r>
    <s v="RSCLER0500"/>
    <s v="CLC"/>
    <m/>
    <m/>
    <s v="TORRES"/>
    <m/>
    <s v="R. Marechal Deodoro, 220"/>
    <s v="CLC013-M2"/>
    <d v="2025-02-01T00:00:00"/>
    <x v="1"/>
    <m/>
    <s v="MAQUENZE"/>
    <m/>
    <m/>
    <s v="SEM LANÇAMENTO"/>
    <s v="SEM LANÇAMENTO"/>
    <s v="INSUFICIENCIA DE FIBRA"/>
    <m/>
    <d v="2025-02-04T00:00:00"/>
    <d v="2025-02-12T00:00:00"/>
    <d v="2025-02-26T00:00:00"/>
    <s v="CANCELADO"/>
    <s v="NÃO PRECISA"/>
    <m/>
    <x v="1"/>
    <x v="1"/>
    <s v="CANCELADO"/>
    <s v="CANCELADO"/>
    <x v="1"/>
    <s v="CANCELADO"/>
  </r>
  <r>
    <s v="RSCLER0507"/>
    <s v="CNT"/>
    <m/>
    <s v="RSIBD01"/>
    <s v="IMBÉ"/>
    <s v="NAP LOTADA"/>
    <s v="AV PARAGUASSU, 1760, 1607"/>
    <s v="CNT.026.03.03 - CNT.026.03.01"/>
    <d v="2025-02-01T00:00:00"/>
    <x v="1"/>
    <m/>
    <s v="FABIO AMARILIO"/>
    <m/>
    <m/>
    <s v="SEM LANÇAMENTO"/>
    <s v="SEM LANÇAMENTO"/>
    <s v="INSUFICIENCIA DE FIBRA"/>
    <m/>
    <d v="2025-02-06T00:00:00"/>
    <d v="2025-02-19T00:00:00"/>
    <m/>
    <s v="CANCELADO"/>
    <s v="NÃO PRECISA"/>
    <m/>
    <x v="1"/>
    <x v="1"/>
    <s v="CANCELADO"/>
    <s v="CANCELADO"/>
    <x v="1"/>
    <s v="CANCELADO"/>
  </r>
  <r>
    <s v="RSCLER0688"/>
    <s v="PETAA"/>
    <s v="MTSAU"/>
    <s v="RSPLE11"/>
    <s v="PORTO ALEGRE"/>
    <m/>
    <s v="AV BAGE, 1400"/>
    <s v="PETAA.012.M030"/>
    <d v="2025-07-01T00:00:00"/>
    <x v="0"/>
    <m/>
    <s v="AFONSO"/>
    <m/>
    <m/>
    <m/>
    <m/>
    <s v="COBRAR DENTRO DO NODE MTSAU"/>
    <s v="MTSAU"/>
    <d v="2025-07-30T00:00:00"/>
    <m/>
    <m/>
    <d v="2025-08-05T00:00:00"/>
    <s v="NÃO PRECISA"/>
    <m/>
    <x v="0"/>
    <x v="0"/>
    <s v="AG. MEDIÇÃO"/>
    <n v="4"/>
    <x v="1"/>
    <n v="1"/>
  </r>
  <r>
    <s v="RSCLER0683"/>
    <s v="PETAA"/>
    <s v="PETAR"/>
    <s v="RSPLE11"/>
    <s v="PORTO ALEGRE"/>
    <m/>
    <s v="AV BAGE, 494"/>
    <s v="PETAA.151.M050"/>
    <d v="2025-07-01T00:00:00"/>
    <x v="0"/>
    <m/>
    <s v="AUGUSTO"/>
    <m/>
    <m/>
    <m/>
    <m/>
    <s v="COBRAR DENTRO DO NODE PETAR"/>
    <s v="PETAR"/>
    <d v="2025-07-30T00:00:00"/>
    <m/>
    <m/>
    <d v="2025-07-30T00:00:00"/>
    <s v="NÃO PRECISA"/>
    <m/>
    <x v="0"/>
    <x v="0"/>
    <s v="AG. MEDIÇÃO"/>
    <n v="0"/>
    <x v="0"/>
    <n v="-3"/>
  </r>
  <r>
    <s v="RSCLER0819"/>
    <s v="RBTAB"/>
    <s v="RBTAE"/>
    <s v="RSPNO22"/>
    <s v="PORTO ALEGRE"/>
    <m/>
    <s v="Av Baltazar de Oliveira Garcia 2949"/>
    <s v="RBTAB.012.M020"/>
    <d v="2026-04-01T00:00:00"/>
    <x v="0"/>
    <m/>
    <s v="CATIA"/>
    <m/>
    <m/>
    <s v="SEM LANÇAMENTO"/>
    <s v="SEM LANÇAMENTO"/>
    <s v="5 ABERTURA E FECHAMENTO, 8 FUSÕES, 3 TESTES OTDR, 1 TESTE "/>
    <d v="2026-05-14T00:00:00"/>
    <d v="2026-04-07T00:00:00"/>
    <m/>
    <m/>
    <d v="2026-04-22T00:00:00"/>
    <d v="2026-05-14T00:00:00"/>
    <m/>
    <x v="0"/>
    <x v="0"/>
    <s v="AG. MEDIÇÃO"/>
    <n v="11"/>
    <x v="1"/>
    <n v="8"/>
  </r>
  <r>
    <s v="RSCLER0603"/>
    <s v="RBTAA"/>
    <m/>
    <m/>
    <s v="PORTO ALEGRE"/>
    <m/>
    <s v="AV BALTAZER DE OLIVEIRA GARCIA, 420"/>
    <s v="RBTAA.031.M010"/>
    <d v="2025-05-01T00:00:00"/>
    <x v="0"/>
    <s v="UBIRATAN"/>
    <s v="GILSON"/>
    <m/>
    <m/>
    <n v="984"/>
    <n v="836"/>
    <s v="FOI LANÇADO 836 METROS DE CABO DE 12FO, 1 ABERTURA E FECHAMENTO, 3 NAP NOVA, 1 CX NOVA, 12 FUSÕES, 12 TESTES"/>
    <d v="2025-06-18T00:00:00"/>
    <d v="2025-05-22T00:00:00"/>
    <m/>
    <m/>
    <d v="2025-05-24T00:00:00"/>
    <s v="NÃO PRECISA"/>
    <m/>
    <x v="0"/>
    <x v="0"/>
    <s v="AG. MEDIÇÃO"/>
    <n v="1"/>
    <x v="0"/>
    <n v="-2"/>
  </r>
  <r>
    <s v="RSCLER0822"/>
    <s v="MTSAA"/>
    <s v="SJOADA"/>
    <s v="PAE BV"/>
    <s v="PORTO ALEGRE"/>
    <s v="ED VICE PRESIDENTE"/>
    <s v="AV BENJAMIN CONSTANT 1808 "/>
    <s v="MTSAA.215.M010"/>
    <d v="2026-04-01T00:00:00"/>
    <x v="0"/>
    <m/>
    <s v="CATIA"/>
    <m/>
    <m/>
    <s v="SEM LANÇAMENTO"/>
    <s v="SEM LANÇAMENTO"/>
    <s v="4 ABERTURA E FECHAMENTO, 15 FUSÕES, 5 TESTE OTDR, 4 TESTES"/>
    <d v="2026-05-13T00:00:00"/>
    <d v="2026-04-18T00:00:00"/>
    <m/>
    <m/>
    <d v="2026-04-29T00:00:00"/>
    <d v="2026-05-13T00:00:00"/>
    <m/>
    <x v="0"/>
    <x v="0"/>
    <s v="AG. MEDIÇÃO"/>
    <n v="7"/>
    <x v="1"/>
    <n v="4"/>
  </r>
  <r>
    <s v="RSCLER0573"/>
    <s v="AGRAD"/>
    <m/>
    <s v="RSPSU98"/>
    <s v="PORTO ALEGRE"/>
    <s v="COND. RESERVA DO ARVOREDO"/>
    <s v="Av Bento Gonçalves, 8083"/>
    <s v="LPRAB.010"/>
    <d v="2024-10-01T00:00:00"/>
    <x v="0"/>
    <s v="TIAGO FERREIRA / ALAN VASCONCELOS"/>
    <s v="ANDERSON"/>
    <s v="100% - OK"/>
    <m/>
    <n v="800"/>
    <n v="1900"/>
    <s v="FOI LANÇADO 950 METROS DE CABO DE 12FO, FOI LANÇADO 950 METROS DE CABO DE 12 FO, 200 METROS DE CORDOALHA, 2 ABERTURA E FECHAMENTO, 2 CX NOVA, 9 NAP DE POSTE,  25 FUSÃO, 9 DERIVAÇÃO, 27 TESTE "/>
    <d v="2024-11-12T00:00:00"/>
    <d v="2024-10-03T00:00:00"/>
    <m/>
    <m/>
    <m/>
    <s v="NÃO PRECISA"/>
    <m/>
    <x v="0"/>
    <x v="0"/>
    <s v="AG. MEDIÇÃO"/>
    <n v="495"/>
    <x v="1"/>
    <n v="492"/>
  </r>
  <r>
    <s v="RSCLER0839"/>
    <s v="VGR"/>
    <m/>
    <s v="RSIVI01"/>
    <s v="IVOTI"/>
    <s v="OESA COMERCIO E REPRESENTACOES S A"/>
    <s v="AV BOM JARDIM, 2772"/>
    <s v="VGR.008.05.02"/>
    <d v="2026-04-01T00:00:00"/>
    <x v="0"/>
    <m/>
    <s v="AIRTON"/>
    <m/>
    <s v="OK"/>
    <n v="350"/>
    <n v="171"/>
    <s v="FOI LANÇADO 171 METROS DE CABO DE 24FO, 1 ABERTURA E FECHAMENTO, 1 NAP NOVA, 2 FUSÕES, 1 TESTE."/>
    <d v="2026-08-07T00:00:00"/>
    <d v="2026-04-24T00:00:00"/>
    <m/>
    <m/>
    <d v="2026-04-27T00:00:00"/>
    <d v="2026-08-07T00:00:00"/>
    <m/>
    <x v="0"/>
    <x v="0"/>
    <s v="AG. MEDIÇÃO"/>
    <n v="1"/>
    <x v="0"/>
    <n v="-2"/>
  </r>
  <r>
    <s v="RSCLER0956"/>
    <s v="CNTAB"/>
    <s v="CNTAI"/>
    <s v="RSPCE14"/>
    <s v="PORTO ALEGRE"/>
    <s v="Cond General Osorio"/>
    <s v="Av Borges de Medeiros 1141"/>
    <s v="CNTAB.181.M020"/>
    <d v="2026-05-01T00:00:00"/>
    <x v="0"/>
    <m/>
    <s v="CATIA"/>
    <m/>
    <s v="OK"/>
    <s v="SEM LANÇAMENTO"/>
    <s v="SEM LANÇAMENTO"/>
    <s v="2 ABERTURA E FECHAMENTO, 2 FUSÕES, 2 TESTES."/>
    <d v="2026-07-03T00:00:00"/>
    <m/>
    <m/>
    <m/>
    <d v="2026-06-01T00:00:00"/>
    <d v="2026-07-03T00:00:00"/>
    <m/>
    <x v="0"/>
    <x v="0"/>
    <s v="AG. MEDIÇÃO"/>
    <s v="DATA ENTRADA"/>
    <x v="1"/>
    <s v="DATA ENTRADA"/>
  </r>
  <r>
    <s v="RSCLER0716"/>
    <s v="CLC"/>
    <m/>
    <s v="RSTES02"/>
    <s v="TORRES"/>
    <m/>
    <s v="AV BR DO RIO BRANCO, 41"/>
    <s v="CLC016.M2"/>
    <d v="2025-09-01T00:00:00"/>
    <x v="0"/>
    <m/>
    <s v="ALAN GALVÃO"/>
    <m/>
    <d v="2026-01-23T00:00:00"/>
    <s v="SEM LANÇAMENTO"/>
    <s v="SEM LANÇAMENTO"/>
    <s v="7 ABERTURA E FECHAMENTO, 10 FUSÕES, 2 TESTES OTDR"/>
    <d v="2026-01-23T00:00:00"/>
    <d v="2025-09-02T00:00:00"/>
    <m/>
    <m/>
    <d v="2025-09-13T00:00:00"/>
    <s v="NÃO PRECISA"/>
    <m/>
    <x v="0"/>
    <x v="0"/>
    <s v="AG. MEDIÇÃO"/>
    <n v="8"/>
    <x v="1"/>
    <n v="5"/>
  </r>
  <r>
    <s v="RSCLER0574"/>
    <s v="NAVAB"/>
    <s v="NAVACB"/>
    <s v="PAE FAR"/>
    <s v="PORTO ALEGRE"/>
    <s v="RESID CAIRU"/>
    <s v="AV CAIRU 720"/>
    <s v="NAVAB.081.M050"/>
    <d v="2025-04-01T00:00:00"/>
    <x v="0"/>
    <m/>
    <s v="DERIK"/>
    <m/>
    <m/>
    <s v="SEM LANÇAMENTO"/>
    <s v="SEM LANÇAMENTO"/>
    <s v="3 ABERTURA E FECHAMENTO, 4 FUSÕES, 2 TESTES"/>
    <d v="2025-05-08T00:00:00"/>
    <d v="2025-04-09T00:00:00"/>
    <d v="2025-04-11T00:00:00"/>
    <m/>
    <d v="2025-04-14T00:00:00"/>
    <s v="NÃO PRECISA"/>
    <m/>
    <x v="0"/>
    <x v="0"/>
    <s v="AG. MEDIÇÃO"/>
    <n v="3"/>
    <x v="0"/>
    <n v="0"/>
  </r>
  <r>
    <s v="RSCLER0136"/>
    <s v="NAVAB"/>
    <m/>
    <m/>
    <s v="PORTO ALEGRE"/>
    <s v="Cond Ef Finkler"/>
    <s v="AV CAIRÚ 856"/>
    <m/>
    <d v="2023-10-01T00:00:00"/>
    <x v="0"/>
    <s v="VITOR"/>
    <s v="MARCOS EMILIANO"/>
    <s v="100% - OK"/>
    <s v="OK"/>
    <s v="SEM LANÇAMENTO"/>
    <s v="SEM LANÇAMENTO"/>
    <s v=" 2 ABERTURA E FECHAMENTO, 6 FUSÃO , 1 DERIVAÇÃO , 1 CAIXA  NOVA 3 TESTE"/>
    <d v="2023-10-30T00:00:00"/>
    <d v="2023-10-06T00:00:00"/>
    <d v="2023-10-06T00:00:00"/>
    <d v="2023-10-10T00:00:00"/>
    <d v="2023-10-31T00:00:00"/>
    <s v="NÃO PRECISA"/>
    <m/>
    <x v="0"/>
    <x v="0"/>
    <s v="AG. MEDIÇÃO"/>
    <n v="17"/>
    <x v="1"/>
    <n v="14"/>
  </r>
  <r>
    <s v="RSCLER0139"/>
    <s v="NAVAB"/>
    <m/>
    <m/>
    <s v="PORTO ALEGRE"/>
    <s v="Cond Ef Sonata"/>
    <s v="AV CAIRÚ 992"/>
    <m/>
    <d v="2023-10-01T00:00:00"/>
    <x v="0"/>
    <s v="VITOR"/>
    <s v="MARCOS EMILIANO"/>
    <s v="100% - OK"/>
    <s v="OK"/>
    <s v="SEM LANÇAMENTO"/>
    <s v="SEM LANÇAMENTO"/>
    <s v=" 2 ABERTURA E FECHAMENTO, 4 FUSÃO , 1 DERIVAÇÃO , 1 CAIXA  NOVA 2 TESTE"/>
    <d v="2023-10-30T00:00:00"/>
    <d v="2023-10-06T00:00:00"/>
    <d v="2023-10-06T00:00:00"/>
    <d v="2023-10-10T00:00:00"/>
    <d v="2023-10-31T00:00:00"/>
    <s v="NÃO PRECISA"/>
    <m/>
    <x v="0"/>
    <x v="0"/>
    <s v="AG. MEDIÇÃO"/>
    <n v="17"/>
    <x v="1"/>
    <n v="14"/>
  </r>
  <r>
    <s v="RSCLER0781"/>
    <s v="CNT"/>
    <m/>
    <m/>
    <s v="TORRES"/>
    <m/>
    <s v="AV CARLOS BARBOSA, 360"/>
    <s v="CNT010-M2"/>
    <d v="2025-12-01T00:00:00"/>
    <x v="0"/>
    <m/>
    <s v="MAQUENZE"/>
    <m/>
    <m/>
    <s v="SEM LANÇAMENTO"/>
    <s v="SEM LANÇAMENTO"/>
    <s v="10 ABERTURA E FECHAMENTO, 17 FUSÕES, 3 TESTES"/>
    <d v="2026-02-09T00:00:00"/>
    <d v="2025-12-19T00:00:00"/>
    <m/>
    <m/>
    <d v="2026-01-20T00:00:00"/>
    <d v="2026-02-09T00:00:00"/>
    <m/>
    <x v="0"/>
    <x v="0"/>
    <s v="AG. MEDIÇÃO"/>
    <n v="22"/>
    <x v="1"/>
    <n v="19"/>
  </r>
  <r>
    <s v="RSCLER0390"/>
    <s v="BVSAB"/>
    <s v="BVSAR"/>
    <s v="PAE NR"/>
    <s v="PORTO ALEGRE"/>
    <s v="Carlos Gomes Square Office"/>
    <s v="Av Carlos Gomes 1130"/>
    <s v="BVSAB.041.M010"/>
    <d v="2024-08-01T00:00:00"/>
    <x v="0"/>
    <s v="FABIO AMARILIO"/>
    <s v="FABIO AMARILIO"/>
    <s v="100% - OK"/>
    <s v="OK - ENVIADO"/>
    <m/>
    <n v="70"/>
    <s v="FOI LANÇADO 70 METROS DE CABO DE 12FO, 1 ABERTURA E FECHAMENTO, 2 DERIVAÇÃO, 8 FUSÃO, 1 CX NOVA, 4 TESTE"/>
    <d v="2024-09-14T00:00:00"/>
    <d v="2024-08-20T00:00:00"/>
    <d v="2024-08-22T00:00:00"/>
    <d v="2024-09-03T00:00:00"/>
    <d v="2024-09-11T00:00:00"/>
    <s v="NÃO PRECISA"/>
    <m/>
    <x v="0"/>
    <x v="0"/>
    <s v="AG. MEDIÇÃO"/>
    <n v="16"/>
    <x v="1"/>
    <n v="13"/>
  </r>
  <r>
    <s v="RSCLER0805"/>
    <s v="BFMAA"/>
    <m/>
    <s v="PAE IND"/>
    <s v="PORTO ALEGRE"/>
    <m/>
    <s v="AV CAUDURO, 175"/>
    <s v="BFMAA.081"/>
    <s v="03/026"/>
    <x v="0"/>
    <s v="UBIRAJARA"/>
    <m/>
    <m/>
    <m/>
    <m/>
    <n v="556"/>
    <s v="FOI LANÇADO 556 METROS DE 48FO DE CABO DDS."/>
    <d v="2026-03-12T00:00:00"/>
    <d v="2026-03-05T00:00:00"/>
    <m/>
    <m/>
    <d v="2026-03-07T00:00:00"/>
    <d v="2026-03-12T00:00:00"/>
    <m/>
    <x v="0"/>
    <x v="0"/>
    <s v="AG. MEDIÇÃO"/>
    <n v="1"/>
    <x v="0"/>
    <n v="-2"/>
  </r>
  <r>
    <s v="RSCLER0525"/>
    <s v="VNVAA"/>
    <s v="VNVAE"/>
    <s v="RSPSU13"/>
    <s v="PORTO ALEGRE"/>
    <s v="Summer Residence"/>
    <s v="Av Cavalhada, 4414 "/>
    <s v="VNVAA.131.M010"/>
    <d v="2025-02-01T00:00:00"/>
    <x v="0"/>
    <m/>
    <s v="AUGUSTO"/>
    <m/>
    <m/>
    <s v="SEM LANÇAMENTO"/>
    <s v="SEM LANÇAMENTO"/>
    <s v="3 ABERTURA E FECHAMENTO, 2 FUSÕES, 1 TESTE"/>
    <d v="2025-03-18T00:00:00"/>
    <d v="2025-02-26T00:00:00"/>
    <d v="2025-02-27T00:00:00"/>
    <m/>
    <m/>
    <s v="NÃO PRECISA"/>
    <m/>
    <x v="0"/>
    <x v="0"/>
    <s v="AG. MEDIÇÃO"/>
    <n v="391"/>
    <x v="1"/>
    <n v="388"/>
  </r>
  <r>
    <s v="RSCLER0319"/>
    <s v="IPMAA"/>
    <s v="IPMADB"/>
    <m/>
    <s v="PORTO ALEGRE"/>
    <m/>
    <s v="AV Cavalhada, 6021"/>
    <s v="IPMAA.071.M020"/>
    <d v="2024-05-01T00:00:00"/>
    <x v="0"/>
    <s v="RICARDO"/>
    <m/>
    <m/>
    <m/>
    <m/>
    <n v="130"/>
    <s v="FOI LANÇADO 130 METROS DE CABO DE 12FO"/>
    <d v="2024-06-26T00:00:00"/>
    <d v="2024-05-17T00:00:00"/>
    <d v="2024-05-17T00:00:00"/>
    <d v="2024-05-17T00:00:00"/>
    <d v="2024-05-17T00:00:00"/>
    <s v="NÃO PRECISA"/>
    <m/>
    <x v="0"/>
    <x v="0"/>
    <s v="AG. MEDIÇÃO"/>
    <n v="0"/>
    <x v="0"/>
    <n v="-3"/>
  </r>
  <r>
    <s v="RSCLER0080"/>
    <s v="SJOAF "/>
    <m/>
    <m/>
    <s v="PORTO ALEGRE"/>
    <s v="PRIME WISH"/>
    <s v="AV CEARÁ 1664"/>
    <m/>
    <d v="2023-06-01T00:00:00"/>
    <x v="0"/>
    <s v="JACKSON"/>
    <s v="JACKSON"/>
    <s v="100% - OK"/>
    <s v="-"/>
    <m/>
    <n v="510"/>
    <s v="510 METROS LANÇADO E ESPINADO / 1 ABERTURA E FECHAMENTO/ 3 FUSÃO / 2 CX NOVA / 3 TESTE OBS: TEVE 2 CX NOVAS, POIS CRIAMOS OUTRA  T010"/>
    <d v="2023-07-11T00:00:00"/>
    <d v="2023-06-07T00:00:00"/>
    <d v="2023-06-07T00:00:00"/>
    <d v="2023-06-10T00:00:00"/>
    <d v="2023-06-12T00:00:00"/>
    <s v="NÃO PRECISA"/>
    <m/>
    <x v="0"/>
    <x v="0"/>
    <s v="AG. MEDIÇÃO"/>
    <n v="3"/>
    <x v="0"/>
    <n v="0"/>
  </r>
  <r>
    <s v="RSCLER0373"/>
    <s v="CNTAA"/>
    <s v="CNT10A"/>
    <s v="RSGTI08"/>
    <s v="GRAVATAI"/>
    <m/>
    <s v="Av Centenário, 585 "/>
    <s v="CNTAA.011.M030"/>
    <d v="2024-08-01T00:00:00"/>
    <x v="0"/>
    <s v="GIOVANE"/>
    <s v="ANDERSON"/>
    <s v="100% - OK"/>
    <s v="OK"/>
    <m/>
    <n v="795"/>
    <s v="FOI LANÇADO 795 METROS DE CABO DE 12FO, FOI LANÇADO 98 METROS DE CORDOALHA, 6 ABERTURA E FECHAMENTO,21 FUSÃO, 1 CX NOVA , 3 TESTE, 1 DERIVAÇÃO"/>
    <d v="2024-09-10T00:00:00"/>
    <d v="2024-08-08T00:00:00"/>
    <d v="2024-08-20T00:00:00"/>
    <d v="2024-08-21T00:00:00"/>
    <d v="2024-08-26T00:00:00"/>
    <s v="NÃO PRECISA"/>
    <m/>
    <x v="0"/>
    <x v="0"/>
    <s v="AG. MEDIÇÃO"/>
    <n v="12"/>
    <x v="1"/>
    <n v="9"/>
  </r>
  <r>
    <s v="RSCLER0221"/>
    <s v="TRZAA"/>
    <m/>
    <m/>
    <s v="PORTO ALEGRE"/>
    <s v="AV COPACABANA, 421"/>
    <s v="AV COPACABANA, 421"/>
    <s v="TRZAA.101.M040"/>
    <d v="2024-03-01T00:00:00"/>
    <x v="0"/>
    <s v="GIOVANE"/>
    <s v="MARCOS EMILIANO"/>
    <s v="100% - OK"/>
    <s v="OK"/>
    <m/>
    <n v="722"/>
    <s v="FOI LANÇADO 722 METROS DE CABO DE 12FO, 3 ABERTURA E FECHAMENTO, 1 CX NOVA, 2 DERIVAÇÃO, 3 FUSÃO, 1 TESTE"/>
    <d v="2024-03-26T00:00:00"/>
    <d v="2024-03-11T00:00:00"/>
    <d v="2024-03-12T00:00:00"/>
    <d v="2024-03-12T00:00:00"/>
    <d v="2024-03-12T00:00:00"/>
    <s v="NÃO PRECISA"/>
    <m/>
    <x v="0"/>
    <x v="0"/>
    <s v="AG. MEDIÇÃO"/>
    <n v="1"/>
    <x v="0"/>
    <n v="-2"/>
  </r>
  <r>
    <s v="RSCLER0309"/>
    <s v="BVSAB"/>
    <s v="JSOABA"/>
    <m/>
    <s v="PORTO ALEGRE"/>
    <s v="DIRETORIA"/>
    <s v="AV CRISTIANO FISCHER 818"/>
    <s v="BVSAB.272.M020"/>
    <d v="2024-05-01T00:00:00"/>
    <x v="0"/>
    <m/>
    <s v="ANDERSON"/>
    <s v="100% - OK"/>
    <s v="OK - ENVIADO"/>
    <s v="SEM LANÇAMENTO"/>
    <s v="SEM LANÇAMENTO"/>
    <s v="2 ABERTURA E FECHAMENTO, 2 FUSÃO, 1 TESTE -"/>
    <d v="2024-05-27T00:00:00"/>
    <d v="2024-05-03T00:00:00"/>
    <d v="2024-05-14T00:00:00"/>
    <d v="2024-05-14T00:00:00"/>
    <d v="2024-05-14T00:00:00"/>
    <s v="NÃO PRECISA"/>
    <m/>
    <x v="0"/>
    <x v="0"/>
    <s v="AG. MEDIÇÃO"/>
    <n v="7"/>
    <x v="1"/>
    <n v="4"/>
  </r>
  <r>
    <s v="RSCLER0737"/>
    <s v="FLOAA"/>
    <s v="FLOAQ"/>
    <s v="RSPNO11"/>
    <s v="PORTO ALEGRE"/>
    <m/>
    <s v="AV CRISTOVAO COLOMBO 1854 / 1848"/>
    <s v="FLOAA.011.M080"/>
    <d v="2025-10-01T00:00:00"/>
    <x v="0"/>
    <s v="CLEVERSON"/>
    <s v="DIOGO"/>
    <m/>
    <m/>
    <n v="109"/>
    <n v="138"/>
    <s v="FOI LANÇADO 138 METROS DE CABO DE 12FO, 3 ABERTURA E FECHAMENTO, 6 FUSÕES, 3 TESTES"/>
    <d v="2025-10-21T00:00:00"/>
    <d v="2025-10-07T00:00:00"/>
    <m/>
    <m/>
    <d v="2025-10-08T00:00:00"/>
    <d v="2025-10-21T00:00:00"/>
    <m/>
    <x v="0"/>
    <x v="0"/>
    <s v="AG. MEDIÇÃO"/>
    <n v="1"/>
    <x v="0"/>
    <n v="-2"/>
  </r>
  <r>
    <s v="RSCLER0842"/>
    <s v="FLOAA"/>
    <m/>
    <m/>
    <s v="PORTO ALEGRE"/>
    <m/>
    <s v="AV CRISTOVÃO COLOMBO 2144"/>
    <s v="FLOAA.034.M020"/>
    <d v="2026-04-01T00:00:00"/>
    <x v="0"/>
    <m/>
    <s v="AFONSO"/>
    <m/>
    <m/>
    <s v="SEM LANÇAMENTO"/>
    <s v="SEM LANÇAMENTO"/>
    <s v="4 ABERTURA E FECHAMENTO, 7 FUSÕES, 4 TESTES"/>
    <d v="2026-05-19T00:00:00"/>
    <d v="2026-04-28T00:00:00"/>
    <m/>
    <m/>
    <d v="2026-04-28T00:00:00"/>
    <d v="2026-05-19T00:00:00"/>
    <m/>
    <x v="0"/>
    <x v="0"/>
    <s v="AG. MEDIÇÃO"/>
    <n v="0"/>
    <x v="0"/>
    <n v="-3"/>
  </r>
  <r>
    <s v="RSCLER0991"/>
    <s v="BFMAA"/>
    <s v="FLOAJ "/>
    <s v="PAE IND"/>
    <s v="PORTO ALEGRE"/>
    <m/>
    <s v="AV CRISTOVÃO COLOMBO 840"/>
    <s v="BFMAA.041.M010"/>
    <d v="2026-07-01T00:00:00"/>
    <x v="0"/>
    <m/>
    <s v="CATIA"/>
    <m/>
    <s v="OK"/>
    <s v="SEM LANÇAMENTO"/>
    <s v="SEM LANÇAMENTO"/>
    <s v="2 ABERTURA E FECHAMENTO, 4 FUSÕES, 2 TESTES, 2 TESTES OTDR."/>
    <d v="2026-08-18T00:00:00"/>
    <d v="2026-07-21T00:00:00"/>
    <m/>
    <m/>
    <d v="2026-07-24T00:00:00"/>
    <d v="2026-08-18T00:00:00"/>
    <m/>
    <x v="0"/>
    <x v="0"/>
    <s v="AG. MEDIÇÃO"/>
    <n v="3"/>
    <x v="0"/>
    <n v="0"/>
  </r>
  <r>
    <s v="RSCLER1019"/>
    <s v="FLOAA"/>
    <s v="FLOAB"/>
    <s v="RSPNO11"/>
    <s v="PORTO ALEGRE"/>
    <s v="COND ROSARIA"/>
    <s v="AV CRISTOVÃO COLOMBO 878"/>
    <s v="FLOAA.104.M080"/>
    <d v="2026-08-01T00:00:00"/>
    <x v="0"/>
    <m/>
    <s v="CATIA"/>
    <m/>
    <s v="OK"/>
    <s v="SEM LANÇAMENTO"/>
    <s v="SEM LANÇAMENTO"/>
    <s v="4 ABERTURA E FECHAMENTO, 5 FUSÕES, 1 TESTES, 2 TESTES OTDR."/>
    <d v="2026-08-27T00:00:00"/>
    <d v="2026-08-20T00:00:00"/>
    <m/>
    <m/>
    <d v="2026-08-24T00:00:00"/>
    <d v="2026-08-27T00:00:00"/>
    <m/>
    <x v="0"/>
    <x v="0"/>
    <s v="AG. MEDIÇÃO"/>
    <n v="2"/>
    <x v="0"/>
    <n v="-1"/>
  </r>
  <r>
    <s v="RSCLER0967"/>
    <s v="BFMAA"/>
    <m/>
    <s v="PAE IND"/>
    <s v="PORTO ALEGRE"/>
    <s v="Edifício Ipiranga"/>
    <s v="AV CRISTOVAO COLOMBO 911"/>
    <s v="BFMAA.041.M010"/>
    <d v="2026-07-01T00:00:00"/>
    <x v="0"/>
    <s v="CLEVERSON"/>
    <s v="CATIA"/>
    <m/>
    <s v="OK"/>
    <n v="820"/>
    <n v="928"/>
    <s v="FOI LANÇADO 928 METROS DE CABO DE 12 FO, 3 ABERTURA E FECHAMENTO, 8 FUSÕES, 1 DERIVAÇÃO, 3 TESTES OTDR."/>
    <d v="2026-08-19T00:00:00"/>
    <d v="2026-07-06T00:00:00"/>
    <m/>
    <m/>
    <d v="2026-07-10T00:00:00"/>
    <d v="2026-08-19T00:00:00"/>
    <m/>
    <x v="0"/>
    <x v="0"/>
    <s v="AG. MEDIÇÃO"/>
    <n v="4"/>
    <x v="1"/>
    <n v="1"/>
  </r>
  <r>
    <s v="RSCLER0992"/>
    <s v="FLOAA"/>
    <s v="FLOAB"/>
    <s v="RSPNO11"/>
    <s v="PORTO ALEGRE"/>
    <s v="Edifício Ipiranga"/>
    <s v="AV CRISTOVAO COLOMBO 911"/>
    <s v="FLOAA.104.M080"/>
    <d v="2026-07-01T00:00:00"/>
    <x v="0"/>
    <s v="TIAGO FERREIRA"/>
    <s v="CATIA"/>
    <m/>
    <s v="OK"/>
    <n v="385"/>
    <n v="408"/>
    <s v="FOI LANÇADO 408 METROS DE CABO DE 24FO, 5 ABERTURA E FECHAMENTO, 23 FUSÕES, 1 DERIVAÇÃO, 1 CX NOVA, 3 TESTES, 8 TESTES OTDR."/>
    <d v="2026-08-11T00:00:00"/>
    <d v="2026-07-23T00:00:00"/>
    <m/>
    <d v="2026-07-27T00:00:00"/>
    <d v="2026-07-27T00:00:00"/>
    <d v="2026-08-11T00:00:00"/>
    <m/>
    <x v="0"/>
    <x v="0"/>
    <s v="AG. MEDIÇÃO"/>
    <n v="2"/>
    <x v="0"/>
    <n v="-1"/>
  </r>
  <r>
    <s v="RSCLER0710"/>
    <s v="VNVAA"/>
    <s v="CMQAQ"/>
    <s v="RSPSU13"/>
    <s v="PORTO ALEGRE"/>
    <m/>
    <s v="AV DA CAVALHADA 3156"/>
    <s v="VNVAA.026.M050"/>
    <d v="2025-08-01T00:00:00"/>
    <x v="0"/>
    <s v="UBIRAJARA"/>
    <s v="DIOGO"/>
    <s v="100% - OK"/>
    <m/>
    <m/>
    <n v="899"/>
    <s v="FOI LANÇADO 588 METROS DE CABO DE 12FO, FOI LANÇADO 311 DE CABO DE 12FO,  7 ABERTURA E FECHAMENTO, 12 FUSÕES, 2 TESTES, 1 DERIVAÇÃO."/>
    <d v="2026-02-11T00:00:00"/>
    <d v="2025-08-22T00:00:00"/>
    <m/>
    <m/>
    <d v="2025-08-28T00:00:00"/>
    <d v="2026-02-11T00:00:00"/>
    <m/>
    <x v="0"/>
    <x v="0"/>
    <s v="AG. MEDIÇÃO"/>
    <n v="4"/>
    <x v="1"/>
    <n v="1"/>
  </r>
  <r>
    <s v="RSCLER0771"/>
    <s v="TRA"/>
    <m/>
    <m/>
    <s v="TRAMANDAI"/>
    <m/>
    <s v="AV DA IGREJA 845"/>
    <s v="TRA034M030"/>
    <d v="2025-12-01T00:00:00"/>
    <x v="0"/>
    <m/>
    <s v="DERIK"/>
    <m/>
    <d v="2026-01-23T00:00:00"/>
    <s v="SEM LANÇAMENTO"/>
    <s v="SEM LANÇAMENTO"/>
    <s v="2 ABERTURA E FECHAMENTO, 2 FUSÕES, 2 TESTES"/>
    <d v="2026-01-23T00:00:00"/>
    <d v="2025-12-11T00:00:00"/>
    <m/>
    <m/>
    <d v="2025-12-18T00:00:00"/>
    <d v="2026-01-23T00:00:00"/>
    <m/>
    <x v="0"/>
    <x v="0"/>
    <s v="AG. MEDIÇÃO"/>
    <n v="5"/>
    <x v="1"/>
    <n v="2"/>
  </r>
  <r>
    <s v="RSCLER0855"/>
    <s v="CNTAA"/>
    <m/>
    <m/>
    <s v="PORTO ALEGRE"/>
    <s v="Cond. DUMOS "/>
    <s v="AV DES ANDRE DA ROCHA 158"/>
    <s v="CNTAA.134.M010"/>
    <d v="2026-05-01T00:00:00"/>
    <x v="0"/>
    <m/>
    <s v="CATIA"/>
    <m/>
    <m/>
    <s v="SEM LANÇAMENTO"/>
    <s v="SEM LANÇAMENTO"/>
    <s v="2 ABERTURA E FECHAMENTO, 4 FUSÕES, 3 TESTES, 1 TESTE OTDR"/>
    <d v="2026-05-18T00:00:00"/>
    <d v="2026-05-08T00:00:00"/>
    <m/>
    <m/>
    <d v="2026-05-09T00:00:00"/>
    <d v="2026-05-18T00:00:00"/>
    <m/>
    <x v="0"/>
    <x v="0"/>
    <s v="AG. MEDIÇÃO"/>
    <n v="0"/>
    <x v="0"/>
    <n v="-3"/>
  </r>
  <r>
    <s v="RSCLER0852"/>
    <s v="CNTAA"/>
    <m/>
    <m/>
    <s v="PORTO ALEGRE"/>
    <s v="ED MARIA CARVALHO"/>
    <s v="AV DES ANDRE DA ROCHA 217"/>
    <s v="CNTAA.133.M020"/>
    <d v="2026-05-01T00:00:00"/>
    <x v="0"/>
    <m/>
    <s v="CATIA"/>
    <m/>
    <m/>
    <s v="SEM LANÇAMENTO"/>
    <s v="SEM LANÇAMENTO"/>
    <s v="2 ABERTURA E FECHAMENTO, 4 FUSÕES, 3 TESTES, 1 TESTE OTDR"/>
    <d v="2026-05-21T00:00:00"/>
    <d v="2026-05-08T00:00:00"/>
    <m/>
    <m/>
    <d v="2026-05-09T00:00:00"/>
    <d v="2026-05-21T00:00:00"/>
    <m/>
    <x v="0"/>
    <x v="0"/>
    <s v="AG. MEDIÇÃO"/>
    <n v="0"/>
    <x v="0"/>
    <n v="-3"/>
  </r>
  <r>
    <s v="RSCLER0570"/>
    <s v="CNT"/>
    <m/>
    <s v="RSTES14"/>
    <s v="TORRES"/>
    <m/>
    <s v="AV DO RIACHO 1262"/>
    <s v="CNT029.M8"/>
    <d v="2025-03-01T00:00:00"/>
    <x v="0"/>
    <s v="MAQUENZE"/>
    <s v="MAQUENZE"/>
    <m/>
    <m/>
    <n v="110"/>
    <n v="115"/>
    <s v="FOI LANÇADO 115 METROS DE CABO DE 12FO, 1 ABERTURA E FECHAMENTO, 1 FUSÃO, 1 CX NOVA, 1 DERIVAÇÃO, 1 TESTES"/>
    <d v="2025-05-08T00:00:00"/>
    <d v="2025-03-28T00:00:00"/>
    <d v="2025-03-31T00:00:00"/>
    <d v="2025-04-02T00:00:00"/>
    <d v="2025-04-20T00:00:00"/>
    <s v="NÃO PRECISA"/>
    <m/>
    <x v="0"/>
    <x v="0"/>
    <s v="AG. MEDIÇÃO"/>
    <n v="15"/>
    <x v="1"/>
    <n v="12"/>
  </r>
  <r>
    <s v="RSCLER0731"/>
    <s v="BVSAA"/>
    <s v="PDRAD"/>
    <s v="RSPLE07"/>
    <s v="PORTO ALEGRE"/>
    <m/>
    <s v="Av Dos Industriarios, 664"/>
    <s v="BVSAA.015.M030"/>
    <d v="2025-09-01T00:00:00"/>
    <x v="0"/>
    <m/>
    <s v="YURI"/>
    <m/>
    <m/>
    <m/>
    <m/>
    <s v="COBRAR DENTRO DO NODE PDRAD FASE 3"/>
    <s v="PDRAD"/>
    <d v="2025-09-25T00:00:00"/>
    <m/>
    <m/>
    <d v="2025-09-26T00:00:00"/>
    <s v="NÃO PRECISA"/>
    <m/>
    <x v="0"/>
    <x v="0"/>
    <s v="AG. MEDIÇÃO"/>
    <n v="1"/>
    <x v="0"/>
    <n v="-2"/>
  </r>
  <r>
    <s v="RSCLER0320"/>
    <s v="CNTAB"/>
    <s v="MVL07A"/>
    <m/>
    <s v="CANOAS "/>
    <s v="Canoas Happynes"/>
    <s v="Av Dr Barcelos 97"/>
    <s v="CNTAB.072.M030"/>
    <d v="2024-06-01T00:00:00"/>
    <x v="0"/>
    <s v="GIOVANE"/>
    <s v="ANDERSON"/>
    <s v="100% - OK"/>
    <s v="OK"/>
    <m/>
    <n v="494"/>
    <s v="FOI LANÇADO 494 METROS DE CABO DE 12FO, 1 ABERTURA E FECHAMENTO, 4 FUSÃO, 1 DERIVAÇÃO, 4 TESTE, 1 CX NOVA"/>
    <d v="2024-06-26T00:00:00"/>
    <d v="2024-06-05T00:00:00"/>
    <d v="2024-06-06T00:00:00"/>
    <d v="2024-06-07T00:00:00"/>
    <d v="2024-06-07T00:00:00"/>
    <s v="NÃO PRECISA"/>
    <m/>
    <x v="0"/>
    <x v="0"/>
    <s v="AG. MEDIÇÃO"/>
    <n v="2"/>
    <x v="0"/>
    <n v="-1"/>
  </r>
  <r>
    <s v="RSCLER0685"/>
    <s v="PETAA"/>
    <s v="MTSAM"/>
    <s v="RSPLE11"/>
    <s v="PORTO ALEGRE"/>
    <m/>
    <s v="AV DR NILO PEÇANHA, 242"/>
    <s v="PETAA.171.M020"/>
    <d v="2025-07-01T00:00:00"/>
    <x v="0"/>
    <m/>
    <s v="CLEVERSON"/>
    <m/>
    <m/>
    <m/>
    <m/>
    <s v="COBRAR DENTRO DO NODE MTSAM"/>
    <s v="MTSAM"/>
    <d v="2025-07-30T00:00:00"/>
    <m/>
    <d v="2025-08-08T00:00:00"/>
    <m/>
    <s v="NÃO PRECISA"/>
    <m/>
    <x v="0"/>
    <x v="0"/>
    <s v="AG. MEDIÇÃO"/>
    <n v="281"/>
    <x v="1"/>
    <n v="278"/>
  </r>
  <r>
    <s v="RSCLER0103"/>
    <s v="MRD23A"/>
    <m/>
    <m/>
    <s v="CANOAS "/>
    <s v="Cond Vida Viva Canoas "/>
    <s v="Av Dr Sezefredo Azambuja Vieira 2277"/>
    <m/>
    <d v="2023-07-01T00:00:00"/>
    <x v="0"/>
    <s v="GIOVANE"/>
    <s v="GIOVANE"/>
    <s v="100% - OK"/>
    <s v="OK"/>
    <m/>
    <n v="728"/>
    <s v="foi lançado um cabo de 12 ,lançado 650 metros de cabo ,tmb foi lancado 78 metros de cordoalha cobrar da claro ,4 abertura e fechamento foram aberta mrdaa.m010,mrd23,mrd01.m020  foram feito 24 fusão porq todas as caixas que foram aberta estava sem fusão  foi feito uma caixa nova tmb e e 7 teste 1 com otdr "/>
    <d v="2023-09-06T00:00:00"/>
    <d v="2023-07-20T00:00:00"/>
    <d v="2023-08-10T00:00:00"/>
    <d v="2023-08-10T00:00:00"/>
    <d v="2023-08-22T00:00:00"/>
    <s v="NÃO PRECISA"/>
    <m/>
    <x v="0"/>
    <x v="0"/>
    <s v="AG. MEDIÇÃO"/>
    <n v="23"/>
    <x v="1"/>
    <n v="20"/>
  </r>
  <r>
    <s v="RSCLER0509"/>
    <s v="BVSAA"/>
    <s v="VJDAKA"/>
    <s v="RSPLE07"/>
    <s v="PORTO ALEGRE"/>
    <s v="Arte Country Club "/>
    <s v="Av Dr. Nilo Peçanha N°2278"/>
    <s v="BVSAA.122.M070"/>
    <d v="2025-02-01T00:00:00"/>
    <x v="0"/>
    <s v="AUGUSTO"/>
    <s v="AUGUSTO"/>
    <s v="100% - OK"/>
    <s v="OK - ENVIADO"/>
    <n v="178"/>
    <n v="193"/>
    <s v="FOI LANÇADO 193 METROS DE CABO DE 12FO, 4 ABERTURA E FECHAMENTO, 20 FUSÃO, 1 CX NOVA, 1 DERIVAÇÃO, 5 TESTES"/>
    <d v="2025-03-18T00:00:00"/>
    <d v="2025-02-06T00:00:00"/>
    <d v="2025-02-13T00:00:00"/>
    <d v="2025-02-15T00:00:00"/>
    <d v="2025-02-15T00:00:00"/>
    <s v="NÃO PRECISA"/>
    <m/>
    <x v="0"/>
    <x v="0"/>
    <s v="AG. MEDIÇÃO"/>
    <n v="6"/>
    <x v="1"/>
    <n v="3"/>
  </r>
  <r>
    <s v="RSCLER0431"/>
    <s v="MNDAA"/>
    <s v="AZNAGA"/>
    <s v="PAE MAD"/>
    <s v="PORTO ALEGRE"/>
    <m/>
    <s v="Av Erico Verissimo, 697, 751"/>
    <s v="MNDAA.075.M040"/>
    <d v="2024-09-01T00:00:00"/>
    <x v="0"/>
    <s v="UBIRATAN"/>
    <s v="ANDERSON"/>
    <s v="100% - OK"/>
    <s v="OK - ENVIADO"/>
    <n v="150"/>
    <n v="252"/>
    <s v="FOI LANÇADO 252 METROS DE CABO DE 12FO, 3 ABERTURA E FECHAMENTO, 18 FUSÃO, 1 CX NOVA, 1 DERIVAÇÃO, 8 TESTE "/>
    <d v="2024-10-10T00:00:00"/>
    <d v="2024-09-12T00:00:00"/>
    <d v="2024-09-13T00:00:00"/>
    <d v="2024-09-18T00:00:00"/>
    <d v="2024-09-23T00:00:00"/>
    <s v="NÃO PRECISA"/>
    <m/>
    <x v="0"/>
    <x v="0"/>
    <s v="AG. MEDIÇÃO"/>
    <n v="7"/>
    <x v="1"/>
    <n v="4"/>
  </r>
  <r>
    <s v="RSCLER0181"/>
    <s v="SRDAA"/>
    <m/>
    <m/>
    <s v="PORTO ALEGRE"/>
    <s v="COND. PONTAL DO ACAPULCO"/>
    <s v="AV FARIA LOBATO 1120"/>
    <m/>
    <d v="2023-12-01T00:00:00"/>
    <x v="0"/>
    <s v="THIAGO"/>
    <s v="LUCAS HOBERT"/>
    <s v="100% - OK"/>
    <s v="OK"/>
    <m/>
    <n v="403"/>
    <s v="190 METROS DE CABO DE 12FO, TEVE DIVERGENCIA NO PROJETO, SERA LANÇADO NOVAMENTO O CABO , 213 METROS DE CABO DE 24FO, 1 CAIXA NOVA, 24 FUSÃO, 16 TESTE, 1 DERIVAÇÃO"/>
    <d v="2024-01-09T00:00:00"/>
    <d v="2023-12-11T00:00:00"/>
    <d v="2023-12-14T00:00:00"/>
    <d v="2023-12-14T00:00:00"/>
    <d v="2023-12-15T00:00:00"/>
    <s v="NÃO PRECISA"/>
    <m/>
    <x v="0"/>
    <x v="0"/>
    <s v="AG. MEDIÇÃO"/>
    <n v="4"/>
    <x v="1"/>
    <n v="1"/>
  </r>
  <r>
    <s v="RSCLER1044"/>
    <s v="BFMAA"/>
    <s v="FLOAA"/>
    <s v="PAE IND"/>
    <s v="PORTO ALEGRE"/>
    <s v="COND. ALVARO ESTEVES"/>
    <s v="AV FARRAPOS 1456"/>
    <s v="BFMAA.272.M030"/>
    <d v="2026-08-01T00:00:00"/>
    <x v="0"/>
    <m/>
    <s v="CATIA"/>
    <m/>
    <s v="OK"/>
    <s v="SEM LANÇAMENTO"/>
    <s v="SEM LANÇAMENTO"/>
    <s v="3 ABERTURA E FECHAMENTO, 3 FUSÕES, 2 TESTES, 2 TESTES OTDR."/>
    <d v="2026-08-26T00:00:00"/>
    <d v="2026-08-19T00:00:00"/>
    <m/>
    <m/>
    <d v="2026-08-20T00:00:00"/>
    <d v="2026-08-26T00:00:00"/>
    <m/>
    <x v="0"/>
    <x v="0"/>
    <s v="AG. MEDIÇÃO"/>
    <n v="1"/>
    <x v="0"/>
    <n v="-2"/>
  </r>
  <r>
    <s v="RSCLER0661"/>
    <s v="TRA"/>
    <m/>
    <s v="RSTRI01"/>
    <s v="TRAMANDAI"/>
    <m/>
    <s v="AV FERNANDO AMARAL, 1131"/>
    <s v="TRA026.M040"/>
    <d v="2025-07-01T00:00:00"/>
    <x v="0"/>
    <s v="ALAN VASCONCELOS"/>
    <s v="FABIO AMARILHO"/>
    <m/>
    <m/>
    <n v="205"/>
    <n v="260"/>
    <s v="FOI LANÇADO 260 METROS DE CABO DE 12FO, 6 ABERTURA E FECHAMENTO, 6 FUSÕES, 1 DERIVAÇÃO, 1 CX NOVA. 1 TESTE, 2 TESTES OTDR"/>
    <d v="2025-07-14T00:00:00"/>
    <d v="2025-07-03T00:00:00"/>
    <m/>
    <m/>
    <d v="2025-07-14T00:00:00"/>
    <s v="NÃO PRECISA"/>
    <m/>
    <x v="0"/>
    <x v="0"/>
    <s v="AG. MEDIÇÃO"/>
    <n v="7"/>
    <x v="1"/>
    <n v="4"/>
  </r>
  <r>
    <s v="RSCLER0478"/>
    <s v="RBTAA"/>
    <s v="SRDAPA"/>
    <s v="PAE ARY"/>
    <s v="PORTO ALEGRE"/>
    <s v=" ECOVILLE MALL"/>
    <s v="AV FRANCISCO SILVEIRA BITENCOURT 485"/>
    <s v="RBTAA.061.M030"/>
    <d v="2024-12-01T00:00:00"/>
    <x v="0"/>
    <s v="UBIRATAN"/>
    <s v="AUGUSTO"/>
    <s v="100% - OK"/>
    <s v="OK - ENVIADO"/>
    <n v="363"/>
    <n v="387"/>
    <s v="FOI LANÇADO 387 METROS DE 12FO, 4 ABERTURA E FECHAMENTO, 4 FUSÃO, 1 CX NOVA, 1 DERIVAÇÃO, 1 TESTE"/>
    <d v="2024-12-23T00:00:00"/>
    <d v="2024-12-05T00:00:00"/>
    <m/>
    <m/>
    <d v="2024-12-10T00:00:00"/>
    <s v="NÃO PRECISA"/>
    <m/>
    <x v="0"/>
    <x v="0"/>
    <s v="AG. MEDIÇÃO"/>
    <n v="3"/>
    <x v="0"/>
    <n v="0"/>
  </r>
  <r>
    <s v="RSCLER0197"/>
    <s v="VIPAA"/>
    <m/>
    <m/>
    <s v="PORTO ALEGRE"/>
    <s v="Prime Wallig"/>
    <s v="Av Francisco Trein, 116"/>
    <m/>
    <d v="2023-12-01T00:00:00"/>
    <x v="0"/>
    <m/>
    <s v="LUCAS HOBERT"/>
    <s v="100% - OK"/>
    <s v="OK"/>
    <s v="SEM LANÇAMENTO"/>
    <s v="SEM LANÇAMENTO"/>
    <s v="2 ABERTURA E FECHAMENTO, 4 FUSÃO, 2 TESTE"/>
    <d v="2024-01-09T00:00:00"/>
    <d v="2023-12-28T00:00:00"/>
    <m/>
    <d v="2023-12-28T00:00:00"/>
    <d v="2023-12-29T00:00:00"/>
    <s v="NÃO PRECISA"/>
    <m/>
    <x v="0"/>
    <x v="0"/>
    <s v="AG. MEDIÇÃO"/>
    <n v="1"/>
    <x v="0"/>
    <n v="-2"/>
  </r>
  <r>
    <s v="RSCLER0206"/>
    <s v="CNUAB"/>
    <m/>
    <m/>
    <s v="NOVO HAMBURGO"/>
    <s v=" Cond. Residencial Daltro Filho"/>
    <s v="Av Gen Daltro Filho 1575"/>
    <m/>
    <d v="2024-01-01T00:00:00"/>
    <x v="0"/>
    <m/>
    <s v="LUCAS HOBERT"/>
    <s v="100% - OK"/>
    <s v="OK"/>
    <s v="SEM LANÇAMENTO"/>
    <s v="SEM LANÇAMENTO"/>
    <s v="2 ABERTURA E FECHAMENTO, 2 FUSÃO, 2 TESTE "/>
    <d v="2024-02-23T00:00:00"/>
    <d v="2024-01-08T00:00:00"/>
    <m/>
    <d v="2024-01-09T00:00:00"/>
    <d v="2024-01-12T00:00:00"/>
    <s v="NÃO PRECISA"/>
    <m/>
    <x v="0"/>
    <x v="0"/>
    <s v="AG. MEDIÇÃO"/>
    <n v="4"/>
    <x v="1"/>
    <n v="1"/>
  </r>
  <r>
    <s v="RSCLER0527"/>
    <s v="JBQAA"/>
    <m/>
    <s v="RSCHN05"/>
    <s v="CACHOERINHA"/>
    <s v="Shopping do Vale"/>
    <s v="Av General Flores da Cunha, 4001"/>
    <s v="JBQAA.007.M030"/>
    <d v="2025-02-01T00:00:00"/>
    <x v="0"/>
    <s v="CESAR LEANDRO"/>
    <s v="CESAR LEANDRO"/>
    <m/>
    <m/>
    <n v="260"/>
    <n v="370"/>
    <s v="FOI LANÇADO 370 METROS DE CABO DE 12FO, 6 ABERTURA E FECHAMENTO, 12 FUSÕES, 1 CX NOVA, 1 DERIVAÇÃO, 2 TESTES"/>
    <d v="2025-03-24T00:00:00"/>
    <d v="2025-02-27T00:00:00"/>
    <d v="2025-02-28T00:00:00"/>
    <d v="2025-03-03T00:00:00"/>
    <d v="2025-03-04T00:00:00"/>
    <s v="NÃO PRECISA"/>
    <m/>
    <x v="0"/>
    <x v="0"/>
    <s v="AG. MEDIÇÃO"/>
    <n v="3"/>
    <x v="0"/>
    <n v="0"/>
  </r>
  <r>
    <s v="RSCLER0799"/>
    <s v="MNDAC"/>
    <s v="MNDAL"/>
    <s v="PAE CL"/>
    <s v="PORTO ALEGRE"/>
    <m/>
    <s v="AV GETULIO VARGAS 1485 "/>
    <s v="MNDAC.043.M050"/>
    <d v="2026-02-01T00:00:00"/>
    <x v="0"/>
    <m/>
    <s v="CATIA"/>
    <m/>
    <m/>
    <s v="SEM LANÇAMENTO"/>
    <s v="SEM LANÇAMENTO"/>
    <s v="2 ABERTURA E FECHAMENTO, 1 FUSÕES, 1 TESTES."/>
    <d v="2026-02-05T00:00:00"/>
    <d v="2026-02-04T00:00:00"/>
    <m/>
    <m/>
    <d v="2026-02-05T00:00:00"/>
    <d v="2026-02-05T00:00:00"/>
    <m/>
    <x v="0"/>
    <x v="0"/>
    <s v="AG. MEDIÇÃO"/>
    <n v="1"/>
    <x v="0"/>
    <n v="-2"/>
  </r>
  <r>
    <s v="RSCLER0806"/>
    <s v="MNDAC"/>
    <m/>
    <m/>
    <s v="PORTO ALEGRE"/>
    <m/>
    <s v="AV GETULIO VARGAS 1499"/>
    <s v="MNDAC.043.M050"/>
    <d v="2026-02-01T00:00:00"/>
    <x v="0"/>
    <m/>
    <s v="CATIA"/>
    <m/>
    <m/>
    <s v="SEM LANÇAMENTO"/>
    <s v="SEM LANÇAMENTO"/>
    <s v="2 ABERTURA E FECHAMENTO, 1 FUSÃO, 1 TESTE."/>
    <d v="2026-02-10T00:00:00"/>
    <d v="2026-02-05T00:00:00"/>
    <m/>
    <m/>
    <d v="2026-02-05T00:00:00"/>
    <d v="2026-02-10T00:00:00"/>
    <m/>
    <x v="0"/>
    <x v="0"/>
    <s v="AG. MEDIÇÃO"/>
    <n v="0"/>
    <x v="0"/>
    <n v="-3"/>
  </r>
  <r>
    <s v="RSCLER0889"/>
    <s v="RNDAA"/>
    <s v="RNDAH"/>
    <s v="RSNHO12"/>
    <s v="NOVO HAMBURGO"/>
    <m/>
    <s v="AV Guia Lopes 3070"/>
    <s v="RNDAA.063.M010"/>
    <d v="2026-05-01T00:00:00"/>
    <x v="0"/>
    <m/>
    <s v="AFONSO"/>
    <m/>
    <s v="OK"/>
    <s v="SEM LANÇAMENTO"/>
    <s v="SEM LANÇAMENTO"/>
    <s v="5 ABERTURA E FECHAMENTO, 8 FUSÕES, 2 TESTES."/>
    <d v="2026-07-02T00:00:00"/>
    <d v="2026-05-28T00:00:00"/>
    <m/>
    <m/>
    <d v="2026-05-29T00:00:00"/>
    <d v="2026-07-02T00:00:00"/>
    <m/>
    <x v="0"/>
    <x v="0"/>
    <s v="AG. MEDIÇÃO"/>
    <n v="1"/>
    <x v="0"/>
    <n v="-2"/>
  </r>
  <r>
    <s v="RSCLER0508"/>
    <s v="TRA"/>
    <m/>
    <s v="RSTRI01"/>
    <s v="TRAMANDAI"/>
    <s v="NAP LOTADA"/>
    <s v="RUA JORGE SPERB, 129"/>
    <s v="TRA.063.03.01"/>
    <d v="2025-02-01T00:00:00"/>
    <x v="1"/>
    <m/>
    <s v="FABIO AMARILIO"/>
    <m/>
    <m/>
    <s v="SEM LANÇAMENTO"/>
    <s v="SEM LANÇAMENTO"/>
    <m/>
    <m/>
    <d v="2025-02-06T00:00:00"/>
    <d v="2025-02-19T00:00:00"/>
    <m/>
    <s v="CANCELADO"/>
    <s v="NÃO PRECISA"/>
    <m/>
    <x v="1"/>
    <x v="1"/>
    <s v="CANCELADO"/>
    <s v="CANCELADO"/>
    <x v="1"/>
    <s v="CANCELADO"/>
  </r>
  <r>
    <s v="RSCLER1030"/>
    <s v="PETAA"/>
    <s v="PETAW"/>
    <s v="RSPLE11"/>
    <s v="PORTO ALEGRE"/>
    <m/>
    <s v="AV IGUASSÚ 57"/>
    <s v="PETAA.061.M030"/>
    <d v="2026-08-01T00:00:00"/>
    <x v="0"/>
    <m/>
    <s v="CATIA"/>
    <m/>
    <s v="OK"/>
    <s v="SEM LANÇAMENTO"/>
    <s v="SEM LANÇAMENTO"/>
    <s v="4 ABERTURA E FECHAMENTO, 3 FUSÕES, 1 TESTE, 3 TESTES OTDR."/>
    <d v="2026-08-25T00:00:00"/>
    <d v="2026-08-13T00:00:00"/>
    <m/>
    <m/>
    <d v="2026-08-17T00:00:00"/>
    <d v="2026-08-25T00:00:00"/>
    <m/>
    <x v="0"/>
    <x v="0"/>
    <s v="AG. MEDIÇÃO"/>
    <n v="2"/>
    <x v="0"/>
    <n v="-1"/>
  </r>
  <r>
    <s v="RSCLER1015"/>
    <s v="PETAA"/>
    <s v="PETAR"/>
    <s v="RSPLE11"/>
    <s v="PORTO ALEGRE"/>
    <s v=" Cond. Edifício Ijuí"/>
    <s v="AV IJUÍ 141"/>
    <s v="PETAA.152.M030"/>
    <d v="2026-08-01T00:00:00"/>
    <x v="0"/>
    <m/>
    <s v="CATIA"/>
    <m/>
    <s v="OK"/>
    <s v="SEM LANÇAMENTO"/>
    <s v="SEM LANÇAMENTO"/>
    <s v="COBRAR JUNTO COM A OS RSCLER1014"/>
    <d v="2026-08-20T00:00:00"/>
    <d v="2026-08-06T00:00:00"/>
    <m/>
    <m/>
    <d v="2026-08-07T00:00:00"/>
    <d v="2026-08-20T00:00:00"/>
    <m/>
    <x v="0"/>
    <x v="0"/>
    <s v="AG. MEDIÇÃO"/>
    <n v="1"/>
    <x v="0"/>
    <n v="-2"/>
  </r>
  <r>
    <s v="RSCLER0382"/>
    <s v="PETAA"/>
    <s v="PETAO"/>
    <s v="RSPLE11"/>
    <s v="PORTO ALEGRE"/>
    <s v="VÉRTICE"/>
    <s v="Av Ijuí, 259"/>
    <s v="PETAA.132.M050"/>
    <d v="2024-08-01T00:00:00"/>
    <x v="0"/>
    <s v="TIAGO FERREIRA"/>
    <s v="ANDERSON"/>
    <s v="100% - OK"/>
    <s v="OK"/>
    <m/>
    <n v="280"/>
    <s v="FOI LANÇADO 280 METROS DE CABO DE 12FO, 3 ABERTURA E FECHAMENTO, 4 FUSÃO, 2 DERIVAÇÃO, 1 CX NOVA, 1 TESTE"/>
    <d v="2024-08-28T00:00:00"/>
    <d v="2024-08-16T00:00:00"/>
    <d v="2024-08-19T00:00:00"/>
    <d v="2024-08-19T00:00:00"/>
    <d v="2024-08-19T00:00:00"/>
    <s v="NÃO PRECISA"/>
    <m/>
    <x v="0"/>
    <x v="0"/>
    <s v="AG. MEDIÇÃO"/>
    <n v="1"/>
    <x v="0"/>
    <n v="-2"/>
  </r>
  <r>
    <s v="RSCLER0514"/>
    <s v="FEIAA"/>
    <m/>
    <m/>
    <s v="SÃO LEOPOLDO"/>
    <s v="JLE TELECOMUNICAÇÕES LTDA."/>
    <s v="AV IMPERATRIZ LEOPOLDINA, 2244"/>
    <s v="FEIAA.013.03.08"/>
    <d v="2025-02-01T00:00:00"/>
    <x v="0"/>
    <s v="TIAGO FERREIRA"/>
    <s v="LUCAS HOBERT"/>
    <s v="100% - OK"/>
    <s v="OK"/>
    <n v="700"/>
    <n v="730"/>
    <s v="FOI LANÇADO 730 METROS DE CABO DE 12FO, 2 ABERTURA E FECHAMENTO, 1 NAP NOVA, 1 DERIVAÇÃO, 3 FUSÃO, 3 TESTES"/>
    <s v="NÃO COBRAR"/>
    <d v="2025-02-12T00:00:00"/>
    <d v="2025-02-14T00:00:00"/>
    <d v="2025-02-16T00:00:00"/>
    <d v="2025-02-18T00:00:00"/>
    <s v="NÃO PRECISA"/>
    <m/>
    <x v="0"/>
    <x v="0"/>
    <s v="AG. MEDIÇÃO"/>
    <n v="4"/>
    <x v="1"/>
    <n v="1"/>
  </r>
  <r>
    <s v="RSCLER0965"/>
    <s v="BFMAA"/>
    <s v="RBRAFA"/>
    <s v="PAE IND"/>
    <s v="PORTO ALEGRE"/>
    <s v="Cond Jardim Independencia"/>
    <s v="AV INDEPENDENCIA 1138"/>
    <s v="BFMAA.091.M030"/>
    <d v="2026-07-01T00:00:00"/>
    <x v="0"/>
    <m/>
    <s v="CATIA"/>
    <m/>
    <s v="OK"/>
    <s v="SEM LANÇAMENTO"/>
    <s v="SEM LANÇAMENTO"/>
    <s v="2 ABERTURA E FECHAMENTO, 3 FUSÕES, 3 TESTES."/>
    <d v="2026-07-09T00:00:00"/>
    <d v="2026-07-02T00:00:00"/>
    <m/>
    <m/>
    <d v="2026-07-03T00:00:00"/>
    <d v="2026-07-09T00:00:00"/>
    <m/>
    <x v="0"/>
    <x v="0"/>
    <s v="AG. MEDIÇÃO"/>
    <n v="1"/>
    <x v="0"/>
    <n v="-2"/>
  </r>
  <r>
    <s v="RSCLER0922"/>
    <s v="BFMAA"/>
    <s v="BFMADA"/>
    <s v="PAE IND"/>
    <s v="PORTO ALEGRE"/>
    <m/>
    <s v="AV INDEPENDENCIA 56"/>
    <s v="BFMAA.023.M070"/>
    <d v="2026-06-01T00:00:00"/>
    <x v="0"/>
    <m/>
    <s v="CATIA"/>
    <m/>
    <s v="OK"/>
    <s v="SEM LANÇAMENTO"/>
    <s v="SEM LANÇAMENTO"/>
    <s v="COBRAR NA MESMA OS DA RSCLER0911"/>
    <d v="2026-07-07T00:00:00"/>
    <d v="2026-06-10T00:00:00"/>
    <m/>
    <m/>
    <d v="2026-06-15T00:00:00"/>
    <d v="2026-07-07T00:00:00"/>
    <m/>
    <x v="0"/>
    <x v="0"/>
    <s v="AG. MEDIÇÃO"/>
    <n v="3"/>
    <x v="0"/>
    <n v="0"/>
  </r>
  <r>
    <s v="RSCLER0955"/>
    <s v="BFMAA"/>
    <s v="BFMADA"/>
    <s v="PAE IND"/>
    <s v="PORTO ALEGRE"/>
    <s v="Cond. LOFORTE"/>
    <s v="AV INDEPENDÊNCIA 814"/>
    <s v="BFMAA.022.M030"/>
    <d v="2026-06-01T00:00:00"/>
    <x v="0"/>
    <m/>
    <s v="AFONSO"/>
    <m/>
    <s v="OK"/>
    <s v="SEM LANÇAMENTO"/>
    <s v="SEM LANÇAMENTO"/>
    <s v="3 ABERTURA E FECHAMENTO, 4 FUSÕES, 2 TESTES."/>
    <d v="2026-07-09T00:00:00"/>
    <d v="2026-06-20T00:00:00"/>
    <m/>
    <m/>
    <d v="2026-06-24T00:00:00"/>
    <d v="2026-07-09T00:00:00"/>
    <m/>
    <x v="0"/>
    <x v="0"/>
    <s v="AG. MEDIÇÃO"/>
    <n v="2"/>
    <x v="0"/>
    <n v="-1"/>
  </r>
  <r>
    <s v="RSCLER0697"/>
    <s v="BFMAA"/>
    <s v="RBRAFA"/>
    <s v="PAE IND"/>
    <s v="PORTO ALEGRE"/>
    <m/>
    <s v="AV INDEPENDENCIA, 1299"/>
    <s v="BFMAA.092M010"/>
    <d v="2025-07-01T00:00:00"/>
    <x v="0"/>
    <m/>
    <s v="CATIA"/>
    <m/>
    <m/>
    <s v="SEM LANÇAMENTO"/>
    <s v="SEM LANÇAMENTO"/>
    <s v="2 ABERTURA E FECHAMENTO, 3 FUSÕES"/>
    <d v="2025-08-18T00:00:00"/>
    <d v="2025-08-18T00:00:00"/>
    <m/>
    <m/>
    <d v="2025-08-18T00:00:00"/>
    <s v="NÃO PRECISA"/>
    <m/>
    <x v="0"/>
    <x v="0"/>
    <s v="AG. MEDIÇÃO"/>
    <n v="0"/>
    <x v="0"/>
    <n v="-3"/>
  </r>
  <r>
    <s v="RSCLER0660"/>
    <s v="CLC"/>
    <m/>
    <m/>
    <s v="TORRES"/>
    <m/>
    <s v="AV INDEPENDENCIA, 500"/>
    <s v="CLC011.M2"/>
    <d v="2025-07-01T00:00:00"/>
    <x v="0"/>
    <m/>
    <s v="MAQUENZE"/>
    <m/>
    <m/>
    <m/>
    <m/>
    <s v="2 ABERTURA E FECHAMENTO, 4 FUSÕES, 2 TESTES"/>
    <d v="2025-07-14T00:00:00"/>
    <d v="2025-07-03T00:00:00"/>
    <m/>
    <m/>
    <d v="2025-07-12T00:00:00"/>
    <s v="NÃO PRECISA"/>
    <m/>
    <x v="0"/>
    <x v="0"/>
    <s v="AG. MEDIÇÃO"/>
    <n v="6"/>
    <x v="1"/>
    <n v="3"/>
  </r>
  <r>
    <s v="RSCLER0911"/>
    <s v="BFMAA"/>
    <s v="BFMADA"/>
    <s v="PAE IND"/>
    <s v="PORTO ALEGRE"/>
    <m/>
    <s v="AV Independencia, 691"/>
    <s v="BFMAA.023.M020"/>
    <d v="2026-06-01T00:00:00"/>
    <x v="0"/>
    <s v="TIAGO FERREIRA"/>
    <s v="CATIA"/>
    <m/>
    <s v="OK"/>
    <n v="169"/>
    <n v="163"/>
    <s v="FOI LANÇADO 163 METROS DE CABO 163, 5 ABERTURA E FECHAMENTO, 17 FUSÕES, 2 DERIVAÇÕES, 4 TESTES."/>
    <d v="2026-07-07T00:00:00"/>
    <d v="2026-06-10T00:00:00"/>
    <m/>
    <m/>
    <d v="2026-06-15T00:00:00"/>
    <d v="2026-07-07T00:00:00"/>
    <m/>
    <x v="0"/>
    <x v="0"/>
    <s v="AG. MEDIÇÃO"/>
    <n v="3"/>
    <x v="0"/>
    <n v="0"/>
  </r>
  <r>
    <s v="RSCLER0518"/>
    <s v="BFMAA"/>
    <s v="BFMADA"/>
    <s v="PAE IND"/>
    <s v="PORTO ALEGRE"/>
    <s v="Cond. Vitória Régia"/>
    <s v="Av Independencia, 742"/>
    <s v="BFMAA.022.M010"/>
    <d v="2025-02-01T00:00:00"/>
    <x v="0"/>
    <m/>
    <s v="AUGUSTO"/>
    <s v="100% - OK"/>
    <s v="OK - ENVIADO"/>
    <s v="SEM LANÇAMENTO"/>
    <s v="SEM LANÇAMENTO"/>
    <s v="5 ABERTURA E FECHAMENTO, 5 FUSÃO, 1 TESTE"/>
    <d v="2025-03-23T00:00:00"/>
    <d v="2025-02-17T00:00:00"/>
    <d v="2025-02-20T00:00:00"/>
    <d v="2025-02-26T00:00:00"/>
    <d v="2025-02-26T00:00:00"/>
    <s v="NÃO PRECISA"/>
    <m/>
    <x v="0"/>
    <x v="0"/>
    <s v="AG. MEDIÇÃO"/>
    <n v="7"/>
    <x v="1"/>
    <n v="4"/>
  </r>
  <r>
    <s v="RSCLER0591"/>
    <s v="CLC"/>
    <m/>
    <m/>
    <s v="TORRES"/>
    <m/>
    <s v="Av Independencia, 930"/>
    <s v="CLC011.M4"/>
    <d v="2025-05-01T00:00:00"/>
    <x v="0"/>
    <m/>
    <s v="MAQUENZE"/>
    <m/>
    <m/>
    <m/>
    <m/>
    <s v="5 ABERTURA E FECHAMENTO, 5 FUSÕES, 3 TESTES"/>
    <d v="2025-07-07T00:00:00"/>
    <d v="2025-05-09T00:00:00"/>
    <m/>
    <m/>
    <d v="2025-06-12T00:00:00"/>
    <s v="NÃO PRECISA"/>
    <m/>
    <x v="0"/>
    <x v="0"/>
    <s v="AG. MEDIÇÃO"/>
    <n v="24"/>
    <x v="1"/>
    <n v="21"/>
  </r>
  <r>
    <s v="RSCLER0316"/>
    <s v="RBRAA"/>
    <s v="RBRAB"/>
    <m/>
    <s v="PORTO ALEGRE"/>
    <s v="DIRETORIA"/>
    <s v="AV IPIRANGA "/>
    <s v="RBRAA.074.02.07"/>
    <d v="2024-05-01T00:00:00"/>
    <x v="0"/>
    <s v="ADRIANO"/>
    <s v="ANDERSON"/>
    <s v="100% - OK"/>
    <s v="OK"/>
    <m/>
    <n v="207"/>
    <s v="FOI LANÇADO 207 MTEROS DE CABO DE 12FO, 3 ABERTURA E FECHAMENTO, 4 FUSÃO, 1 DERIVAÇÃO, 1 NAP NOVA, 1 TESTE"/>
    <d v="2024-05-27T00:00:00"/>
    <d v="2024-05-16T00:00:00"/>
    <d v="2024-05-16T00:00:00"/>
    <d v="2024-05-16T00:00:00"/>
    <d v="2024-05-16T00:00:00"/>
    <s v="NÃO PRECISA"/>
    <m/>
    <x v="0"/>
    <x v="0"/>
    <s v="AG. MEDIÇÃO"/>
    <n v="0"/>
    <x v="0"/>
    <n v="-3"/>
  </r>
  <r>
    <s v="RSCLER0244"/>
    <s v="MTSAA"/>
    <m/>
    <m/>
    <s v="PORTO ALEGRE"/>
    <s v="Edifício Maison Du Soleil"/>
    <s v="AV ITAJAÍ, 496"/>
    <m/>
    <d v="2024-04-01T00:00:00"/>
    <x v="0"/>
    <s v="UBIRATAN"/>
    <s v="MARCOS EMILIANO"/>
    <s v="100% - OK"/>
    <s v="OK"/>
    <m/>
    <n v="712"/>
    <s v="FOI LANÇADO 712 METROS DE CABO DE 12FO, 4 ABERTURA E FECHAMENTO, 9 FUSÃO, 1 DERIVAÇÃO, 1 CX NOVA, 1 TESTE - FAZER AS BULTS DE JOGADA DE FIBRAS"/>
    <d v="2024-04-23T00:00:00"/>
    <d v="2024-04-01T00:00:00"/>
    <d v="2024-04-01T00:00:00"/>
    <d v="2024-04-02T00:00:00"/>
    <d v="2024-04-02T00:00:00"/>
    <s v="NÃO PRECISA"/>
    <m/>
    <x v="0"/>
    <x v="0"/>
    <s v="AG. MEDIÇÃO"/>
    <n v="1"/>
    <x v="0"/>
    <n v="-2"/>
  </r>
  <r>
    <s v="RSCLER1026"/>
    <s v="SANAA"/>
    <s v="CBXAH"/>
    <s v="RSPCE22"/>
    <s v="PORTO ALEGRE"/>
    <s v="Edifício Paladium"/>
    <s v="AV JOÃO PESSOA 211"/>
    <s v="SANAA.272.M060"/>
    <d v="2026-08-01T00:00:00"/>
    <x v="0"/>
    <m/>
    <s v="CATIA"/>
    <m/>
    <s v="OK"/>
    <s v="SEM LANÇAMENTO"/>
    <s v="SEM LANÇAMENTO"/>
    <s v="2 ABERTURA E FECHAMENTO, 5 FUSÕES, 5 TESTES."/>
    <d v="2026-08-24T00:00:00"/>
    <d v="2026-08-11T00:00:00"/>
    <m/>
    <m/>
    <d v="2026-08-11T00:00:00"/>
    <d v="2026-08-24T00:00:00"/>
    <m/>
    <x v="0"/>
    <x v="0"/>
    <s v="AG. MEDIÇÃO"/>
    <n v="0"/>
    <x v="0"/>
    <n v="-3"/>
  </r>
  <r>
    <s v="RSCLER0960"/>
    <s v="SANAA"/>
    <s v="CBXAIA"/>
    <s v="PAE MF"/>
    <s v="PORTO ALEGRE"/>
    <m/>
    <s v="AV JOAO PESSOA 891"/>
    <s v="SANAA.363.04.08"/>
    <d v="2026-06-01T00:00:00"/>
    <x v="0"/>
    <s v="AFONSO"/>
    <s v="AFONSO"/>
    <m/>
    <s v="OK"/>
    <n v="150"/>
    <n v="115"/>
    <s v="FOI LANÇADO 115 METROS DE CABO DE 12FO, 1 ABERTURA E FECHAMENTO, 2 FUSÃO, 1 NAP NOVA, 1 DERIVAÇÃO, 1 TESTES"/>
    <d v="2026-08-07T00:00:00"/>
    <d v="2026-06-29T00:00:00"/>
    <m/>
    <m/>
    <d v="2026-06-30T00:00:00"/>
    <d v="2026-08-07T00:00:00"/>
    <m/>
    <x v="0"/>
    <x v="0"/>
    <s v="AG. MEDIÇÃO"/>
    <n v="1"/>
    <x v="0"/>
    <n v="-2"/>
  </r>
  <r>
    <s v="RSCLER0689"/>
    <s v="PETAA"/>
    <s v="MTSAU"/>
    <s v="RSPLE11"/>
    <s v="PORTO ALEGRE"/>
    <m/>
    <s v="AV LAGEADO, 1233"/>
    <s v="PETAA.013.M010"/>
    <d v="2025-07-01T00:00:00"/>
    <x v="0"/>
    <m/>
    <s v="AFONSO"/>
    <m/>
    <m/>
    <m/>
    <m/>
    <s v="COBRAR DENTRO DO NODE MTSAU"/>
    <s v="MTSAU"/>
    <d v="2025-07-30T00:00:00"/>
    <m/>
    <m/>
    <d v="2025-08-05T00:00:00"/>
    <s v="NÃO PRECISA"/>
    <m/>
    <x v="0"/>
    <x v="0"/>
    <s v="AG. MEDIÇÃO"/>
    <n v="4"/>
    <x v="1"/>
    <n v="1"/>
  </r>
  <r>
    <s v="RSCLER0690"/>
    <s v="PETAA"/>
    <s v="MTSAU"/>
    <s v="RSPLE11"/>
    <s v="PORTO ALEGRE"/>
    <m/>
    <s v="AV LAGEADO, 1355, 1380"/>
    <s v="PETAA.013.M020"/>
    <d v="2025-07-01T00:00:00"/>
    <x v="0"/>
    <m/>
    <s v="AFONSO"/>
    <m/>
    <m/>
    <m/>
    <m/>
    <s v="COBRAR DENTRO DO NODE MTSAU"/>
    <s v="MTSAU"/>
    <d v="2025-07-30T00:00:00"/>
    <m/>
    <m/>
    <d v="2025-08-05T00:00:00"/>
    <s v="NÃO PRECISA"/>
    <m/>
    <x v="0"/>
    <x v="0"/>
    <s v="AG. MEDIÇÃO"/>
    <n v="4"/>
    <x v="1"/>
    <n v="1"/>
  </r>
  <r>
    <s v="RSCLER0523"/>
    <s v="PETAA"/>
    <s v="PETAO"/>
    <s v="RSPLE11"/>
    <s v="PORTO ALEGRE"/>
    <s v="Condomínio Lageado 167 "/>
    <s v="Av Lageado, 167"/>
    <s v="PETAA.132.M070"/>
    <d v="2025-02-01T00:00:00"/>
    <x v="0"/>
    <s v="AUGUSTO"/>
    <s v="AUGUSTO"/>
    <m/>
    <m/>
    <n v="170"/>
    <n v="236"/>
    <s v="FOI LANÇADO 236 METROS DE CABO DE 12FO, 2 ABERTURA E FECHAMENTO, 6 FUSÕES, 1 CX NOVA, 1 DERIVAÇÃO, 3 TESTES"/>
    <d v="2025-03-18T00:00:00"/>
    <d v="2025-02-25T00:00:00"/>
    <d v="2025-02-27T00:00:00"/>
    <d v="2025-02-28T00:00:00"/>
    <d v="2025-02-28T00:00:00"/>
    <s v="NÃO PRECISA"/>
    <m/>
    <x v="0"/>
    <x v="0"/>
    <s v="AG. MEDIÇÃO"/>
    <n v="3"/>
    <x v="0"/>
    <n v="0"/>
  </r>
  <r>
    <s v="RSCLER0477"/>
    <s v="PETAA"/>
    <s v="PETAX"/>
    <s v="RSPLE11"/>
    <s v="PORTO ALEGRE"/>
    <s v="Edifício Residencial Ampiezza"/>
    <s v="Av Lajeado, 1256"/>
    <s v="PETAA.101.M050"/>
    <d v="2024-12-12T00:00:00"/>
    <x v="0"/>
    <s v="UBIRATAN"/>
    <s v="AUGUSTO"/>
    <s v="100% - OK"/>
    <s v="OK - ENVIADO"/>
    <n v="315"/>
    <n v="404"/>
    <s v="FOI LANÇADO 404 METROS DE CABO DE 12FO, 2 ABERTURA E FECHAMENTO, 9 FUSÃO, 1 CX NOVA, 1 DERIVAÇÃO, 4 TESTES"/>
    <d v="2024-12-23T00:00:00"/>
    <d v="2024-12-04T00:00:00"/>
    <d v="2024-12-08T00:00:00"/>
    <m/>
    <d v="2024-12-11T00:00:00"/>
    <s v="NÃO PRECISA"/>
    <m/>
    <x v="0"/>
    <x v="0"/>
    <s v="AG. MEDIÇÃO"/>
    <n v="5"/>
    <x v="1"/>
    <n v="2"/>
  </r>
  <r>
    <s v="RSCLER0546"/>
    <s v="RBRAA"/>
    <s v="RBRAO"/>
    <s v="RSPLE08"/>
    <s v="PORTO ALEGRE"/>
    <s v="Condomínio Edifício Jamaica"/>
    <s v="Av Lucas de Oliveira, 1601"/>
    <s v="RBRAA.121.M030"/>
    <d v="2025-03-01T00:00:00"/>
    <x v="0"/>
    <m/>
    <s v="AUGUSTO"/>
    <s v="100% - OK"/>
    <s v="OK - ENVIADO"/>
    <s v="SEM LANÇAMENTO"/>
    <s v="SEM LANÇAMENTO"/>
    <s v="9 ABERTURA E FECHAMENTO, 9 FUSÕES, 2 TESTES"/>
    <d v="2025-03-25T00:00:00"/>
    <d v="2025-03-17T00:00:00"/>
    <d v="2025-03-18T00:00:00"/>
    <d v="2025-03-20T00:00:00"/>
    <d v="2025-03-16T00:00:00"/>
    <s v="NÃO PRECISA"/>
    <m/>
    <x v="0"/>
    <x v="0"/>
    <s v="AG. MEDIÇÃO"/>
    <n v="-2"/>
    <x v="0"/>
    <n v="-5"/>
  </r>
  <r>
    <s v="RSCLER0551"/>
    <s v="RBRAA"/>
    <s v="RBRAO"/>
    <s v="RSPLE08"/>
    <s v="PORTO ALEGRE"/>
    <s v="Condomínio Edifício Ilton"/>
    <s v="Av Lucas de Oliveira, 1609"/>
    <s v="RBRAA.121.M030."/>
    <d v="2025-03-01T00:00:00"/>
    <x v="0"/>
    <m/>
    <s v="AUGUSTO"/>
    <s v="100% - OK"/>
    <s v="OK - ENVIADO"/>
    <s v="SEM LANÇAMENTO"/>
    <s v="SEM LANÇAMENTO"/>
    <s v="COBRAR COM A OS RSCLER0543"/>
    <d v="2025-03-25T00:00:00"/>
    <d v="2025-03-17T00:00:00"/>
    <d v="2025-03-20T00:00:00"/>
    <d v="2025-03-20T00:00:00"/>
    <d v="2025-03-16T00:00:00"/>
    <s v="NÃO PRECISA"/>
    <m/>
    <x v="0"/>
    <x v="0"/>
    <s v="AG. MEDIÇÃO"/>
    <n v="-2"/>
    <x v="0"/>
    <n v="-5"/>
  </r>
  <r>
    <s v="RSCLER0902"/>
    <s v="MTSAA"/>
    <m/>
    <m/>
    <s v="PORTO ALEGRE"/>
    <s v="Cond. Residencial Paraiso"/>
    <s v="AV MANOEL ELIAS 2136 à 2150"/>
    <s v="MTSAA.032.M020"/>
    <d v="2026-06-01T00:00:00"/>
    <x v="0"/>
    <s v="TIAGO FERREIRA"/>
    <s v="CATIA"/>
    <m/>
    <s v="OK"/>
    <n v="270"/>
    <n v="249"/>
    <s v="FOI LANÇADO 249 METROS DE CABO DE 12FO, 6 ABERTURA E FECHAMENTO, 1 CX NOVA, 1 DERIVAÇÃO, 6 FUSÕES, 1 TESTE. 4 TESTE OTDR"/>
    <d v="2026-07-14T00:00:00"/>
    <d v="2026-06-10T00:00:00"/>
    <m/>
    <m/>
    <d v="2026-06-15T00:00:00"/>
    <d v="2026-07-14T00:00:00"/>
    <m/>
    <x v="0"/>
    <x v="0"/>
    <s v="AG. MEDIÇÃO"/>
    <n v="3"/>
    <x v="0"/>
    <n v="0"/>
  </r>
  <r>
    <s v="RSCLER0850"/>
    <s v="MTSAA"/>
    <s v="MSTAI"/>
    <s v="RSPNO26"/>
    <s v="PORTO ALEGRE"/>
    <s v="RESID DON MANOEL"/>
    <s v="AV MANOEL ELIAS 2200"/>
    <s v="MSTAA.032.M010"/>
    <d v="2026-05-01T00:00:00"/>
    <x v="0"/>
    <s v="TIAGO FERREIRA"/>
    <s v="CATIA"/>
    <m/>
    <m/>
    <n v="120"/>
    <n v="144"/>
    <s v="FOI LANÇADO 144 METROS DE CABO DE 12FO, 5 ABERTURA E FECHAMENTO, 1 DERIVAÇÃO, 1 CX NOVA, 30 FUSÕES, 6 TESTES, 2 TESTE OTDR"/>
    <d v="2026-05-18T00:00:00"/>
    <d v="2026-05-05T00:00:00"/>
    <m/>
    <m/>
    <d v="2026-05-12T00:00:00"/>
    <d v="2026-05-18T00:00:00"/>
    <m/>
    <x v="0"/>
    <x v="0"/>
    <s v="AG. MEDIÇÃO"/>
    <n v="5"/>
    <x v="1"/>
    <n v="2"/>
  </r>
  <r>
    <s v="RSCLER0779"/>
    <s v="TRA"/>
    <m/>
    <s v="RSTRI01"/>
    <s v="TRAMANDAÍ"/>
    <m/>
    <s v="AV MARCILIO DIAS, 1079"/>
    <s v="TRA022.M070"/>
    <d v="2025-12-01T00:00:00"/>
    <x v="0"/>
    <m/>
    <s v="JUNIOR"/>
    <m/>
    <m/>
    <s v="SEM LANÇAMENTO"/>
    <s v="SEM LANÇAMENTO"/>
    <s v="4 ABERTURA E FECHAMENTO, 6 FUSÕES, 2 TESTES"/>
    <d v="2026-01-30T00:00:00"/>
    <d v="2025-12-19T00:00:00"/>
    <m/>
    <m/>
    <d v="2026-12-26T00:00:00"/>
    <d v="2026-01-30T00:00:00"/>
    <m/>
    <x v="0"/>
    <x v="0"/>
    <s v="AG. MEDIÇÃO"/>
    <n v="265"/>
    <x v="1"/>
    <n v="262"/>
  </r>
  <r>
    <s v="RSCLER0249"/>
    <s v="MTSAA"/>
    <m/>
    <m/>
    <s v="PORTO ALEGRE"/>
    <s v=" MAISON MARYLAND "/>
    <s v="AV MARILAND 1060"/>
    <m/>
    <d v="2024-04-01T00:00:00"/>
    <x v="0"/>
    <s v="THIAGO"/>
    <s v="PAULO GOMES"/>
    <s v="100% - OK"/>
    <s v="OK"/>
    <m/>
    <n v="175"/>
    <s v="FOI LANÇADO 175 METROS DE CABO DE 12FO, 2 ABERTURA E FECHAMENTO, 1 FUSÃO, 1 DERIVAÇÃO, 1 TESTE, 1 CX NOVA"/>
    <d v="2024-04-23T00:00:00"/>
    <d v="2024-04-02T00:00:00"/>
    <d v="2024-04-04T00:00:00"/>
    <d v="2024-04-09T00:00:00"/>
    <d v="2024-04-09T00:00:00"/>
    <s v="NÃO PRECISA"/>
    <m/>
    <x v="0"/>
    <x v="0"/>
    <s v="AG. MEDIÇÃO"/>
    <n v="5"/>
    <x v="1"/>
    <n v="2"/>
  </r>
  <r>
    <s v="RSCLER1052"/>
    <s v="CNTAA"/>
    <s v="CNTAC"/>
    <s v="NHO LO"/>
    <s v="NOVO HAMBURGO"/>
    <m/>
    <s v="AV MAURICIO CARDOSO 1190"/>
    <s v="CNTAA.093.M040"/>
    <d v="2026-08-01T00:00:00"/>
    <x v="0"/>
    <m/>
    <s v="MAURICIO"/>
    <m/>
    <s v="OK"/>
    <s v="SEM LANÇAMENTO"/>
    <s v="SEM LANÇAMENTO"/>
    <s v="5 ABERTURA E FECHAMENTO, 6 FUSÕES, 3 TESTES OTDR, 1 TESTE."/>
    <d v="2026-08-27T00:00:00"/>
    <d v="2026-08-26T00:00:00"/>
    <m/>
    <m/>
    <d v="2026-08-26T00:00:00"/>
    <d v="2026-08-27T00:00:00"/>
    <m/>
    <x v="0"/>
    <x v="0"/>
    <s v="AG. MEDIÇÃO"/>
    <n v="0"/>
    <x v="0"/>
    <n v="-3"/>
  </r>
  <r>
    <s v="RSCLER0617"/>
    <s v="BVSAA"/>
    <s v="BVSAO"/>
    <s v="RSPLE07"/>
    <s v="PORTO ALEGRE"/>
    <s v="Parigi Business"/>
    <s v="AV NILO PEÇANHA 1851 "/>
    <s v="BVSAA.151.M030"/>
    <d v="2025-06-01T00:00:00"/>
    <x v="0"/>
    <m/>
    <s v="CATIA"/>
    <m/>
    <m/>
    <s v="SEM LANÇAMENTO"/>
    <s v="SEM LANÇAMENTO"/>
    <s v="3 ABERTURA E FECHAMENTO, 12 FUSÕES, 3 TESTES"/>
    <d v="2025-07-07T00:00:00"/>
    <d v="2025-06-05T00:00:00"/>
    <m/>
    <m/>
    <d v="2025-06-11T00:00:00"/>
    <s v="NÃO PRECISA"/>
    <m/>
    <x v="0"/>
    <x v="0"/>
    <s v="AG. MEDIÇÃO"/>
    <n v="4"/>
    <x v="1"/>
    <n v="1"/>
  </r>
  <r>
    <s v="RSCLER0143"/>
    <s v="BVSAA"/>
    <m/>
    <m/>
    <s v="PORTO ALEGRE"/>
    <s v="RES. PARQUE IGUATEMI"/>
    <s v="AV NILO PEÇANHA 2863"/>
    <m/>
    <d v="2023-10-01T00:00:00"/>
    <x v="0"/>
    <m/>
    <s v="GABRIEL"/>
    <s v="100% - OK"/>
    <s v="OK"/>
    <s v="SEM LANÇAMENTO"/>
    <s v="SEM LANÇAMENTO"/>
    <s v="2 ABERTURA E FECHAMENTO, 2 FUSÃO, 2 TESTE "/>
    <d v="2023-10-30T00:00:00"/>
    <d v="2023-10-18T00:00:00"/>
    <m/>
    <m/>
    <d v="2023-10-20T00:00:00"/>
    <s v="NÃO PRECISA"/>
    <m/>
    <x v="0"/>
    <x v="0"/>
    <s v="AG. MEDIÇÃO"/>
    <n v="2"/>
    <x v="0"/>
    <n v="-1"/>
  </r>
  <r>
    <s v="RSCLER0826"/>
    <s v="VJDAB"/>
    <s v="MSTAE"/>
    <s v="RSPNO21"/>
    <s v="PORTO ALEGRE"/>
    <m/>
    <s v="AV NILO RUSCHEL 860"/>
    <s v="VJDAB.122.M020"/>
    <d v="2026-04-01T00:00:00"/>
    <x v="0"/>
    <s v="CATIA"/>
    <s v="CATIA"/>
    <m/>
    <m/>
    <n v="20"/>
    <n v="18"/>
    <s v="FOI LANÇADO 18 METROS DE CABO DE 12FO, 2 ABERTURA E FECHAMENTO, 3 FUSÃO, 2 DERIVAÇÃO, 1 CX NOVA, 1 TESTE, 1 TESTE OTDR"/>
    <d v="2026-05-12T00:00:00"/>
    <d v="2026-04-17T00:00:00"/>
    <m/>
    <m/>
    <d v="2026-04-22T00:00:00"/>
    <d v="2026-05-12T00:00:00"/>
    <m/>
    <x v="0"/>
    <x v="0"/>
    <s v="AG. MEDIÇÃO"/>
    <n v="3"/>
    <x v="0"/>
    <n v="0"/>
  </r>
  <r>
    <s v="RSCLER0748"/>
    <s v="NNIAA"/>
    <s v="NNIAH"/>
    <s v="RSPSU08"/>
    <s v="PORTO ALEGRE"/>
    <s v="COND. CIDADE JARDIM"/>
    <s v="AV NONOAI 1458"/>
    <s v="NNIAA.041.M010"/>
    <d v="2025-10-01T00:00:00"/>
    <x v="0"/>
    <s v="UBIRAJARA"/>
    <s v="DIOGO"/>
    <m/>
    <m/>
    <n v="436"/>
    <n v="462"/>
    <s v="FOI LANÇADO 462 METROS DE CABO DE 12FO, 1 ABERTURA E FECHAMENTO, 6 FUSÕES, 1 DERIVAÇÃO, 1 CX NOVA E 2 TESTES"/>
    <d v="2025-12-20T00:00:00"/>
    <d v="2025-10-30T00:00:00"/>
    <m/>
    <m/>
    <d v="2025-11-03T00:00:00"/>
    <d v="2025-12-20T00:00:00"/>
    <m/>
    <x v="0"/>
    <x v="0"/>
    <s v="AG. MEDIÇÃO"/>
    <n v="2"/>
    <x v="0"/>
    <n v="-1"/>
  </r>
  <r>
    <s v="RSCLER0802"/>
    <s v="NNIAA"/>
    <s v="NNIAH"/>
    <s v="RSPSU08"/>
    <s v="PORTO ALEGRE"/>
    <s v="Cond. Cidade Jaridim"/>
    <s v="Av Nonoai 1458"/>
    <s v="NNIAA.041.M010"/>
    <d v="2026-02-01T00:00:00"/>
    <x v="0"/>
    <s v="CLEVERSON"/>
    <s v="CLEVERSON/CATIA"/>
    <m/>
    <m/>
    <n v="432"/>
    <n v="451"/>
    <s v="FOI LANÇADO 451 METROS DE CABO DE 12FO, 2 ABERTURA E FECHAMENTO, 18 FUSÕES, 2 DERIVAÇÕES, 9 TESTES."/>
    <d v="2026-02-06T00:00:00"/>
    <d v="2026-02-05T00:00:00"/>
    <m/>
    <m/>
    <d v="2026-02-06T00:00:00"/>
    <d v="2026-02-06T00:00:00"/>
    <m/>
    <x v="0"/>
    <x v="0"/>
    <s v="AG. MEDIÇÃO"/>
    <n v="1"/>
    <x v="0"/>
    <n v="-2"/>
  </r>
  <r>
    <s v="RSCLER0863"/>
    <s v="FLOAA"/>
    <s v="FLOAEA"/>
    <s v="RSPNO11"/>
    <s v="PORTO ALEGRE"/>
    <s v="Cond Ed Tiaraju"/>
    <s v="AV NOVA YORK 409 "/>
    <s v="FLOAA.042.M040"/>
    <d v="2026-05-01T00:00:00"/>
    <x v="0"/>
    <m/>
    <s v="AFONSO"/>
    <m/>
    <m/>
    <s v="SEM LANÇAMENTO"/>
    <s v="SEM LANÇAMENTO"/>
    <s v="3 ABERTURA E FECHAMENTO, 4 FUSÕES, 2 TESTES."/>
    <d v="2026-06-18T00:00:00"/>
    <d v="2026-05-21T00:00:00"/>
    <m/>
    <m/>
    <d v="2026-05-21T00:00:00"/>
    <d v="2026-06-18T00:00:00"/>
    <m/>
    <x v="0"/>
    <x v="0"/>
    <s v="AG. MEDIÇÃO"/>
    <n v="0"/>
    <x v="0"/>
    <n v="-3"/>
  </r>
  <r>
    <s v="RSCLER0933"/>
    <s v="BFMAA"/>
    <m/>
    <s v="PAE IND"/>
    <s v="PORTO ALEGRE"/>
    <m/>
    <s v="AV OSVALDO ARANHA 340 / 350"/>
    <s v="BFMAA.141.M030"/>
    <d v="2026-06-01T00:00:00"/>
    <x v="0"/>
    <m/>
    <s v="CATIA"/>
    <m/>
    <s v="OK"/>
    <s v="SEM LANÇAMENTO"/>
    <s v="SEM LANÇAMENTO"/>
    <s v="19 ABERTURA E FECHAMENTO, 86 FUSÕES, 37 TESTES OTDR, 3 TESTES."/>
    <d v="2026-08-10T00:00:00"/>
    <d v="2026-06-16T00:00:00"/>
    <m/>
    <m/>
    <d v="2026-06-24T00:00:00"/>
    <d v="2026-08-10T00:00:00"/>
    <m/>
    <x v="0"/>
    <x v="0"/>
    <s v="AG. MEDIÇÃO"/>
    <n v="6"/>
    <x v="1"/>
    <n v="3"/>
  </r>
  <r>
    <s v="RSCLER0195"/>
    <s v="TRZAA"/>
    <m/>
    <m/>
    <s v="PORTO ALEGRE"/>
    <s v="Res. San Vicente"/>
    <s v="Av Otto Niemeyer 1025"/>
    <m/>
    <d v="2023-12-01T00:00:00"/>
    <x v="0"/>
    <m/>
    <s v="LUCAS HOBERT"/>
    <s v="100% - OK"/>
    <s v="OK"/>
    <s v="SEM LANÇAMENTO"/>
    <s v="SEM LANÇAMENTO"/>
    <s v="2 ABERTURA E FECHAMENTO, 2 FUSÃO, 1 TESTE"/>
    <d v="2024-01-09T00:00:00"/>
    <d v="2023-12-27T00:00:00"/>
    <m/>
    <d v="2024-01-02T00:00:00"/>
    <d v="2024-01-04T00:00:00"/>
    <s v="NÃO PRECISA"/>
    <m/>
    <x v="0"/>
    <x v="0"/>
    <s v="AG. MEDIÇÃO"/>
    <n v="6"/>
    <x v="1"/>
    <n v="3"/>
  </r>
  <r>
    <s v="RSCLER0641"/>
    <s v="TRZAA"/>
    <s v="TRZAIA"/>
    <s v="RSPSU11"/>
    <s v="PORTO ALEGRE"/>
    <s v="Cond. Residencial Ricon Marino"/>
    <s v="AV Otto Niemeyer, 77"/>
    <s v="TRZAA.151.M010"/>
    <d v="2025-06-01T00:00:00"/>
    <x v="0"/>
    <s v="TIAGO FERREIRA"/>
    <s v="MARCOS EMILIANO"/>
    <m/>
    <m/>
    <m/>
    <m/>
    <s v="DENTRO DO NODE TRZAIA"/>
    <s v="TRZAIA"/>
    <d v="2025-06-16T00:00:00"/>
    <m/>
    <m/>
    <m/>
    <s v="NÃO PRECISA"/>
    <m/>
    <x v="0"/>
    <x v="0"/>
    <s v="AG. MEDIÇÃO"/>
    <n v="313"/>
    <x v="1"/>
    <n v="310"/>
  </r>
  <r>
    <s v="RSCLER0517"/>
    <s v="TRZAA"/>
    <s v="TRZAL"/>
    <s v="RSPSU11"/>
    <s v="PORTO ALEGRE"/>
    <s v="Garden Home Resort"/>
    <s v="Av Otto Niemeyer, 809"/>
    <s v="TRZAA.021.M030"/>
    <d v="2025-02-01T00:00:00"/>
    <x v="0"/>
    <s v="AUGUSTO"/>
    <s v="AUGUSTO"/>
    <s v="100% - OK"/>
    <s v="OK - ENVIADO"/>
    <n v="924"/>
    <n v="924"/>
    <s v="FOI LANÇADO 757 METROS DE CABO DE 12FO E 167 METROS DE CABO DE 24FO, 3 ABERTURA E FECHAMENTO, 2 CX NOVA, 1 DERIVAÇÃO, 26 FUSÕES, 2 TESTES"/>
    <d v="2025-05-08T00:00:00"/>
    <d v="2025-02-17T00:00:00"/>
    <d v="2025-02-20T00:00:00"/>
    <d v="2025-03-26T00:00:00"/>
    <d v="2025-03-26T00:00:00"/>
    <s v="NÃO PRECISA"/>
    <m/>
    <x v="0"/>
    <x v="0"/>
    <s v="AG. MEDIÇÃO"/>
    <n v="27"/>
    <x v="1"/>
    <n v="24"/>
  </r>
  <r>
    <s v="RSCLER0216"/>
    <s v="CTLAA"/>
    <s v="CTLAE"/>
    <s v="RSPSU07"/>
    <s v="RSPSU07"/>
    <s v="Projeto Condomínio Porto Smart"/>
    <s v="Av Padre Cacique, 1820"/>
    <s v="CTLAA.053.M070"/>
    <d v="2024-02-01T00:00:00"/>
    <x v="0"/>
    <s v="NATANIEL"/>
    <s v="NATANIEL"/>
    <s v="100% - OK"/>
    <s v="OK"/>
    <m/>
    <n v="1171"/>
    <s v="FOI LANÇADO 1171 METROS DE CABO DE 8FO, FOI RETIRADO 250 METROS DE CABO , FOI LANÇADO MAIS 350 METROS DE CABO, 3 CX NOVA, 16 FUSÃO, 5 ABERTURA E FECHAMENTO, 1 DERIVAÇÃO, 2 TESTE"/>
    <d v="2024-02-28T00:00:00"/>
    <d v="2024-02-23T00:00:00"/>
    <d v="2024-02-24T00:00:00"/>
    <d v="2024-02-27T00:00:00"/>
    <d v="2024-02-27T00:00:00"/>
    <s v="NÃO PRECISA"/>
    <m/>
    <x v="0"/>
    <x v="0"/>
    <s v="AG. MEDIÇÃO"/>
    <n v="2"/>
    <x v="0"/>
    <n v="-1"/>
  </r>
  <r>
    <s v="RSCLER0625"/>
    <s v="MNDAC"/>
    <s v="MNDAO"/>
    <s v="RSPSU02"/>
    <s v="PORTO ALEGRE"/>
    <s v="Cond. Edifício Padre Cacique"/>
    <s v="Av Padre Cacique, 220"/>
    <s v="MNDAC.071.M020."/>
    <d v="2025-06-01T00:00:00"/>
    <x v="0"/>
    <m/>
    <s v="CATIA"/>
    <m/>
    <m/>
    <s v="SEM LANÇAMENTO"/>
    <s v="SEM LANÇAMENTO"/>
    <s v="COBRADO JUNTO COM A RSCLER0622"/>
    <d v="2025-06-18T00:00:00"/>
    <d v="2025-06-09T00:00:00"/>
    <m/>
    <m/>
    <d v="2025-06-12T00:00:00"/>
    <s v="NÃO PRECISA"/>
    <m/>
    <x v="0"/>
    <x v="0"/>
    <s v="AG. MEDIÇÃO"/>
    <n v="3"/>
    <x v="0"/>
    <n v="0"/>
  </r>
  <r>
    <s v="RSCLER0627"/>
    <s v="MNDAC"/>
    <s v="MNDAO"/>
    <s v="RSPSU02"/>
    <s v="PORTO ALEGRE"/>
    <s v="Cond. Edifício Villa Del Fiume"/>
    <s v="Av Padre Cacique, 354"/>
    <s v="MNDAC.071.M030"/>
    <d v="2025-06-01T00:00:00"/>
    <x v="0"/>
    <m/>
    <s v="CATIA"/>
    <m/>
    <m/>
    <s v="SEM LANÇAMENTO"/>
    <s v="SEM LANÇAMENTO"/>
    <s v="COBRADO JUNTO COM A RSCLER0622"/>
    <d v="2025-06-18T00:00:00"/>
    <d v="2025-06-09T00:00:00"/>
    <m/>
    <m/>
    <d v="2025-06-12T00:00:00"/>
    <s v="NÃO PRECISA"/>
    <m/>
    <x v="0"/>
    <x v="0"/>
    <s v="AG. MEDIÇÃO"/>
    <n v="3"/>
    <x v="0"/>
    <n v="0"/>
  </r>
  <r>
    <s v="RSCLER0626"/>
    <s v="MNDAC"/>
    <s v="MNDAO"/>
    <s v="RSPSU02"/>
    <s v="PORTO ALEGRE"/>
    <s v="Cond. Edifício Costa do Guaíba"/>
    <s v="Av Padre Cacique, 470"/>
    <s v="MNDAC.071.M020.."/>
    <d v="2025-06-01T00:00:00"/>
    <x v="0"/>
    <s v="UBIRATAN"/>
    <s v="CATIA"/>
    <m/>
    <m/>
    <n v="260"/>
    <n v="270"/>
    <s v="FOI LANÇADO 270 METROS DE CABO DE 12FO, 7 ABERTURA E FECHAMENTO, 1 CX NOVA, 19 FUSÕES, 1 DERIVAÇÃO, 7 TESTE COM OTDR, 4 TESTES"/>
    <d v="2025-06-18T00:00:00"/>
    <d v="2025-06-09T00:00:00"/>
    <m/>
    <m/>
    <d v="2025-06-12T00:00:00"/>
    <s v="NÃO PRECISA"/>
    <m/>
    <x v="0"/>
    <x v="0"/>
    <s v="AG. MEDIÇÃO"/>
    <n v="3"/>
    <x v="0"/>
    <n v="0"/>
  </r>
  <r>
    <s v="RSCLER0989"/>
    <s v="PETAA"/>
    <s v="PETAX"/>
    <s v="RSPLE11"/>
    <s v="PORTO ALEGRE"/>
    <s v="Edifício The Elegance"/>
    <s v="AV PALMEIRA 228"/>
    <s v="PETAA.101.M040"/>
    <d v="2026-07-01T00:00:00"/>
    <x v="0"/>
    <m/>
    <s v="CATIA"/>
    <m/>
    <s v="OK"/>
    <s v="SEM LANÇAMENTO"/>
    <s v="SEM LANÇAMENTO"/>
    <s v="2 ABERTURA E FECHAMENTO, 2 FUSÕES, 1 DERIVAÇÃO, 1 TESTE."/>
    <d v="2026-08-18T00:00:00"/>
    <d v="2026-07-21T00:00:00"/>
    <m/>
    <m/>
    <d v="2026-07-24T00:00:00"/>
    <d v="2026-08-18T00:00:00"/>
    <m/>
    <x v="0"/>
    <x v="0"/>
    <s v="AG. MEDIÇÃO"/>
    <n v="3"/>
    <x v="0"/>
    <n v="0"/>
  </r>
  <r>
    <s v="RSCLER0534"/>
    <s v="SSOAA"/>
    <m/>
    <s v="RSPNO08"/>
    <s v="PORTO ALEGRE"/>
    <s v="Condomínio Village Lindóia"/>
    <s v="Av Panamericana, 150"/>
    <s v="SSOAA.091.M090."/>
    <d v="2025-03-01T00:00:00"/>
    <x v="0"/>
    <m/>
    <s v="ANDERSON"/>
    <s v="100% - OK"/>
    <s v="OK - ENVIADO"/>
    <s v="SEM LANÇAMENTO"/>
    <s v="SEM LANÇAMENTO"/>
    <s v="8 ABERTURA E FECHAMENTO, 19 FUSÕES, 3 TESTES"/>
    <d v="2025-03-18T00:00:00"/>
    <d v="2025-03-11T00:00:00"/>
    <d v="2025-03-13T00:00:00"/>
    <d v="2025-03-14T00:00:00"/>
    <d v="2025-03-14T00:00:00"/>
    <s v="NÃO PRECISA"/>
    <m/>
    <x v="0"/>
    <x v="0"/>
    <s v="AG. MEDIÇÃO"/>
    <n v="3"/>
    <x v="0"/>
    <n v="0"/>
  </r>
  <r>
    <s v="RSCLER0657"/>
    <s v="CAPAB"/>
    <s v="XNLAN"/>
    <s v="RSXNL01"/>
    <s v="XANGRILÁ"/>
    <s v="COND. LAS DUNAS "/>
    <s v="AV PARAGUASSU, 300"/>
    <m/>
    <d v="2025-05-01T00:00:00"/>
    <x v="0"/>
    <s v="ALAN VASCONCELOS"/>
    <s v="FABIO AMARILHO"/>
    <m/>
    <m/>
    <n v="2400"/>
    <m/>
    <s v="FOI LANÇADO 3200 METROS DE CABO CONECTORIZADOS, 400 METROS DE CABO DE 12FO ESPINADOS, 1 ABERTURA E FECHAMENTO, 1 FIST NOVA, 13 NAP NOVA, 7 FUSÕES, LIMPEZA DE 2 CXS, 63 METROS DE CANALIZAÇÃO, 1 COLOCAÇÃO DE LATERAL, DESOBRISTRUÇÃO DE 6 CXS, R$:2000,00 EM DISPESAS DO CONDOMINIO , COBRAR AS BUILTS"/>
    <d v="2025-07-14T00:00:00"/>
    <d v="2025-05-28T00:00:00"/>
    <m/>
    <m/>
    <m/>
    <s v="NÃO PRECISA"/>
    <m/>
    <x v="0"/>
    <x v="0"/>
    <s v="AG. MEDIÇÃO"/>
    <n v="326"/>
    <x v="1"/>
    <n v="323"/>
  </r>
  <r>
    <s v="RSCLER0200"/>
    <s v="SSOAA"/>
    <m/>
    <m/>
    <s v="PORTO ALEGRE"/>
    <s v="NODE SSOAC"/>
    <s v="AV PASTOR ERNESTO SCHLIEPER 45"/>
    <m/>
    <d v="2023-12-01T00:00:00"/>
    <x v="0"/>
    <m/>
    <s v="MARCOS EMILIANO"/>
    <s v="100% - OK"/>
    <s v="OK"/>
    <s v="SEM LANÇAMENTO"/>
    <s v="SEM LANÇAMENTO"/>
    <s v="3 ABERTURA E FECHAMENTO, 1 DERIVAÇÃO, 26 FUSÃO, 1 CX NOVA, 2 TESTE"/>
    <d v="2024-01-09T00:00:00"/>
    <d v="2022-12-28T00:00:00"/>
    <m/>
    <d v="2023-12-29T00:00:00"/>
    <d v="2023-01-04T00:00:00"/>
    <s v="NÃO PRECISA"/>
    <m/>
    <x v="0"/>
    <x v="0"/>
    <s v="AG. MEDIÇÃO"/>
    <n v="5"/>
    <x v="1"/>
    <n v="2"/>
  </r>
  <r>
    <s v="RSCLER0159"/>
    <s v="MNDAC"/>
    <m/>
    <m/>
    <s v="PORTO ALEGRE"/>
    <s v="Cond. Edf. Mundial"/>
    <s v="Av Pe Cacique 740"/>
    <m/>
    <d v="2023-11-01T00:00:00"/>
    <x v="0"/>
    <m/>
    <s v="LUCAS HOBERT"/>
    <s v="100% - OK"/>
    <s v="OK"/>
    <m/>
    <n v="50"/>
    <s v="1 ABERTURA E FECHAMENTO, 2 CAIXA NOVA, 24 FUSÃO , 4 TESTE , 50 METROS DE CABO DE 12FO"/>
    <d v="2023-11-20T00:00:00"/>
    <d v="2023-11-08T00:00:00"/>
    <m/>
    <d v="2023-11-14T00:00:00"/>
    <d v="2023-11-14T00:00:00"/>
    <s v="NÃO PRECISA"/>
    <m/>
    <x v="0"/>
    <x v="0"/>
    <s v="AG. MEDIÇÃO"/>
    <n v="4"/>
    <x v="1"/>
    <n v="1"/>
  </r>
  <r>
    <s v="RSCLER0944"/>
    <s v="RNDAA"/>
    <s v="RNDAC"/>
    <s v="RSNHO12"/>
    <s v="NOVO HAMBURGO"/>
    <m/>
    <s v="AV PEDRO ADAMS FILHO 1784"/>
    <s v="RNDAA.081.M020"/>
    <d v="2026-06-01T00:00:00"/>
    <x v="0"/>
    <m/>
    <s v="CATIA"/>
    <m/>
    <s v="OK"/>
    <s v="SEM LANÇAMENTO"/>
    <s v="SEM LANÇAMENTO"/>
    <s v="2 ABERTURA E FECHAMENTO, 2 FUSÕES, 1 TESTE."/>
    <d v="2026-07-08T00:00:00"/>
    <d v="2026-06-19T00:00:00"/>
    <m/>
    <m/>
    <d v="2026-06-24T00:00:00"/>
    <d v="2026-07-08T00:00:00"/>
    <m/>
    <x v="0"/>
    <x v="0"/>
    <s v="AG. MEDIÇÃO"/>
    <n v="3"/>
    <x v="0"/>
    <n v="0"/>
  </r>
  <r>
    <s v="RSCLER0778"/>
    <s v="TRZAA"/>
    <s v="VASAB"/>
    <s v="RSPSU11"/>
    <s v="PORTO ALEGRE"/>
    <m/>
    <s v="Av Pereira Passos, 470"/>
    <s v="TRZAA.191.M010"/>
    <d v="2025-12-01T00:00:00"/>
    <x v="0"/>
    <m/>
    <s v="DERIK"/>
    <m/>
    <m/>
    <s v="SEM LANÇAMENTO"/>
    <s v="SEM LANÇAMENTO"/>
    <s v="2 ABERTURA E FECHAMENTO, 2 FUSÕES, 2 TESTES"/>
    <d v="2025-12-23T00:00:00"/>
    <d v="2025-12-22T00:00:00"/>
    <d v="2025-12-23T00:00:00"/>
    <d v="2025-12-24T00:00:00"/>
    <d v="2025-12-23T00:00:00"/>
    <d v="2025-12-23T00:00:00"/>
    <m/>
    <x v="0"/>
    <x v="0"/>
    <s v="AG. MEDIÇÃO"/>
    <n v="1"/>
    <x v="0"/>
    <n v="-2"/>
  </r>
  <r>
    <s v="RSCLER0146"/>
    <s v="NAVAB"/>
    <m/>
    <m/>
    <s v="PORTO ALEGRE"/>
    <s v="Av Pernambuco 1634"/>
    <s v="Av Pernambuco 1634"/>
    <m/>
    <d v="2023-10-01T00:00:00"/>
    <x v="0"/>
    <m/>
    <s v="PAULO GOMES"/>
    <s v="100% - OK"/>
    <s v="OK"/>
    <s v="SEM LANÇAMENTO"/>
    <s v="SEM LANÇAMENTO"/>
    <s v="2 ABERTURA E FECHAMENTO, 2 FUSÃO , 1 TESTE"/>
    <d v="2023-10-30T00:00:00"/>
    <d v="2023-10-25T00:00:00"/>
    <m/>
    <d v="2023-10-25T00:00:00"/>
    <d v="2023-10-25T00:00:00"/>
    <s v="NÃO PRECISA"/>
    <m/>
    <x v="0"/>
    <x v="0"/>
    <s v="AG. MEDIÇÃO"/>
    <n v="0"/>
    <x v="0"/>
    <n v="-3"/>
  </r>
  <r>
    <s v="RSCLER0338"/>
    <s v="NAVAA"/>
    <s v="NAVAB"/>
    <s v="RSPNO05"/>
    <s v="PORTO ALEGRE"/>
    <s v=" Condomínio Rossi Fiateci "/>
    <s v="Av Polonia 255 Planner"/>
    <s v="NAVAA.011.M060"/>
    <d v="2024-07-01T00:00:00"/>
    <x v="0"/>
    <s v="TIAGO FERREIRA"/>
    <s v="MARCOS EMILIANO"/>
    <s v="100% - OK"/>
    <s v="OK"/>
    <m/>
    <n v="497"/>
    <s v="FOI LANÇADO 497 METROS DE CABO DE 12FO, 3 ABERTURA E FECHAMENTO, 24 FUSÃO, 1 CX NOVA, 1 DERIVAÇÃO, 8 TESTE "/>
    <d v="2024-07-24T00:00:00"/>
    <d v="2024-07-08T00:00:00"/>
    <d v="2024-07-11T00:00:00"/>
    <d v="2024-07-26T00:00:00"/>
    <d v="2024-07-26T00:00:00"/>
    <s v="NÃO PRECISA"/>
    <m/>
    <x v="0"/>
    <x v="0"/>
    <s v="AG. MEDIÇÃO"/>
    <n v="14"/>
    <x v="1"/>
    <n v="11"/>
  </r>
  <r>
    <s v="RSCLER0556"/>
    <s v="CNTAB"/>
    <s v="CNTAG"/>
    <s v="RSPCE14"/>
    <s v="PORTO ALEGRE"/>
    <s v="Parque da Harmonia"/>
    <s v="R. Otávio Francisco Caruso da Rocha,333"/>
    <s v="CNTAB.079"/>
    <d v="2025-03-01T00:00:00"/>
    <x v="1"/>
    <m/>
    <m/>
    <m/>
    <m/>
    <m/>
    <m/>
    <s v="VISTORIA"/>
    <m/>
    <d v="2025-03-21T00:00:00"/>
    <m/>
    <m/>
    <s v="CANCELADO"/>
    <s v="NÃO PRECISA"/>
    <m/>
    <x v="1"/>
    <x v="1"/>
    <s v="CANCELADO"/>
    <s v="CANCELADO"/>
    <x v="1"/>
    <s v="CANCELADO"/>
  </r>
  <r>
    <s v="RSCLER0605"/>
    <s v="SJOAA"/>
    <s v="SJO16"/>
    <s v="CAN NET"/>
    <s v="CANOAS "/>
    <s v="PORTO AGATA"/>
    <s v="RUA GUARUJA, 300"/>
    <s v="SJOAA.082.M020"/>
    <d v="2025-05-01T00:00:00"/>
    <x v="1"/>
    <s v="TIAGO FERREIRA"/>
    <s v="ALANO"/>
    <m/>
    <m/>
    <n v="360"/>
    <m/>
    <s v="FOI LANÇADO 985 METROS DE CABO DE 12FO"/>
    <m/>
    <d v="2025-05-29T00:00:00"/>
    <m/>
    <m/>
    <s v="CANCELADO"/>
    <s v="NÃO PRECISA"/>
    <m/>
    <x v="1"/>
    <x v="1"/>
    <s v="CANCELADO"/>
    <s v="CANCELADO"/>
    <x v="1"/>
    <s v="CANCELADO"/>
  </r>
  <r>
    <s v="RSCLER0588"/>
    <s v="MNDAC"/>
    <s v="STZAF"/>
    <s v="PAE CL"/>
    <s v="PORTO ALEGRE"/>
    <m/>
    <s v="Rua Dra Ana Aurora Nunes Wagner, 90 - 200"/>
    <s v="MNDAC.139.M030"/>
    <d v="2025-05-01T00:00:00"/>
    <x v="0"/>
    <s v="UBIRATAN"/>
    <s v="DERIK"/>
    <m/>
    <m/>
    <n v="500"/>
    <m/>
    <m/>
    <m/>
    <d v="2025-04-03T00:00:00"/>
    <m/>
    <m/>
    <d v="2025-04-03T00:00:00"/>
    <s v="NÃO PRECISA"/>
    <m/>
    <x v="3"/>
    <x v="0"/>
    <s v="AG. MEDIÇÃO"/>
    <n v="0"/>
    <x v="0"/>
    <n v="-3"/>
  </r>
  <r>
    <s v="RSCLER0620"/>
    <s v="CNTAK"/>
    <m/>
    <m/>
    <s v="PORTO ALEGRE"/>
    <m/>
    <s v="RUA JOSÉ DO PATROCINIO, 510"/>
    <m/>
    <d v="2025-05-01T00:00:00"/>
    <x v="0"/>
    <s v="RODRIGO (LUCIANO)"/>
    <m/>
    <m/>
    <m/>
    <m/>
    <n v="530"/>
    <s v="FOI LANÇADO 530 METROS DE CABO DE 12FO"/>
    <m/>
    <m/>
    <m/>
    <m/>
    <m/>
    <m/>
    <m/>
    <x v="2"/>
    <x v="2"/>
    <s v="AG. RELATÓRIO"/>
    <s v="DATA ENTRADA"/>
    <x v="1"/>
    <s v="DATA ENTRADA"/>
  </r>
  <r>
    <s v="RSCLER0623"/>
    <s v="STD"/>
    <m/>
    <s v="RSETA03"/>
    <s v="ESTRELA"/>
    <m/>
    <s v="Rua Andre e Eidelwein, "/>
    <s v="STD.008.05.01"/>
    <d v="2025-06-01T00:00:00"/>
    <x v="0"/>
    <m/>
    <s v="MARCIEL"/>
    <m/>
    <m/>
    <s v="SEM LANÇAMENTO"/>
    <s v="SEM LANÇAMENTO"/>
    <s v="6 ABERTURA E FECHAMENTO, 10 FUSÕES, "/>
    <m/>
    <d v="2025-06-06T00:00:00"/>
    <m/>
    <m/>
    <d v="2025-07-09T00:00:00"/>
    <m/>
    <m/>
    <x v="2"/>
    <x v="2"/>
    <s v="AG. RELATÓRIO"/>
    <n v="23"/>
    <x v="1"/>
    <n v="20"/>
  </r>
  <r>
    <s v="RSCLER0677"/>
    <s v="CNTAA"/>
    <m/>
    <m/>
    <s v="GRAVATAI"/>
    <m/>
    <s v="RUA JOÃO DUTRA, 81"/>
    <s v="CNTAA.051.M030"/>
    <d v="2025-07-01T00:00:00"/>
    <x v="0"/>
    <m/>
    <s v="ROGERIO"/>
    <m/>
    <m/>
    <s v="SEM LANÇAMENTO"/>
    <s v="SEM LANÇAMENTO"/>
    <m/>
    <m/>
    <d v="2025-07-21T00:00:00"/>
    <m/>
    <m/>
    <m/>
    <m/>
    <m/>
    <x v="2"/>
    <x v="2"/>
    <s v="AG. RELATÓRIO"/>
    <n v="288"/>
    <x v="1"/>
    <n v="285"/>
  </r>
  <r>
    <s v="RSCLER0367"/>
    <s v="MSTAA"/>
    <s v="MQTAB"/>
    <s v="RSPNO26"/>
    <s v="PORTO ALEGRE"/>
    <s v="Condomínio Porto Valência"/>
    <s v="Av Protasio Alves 9277"/>
    <s v="MSTAA.091.M020"/>
    <d v="2024-08-01T00:00:00"/>
    <x v="0"/>
    <s v="TIAGO FERREIRA"/>
    <s v="ANDERSON"/>
    <s v="100% - OK"/>
    <s v="OK"/>
    <m/>
    <n v="725"/>
    <s v="FOI LANÇADO  725 METROS  DE CABO 12FO, 1 ABERTURA E FECHAMENTO, 3 FUSÃO, 1 DERIVAÇÃO, 1 CX NOVA, 3 TESSTE"/>
    <d v="2024-08-28T00:00:00"/>
    <d v="2024-08-01T00:00:00"/>
    <d v="2024-08-07T00:00:00"/>
    <d v="2024-08-20T00:00:00"/>
    <d v="2024-08-20T00:00:00"/>
    <s v="NÃO PRECISA"/>
    <m/>
    <x v="0"/>
    <x v="0"/>
    <s v="AG. MEDIÇÃO"/>
    <n v="13"/>
    <x v="1"/>
    <n v="10"/>
  </r>
  <r>
    <s v="RSCLER0506"/>
    <s v="MTSAA"/>
    <s v="MSTAFB"/>
    <s v="PAE BV"/>
    <s v="PORTO ALEGRE"/>
    <s v="Open Potássio (Melnick)"/>
    <s v="Av Protasio Alves N° 8129"/>
    <s v="MTSAA.051.M030"/>
    <d v="2025-02-01T00:00:00"/>
    <x v="0"/>
    <m/>
    <s v="AUGUSTO"/>
    <s v="100% - OK"/>
    <s v="OK - ENVIADO"/>
    <s v="SEM LANÇAMENTO"/>
    <s v="SEM LANÇAMENTO"/>
    <s v="4 ABERTURA E FECHAMENTO, 2 FUSÃO, 1 TESTE"/>
    <d v="2025-02-12T00:00:00"/>
    <d v="2025-02-06T00:00:00"/>
    <d v="2025-02-09T00:00:00"/>
    <d v="2025-02-09T00:00:00"/>
    <d v="2025-02-09T00:00:00"/>
    <s v="NÃO PRECISA"/>
    <m/>
    <x v="0"/>
    <x v="0"/>
    <s v="AG. MEDIÇÃO"/>
    <n v="1"/>
    <x v="0"/>
    <n v="-2"/>
  </r>
  <r>
    <s v="RSCLER0188"/>
    <s v="RBRAA"/>
    <m/>
    <m/>
    <s v="PORTO ALEGRE"/>
    <s v="UNIK STUDIOS"/>
    <s v="Av Protásio Alves, 1291"/>
    <m/>
    <d v="2023-12-01T00:00:00"/>
    <x v="0"/>
    <m/>
    <s v="ALEXANDRE/ MARCOS EMILIANO"/>
    <s v="100% - OK"/>
    <s v="OK"/>
    <s v="SEM LANÇAMENTO"/>
    <s v="SEM LANÇAMENTO"/>
    <s v="2 ABERTURA E FECHAMENTO, 4 FUSÕES,"/>
    <d v="2024-01-09T00:00:00"/>
    <d v="2023-12-14T00:00:00"/>
    <m/>
    <d v="2023-12-14T00:00:00"/>
    <d v="2023-12-14T00:00:00"/>
    <s v="NÃO PRECISA"/>
    <m/>
    <x v="0"/>
    <x v="0"/>
    <s v="AG. MEDIÇÃO"/>
    <n v="0"/>
    <x v="0"/>
    <n v="-3"/>
  </r>
  <r>
    <s v="RSCLER1039"/>
    <s v="BVSAB "/>
    <s v="PETAU"/>
    <s v="PAE NR"/>
    <s v="PORTO ALEGRE"/>
    <s v="Cond. Edifício Manchester "/>
    <s v="AV PROTÁSIO ALVES, 2950 "/>
    <s v="BVSAB.082.M020"/>
    <d v="2026-08-01T00:00:00"/>
    <x v="0"/>
    <m/>
    <s v="CATIA"/>
    <m/>
    <s v="OK"/>
    <s v="SEM LANÇAMENTO"/>
    <s v="SEM LANÇAMENTO"/>
    <s v="6 ABERTURA E FECHAMENTO, 10 FUSÕES, 2 TESTES, 6 TESTES OTDR."/>
    <d v="2026-08-25T00:00:00"/>
    <d v="2026-08-19T00:00:00"/>
    <m/>
    <m/>
    <d v="2026-08-21T00:00:00"/>
    <d v="2026-08-25T00:00:00"/>
    <m/>
    <x v="0"/>
    <x v="0"/>
    <s v="AG. MEDIÇÃO"/>
    <n v="2"/>
    <x v="0"/>
    <n v="-1"/>
  </r>
  <r>
    <s v="RSCLER0225"/>
    <s v="BVSAB"/>
    <m/>
    <m/>
    <s v="PORTO ALEGRE"/>
    <s v="Condomínio Edifício Cantegril "/>
    <s v="Av Protásio Alves, 4000"/>
    <m/>
    <d v="2024-03-01T00:00:00"/>
    <x v="0"/>
    <m/>
    <s v="PAULO GOMES"/>
    <s v="100% - OK"/>
    <s v="OK"/>
    <s v="SEM LANÇAMENTO"/>
    <s v="SEM LANÇAMENTO"/>
    <s v="2 ABERTURA E FECHAMENTO, 2 TESTE"/>
    <d v="2024-03-26T00:00:00"/>
    <d v="2024-03-13T00:00:00"/>
    <m/>
    <d v="2024-03-14T00:00:00"/>
    <d v="2024-03-14T00:00:00"/>
    <s v="NÃO PRECISA"/>
    <m/>
    <x v="0"/>
    <x v="0"/>
    <s v="AG. MEDIÇÃO"/>
    <n v="1"/>
    <x v="0"/>
    <n v="-2"/>
  </r>
  <r>
    <s v="RSCLER0769"/>
    <s v="RBRAA"/>
    <s v="RBRAM"/>
    <s v="RSPLE08"/>
    <s v="PORTO ALEGRE"/>
    <m/>
    <s v="AV PROTASIO ALVES, 440"/>
    <s v="RBRAA.051.M040"/>
    <d v="2025-12-02T00:00:00"/>
    <x v="0"/>
    <s v="UBIRAJARA"/>
    <s v="DERIK"/>
    <m/>
    <d v="2026-01-26T00:00:00"/>
    <n v="350"/>
    <n v="95"/>
    <s v="FOI LANÇADO 95 METROS DE CABO DE 12FO, 7 ABERTURA E FECHAMENTO, 15 FUSÕES, 2 DERIVAÇÕES, 5 TESTES, 3 TESTE OTDR"/>
    <d v="2026-02-05T00:00:00"/>
    <m/>
    <m/>
    <m/>
    <d v="2025-12-12T00:00:00"/>
    <d v="2026-01-26T00:00:00"/>
    <m/>
    <x v="0"/>
    <x v="0"/>
    <s v="AG. MEDIÇÃO"/>
    <s v="DATA ENTRADA"/>
    <x v="1"/>
    <s v="DATA ENTRADA"/>
  </r>
  <r>
    <s v="RSCLER0235"/>
    <s v="RBTAA"/>
    <m/>
    <m/>
    <s v="PORTO ALEGRE"/>
    <s v="Cond Edifício Rosa dos Ventos II"/>
    <s v="Av Sarandi, 905"/>
    <m/>
    <d v="2024-03-01T00:00:00"/>
    <x v="0"/>
    <s v="THIAGO"/>
    <s v="MARCOS EMILIANO"/>
    <s v="100% - OK"/>
    <s v="OK"/>
    <m/>
    <n v="70"/>
    <s v="FOI LANÇADO 70 METROS DE CABO DE 8VIAS, 2 ABERTURA E FECHAMENTO, 4 FUSÃO, 1 DERIVAÇÃO, 1 CX NOVA, 2 TESTE"/>
    <d v="2024-04-23T00:00:00"/>
    <d v="2024-03-25T00:00:00"/>
    <d v="2024-03-26T00:00:00"/>
    <d v="2024-03-31T00:00:00"/>
    <d v="2024-03-31T00:00:00"/>
    <s v="NÃO PRECISA"/>
    <m/>
    <x v="0"/>
    <x v="0"/>
    <s v="AG. MEDIÇÃO"/>
    <n v="4"/>
    <x v="1"/>
    <n v="1"/>
  </r>
  <r>
    <s v="RSCLER0531"/>
    <s v="SPEAA"/>
    <s v="SPEACA"/>
    <s v="PAE DAM"/>
    <s v="PORTO ALEGRE"/>
    <s v="HDI SEGUROS S A"/>
    <s v="Av Sertório, 4890"/>
    <s v="SPEAA.061.02.08"/>
    <d v="2025-03-01T00:00:00"/>
    <x v="0"/>
    <s v="AUGUSTO"/>
    <s v="AUGUSTO"/>
    <s v="100% - OK"/>
    <s v="OK - ENVIADO"/>
    <n v="140"/>
    <n v="140"/>
    <s v="FOI LANÇADO 140 METROS DE CABO DE 12FO, 5 ABERTURA E FECHAMENTO, 1 DERIVAÇÃO, 6 FUSÕES, 1 NAP NOVA, 3 TESTES"/>
    <d v="2025-03-23T00:00:00"/>
    <d v="2025-03-07T00:00:00"/>
    <d v="2025-03-12T00:00:00"/>
    <d v="2025-03-22T00:00:00"/>
    <d v="2025-03-21T00:00:00"/>
    <s v="NÃO PRECISA"/>
    <m/>
    <x v="0"/>
    <x v="0"/>
    <s v="AG. MEDIÇÃO"/>
    <n v="10"/>
    <x v="1"/>
    <n v="7"/>
  </r>
  <r>
    <s v="RSCLER0384"/>
    <s v="BVSAB"/>
    <s v="BVSALA"/>
    <s v="PAE NR"/>
    <s v="PORTO ALEGRE"/>
    <s v="VERTE SOLEDADE"/>
    <s v="AV SOLEDADE 440"/>
    <s v="BVSAB.222.M100"/>
    <d v="2024-08-01T00:00:00"/>
    <x v="0"/>
    <s v="UBIRATAN"/>
    <s v="MARCOS EMILIANO / ANDERSON"/>
    <s v="100% - OK"/>
    <s v="OK"/>
    <m/>
    <n v="576"/>
    <s v="FOI LANÇADO 576 METROS DE CABO DE 12FO, 5 ABERTURA E FECHAMENTO, 15 FUSÃO, 1 DERIVAÇÃO, 1 CX NOVA, 3 TESTE"/>
    <d v="2024-09-10T00:00:00"/>
    <d v="2024-08-20T00:00:00"/>
    <d v="2024-08-24T00:00:00"/>
    <d v="2024-08-28T00:00:00"/>
    <d v="2024-08-28T00:00:00"/>
    <s v="NÃO PRECISA"/>
    <m/>
    <x v="0"/>
    <x v="0"/>
    <s v="AG. MEDIÇÃO"/>
    <n v="6"/>
    <x v="1"/>
    <n v="3"/>
  </r>
  <r>
    <s v="RSCLER0823"/>
    <s v="SPEAA"/>
    <s v="PDRACB"/>
    <s v="PAE DAM"/>
    <s v="PORTO ALEGRE"/>
    <s v="ED ZENON"/>
    <s v="AV TAPIACU 334"/>
    <s v="SPEAA.031.M070"/>
    <d v="2026-04-01T00:00:00"/>
    <x v="0"/>
    <m/>
    <s v="CATIA"/>
    <m/>
    <m/>
    <s v="SEM LANÇAMENTO"/>
    <s v="SEM LANÇAMENTO"/>
    <s v="3 ABERTURA E FECHAMENTO, 3 FUSÕES, 1 TESTE, 1 TESTE OTDR."/>
    <d v="2026-05-21T00:00:00"/>
    <d v="2026-04-18T00:00:00"/>
    <m/>
    <m/>
    <d v="2026-04-23T00:00:00"/>
    <d v="2026-05-21T00:00:00"/>
    <m/>
    <x v="0"/>
    <x v="0"/>
    <s v="AG. MEDIÇÃO"/>
    <n v="3"/>
    <x v="0"/>
    <n v="0"/>
  </r>
  <r>
    <s v="RSCLER0982"/>
    <s v="PETAA"/>
    <s v="PETAR"/>
    <s v="RSPLE11"/>
    <s v="PORTO ALEGRE"/>
    <m/>
    <s v="AV TAQUARA 422"/>
    <s v="PETAA.154.M040"/>
    <d v="2026-07-01T00:00:00"/>
    <x v="0"/>
    <m/>
    <s v="CATIA"/>
    <m/>
    <s v="OK"/>
    <s v="SEM LANÇAMENTO"/>
    <s v="SEM LANÇAMENTO"/>
    <s v="2 ABERTURA E FECHAMENTO, 2 FUSÕES, 1 TESTE."/>
    <d v="2026-08-18T00:00:00"/>
    <d v="2026-07-21T00:00:00"/>
    <m/>
    <m/>
    <d v="2026-07-24T00:00:00"/>
    <d v="2026-08-18T00:00:00"/>
    <m/>
    <x v="0"/>
    <x v="0"/>
    <s v="AG. MEDIÇÃO"/>
    <n v="3"/>
    <x v="0"/>
    <n v="0"/>
  </r>
  <r>
    <s v="RSCLER0764"/>
    <s v="VIPAA"/>
    <s v="VIPAOA"/>
    <s v="RSPNO19"/>
    <s v="PORTO ALEGRE"/>
    <s v="MANOBRA VISIUM (REPETTO)"/>
    <s v="AV TULIO DE ROSE 330, 400"/>
    <s v="VIPAA.041.M020"/>
    <d v="2025-12-01T00:00:00"/>
    <x v="0"/>
    <m/>
    <s v="DERIK"/>
    <m/>
    <d v="2026-01-22T00:00:00"/>
    <s v="SEM LANÇAMENTO"/>
    <s v="SEM LANÇAMENTO"/>
    <s v="5 ABERTURA E FECHAMENTO, 20 FUSÕES, 5 TESTES."/>
    <d v="2026-05-15T00:00:00"/>
    <d v="2025-12-03T00:00:00"/>
    <m/>
    <m/>
    <d v="2025-12-11T00:00:00"/>
    <d v="2026-05-15T00:00:00"/>
    <m/>
    <x v="0"/>
    <x v="0"/>
    <s v="AG. MEDIÇÃO"/>
    <n v="6"/>
    <x v="1"/>
    <n v="3"/>
  </r>
  <r>
    <s v="RSCLER0711"/>
    <s v="BVSAB"/>
    <s v="BVSAF"/>
    <s v="PAE NR"/>
    <s v="PORTO ALEGRE"/>
    <m/>
    <s v="AL RAIMUNDO CORREA, 20"/>
    <s v="BVSAB.355.M030"/>
    <d v="2025-08-01T00:00:00"/>
    <x v="0"/>
    <s v="UBIRAJARA"/>
    <s v="ANDERSON/GILSON/DIOGO"/>
    <m/>
    <m/>
    <m/>
    <n v="357"/>
    <s v="FOI LANÇADO 357 METROS DE CABO DE 12 FO, 3 ABERTURA E FECHAMENTO, 2 CX NOVA, 101 FUSÕES, 1 DERIVAÇÃO"/>
    <m/>
    <d v="2025-08-21T00:00:00"/>
    <m/>
    <m/>
    <d v="2025-08-22T00:00:00"/>
    <m/>
    <m/>
    <x v="2"/>
    <x v="2"/>
    <s v="AG. RELATÓRIO"/>
    <n v="1"/>
    <x v="0"/>
    <n v="-2"/>
  </r>
  <r>
    <s v="RSCLER0335"/>
    <s v="SANAA"/>
    <s v="SANAD"/>
    <s v="RSPCE22"/>
    <s v="PORTO ALEGRE"/>
    <s v="MONTE POLLINO "/>
    <s v="AV VENANCIO AIRES 177"/>
    <s v="SANAA.031.M020"/>
    <d v="2024-07-01T00:00:00"/>
    <x v="0"/>
    <m/>
    <s v="MARCOS EMILIANO"/>
    <s v="100% - OK"/>
    <s v="OK"/>
    <s v="SEM LANÇAMENTO"/>
    <s v="SEM LANÇAMENTO"/>
    <s v="3 ABERTURA E FECHAMENTO, 4 FUSÃO, 2 TESTE "/>
    <d v="2024-07-24T00:00:00"/>
    <d v="2024-07-02T00:00:00"/>
    <d v="2024-07-13T00:00:00"/>
    <d v="2024-07-13T00:00:00"/>
    <d v="2024-07-13T00:00:00"/>
    <s v="NÃO PRECISA"/>
    <m/>
    <x v="0"/>
    <x v="0"/>
    <s v="AG. MEDIÇÃO"/>
    <n v="8"/>
    <x v="1"/>
    <n v="5"/>
  </r>
  <r>
    <s v="RSCLER0972"/>
    <s v="SANAA"/>
    <s v="SANAE"/>
    <s v="RSPCE22"/>
    <s v="PORTO ALEGRE"/>
    <s v="NAP LOTADA"/>
    <s v="AV VENANCIO AIRES, 855"/>
    <s v="SANAA.021.03.08"/>
    <d v="2026-06-01T00:00:00"/>
    <x v="0"/>
    <m/>
    <s v="AFONSO"/>
    <m/>
    <s v="OK"/>
    <s v="SEM LANÇAMENTO"/>
    <s v="SEM LANÇAMENTO"/>
    <s v="2 ABERTURA E FECHAMENTO, 3 FUSÕES, 1 TESTE."/>
    <d v="2026-07-09T00:00:00"/>
    <d v="2026-06-29T00:00:00"/>
    <m/>
    <m/>
    <d v="2026-06-30T00:00:00"/>
    <d v="2026-07-09T00:00:00"/>
    <m/>
    <x v="0"/>
    <x v="0"/>
    <s v="AG. MEDIÇÃO"/>
    <n v="1"/>
    <x v="0"/>
    <n v="-2"/>
  </r>
  <r>
    <s v="RSCLER0946"/>
    <s v="AZNAA"/>
    <s v="SANAI"/>
    <s v="RSPLE17"/>
    <s v="PORTO ALEGRE"/>
    <m/>
    <s v="Av Vicente da Fontoura 527"/>
    <s v="AZNAA.031.08.05"/>
    <d v="2026-06-01T00:00:00"/>
    <x v="0"/>
    <m/>
    <s v="AFONSO"/>
    <m/>
    <s v="OK"/>
    <n v="58"/>
    <n v="58"/>
    <s v="FOI LANÇADO 58 METROS DE CABO DE 12FO, 3 ABERTURA E FECHAENTO, 3 FUSÕES, 1 NAP NOVA, 1 DERIVAÇÃO, 3 TESTES."/>
    <d v="2026-06-22T00:00:00"/>
    <d v="2026-06-17T00:00:00"/>
    <m/>
    <m/>
    <d v="2026-06-18T00:00:00"/>
    <d v="2026-06-22T00:00:00"/>
    <m/>
    <x v="0"/>
    <x v="0"/>
    <s v="AG. MEDIÇÃO"/>
    <n v="1"/>
    <x v="0"/>
    <n v="-2"/>
  </r>
  <r>
    <s v="RSCLER0912"/>
    <s v="VNVAA"/>
    <s v="VNVAF"/>
    <s v="RSPSU13"/>
    <s v="PORTO ALEGRE"/>
    <s v="Residencial Vicente Monteggia"/>
    <s v="AV VICENTE MONTEGGIA, 1020"/>
    <s v="VNVAA.043"/>
    <d v="2026-06-01T00:00:00"/>
    <x v="0"/>
    <s v="TIAGO FERREIRA"/>
    <s v="AFONSO"/>
    <m/>
    <m/>
    <n v="621"/>
    <n v="632"/>
    <s v="FOI LANÇADO 632 METROS DE CABO DE 12FO, 2 ABERTURA E FECHAMENTO, 6 NAP NOVA, 1 DERIVAÇÃO, 18 FUSÕES, 15 TESTES"/>
    <d v="2026-06-10T00:00:00"/>
    <d v="2026-06-08T00:00:00"/>
    <d v="2026-06-09T00:00:00"/>
    <d v="2026-06-10T00:00:00"/>
    <d v="2026-06-10T00:00:00"/>
    <d v="2026-06-10T00:00:00"/>
    <m/>
    <x v="0"/>
    <x v="0"/>
    <s v="AG. MEDIÇÃO"/>
    <n v="2"/>
    <x v="0"/>
    <n v="-1"/>
  </r>
  <r>
    <s v="RSCLER0825"/>
    <s v="PETAA"/>
    <s v="PETAPB"/>
    <s v="RSPLE11"/>
    <s v="PORTO ALEGRE"/>
    <m/>
    <s v="AV, IJUÍ 648"/>
    <s v="PETAA.091.M020"/>
    <d v="2026-04-01T00:00:00"/>
    <x v="0"/>
    <m/>
    <s v="CATIA"/>
    <m/>
    <m/>
    <s v="SEM LANÇAMENTO"/>
    <s v="SEM LANÇAMENTO"/>
    <s v="2 ABERTURA E FECHAMENTO, 2 FUSÕES, 1 TESTES, 1 TESTE OTDR"/>
    <d v="2026-05-12T00:00:00"/>
    <d v="2026-04-20T00:00:00"/>
    <d v="2026-04-20T00:00:00"/>
    <m/>
    <d v="2026-04-20T00:00:00"/>
    <d v="2026-05-12T00:00:00"/>
    <m/>
    <x v="0"/>
    <x v="0"/>
    <s v="AG. MEDIÇÃO"/>
    <n v="0"/>
    <x v="0"/>
    <n v="-3"/>
  </r>
  <r>
    <s v="RSCLER0360"/>
    <s v="FLOAB"/>
    <s v="FLOAKB"/>
    <s v="RSPCE05"/>
    <s v="PORTO ALEGRE"/>
    <s v="Cond Edificio Conceicao"/>
    <s v="Av. Alberto Bins 724 "/>
    <s v="FLOAB.091.M060"/>
    <d v="2024-07-01T00:00:00"/>
    <x v="0"/>
    <s v="MALCOLM / TIAGO"/>
    <s v="FABIO AMARILIO"/>
    <s v="100% - OK"/>
    <s v="OK"/>
    <m/>
    <n v="754"/>
    <s v="FOI LANÇADO 754 METROS DE CABO DE 12FO, 2 ABERTURA E FECHAMENTO, 6 FUSÃO, 3 DERIVAÇÃO, 1 CX NOVA, 3 TESTE"/>
    <d v="2024-09-10T00:00:00"/>
    <d v="2024-07-26T00:00:00"/>
    <d v="2024-08-27T00:00:00"/>
    <d v="2024-08-30T00:00:00"/>
    <d v="2024-08-30T00:00:00"/>
    <s v="NÃO PRECISA"/>
    <m/>
    <x v="0"/>
    <x v="0"/>
    <s v="AG. MEDIÇÃO"/>
    <n v="25"/>
    <x v="1"/>
    <n v="22"/>
  </r>
  <r>
    <s v="RSCLER0453"/>
    <s v="FLOAB"/>
    <s v="FLOAKB"/>
    <s v="RSPCE05"/>
    <s v="PORTO ALEGRE"/>
    <s v="Edifício Cosmos"/>
    <s v="Av. Alberto Bins, 325"/>
    <s v="FLOAB.092.M040"/>
    <d v="2024-10-01T00:00:00"/>
    <x v="0"/>
    <s v="TIAGO FERREIRA"/>
    <s v="FABIO AMARILHO"/>
    <s v="100% - OK"/>
    <s v="OK - ENVIADO"/>
    <m/>
    <n v="565"/>
    <s v="FOI LANÇADO 565 METROS DE CABO DE 12 FO, 6 ABERTURA E FECHAMENTO, 5 FUSÃO, 2 DERIVAÇÃO, 1 TESTE "/>
    <d v="2024-11-12T00:00:00"/>
    <d v="2024-10-21T00:00:00"/>
    <m/>
    <m/>
    <d v="2024-11-07T00:00:00"/>
    <s v="NÃO PRECISA"/>
    <m/>
    <x v="0"/>
    <x v="0"/>
    <s v="AG. MEDIÇÃO"/>
    <n v="13"/>
    <x v="1"/>
    <n v="10"/>
  </r>
  <r>
    <s v="RSCLER0742"/>
    <s v="BFMAA"/>
    <s v="CNTAN"/>
    <s v="PAE IND"/>
    <s v="PORTO ALEGRE"/>
    <s v="CPERS"/>
    <s v="Av. Alberto Bins, 480"/>
    <s v="BFMAA.151.M510"/>
    <d v="2025-10-01T00:00:00"/>
    <x v="0"/>
    <m/>
    <s v="AUGUSTO"/>
    <m/>
    <m/>
    <s v="SEM LANÇAMENTO"/>
    <s v="SEM LANÇAMENTO"/>
    <s v="2 ABERTURA E FECHAMENTO, 4 FUSÕES, 2 TESTES"/>
    <d v="2025-10-20T00:00:00"/>
    <d v="2025-10-17T00:00:00"/>
    <m/>
    <m/>
    <d v="2025-10-20T00:00:00"/>
    <d v="2025-10-20T00:00:00"/>
    <m/>
    <x v="0"/>
    <x v="0"/>
    <s v="AG. MEDIÇÃO"/>
    <n v="1"/>
    <x v="0"/>
    <n v="-2"/>
  </r>
  <r>
    <s v="RSCLER0100"/>
    <s v="PDRAHA"/>
    <m/>
    <m/>
    <s v="PORTO ALEGRE"/>
    <s v="PLENO HOME LIVING"/>
    <s v="AV. ANDARAI, 566"/>
    <m/>
    <d v="2023-07-01T00:00:00"/>
    <x v="0"/>
    <s v="JEFERSON"/>
    <s v="JEFERSON"/>
    <s v="100% - OK"/>
    <s v="-"/>
    <m/>
    <n v="320"/>
    <s v="LANÇADO 320 METROS DE CABO 24FO, 5 ABERTURA E FECHAMENTO, 15 FUSÃO/ 1 CX NOVA / 3 TESTE / 2 TESTE COM OTDR/ FIBRA ESTAVA PARADA NO SITE/ 1 DERIVAÇÃO/ "/>
    <d v="2023-09-06T00:00:00"/>
    <d v="2023-07-03T00:00:00"/>
    <d v="2023-07-13T00:00:00"/>
    <d v="2023-07-14T00:00:00"/>
    <d v="2023-07-14T00:00:00"/>
    <s v="NÃO PRECISA"/>
    <m/>
    <x v="0"/>
    <x v="0"/>
    <s v="AG. MEDIÇÃO"/>
    <n v="9"/>
    <x v="1"/>
    <n v="6"/>
  </r>
  <r>
    <s v="RSCLER0635"/>
    <s v="PDRAA"/>
    <s v="PDRAG"/>
    <s v="RSPNO17"/>
    <s v="PORTO ALEGRE"/>
    <s v="Cond. Edifício Ideale Massima Vita"/>
    <s v="Av. Andaraí, 675 Torre A/B"/>
    <s v="PDRAA.033.M030"/>
    <d v="2025-06-01T00:00:00"/>
    <x v="0"/>
    <m/>
    <s v="GILSON"/>
    <m/>
    <m/>
    <s v="SEM LANÇAMENTO"/>
    <s v="SEM LANÇAMENTO"/>
    <s v="DENTRO DO NODE PDRAG"/>
    <s v="PDRAG"/>
    <d v="2025-06-13T00:00:00"/>
    <m/>
    <m/>
    <d v="2025-06-16T00:00:00"/>
    <s v="NÃO PRECISA"/>
    <m/>
    <x v="0"/>
    <x v="0"/>
    <s v="AG. MEDIÇÃO"/>
    <n v="1"/>
    <x v="0"/>
    <n v="-2"/>
  </r>
  <r>
    <s v="RSCLER0851"/>
    <s v="VJDAB"/>
    <s v="MSTAE"/>
    <s v="RSPNO21"/>
    <s v="PORTO ALEGRE"/>
    <s v=" Cond. Alto Petrópolis"/>
    <s v="AV. ARY TARRAGO 340"/>
    <s v="VJDAB.123.M010"/>
    <d v="2026-05-01T00:00:00"/>
    <x v="0"/>
    <s v="TIAGO FERREIRA"/>
    <s v="AFONSO"/>
    <m/>
    <m/>
    <n v="280"/>
    <n v="231"/>
    <s v="FOI LANÇADO 119 METROS DE CABO DE 36FO E 112 METROS DE CABO DE 24FO, 6 ABERTURA E FECHAMENTO, 2 CX NOVA, 40 FUSÕES, 1 DERIVAÇÃO, 10 TESTES"/>
    <d v="2026-06-29T00:00:00"/>
    <d v="2026-05-05T00:00:00"/>
    <m/>
    <m/>
    <d v="2026-05-11T00:00:00"/>
    <d v="2026-06-29T00:00:00"/>
    <m/>
    <x v="0"/>
    <x v="0"/>
    <s v="AG. MEDIÇÃO"/>
    <n v="4"/>
    <x v="1"/>
    <n v="1"/>
  </r>
  <r>
    <s v="RSCLER0903"/>
    <s v="SPEAA"/>
    <s v="PDRACB"/>
    <s v="PAE DAM"/>
    <s v="PORTO ALEGRE"/>
    <s v="Ed Centro Comercial Volta do Guerino"/>
    <s v="Av. Assis Brasil, 1800"/>
    <s v="SPEAA.031.M030"/>
    <d v="2026-06-01T00:00:00"/>
    <x v="0"/>
    <m/>
    <s v="AFONSO"/>
    <m/>
    <s v="OK"/>
    <s v="SEM LANÇAMENTO"/>
    <s v="SEM LANÇAMENTO"/>
    <s v="2 ABERTURA E FECHAMENTO, 4 FUSÕES, 4 TESTES."/>
    <d v="2026-07-06T00:00:00"/>
    <d v="2026-06-06T00:00:00"/>
    <m/>
    <m/>
    <d v="2026-06-09T00:00:00"/>
    <d v="2026-07-06T00:00:00"/>
    <m/>
    <x v="0"/>
    <x v="0"/>
    <s v="AG. MEDIÇÃO"/>
    <n v="1"/>
    <x v="0"/>
    <n v="-2"/>
  </r>
  <r>
    <s v="RSCLER0607"/>
    <s v="VIPAA"/>
    <s v="VIPAJ"/>
    <s v="RSPNO19"/>
    <s v="PORTO ALEGRE"/>
    <s v="SHOPPING LINDOIA"/>
    <s v="AV. ASSIS BRASIL, 3522"/>
    <s v="VIPAA.002.M060"/>
    <d v="2025-05-01T00:00:00"/>
    <x v="0"/>
    <s v="UBIRATAN"/>
    <s v="DIOGO"/>
    <m/>
    <m/>
    <n v="247"/>
    <n v="310"/>
    <s v="FOI LANÇADO 310 METROS DE CABO DE 12FO, 9 ABERTURA E FECHAMENTO, 9 FUSÕES, 2 DERIVAÇÃO, 1 TESTE , 2 TESTE OTDR"/>
    <d v="2025-06-18T00:00:00"/>
    <d v="2025-05-29T00:00:00"/>
    <m/>
    <m/>
    <d v="2025-06-03T00:00:00"/>
    <s v="NÃO PRECISA"/>
    <m/>
    <x v="0"/>
    <x v="0"/>
    <s v="AG. MEDIÇÃO"/>
    <n v="3"/>
    <x v="0"/>
    <n v="0"/>
  </r>
  <r>
    <s v="RSCLER0702"/>
    <s v="VNVAA"/>
    <m/>
    <m/>
    <s v="PORTO ALEGRE"/>
    <s v="Cond Village Center Zona Sul"/>
    <s v="Av. da Cavalhada, 4760"/>
    <s v="VNVAA.051.01.07"/>
    <d v="2025-08-01T00:00:00"/>
    <x v="0"/>
    <s v="UBIRAJARA"/>
    <s v="DIOGO"/>
    <s v="100% - OK"/>
    <m/>
    <m/>
    <n v="206"/>
    <s v="FOI LANÇADO 206 METROS DE CABO DE 12FO, COBRAE 27 METROS DE CORDOALHA DIELÉTRICA."/>
    <m/>
    <d v="2025-08-13T00:00:00"/>
    <m/>
    <m/>
    <d v="2025-08-14T00:00:00"/>
    <m/>
    <m/>
    <x v="2"/>
    <x v="2"/>
    <s v="AG. RELATÓRIO"/>
    <n v="1"/>
    <x v="0"/>
    <n v="-2"/>
  </r>
  <r>
    <s v="RSCLER0389"/>
    <s v="BVSAB"/>
    <s v="BVSALA"/>
    <s v="PAE NR"/>
    <s v="PORTO ALEGRE"/>
    <s v=" Cond Ed Resid Puerto Madero "/>
    <s v="Av. Bagé, 1352"/>
    <s v="BVSAB.222.M090."/>
    <d v="2024-08-01T00:00:00"/>
    <x v="0"/>
    <m/>
    <s v="MARCOS EMILIANO / ANDERSON"/>
    <s v="100% - OK"/>
    <s v="OK"/>
    <s v="SEM LANÇAMENTO"/>
    <s v="SEM LANÇAMENTO"/>
    <s v="5 ABERTURA E FECHAMENTO, 10 FUSÃO, 2 TESTE"/>
    <d v="2024-09-10T00:00:00"/>
    <d v="2024-08-20T00:00:00"/>
    <d v="2024-08-24T00:00:00"/>
    <d v="2024-08-28T00:00:00"/>
    <d v="2024-08-28T00:00:00"/>
    <s v="NÃO PRECISA"/>
    <m/>
    <x v="0"/>
    <x v="0"/>
    <s v="AG. MEDIÇÃO"/>
    <n v="6"/>
    <x v="1"/>
    <n v="3"/>
  </r>
  <r>
    <s v="RSCLER0832"/>
    <s v="RBTAB"/>
    <m/>
    <m/>
    <s v="PORTO ALEGRE"/>
    <s v="Cond. Praia Areia Preta"/>
    <s v="AV. BALTAZAR DE OLIVEIRA GARCIA 3447 E 3457"/>
    <s v="RBTAB.013.M010"/>
    <d v="2026-04-01T00:00:00"/>
    <x v="0"/>
    <m/>
    <s v="CATIA"/>
    <m/>
    <m/>
    <s v="SEM LANÇAMENTO"/>
    <s v="SEM LANÇAMENTO"/>
    <s v="2  ABERTURA E FECHAMENTO, 3 FUSÕES, 2 TESTES, 1 TESTE OTDR"/>
    <d v="2026-05-14T00:00:00"/>
    <d v="2026-04-22T00:00:00"/>
    <m/>
    <m/>
    <d v="2026-04-26T00:00:00"/>
    <d v="2026-05-14T00:00:00"/>
    <m/>
    <x v="0"/>
    <x v="0"/>
    <s v="AG. MEDIÇÃO"/>
    <n v="2"/>
    <x v="0"/>
    <n v="-1"/>
  </r>
  <r>
    <s v="RSCLER0831"/>
    <s v="RBTAB"/>
    <m/>
    <m/>
    <s v="PORTO ALEGRE"/>
    <m/>
    <s v="AV. BALTAZAR DE OLIVEIRA GARCIA 3711"/>
    <s v="RBTAB.014.M030"/>
    <d v="2026-04-01T00:00:00"/>
    <x v="0"/>
    <m/>
    <s v="CATIA"/>
    <m/>
    <m/>
    <s v="SEM LANÇAMENTO"/>
    <s v="SEM LANÇAMENTO"/>
    <s v="2 ABERTURA E FECHAMENTO, 1 FUSÕES, 1 TESTE"/>
    <d v="2026-05-14T00:00:00"/>
    <d v="2026-04-22T00:00:00"/>
    <m/>
    <m/>
    <d v="2026-04-26T00:00:00"/>
    <d v="2026-05-14T00:00:00"/>
    <m/>
    <x v="0"/>
    <x v="0"/>
    <s v="AG. MEDIÇÃO"/>
    <n v="2"/>
    <x v="0"/>
    <n v="-1"/>
  </r>
  <r>
    <s v="RSCLER0152"/>
    <s v="RBTAA"/>
    <m/>
    <m/>
    <s v="PORTO ALEGRE"/>
    <s v=" Cond do Edifício Parque das Flores"/>
    <s v="Av. Baltazar de Oliveira Garcia, 2770 a 2870"/>
    <m/>
    <d v="2023-10-01T00:00:00"/>
    <x v="0"/>
    <m/>
    <s v="PAULO GOMES"/>
    <s v="100% - OK"/>
    <s v="OK"/>
    <s v="SEM LANÇAMENTO"/>
    <s v="SEM LANÇAMENTO"/>
    <s v="2 ABERTURA E FECHAMENTO , 2 FUSÃO , 1 TESTE"/>
    <d v="2023-10-30T00:00:00"/>
    <d v="2023-10-26T00:00:00"/>
    <m/>
    <d v="2023-10-28T00:00:00"/>
    <d v="2023-10-28T00:00:00"/>
    <s v="NÃO PRECISA"/>
    <m/>
    <x v="0"/>
    <x v="0"/>
    <s v="AG. MEDIÇÃO"/>
    <n v="1"/>
    <x v="0"/>
    <n v="-2"/>
  </r>
  <r>
    <s v="RSCLER0837"/>
    <s v="RBTAB"/>
    <s v="RBTAE"/>
    <s v="RSPNO22"/>
    <s v="PORTO ALEGRE"/>
    <m/>
    <s v="Av. Baltazar de Oliveira Garcia, nº 3221, 3219 e 3275 / Rua Doutor Romaguera da Cunha Corrêa, nº 85 e 35"/>
    <s v="RBTAB.011.M010"/>
    <d v="2026-04-01T00:00:00"/>
    <x v="0"/>
    <s v="CATIA"/>
    <s v="CATIA"/>
    <m/>
    <m/>
    <n v="91"/>
    <n v="91"/>
    <s v="FOI LANÇADO 91 METROS DE CABO DE 24FO, 5 ABERTURA E FECHAMENTO, 2 DERIVAÇÕES, 30 FUSÕES, 3 TESTES OTDR E 20 TESTES"/>
    <d v="2026-06-29T00:00:00"/>
    <d v="2026-04-08T00:00:00"/>
    <m/>
    <m/>
    <d v="2026-04-10T00:00:00"/>
    <d v="2026-06-29T00:00:00"/>
    <m/>
    <x v="0"/>
    <x v="0"/>
    <s v="AG. MEDIÇÃO"/>
    <n v="2"/>
    <x v="0"/>
    <n v="-1"/>
  </r>
  <r>
    <s v="RSCLER0363"/>
    <s v="SANAB"/>
    <s v="PRTAB"/>
    <s v="RSPCE27"/>
    <s v="PORTO ALEGRE"/>
    <s v="Condomínio Edifício Boreal "/>
    <s v="Av. Bento Gonçalves, 1294"/>
    <s v="SANAB.013.M010"/>
    <d v="2024-07-01T00:00:00"/>
    <x v="0"/>
    <m/>
    <s v="PAULO GOMES"/>
    <s v="100% - OK"/>
    <s v="OK"/>
    <s v="SEM LANÇAMENTO"/>
    <s v="SEM LANÇAMENTO"/>
    <s v="2 ABERTURA E FECHAMENTO, 3 FUSÃO, 3 TESTE "/>
    <d v="2024-08-28T00:00:00"/>
    <d v="2024-07-26T00:00:00"/>
    <d v="2024-08-02T00:00:00"/>
    <d v="2024-08-02T00:00:00"/>
    <d v="2024-08-02T00:00:00"/>
    <s v="NÃO PRECISA"/>
    <m/>
    <x v="0"/>
    <x v="0"/>
    <s v="AG. MEDIÇÃO"/>
    <n v="5"/>
    <x v="1"/>
    <n v="2"/>
  </r>
  <r>
    <s v="RSCLER0579"/>
    <s v="CTLAA"/>
    <s v="CTLAE"/>
    <s v="RSPSU07"/>
    <s v="PORTO ALEGRE"/>
    <s v="Condomínio Jardim Cristal"/>
    <s v="Av. Capivari, 1243"/>
    <s v="CTLAA.054.M010"/>
    <d v="2025-04-01T00:00:00"/>
    <x v="0"/>
    <s v="UBIRATAN"/>
    <s v="CATIA"/>
    <m/>
    <m/>
    <m/>
    <m/>
    <s v="1 ABERTURA E FECHAMENTO"/>
    <d v="2025-05-08T00:00:00"/>
    <d v="2025-04-23T00:00:00"/>
    <m/>
    <m/>
    <d v="2025-05-07T00:00:00"/>
    <s v="NÃO PRECISA"/>
    <m/>
    <x v="0"/>
    <x v="0"/>
    <s v="AG. MEDIÇÃO"/>
    <n v="10"/>
    <x v="1"/>
    <n v="7"/>
  </r>
  <r>
    <s v="RSCLER0614"/>
    <s v="CTLAA"/>
    <s v="CTLAE"/>
    <s v="RSPSU07"/>
    <s v="PORTO ALEGRE"/>
    <s v="Condomínio Jardim Cristal"/>
    <s v="Av. Capivari, 1243"/>
    <s v="CTLAA.051.M010"/>
    <d v="2025-06-01T00:00:00"/>
    <x v="0"/>
    <m/>
    <s v="CATIA"/>
    <m/>
    <m/>
    <s v="SEM LANÇAMENTO"/>
    <s v="SEM LANÇAMENTO"/>
    <s v="2 ABERTURA E FECHAMENTO, 5 FUSÕES, 5 TESTES"/>
    <d v="2025-06-18T00:00:00"/>
    <d v="2025-06-03T00:00:00"/>
    <m/>
    <m/>
    <d v="2025-06-04T00:00:00"/>
    <s v="NÃO PRECISA"/>
    <m/>
    <x v="0"/>
    <x v="0"/>
    <s v="AG. MEDIÇÃO"/>
    <n v="1"/>
    <x v="0"/>
    <n v="-2"/>
  </r>
  <r>
    <s v="RSCLER0376"/>
    <s v="RBRAA"/>
    <s v="RBRAA"/>
    <s v="RSPLE08"/>
    <s v="PORTO ALEGRE"/>
    <s v="Condomínio Edifício Maria Cristina II"/>
    <s v="Av. Cel. Lucas de Oliveira, 2437"/>
    <s v="RBRAA.093.M030"/>
    <d v="2024-08-01T00:00:00"/>
    <x v="0"/>
    <m/>
    <s v="MARCOS EMILIANO"/>
    <s v="100% - OK"/>
    <s v="OK"/>
    <s v="SEM LANÇAMENTO"/>
    <s v="SEM LANÇAMENTO"/>
    <s v="2 ABERTURA E FECHAMENTO, 4 FUSÃO, 2 TESTE"/>
    <d v="2024-08-28T00:00:00"/>
    <d v="2024-08-12T00:00:00"/>
    <d v="2024-08-20T00:00:00"/>
    <d v="2024-08-21T00:00:00"/>
    <d v="2024-08-21T00:00:00"/>
    <s v="NÃO PRECISA"/>
    <m/>
    <x v="0"/>
    <x v="0"/>
    <s v="AG. MEDIÇÃO"/>
    <n v="7"/>
    <x v="1"/>
    <n v="4"/>
  </r>
  <r>
    <s v="RSCLER0913"/>
    <s v="TRZAB"/>
    <s v="TRZAQ"/>
    <s v="RSPSU22"/>
    <s v="PORTO ALEGRE"/>
    <s v="Cond Residencial Enseada"/>
    <s v="Av. Cel. Marcos, 1545"/>
    <s v="TRZAB.091.M020"/>
    <d v="2026-06-01T00:00:00"/>
    <x v="0"/>
    <m/>
    <s v="AFONSO"/>
    <m/>
    <s v="OK"/>
    <s v="SEM LANÇAMENTO"/>
    <s v="SEM LANÇAMENTO"/>
    <s v="RECUADO 41 METROS DE  CABO, 2 ABERTURA E FECHAMENTO, 12 FUSÕES, 1 DERIVAÇÃO, 1 TESTE."/>
    <d v="2026-07-07T00:00:00"/>
    <d v="2026-06-10T00:00:00"/>
    <m/>
    <m/>
    <d v="2026-06-11T00:00:00"/>
    <d v="2026-07-07T00:00:00"/>
    <m/>
    <x v="0"/>
    <x v="0"/>
    <s v="AG. MEDIÇÃO"/>
    <n v="1"/>
    <x v="0"/>
    <n v="-2"/>
  </r>
  <r>
    <s v="RSCLER0550"/>
    <s v="TRZAA"/>
    <s v="TRZAJB"/>
    <s v="RSPSU11"/>
    <s v="PORTO ALEGRE"/>
    <s v=" Casa Assunção"/>
    <s v="Av. Copacabana, 182"/>
    <s v="TRZAA.101.M040."/>
    <d v="2025-03-01T00:00:00"/>
    <x v="0"/>
    <m/>
    <s v="AUGUSTO"/>
    <s v="100% - OK"/>
    <s v="OK - ENVIADO"/>
    <s v="SEM LANÇAMENTO"/>
    <s v="SEM LANÇAMENTO"/>
    <s v="3 ABERTURA E FECHAMENTO, 2 FUSÕES, 1 TESTE"/>
    <d v="2025-03-24T00:00:00"/>
    <d v="2025-03-17T00:00:00"/>
    <d v="2025-03-19T00:00:00"/>
    <d v="2025-03-21T00:00:00"/>
    <d v="2025-03-22T00:00:00"/>
    <s v="NÃO PRECISA"/>
    <m/>
    <x v="0"/>
    <x v="0"/>
    <s v="AG. MEDIÇÃO"/>
    <n v="4"/>
    <x v="1"/>
    <n v="1"/>
  </r>
  <r>
    <s v="RSCLER0204"/>
    <s v="MTSAA"/>
    <m/>
    <m/>
    <s v="PORTO ALEGRE"/>
    <s v="Edifício Aschneider Absolut Business"/>
    <s v="Av. Cristóvão Colombo, 2948"/>
    <m/>
    <d v="2024-01-01T00:00:00"/>
    <x v="0"/>
    <m/>
    <s v="PAULO GOMES"/>
    <s v="100% - OK"/>
    <s v="OK"/>
    <s v="SEM LANÇAMENTO"/>
    <s v="SEM LANÇAMENTO"/>
    <s v="4 ABERTURA E FECAHMENT, 3FUSÃO, 2 TESTE"/>
    <d v="2024-01-09T00:00:00"/>
    <d v="2024-01-08T00:00:00"/>
    <m/>
    <d v="2024-01-08T00:00:00"/>
    <d v="2024-01-08T00:00:00"/>
    <s v="NÃO PRECISA"/>
    <m/>
    <x v="0"/>
    <x v="0"/>
    <s v="AG. MEDIÇÃO"/>
    <n v="0"/>
    <x v="0"/>
    <n v="-3"/>
  </r>
  <r>
    <s v="RSCLER0560"/>
    <s v="BFMAA"/>
    <s v="FLOAM"/>
    <s v="PAE IND"/>
    <s v="PORTO ALEGRE"/>
    <s v="Edifício Edelweiss"/>
    <s v="Av. Cristóvão Colombo, 508"/>
    <s v="BFMAA.241.M070"/>
    <d v="2025-03-01T00:00:00"/>
    <x v="0"/>
    <s v="TIAGO FERREIRA"/>
    <s v="ANDERSON"/>
    <s v="100% - OK"/>
    <s v="OK"/>
    <n v="540"/>
    <n v="565"/>
    <s v="FOI LANÇADO 565 METROS CABO DE 12FO, 5 ABERTURA E FECHAMENTO, 1 CX NOVA, 1 DERIVAÇÃO, 6 FUSÕES, 1 TESTE"/>
    <d v="2025-05-08T00:00:00"/>
    <d v="2025-03-25T00:00:00"/>
    <d v="2025-03-27T00:00:00"/>
    <d v="2025-03-28T00:00:00"/>
    <d v="2025-04-04T00:00:00"/>
    <s v="NÃO PRECISA"/>
    <m/>
    <x v="0"/>
    <x v="0"/>
    <s v="AG. MEDIÇÃO"/>
    <n v="8"/>
    <x v="1"/>
    <n v="5"/>
  </r>
  <r>
    <s v="RSCLER0213"/>
    <s v="SANAA"/>
    <m/>
    <m/>
    <s v="PORTO ALEGRE"/>
    <s v="Condomínio Edificio Urbano Station"/>
    <s v="Av. da Azenha, 680"/>
    <m/>
    <d v="2024-01-01T00:00:00"/>
    <x v="0"/>
    <s v="NATANIEL "/>
    <s v="NATANIEL "/>
    <s v="100% - OK"/>
    <s v="OK"/>
    <m/>
    <n v="228"/>
    <s v="FOI  LANÇADO 228 METROS DE CABO DE 12FO, 1 CX NOVA, 2 ABERTURA E FECHAMENTO, 1 DERIVAÇÃO, 4 FUSÃO, 2 TESTE"/>
    <d v="2024-02-23T00:00:00"/>
    <d v="2024-01-30T00:00:00"/>
    <d v="2024-02-09T00:00:00"/>
    <d v="2024-02-09T00:00:00"/>
    <d v="2024-02-09T00:00:00"/>
    <s v="NÃO PRECISA"/>
    <m/>
    <x v="0"/>
    <x v="0"/>
    <s v="AG. MEDIÇÃO"/>
    <n v="8"/>
    <x v="1"/>
    <n v="5"/>
  </r>
  <r>
    <s v="RSCLER0696"/>
    <s v="HMTAA"/>
    <m/>
    <m/>
    <s v="PORTO ALEGRE"/>
    <s v="Instituto Caldeira"/>
    <m/>
    <s v="HMTAA.035.M020"/>
    <d v="2025-08-01T00:00:00"/>
    <x v="1"/>
    <m/>
    <m/>
    <m/>
    <m/>
    <m/>
    <m/>
    <m/>
    <m/>
    <d v="2025-08-01T00:00:00"/>
    <m/>
    <m/>
    <s v="CANCELADO"/>
    <s v="NÃO PRECISA"/>
    <m/>
    <x v="1"/>
    <x v="1"/>
    <s v="CANCELADO"/>
    <s v="CANCELADO"/>
    <x v="1"/>
    <s v="CANCELADO"/>
  </r>
  <r>
    <s v="RSCLER0566"/>
    <s v="CNTAB"/>
    <s v="CNTAE "/>
    <s v="PAE MF"/>
    <s v="PORTO ALEGRE"/>
    <s v="Condomínio Edifício Jequitiba"/>
    <s v="Av. Des. André da Rocha, 20"/>
    <s v="CNTAB.173.M030."/>
    <d v="2025-03-01T00:00:00"/>
    <x v="0"/>
    <m/>
    <s v="AUGUSTO"/>
    <m/>
    <m/>
    <s v="SEM LANÇAMENTO"/>
    <s v="SEM LANÇAMENTO"/>
    <s v="2 ABERTURA ENFECHAMENTO, 2 FUSÕES, 1 TESTE"/>
    <d v="2025-05-08T00:00:00"/>
    <d v="2025-03-27T00:00:00"/>
    <d v="2025-04-15T00:00:00"/>
    <m/>
    <d v="2025-04-26T00:00:00"/>
    <s v="NÃO PRECISA"/>
    <m/>
    <x v="0"/>
    <x v="0"/>
    <s v="AG. MEDIÇÃO"/>
    <n v="21"/>
    <x v="1"/>
    <n v="18"/>
  </r>
  <r>
    <s v="RSCLER0785"/>
    <s v="TRZAA"/>
    <s v="VASAA"/>
    <s v="RSPSU11"/>
    <s v="PORTO ALEGRE"/>
    <s v=" Golden Lake "/>
    <s v="Av. Diário De Notícias 1200"/>
    <s v="TRZAA.041.M020"/>
    <d v="2025-12-01T00:00:00"/>
    <x v="0"/>
    <m/>
    <s v="DERIK"/>
    <m/>
    <s v="SEM LANÇAMENTO"/>
    <s v="SEM LANÇAMENTO"/>
    <m/>
    <s v="2 ABERTURA E FECHAMENTO, 1 FUSÃO, 1 TESTE"/>
    <d v="2026-01-16T00:00:00"/>
    <d v="2025-12-24T00:00:00"/>
    <m/>
    <m/>
    <d v="2025-12-24T00:00:00"/>
    <d v="2026-01-16T00:00:00"/>
    <m/>
    <x v="0"/>
    <x v="0"/>
    <s v="AG. MEDIÇÃO"/>
    <n v="0"/>
    <x v="0"/>
    <n v="-3"/>
  </r>
  <r>
    <s v="RSCLER0130"/>
    <s v="JITAB"/>
    <m/>
    <m/>
    <s v="PORTO ALEGRE"/>
    <s v="COND. RESD. RIO DE JANEIRO"/>
    <s v="AV. DONA ADDA MASCARENHAS DE MORAES, 286"/>
    <m/>
    <d v="2023-09-01T00:00:00"/>
    <x v="0"/>
    <s v="VALDIR PASSOS (ADRIANO)"/>
    <s v="MARCOS EMILIANO/ VINICIUS"/>
    <s v="100% - OK"/>
    <s v="OK"/>
    <m/>
    <n v="123"/>
    <s v="FOI LANÇADO 123 METROS DE CABO DE 12FO, 2 ABERTURA E FECHAMENTO, 1 DERIVAÇÃO, 1 CX NOVA, 6 FUSÃO, 5 TESTE."/>
    <d v="2023-10-04T00:00:00"/>
    <d v="2023-09-27T00:00:00"/>
    <d v="2023-09-29T00:00:00"/>
    <d v="2023-10-03T00:00:00"/>
    <d v="2023-10-03T00:00:00"/>
    <s v="NÃO PRECISA"/>
    <m/>
    <x v="0"/>
    <x v="0"/>
    <s v="AG. MEDIÇÃO"/>
    <n v="4"/>
    <x v="1"/>
    <n v="1"/>
  </r>
  <r>
    <s v="RSCLER0782"/>
    <s v="MDVAA"/>
    <m/>
    <s v="RSGTI01"/>
    <s v="GRAVATAÍ"/>
    <s v="Cond.CESTTO"/>
    <s v="Av. Dorival Candido Luz de Oliveira 7575"/>
    <s v="MDVAA.041.M030"/>
    <d v="2025-12-01T00:00:00"/>
    <x v="0"/>
    <s v="DEIVID"/>
    <s v="DERIK"/>
    <m/>
    <m/>
    <n v="300"/>
    <n v="350"/>
    <s v="FOI LANÇADO 350 METROS DE CABO DE 12FO, 5 ABERTURA E FECHAMENTO, 22 FUSÕES, 1 DERIVAÇÃO,REPUXADO 40 METROS DE CABO DE 12 FO, 2 CX NOVAS E 2 TESTES."/>
    <d v="2026-02-09T00:00:00"/>
    <d v="2025-12-23T00:00:00"/>
    <m/>
    <m/>
    <d v="2025-12-30T00:00:00"/>
    <d v="2026-02-09T00:00:00"/>
    <m/>
    <x v="0"/>
    <x v="0"/>
    <s v="AG. MEDIÇÃO"/>
    <n v="5"/>
    <x v="1"/>
    <n v="2"/>
  </r>
  <r>
    <s v="RSCLER0656"/>
    <s v="CNTAA"/>
    <s v="CNTAA"/>
    <s v="RSNHOLO"/>
    <s v="NOVO HAMBURGO"/>
    <s v="Cond Ed Jd Juliana"/>
    <s v="Av. Dr. Maurício Cardoso, 980"/>
    <s v="CNTAA.033.M010"/>
    <d v="2025-07-01T00:00:00"/>
    <x v="0"/>
    <m/>
    <s v="DIOGO"/>
    <m/>
    <m/>
    <m/>
    <m/>
    <s v="5 ABERTURA E FECHAMENTO, 4 FUSÕES, 1 TESTE E 1 TESTE OTDR."/>
    <d v="2025-07-10T00:00:00"/>
    <d v="2025-07-02T00:00:00"/>
    <d v="2025-07-04T00:00:00"/>
    <d v="2025-07-04T00:00:00"/>
    <d v="2025-07-04T00:00:00"/>
    <s v="NÃO PRECISA"/>
    <m/>
    <x v="0"/>
    <x v="0"/>
    <s v="AG. MEDIÇÃO"/>
    <n v="2"/>
    <x v="0"/>
    <n v="-1"/>
  </r>
  <r>
    <s v="RSCLER0194"/>
    <s v="HPCAA"/>
    <s v="HPCAB"/>
    <s v="RSPSU90"/>
    <s v="PORTO ALEGRE"/>
    <s v="Condomínio Ipanema Mountain Ville"/>
    <s v="Av. Edgar Píres de Castro, 540"/>
    <s v="HPCAA.054"/>
    <d v="2024-09-01T00:00:00"/>
    <x v="0"/>
    <s v="TIAGO FERREIRA"/>
    <s v="ANDERSON"/>
    <s v="100% - OK"/>
    <s v="OK - ENVIADO"/>
    <n v="1400"/>
    <n v="2265"/>
    <s v="FOI LANÇADO 1615 METROS DE CABO DE 24FO, E 650 METROS DE CABO DE 12FO,  2 ABERTURA E FECHAMENTO, 1 CX NOVA, 8 NAP NOVA, 35 FUSÃO, 30 TESTES, 1 DERIVAÇÃO"/>
    <d v="2024-10-10T00:00:00"/>
    <d v="2024-09-11T00:00:00"/>
    <d v="2024-09-12T00:00:00"/>
    <d v="2024-09-15T00:00:00"/>
    <d v="2024-09-27T00:00:00"/>
    <s v="NÃO PRECISA"/>
    <m/>
    <x v="0"/>
    <x v="0"/>
    <s v="AG. MEDIÇÃO"/>
    <n v="12"/>
    <x v="1"/>
    <n v="9"/>
  </r>
  <r>
    <s v="RSCLER0787"/>
    <s v="MNDAC"/>
    <s v="MNDAMA"/>
    <s v="RSPSU02"/>
    <s v="PORTO ALEGRE"/>
    <s v="CT DO INTER"/>
    <s v="Av. Edvaldo Pereira Paiva, 4068"/>
    <s v="MNDAC.111.01.01"/>
    <d v="2026-01-01T00:00:00"/>
    <x v="0"/>
    <s v="UBIRAJARA"/>
    <s v="AFONSO"/>
    <m/>
    <m/>
    <n v="565"/>
    <n v="832"/>
    <s v="FOI LANÇADO 832 METROS DE CABO DE 12FO, 1 ABERTURA E FECHAMENTO, 2 CX NOVAS 5 NAP NOVAS, 23 FUSÕES, 17 TESTES"/>
    <d v="2026-02-05T00:00:00"/>
    <d v="2026-01-06T00:00:00"/>
    <m/>
    <m/>
    <d v="2026-01-22T00:00:00"/>
    <d v="2026-02-05T00:00:00"/>
    <m/>
    <x v="0"/>
    <x v="0"/>
    <s v="AG. MEDIÇÃO"/>
    <n v="12"/>
    <x v="1"/>
    <n v="9"/>
  </r>
  <r>
    <s v="RSCLER0115"/>
    <s v="VIPAA"/>
    <m/>
    <m/>
    <s v="PORTO ALEGRE"/>
    <s v="The Highlands"/>
    <s v="Av. Eng Ary de Abreu Lima 500,"/>
    <m/>
    <d v="2023-08-01T00:00:00"/>
    <x v="0"/>
    <s v="JORGE MATHEUS/ ALAN GOMES"/>
    <s v="MARCOS EMILIANO"/>
    <s v="100% - OK"/>
    <s v="OK"/>
    <m/>
    <n v="374"/>
    <s v="3 ABERTURA  E FECHAMENTO, 3 FUSÃO, 2 CX NOVA, 1 TESTE, LANÇADO 374 METROS DE CABO DE 12FO"/>
    <d v="2023-10-24T00:00:00"/>
    <d v="2023-08-28T00:00:00"/>
    <d v="2023-08-31T00:00:00"/>
    <d v="2023-09-14T00:00:00"/>
    <d v="2023-09-14T00:00:00"/>
    <s v="NÃO PRECISA"/>
    <m/>
    <x v="0"/>
    <x v="0"/>
    <s v="AG. MEDIÇÃO"/>
    <n v="13"/>
    <x v="1"/>
    <n v="10"/>
  </r>
  <r>
    <s v="RSCLER0470"/>
    <s v="VIPAA"/>
    <s v="VIPAC"/>
    <s v="RSPNO20"/>
    <s v="PORTO ALEGRE"/>
    <s v="Condomínio Edifício Murano"/>
    <s v="Av. Engenheiro Ary de Abreu Lima, 555"/>
    <s v="VIPAA.008.M010"/>
    <d v="2024-11-01T00:00:00"/>
    <x v="0"/>
    <m/>
    <s v="AUGUSTO"/>
    <s v="100% - OK"/>
    <s v="OK - ENVIADO"/>
    <s v="SEM LANÇAMENTO"/>
    <s v="SEM LANÇAMENTO"/>
    <s v="5 ABERTURA E FECHAMENTO, 4 FUSÃO, 1 TESTE "/>
    <d v="2024-11-25T00:00:00"/>
    <d v="2024-11-19T00:00:00"/>
    <m/>
    <m/>
    <d v="2024-11-23T00:00:00"/>
    <s v="NÃO PRECISA"/>
    <m/>
    <x v="0"/>
    <x v="0"/>
    <s v="AG. MEDIÇÃO"/>
    <n v="3"/>
    <x v="0"/>
    <n v="0"/>
  </r>
  <r>
    <s v="RSCLER0428"/>
    <s v="MNDAA"/>
    <s v="AZNAGA"/>
    <s v="PAE MAD"/>
    <s v="PORTO ALEGRE"/>
    <s v="Cond Ed Capitao Rodrigo"/>
    <s v="Av. Érico Veríssimo, 441"/>
    <s v="MNDAA.076.M040"/>
    <d v="2024-09-01T00:00:00"/>
    <x v="0"/>
    <s v="THIAGO LAMBRETA"/>
    <s v="ANDERSON"/>
    <s v="100% - OK"/>
    <s v="OK - ENVIADO"/>
    <n v="200"/>
    <n v="164"/>
    <s v="FOI LANÇADO 164 METROS DE CABO DE 12FO, 3 ABERTURA E FECHAMENTO, 15 FUSÃO, 1 DERIVAÇÃO, 1 CX NOVA, 5 TESTE"/>
    <d v="2024-10-10T00:00:00"/>
    <d v="2024-09-12T00:00:00"/>
    <d v="2024-09-13T00:00:00"/>
    <d v="2024-09-18T00:00:00"/>
    <d v="2024-09-30T00:00:00"/>
    <s v="NÃO PRECISA"/>
    <m/>
    <x v="0"/>
    <x v="0"/>
    <s v="AG. MEDIÇÃO"/>
    <n v="12"/>
    <x v="1"/>
    <n v="9"/>
  </r>
  <r>
    <s v="RSCLER0090"/>
    <s v="CNUAB"/>
    <m/>
    <m/>
    <s v="NOVO HAMBURGO"/>
    <s v="COD. RESIDENCIAL DALTO FILHO"/>
    <s v="AV. GEN DALTO FILHO 1575"/>
    <m/>
    <d v="2023-06-01T00:00:00"/>
    <x v="0"/>
    <m/>
    <s v="JEFERSON"/>
    <s v="100% - OK"/>
    <s v="OK"/>
    <s v="SEM LANÇAMENTO"/>
    <s v="SEM LANÇAMENTO"/>
    <s v="2 ABERTURA E FECHAMENTO / 2 FUSÃO / 2 TESTE "/>
    <d v="2023-07-11T00:00:00"/>
    <d v="2023-06-28T00:00:00"/>
    <d v="2023-06-29T00:00:00"/>
    <d v="2023-06-29T00:00:00"/>
    <d v="2023-06-29T00:00:00"/>
    <s v="NÃO PRECISA"/>
    <m/>
    <x v="0"/>
    <x v="0"/>
    <s v="AG. MEDIÇÃO"/>
    <n v="1"/>
    <x v="0"/>
    <n v="-2"/>
  </r>
  <r>
    <s v="RSCLER0147"/>
    <s v="MNDAA"/>
    <m/>
    <m/>
    <s v="PORTO ALEGRE"/>
    <s v="Res. Toledo "/>
    <s v="Av. Getúlio Vargas, 1026"/>
    <m/>
    <d v="2023-10-01T00:00:00"/>
    <x v="0"/>
    <m/>
    <s v="LUCAS HOBERT"/>
    <s v="100% - OK"/>
    <s v="OK"/>
    <s v="SEM LANÇAMENTO"/>
    <s v="SEM LANÇAMENTO"/>
    <s v="2 ABERTURA E FECHAMENTO, 5 FUSÃO, 5 TESTE"/>
    <d v="2023-11-20T00:00:00"/>
    <d v="2023-10-25T00:00:00"/>
    <m/>
    <d v="2023-11-01T00:00:00"/>
    <d v="2023-10-31T00:00:00"/>
    <s v="NÃO PRECISA"/>
    <m/>
    <x v="0"/>
    <x v="0"/>
    <s v="AG. MEDIÇÃO"/>
    <n v="4"/>
    <x v="1"/>
    <n v="1"/>
  </r>
  <r>
    <s v="RSCLER0425"/>
    <s v="MNDAA"/>
    <s v="MNDAS"/>
    <s v="PAE MAD"/>
    <s v="PORTO ALEGRE"/>
    <s v="Condomínio Edificio Life Square "/>
    <s v="Av. Getúlio Vargas, 1271"/>
    <s v="MNDAA.133.M060"/>
    <d v="2024-09-01T00:00:00"/>
    <x v="0"/>
    <s v="JUNIOR"/>
    <s v="MARCOS EMILIANO"/>
    <s v="100% - OK"/>
    <s v="OK - ENVIADO"/>
    <n v="150"/>
    <n v="157"/>
    <s v="FOI LANÇADO 157 METROS DE CABO DE 12FO, 6 ABERTURA E FECHAMENTO, 1 CX NOVA, 1 DERIVAÇÃO, 8 FUSÃO, 3 TESTE"/>
    <d v="2024-09-20T00:00:00"/>
    <d v="2024-09-11T00:00:00"/>
    <d v="2024-09-12T00:00:00"/>
    <d v="2024-09-15T00:00:00"/>
    <d v="2024-09-13T00:00:00"/>
    <s v="NÃO PRECISA"/>
    <m/>
    <x v="0"/>
    <x v="0"/>
    <s v="AG. MEDIÇÃO"/>
    <n v="2"/>
    <x v="0"/>
    <n v="-1"/>
  </r>
  <r>
    <s v="RSCLER0443"/>
    <s v="MNDAA"/>
    <s v="MNDAS"/>
    <s v="PAE MAD"/>
    <s v="PORTO ALEGRE"/>
    <s v="Kennel Clube do Rio Grande do Sul"/>
    <s v="Av. Getúlio Vargas, 769"/>
    <s v="MNDAA.132.M010"/>
    <d v="2024-10-01T00:00:00"/>
    <x v="0"/>
    <m/>
    <s v="PAULO GOMES"/>
    <s v="100% - OK"/>
    <s v="OK - ENVIADO"/>
    <s v="SEM LANÇAMENTO"/>
    <s v="SEM LANÇAMENTO"/>
    <s v="2 ABERTURA E FECHAMENTO,5 FUSÃO, 5 TESTE "/>
    <d v="2024-10-23T00:00:00"/>
    <d v="2024-10-14T00:00:00"/>
    <d v="2024-10-14T00:00:00"/>
    <d v="2024-10-14T00:00:00"/>
    <d v="2024-10-14T00:00:00"/>
    <s v="NÃO PRECISA"/>
    <m/>
    <x v="0"/>
    <x v="0"/>
    <s v="AG. MEDIÇÃO"/>
    <n v="0"/>
    <x v="0"/>
    <n v="-3"/>
  </r>
  <r>
    <s v="RSCLER0396"/>
    <s v="PDRAA"/>
    <s v="SPEAG"/>
    <s v="RSPNO17"/>
    <s v="PORTO ALEGRE"/>
    <s v="DIRETORIA"/>
    <s v="Av. Grécia, 1050 - 1000 - 1100 "/>
    <s v="PDRAA.101.M030"/>
    <d v="2024-08-01T00:00:00"/>
    <x v="0"/>
    <s v="GIOVANE"/>
    <s v="LUCAS HOBERT"/>
    <s v="100% - OK"/>
    <s v="OK"/>
    <m/>
    <n v="134"/>
    <s v="FOI LANÇADO 134 METROS DE CABO DE 12FO , 3 ABERTURA E FECHAMENTO, 1 CX FOSC, 1 DERIVAÇÃO, 12 FUSÃO, 6 TESTE"/>
    <d v="2024-09-10T00:00:00"/>
    <d v="2024-08-26T00:00:00"/>
    <d v="2024-09-02T00:00:00"/>
    <d v="2024-09-03T00:00:00"/>
    <d v="2024-09-03T00:00:00"/>
    <s v="NÃO PRECISA"/>
    <m/>
    <x v="0"/>
    <x v="0"/>
    <s v="AG. MEDIÇÃO"/>
    <n v="6"/>
    <x v="1"/>
    <n v="3"/>
  </r>
  <r>
    <s v="RSCLER0897"/>
    <s v="PETAA"/>
    <s v="PETATB"/>
    <s v="RSPLE11"/>
    <s v="PORTO ALEGRE"/>
    <m/>
    <s v="Av. Iguassu, 41"/>
    <s v="PETAA.181.M040"/>
    <d v="2026-06-01T00:00:00"/>
    <x v="0"/>
    <m/>
    <s v="CATIA"/>
    <m/>
    <s v="OK"/>
    <s v="SEM LANÇAMENTO"/>
    <s v="SEM LANÇAMENTO"/>
    <s v="2 ABERTURA E FECHAMENTO, 2 FUSÕES, 1 TESTE."/>
    <d v="2026-07-02T00:00:00"/>
    <d v="2026-06-05T00:00:00"/>
    <m/>
    <m/>
    <d v="2026-06-09T00:00:00"/>
    <d v="2026-07-02T00:00:00"/>
    <m/>
    <x v="0"/>
    <x v="0"/>
    <s v="AG. MEDIÇÃO"/>
    <n v="2"/>
    <x v="0"/>
    <n v="-1"/>
  </r>
  <r>
    <s v="RSCLER0857"/>
    <s v="PETAA"/>
    <s v="PETAPB"/>
    <s v="RSPLE11"/>
    <s v="PORTO ALEGRE"/>
    <s v="Condomínio Solar da Praça"/>
    <s v="Av. Ijuí, 652"/>
    <s v="PETAA.091.M020"/>
    <d v="2026-05-01T00:00:00"/>
    <x v="0"/>
    <m/>
    <s v="AFONSO"/>
    <m/>
    <m/>
    <s v="SEM LANÇAMENTO"/>
    <s v="SEM LANÇAMENTO"/>
    <s v="3 ABERTURA E FECHAMENTO, 4 FUSÕES, 2 TESTES"/>
    <d v="2026-05-18T00:00:00"/>
    <d v="2026-05-12T00:00:00"/>
    <m/>
    <m/>
    <d v="2026-05-12T00:00:00"/>
    <d v="2026-05-18T00:00:00"/>
    <m/>
    <x v="0"/>
    <x v="0"/>
    <s v="AG. MEDIÇÃO"/>
    <n v="0"/>
    <x v="0"/>
    <n v="-3"/>
  </r>
  <r>
    <s v="RSCLER0340"/>
    <s v="BFMAA"/>
    <s v="BFMADB"/>
    <s v="PAE IND"/>
    <s v="PORTO ALEGRE"/>
    <s v="Cond Edificio Saintjames Park"/>
    <s v="Av. Independência, 879"/>
    <s v="BFMAA.081.M010"/>
    <d v="2024-07-01T00:00:00"/>
    <x v="0"/>
    <m/>
    <s v="MARCOS EMILIANO"/>
    <s v="100% - OK"/>
    <s v="OK"/>
    <s v="SEM LANÇAMENTO"/>
    <s v="SEM LANÇAMENTO"/>
    <s v="2 ABERTURA E FECHAMENTO , 2 FUSÃO , 2 TESTE"/>
    <d v="2024-07-24T00:00:00"/>
    <d v="2024-07-10T00:00:00"/>
    <d v="2024-07-11T00:00:00"/>
    <d v="2024-07-11T00:00:00"/>
    <d v="2024-07-11T00:00:00"/>
    <s v="NÃO PRECISA"/>
    <m/>
    <x v="0"/>
    <x v="0"/>
    <s v="AG. MEDIÇÃO"/>
    <n v="1"/>
    <x v="0"/>
    <n v="-2"/>
  </r>
  <r>
    <s v="RSCLER0336"/>
    <s v="SANAA"/>
    <s v="SANAD"/>
    <s v="RSPCE22"/>
    <s v="PORTO ALEGRE"/>
    <s v="Condomínio Edifício Morada do Parque"/>
    <s v="AV. JOÃO PESSOA, 1091"/>
    <s v="SANAA.031.M010"/>
    <d v="2024-07-01T00:00:00"/>
    <x v="0"/>
    <m/>
    <s v="MARCOS EMILIANO"/>
    <s v="100% - OK"/>
    <s v="OK"/>
    <s v="SEM LANÇAMENTO"/>
    <s v="SEM LANÇAMENTO"/>
    <s v="3 ABERTURA E FECHAMENTO, 9 FUSÃO, 1 TESTE"/>
    <d v="2024-07-24T00:00:00"/>
    <d v="2024-07-02T00:00:00"/>
    <d v="2024-07-13T00:00:00"/>
    <d v="2024-07-13T00:00:00"/>
    <d v="2024-07-13T00:00:00"/>
    <s v="NÃO PRECISA"/>
    <m/>
    <x v="0"/>
    <x v="0"/>
    <s v="AG. MEDIÇÃO"/>
    <n v="8"/>
    <x v="1"/>
    <n v="5"/>
  </r>
  <r>
    <s v="RSCLER0565"/>
    <s v="CNTAB"/>
    <s v="CNTAE"/>
    <s v="PAE MF"/>
    <s v="PORTO ALEGRE"/>
    <s v="Condomínio Cond Edif Vina Del Mar"/>
    <s v="Av. João Pessoa, 95"/>
    <s v="CNTAB.173.M040"/>
    <d v="2025-03-01T00:00:00"/>
    <x v="0"/>
    <m/>
    <s v="AUGUSTO"/>
    <m/>
    <m/>
    <m/>
    <n v="450"/>
    <s v="FOI LANÇADO 450 METROS DE CABO DE 12FO, 2 ABERTURA E FECHAMENTO, 1 DERIVAÇÃO, 1 CX NOVA, 2 FUSÕES, 1 TESTE"/>
    <d v="2025-05-08T00:00:00"/>
    <d v="2025-03-27T00:00:00"/>
    <d v="2025-04-15T00:00:00"/>
    <m/>
    <d v="2025-04-26T00:00:00"/>
    <s v="NÃO PRECISA"/>
    <m/>
    <x v="0"/>
    <x v="0"/>
    <s v="AG. MEDIÇÃO"/>
    <n v="21"/>
    <x v="1"/>
    <n v="18"/>
  </r>
  <r>
    <s v="RSCLER0501"/>
    <s v="VNVAA"/>
    <s v="VNVAC"/>
    <s v="RSPSU13"/>
    <s v="PORTO ALEGRE"/>
    <s v="VILLE ESTILLE"/>
    <s v="AV. JOÃO SALOMONI, 600 "/>
    <m/>
    <d v="2025-02-01T00:00:00"/>
    <x v="0"/>
    <s v="LUIS SCHUCH"/>
    <s v="LUIS SCHUCH"/>
    <m/>
    <m/>
    <n v="479"/>
    <m/>
    <s v="FOI LANÇADO 537 METROS DE CABO DE 12FO, 1 ABERTURA E FECHAMENTO, 1 CX NOVA, 6 NAP NOVA, 1 DERIVAÇÃO, 14 FUSÕES, 18 TESTES."/>
    <d v="2025-03-18T00:00:00"/>
    <d v="2025-02-06T00:00:00"/>
    <d v="2025-02-14T00:00:00"/>
    <d v="2025-02-27T00:00:00"/>
    <d v="2025-02-27T00:00:00"/>
    <s v="NÃO PRECISA"/>
    <m/>
    <x v="0"/>
    <x v="0"/>
    <s v="AG. MEDIÇÃO"/>
    <n v="15"/>
    <x v="1"/>
    <n v="12"/>
  </r>
  <r>
    <s v="RSCLER0421"/>
    <s v="GUAAA"/>
    <s v="GUAAD"/>
    <s v="RSPSU21"/>
    <s v="PORTO ALEGRE"/>
    <s v="Condomínio Jardim Vitória Régia"/>
    <s v="Av. Juca Batista, 1200"/>
    <s v="GUAAA.051.04.08 ATÉ GUAAA.051.04.01"/>
    <d v="2024-09-01T00:00:00"/>
    <x v="0"/>
    <s v="JUNIOR"/>
    <s v="MARCOS EMILIANO"/>
    <s v="100% - OK"/>
    <s v="OK - ENVIADO"/>
    <n v="1200"/>
    <n v="1350"/>
    <s v="FOI LANÇADO 1350 METROS DE CABO DE 12FO, 5 ABERTURA E FECHAMENTO, 8 NAP NOVA, 1 DERIVAÇÃO, 36 FUSÃO, 8 TESTE"/>
    <d v="2024-10-10T00:00:00"/>
    <d v="2024-09-10T00:00:00"/>
    <d v="2024-09-11T00:00:00"/>
    <d v="2024-09-14T00:00:00"/>
    <d v="2024-09-19T00:00:00"/>
    <s v="NÃO PRECISA"/>
    <m/>
    <x v="0"/>
    <x v="0"/>
    <s v="AG. MEDIÇÃO"/>
    <n v="7"/>
    <x v="1"/>
    <n v="4"/>
  </r>
  <r>
    <s v="RSCLER0899"/>
    <s v="PETAA"/>
    <s v="MTSAU"/>
    <s v="RSPLE11"/>
    <s v="PORTO ALEGRE"/>
    <s v="Edifício Lageado"/>
    <s v="Av. Lageado, 1360"/>
    <s v="PETAA.013.M020"/>
    <d v="2026-06-01T00:00:00"/>
    <x v="0"/>
    <m/>
    <s v="ANDERSON"/>
    <m/>
    <s v="OK"/>
    <s v="SEM LANÇAMENTO"/>
    <s v="SEM LANÇAMENTO"/>
    <s v="2 ABERTURA E FECHAMENTO, 2 FUSÕES, 2 TESTES"/>
    <d v="2026-07-02T00:00:00"/>
    <d v="2026-06-05T00:00:00"/>
    <m/>
    <m/>
    <d v="2026-06-10T00:00:00"/>
    <d v="2026-07-02T00:00:00"/>
    <m/>
    <x v="0"/>
    <x v="0"/>
    <s v="AG. MEDIÇÃO"/>
    <n v="3"/>
    <x v="0"/>
    <n v="0"/>
  </r>
  <r>
    <s v="RSCLER0564"/>
    <s v="CNTAB"/>
    <s v="CNTAE"/>
    <s v="PAE MF"/>
    <s v="PORTO ALEGRE"/>
    <s v=" Condomínio Studio Cb"/>
    <s v="Av. Loureiro da Silva, 1835"/>
    <s v="CNTAB.173.M030"/>
    <d v="2025-03-01T00:00:00"/>
    <x v="0"/>
    <m/>
    <s v="AUGUSTO"/>
    <m/>
    <m/>
    <n v="200"/>
    <n v="820"/>
    <s v="FOI LANÇADO 820 METROS DE CABO DE 24FO, 1 ABERTURA E FECHAMENTO, 2 CX NOVA, 4 FUSÕES, 1 DERIVAÇÃO, 1 TESTE"/>
    <d v="2025-05-08T00:00:00"/>
    <d v="2025-03-27T00:00:00"/>
    <d v="2025-04-15T00:00:00"/>
    <m/>
    <d v="2025-04-26T00:00:00"/>
    <s v="NÃO PRECISA"/>
    <m/>
    <x v="0"/>
    <x v="0"/>
    <s v="AG. MEDIÇÃO"/>
    <n v="21"/>
    <x v="1"/>
    <n v="18"/>
  </r>
  <r>
    <s v="RSCLER0410"/>
    <s v="BVSAB"/>
    <s v="BVSAHA"/>
    <s v="PAE NR"/>
    <s v="PORTO ALEGRE"/>
    <s v="Condomínio Palladio"/>
    <s v="Av. Luiz Manoel Gonzaga, 58 - DIRETORIA"/>
    <s v="BVSAB.033.M060"/>
    <d v="2024-08-01T00:00:00"/>
    <x v="0"/>
    <s v="THIAGO LAMBRETA"/>
    <s v="ALANO"/>
    <s v="100% - OK"/>
    <s v="OK"/>
    <n v="550"/>
    <n v="542"/>
    <s v="FOI LANÇADO 542 METROS DE CABO DE 12FO, 5 ABERTURA E FECHAMENTO, 3 DERIVAÇÃO, 1 CX NOVA, 12 FUSÃO, "/>
    <d v="2024-09-20T00:00:00"/>
    <d v="2024-08-29T00:00:00"/>
    <d v="2024-09-07T00:00:00"/>
    <d v="2024-09-06T00:00:00"/>
    <d v="2024-09-10T00:00:00"/>
    <s v="NÃO PRECISA"/>
    <m/>
    <x v="0"/>
    <x v="0"/>
    <s v="AG. MEDIÇÃO"/>
    <n v="8"/>
    <x v="1"/>
    <n v="5"/>
  </r>
  <r>
    <s v="RSCLER0160"/>
    <s v="MTSAA"/>
    <m/>
    <m/>
    <s v="PORTO ALEGRE"/>
    <s v="Cond. Ed . Maryland village"/>
    <s v="AV. Maryland 1462"/>
    <m/>
    <d v="2023-11-01T00:00:00"/>
    <x v="0"/>
    <m/>
    <s v="MARCOS EMILIANO"/>
    <s v="100% - OK"/>
    <s v="OK"/>
    <s v="SEM LANÇAMENTO"/>
    <s v="SEM LANÇAMENTO"/>
    <s v="2 ABERTURA E FECHAMENTO, 1 FUSÃO , 1 TESTE"/>
    <d v="2023-11-20T00:00:00"/>
    <d v="2023-11-08T00:00:00"/>
    <m/>
    <d v="2023-11-08T00:00:00"/>
    <d v="2023-11-08T00:00:00"/>
    <s v="NÃO PRECISA"/>
    <m/>
    <x v="0"/>
    <x v="0"/>
    <s v="AG. MEDIÇÃO"/>
    <n v="0"/>
    <x v="0"/>
    <n v="-3"/>
  </r>
  <r>
    <s v="RSCLER0254"/>
    <s v="MTSAA"/>
    <m/>
    <m/>
    <s v="PORTO ALEGRE"/>
    <s v=" Condomínio do Edifício Brindisi "/>
    <s v="Av. Nilópolis, 473 "/>
    <m/>
    <d v="2024-04-01T00:00:00"/>
    <x v="0"/>
    <s v="MALCOLN"/>
    <s v="PAULO GOMES / FABIO AMARILIO"/>
    <s v="100% - OK"/>
    <s v="OK"/>
    <m/>
    <n v="105"/>
    <s v="FOI LANÇADO  105 METROS DE CABO DE 12FO, A TRAVESSIA FOI FEITO AUTO SUSTENTAVÉL, 23 ABERTURA E FECHAMENTO, 2 DERIVAÇÃO 9 FUSÃO, 3 TESTE, 1 CX NOVA"/>
    <d v="2024-03-23T00:00:00"/>
    <d v="2024-04-09T00:00:00"/>
    <d v="2024-04-15T00:00:00"/>
    <d v="2024-04-15T00:00:00"/>
    <d v="2024-04-16T00:00:00"/>
    <s v="NÃO PRECISA"/>
    <m/>
    <x v="0"/>
    <x v="0"/>
    <s v="AG. MEDIÇÃO"/>
    <n v="5"/>
    <x v="1"/>
    <n v="2"/>
  </r>
  <r>
    <s v="RSCLER0119"/>
    <s v="GUAAA"/>
    <m/>
    <m/>
    <s v="PORTO ALEGRE"/>
    <s v="COND. GUARUJÁ"/>
    <s v="AV. ORLEAES, 105"/>
    <m/>
    <d v="2023-09-01T00:00:00"/>
    <x v="0"/>
    <s v="MARCOS DUTRA (JLE)"/>
    <s v="MARCOS EMILIANO"/>
    <s v="100% - OK"/>
    <s v="-"/>
    <m/>
    <n v="180"/>
    <s v="180 metros de cabo de 12 fo tmb foi lançado 105 metros de cordoalhas cobrar feragem e cordoalha ,foi feita 3 abertura e fechamento 24 fusão  uma fosc nova e 5 teste ,,,obs foi tudo isto de fusão póis o alex pediu para lançar o cabo da cto 23.01.04 deixar sangria na m e fusão na 23.01.05 "/>
    <d v="2023-09-15T00:00:00"/>
    <d v="2023-08-31T00:00:00"/>
    <d v="2023-09-01T00:00:00"/>
    <d v="2023-09-01T00:00:00"/>
    <d v="2023-09-01T00:00:00"/>
    <s v="NÃO PRECISA"/>
    <m/>
    <x v="0"/>
    <x v="0"/>
    <s v="AG. MEDIÇÃO"/>
    <n v="1"/>
    <x v="0"/>
    <n v="-2"/>
  </r>
  <r>
    <s v="RSCLER0659"/>
    <s v="MNDAC"/>
    <m/>
    <s v="RSPSU02"/>
    <s v="PORTO ALEGRE"/>
    <s v="Praia de Belas"/>
    <s v="Av. Padre Cacique, 122"/>
    <s v="MNDAC.071.M020..."/>
    <d v="2025-07-01T00:00:00"/>
    <x v="0"/>
    <m/>
    <s v="AUGUSTO"/>
    <m/>
    <m/>
    <s v="SEM LANÇAMENTO"/>
    <s v="SEM LANÇAMENTO"/>
    <s v="6 ABERTURA E FECHAMENTO, 6 FUSÕES, 1 TESTE"/>
    <d v="2025-07-14T00:00:00"/>
    <d v="2025-07-04T00:00:00"/>
    <d v="2025-07-08T00:00:00"/>
    <d v="2025-07-09T00:00:00"/>
    <d v="2025-07-11T00:00:00"/>
    <d v="2025-08-05T00:00:00"/>
    <m/>
    <x v="0"/>
    <x v="0"/>
    <s v="AG. MEDIÇÃO"/>
    <n v="5"/>
    <x v="1"/>
    <n v="2"/>
  </r>
  <r>
    <s v="RSCLER0386"/>
    <s v="CTLAA"/>
    <s v="CTLAE"/>
    <s v="RSPSU07"/>
    <s v="PORTO ALEGRE"/>
    <s v="Condomínio Edificio Bois de Boulogne"/>
    <s v="Av. Padre Cacique, 1900"/>
    <s v="CTLAA.053.M070."/>
    <d v="2024-08-01T00:00:00"/>
    <x v="0"/>
    <m/>
    <s v="ANDERSON"/>
    <s v="100% - OK"/>
    <s v="OK"/>
    <s v="SEM LANÇAMENTO"/>
    <s v="SEM LANÇAMENTO"/>
    <s v="3 ABERTURA E FECHAMENTO, 4 FUSÃO, 2 TESTE"/>
    <d v="2024-08-28T00:00:00"/>
    <d v="2024-08-20T00:00:00"/>
    <d v="2024-08-21T00:00:00"/>
    <d v="2024-08-21T00:00:00"/>
    <d v="2024-08-21T00:00:00"/>
    <s v="NÃO PRECISA"/>
    <m/>
    <x v="0"/>
    <x v="0"/>
    <s v="AG. MEDIÇÃO"/>
    <n v="1"/>
    <x v="0"/>
    <n v="-2"/>
  </r>
  <r>
    <s v="RSCLER0712"/>
    <s v="LPRAA"/>
    <s v="AGRAD"/>
    <s v="RSPSU98"/>
    <s v="PORTO ALEGRE"/>
    <s v="Cond. Alto do Bosque"/>
    <s v="Estrada João de Oliveira Remião, 1770"/>
    <s v="LPRAA.013"/>
    <d v="2025-08-01T00:00:00"/>
    <x v="1"/>
    <s v="AUGUSTO"/>
    <s v="AUGUSTO"/>
    <m/>
    <m/>
    <m/>
    <m/>
    <s v="SEM AUTORIZAÇÃO PARA ENTRAR"/>
    <m/>
    <d v="2025-08-22T00:00:00"/>
    <m/>
    <m/>
    <s v="CANCELADO"/>
    <s v="NÃO PRECISA"/>
    <m/>
    <x v="1"/>
    <x v="1"/>
    <s v="CANCELADO"/>
    <s v="CANCELADO"/>
    <x v="1"/>
    <s v="CANCELADO"/>
  </r>
  <r>
    <s v="RSCLER0804"/>
    <s v="SSOAA"/>
    <s v="SSOAH"/>
    <s v="RSPNO07"/>
    <s v="PORTO ALEGRE"/>
    <s v="Cond. Edificio Panamericana"/>
    <s v="Av. Panamericana, 375"/>
    <s v="SSOAA.161.M020"/>
    <d v="2026-02-01T00:00:00"/>
    <x v="0"/>
    <m/>
    <s v="CATIA"/>
    <m/>
    <m/>
    <s v="SEM LANÇAMENTO"/>
    <s v="SEM LANÇAMENTO"/>
    <s v="2 ABERTURA E FECHAMENTO, 1 FUSÃO, 1 TESTE."/>
    <d v="2026-02-06T00:00:00"/>
    <d v="2026-02-05T00:00:00"/>
    <m/>
    <m/>
    <d v="2026-02-06T00:00:00"/>
    <d v="2026-02-06T00:00:00"/>
    <m/>
    <x v="0"/>
    <x v="0"/>
    <s v="AG. MEDIÇÃO"/>
    <n v="1"/>
    <x v="0"/>
    <n v="-2"/>
  </r>
  <r>
    <s v="RSCLER0447"/>
    <s v="CNTAA"/>
    <s v="CNTAG"/>
    <s v="NHO LO"/>
    <s v="NOVO HAMBURGO"/>
    <m/>
    <s v="Av. Pedro Admans Filho, 4732, 4754, 4790"/>
    <s v="CNTAA.113.M040"/>
    <d v="2024-10-01T00:00:00"/>
    <x v="0"/>
    <m/>
    <s v="MARCOS EMILIANO"/>
    <s v="100% - OK"/>
    <s v="OK - ENVIADO"/>
    <m/>
    <n v="20"/>
    <s v="FOI LANÇADO 20 METROS DE CABO DE 12FO, 2 ABERTURA E FECHAMENTO, 10 FUSÃO, 1 DERIVAÇÃO, 1 CX NOVA, 5 TESTE "/>
    <d v="2024-10-23T00:00:00"/>
    <d v="2024-10-15T00:00:00"/>
    <d v="2024-10-16T00:00:00"/>
    <d v="2024-10-21T00:00:00"/>
    <d v="2024-10-19T00:00:00"/>
    <s v="NÃO PRECISA"/>
    <m/>
    <x v="0"/>
    <x v="0"/>
    <s v="AG. MEDIÇÃO"/>
    <n v="3"/>
    <x v="0"/>
    <n v="0"/>
  </r>
  <r>
    <s v="RSCLER0446"/>
    <s v="CNTAA"/>
    <s v="CNTAG"/>
    <s v="NHO LO"/>
    <s v="NOVO HAMBURGO"/>
    <m/>
    <s v="Av. Pedro Admans Filho, 5347"/>
    <s v="CNTAA.115.M040"/>
    <d v="2024-10-01T00:00:00"/>
    <x v="0"/>
    <m/>
    <s v="MARCOS EMILIANO"/>
    <s v="100% - OK"/>
    <s v="OK - ENVIADO"/>
    <s v="SEM LANÇAMENTO"/>
    <s v="SEM LANÇAMENTO"/>
    <s v="COBRAR JUNTO COM A OS RSCLER0443"/>
    <d v="2024-11-12T00:00:00"/>
    <d v="2024-10-15T00:00:00"/>
    <d v="2024-10-16T00:00:00"/>
    <d v="2024-10-21T00:00:00"/>
    <d v="2024-10-28T00:00:00"/>
    <s v="NÃO PRECISA"/>
    <m/>
    <x v="0"/>
    <x v="0"/>
    <s v="AG. MEDIÇÃO"/>
    <n v="9"/>
    <x v="1"/>
    <n v="6"/>
  </r>
  <r>
    <s v="RSCLER0705"/>
    <s v="BVSAA"/>
    <s v="PDRAD"/>
    <s v="RSPLE07"/>
    <s v="PORTO ALEGRE"/>
    <s v="Plinio Mall"/>
    <s v="Av. Plínio Brasil Milano, 1689"/>
    <s v="BVSAA.015.M060"/>
    <d v="2025-08-01T00:00:00"/>
    <x v="0"/>
    <m/>
    <s v="UBIRAJARA"/>
    <m/>
    <m/>
    <s v="SEM LANÇAMENTO"/>
    <s v="SEM LANÇAMENTO"/>
    <s v="2 ABERTURA E FECHAMENTO, 2 FUSÕES, 2 TESTES"/>
    <d v="2025-09-05T00:00:00"/>
    <d v="2025-08-20T00:00:00"/>
    <m/>
    <m/>
    <d v="2025-09-04T00:00:00"/>
    <d v="2025-09-05T00:00:00"/>
    <m/>
    <x v="0"/>
    <x v="0"/>
    <s v="AG. MEDIÇÃO"/>
    <n v="11"/>
    <x v="1"/>
    <n v="8"/>
  </r>
  <r>
    <s v="RSCLER0170"/>
    <s v="MTSAA"/>
    <m/>
    <m/>
    <s v="PORTO ALEGRE"/>
    <s v="Centro Empresarial Veyron"/>
    <s v="Av. Plínio Brasil Milano, 567"/>
    <m/>
    <d v="2023-11-01T00:00:00"/>
    <x v="0"/>
    <m/>
    <s v="PAULO GOMES"/>
    <s v="100% - OK"/>
    <s v="OK"/>
    <s v="SEM LANÇAMENTO"/>
    <s v="SEM LANÇAMENTO"/>
    <s v="2 ABERTURA E FECHAMENTO, 1 FUSÃO, 1 TESTE"/>
    <d v="2023-12-13T00:00:00"/>
    <d v="2023-11-23T00:00:00"/>
    <d v="2023-11-23T00:00:00"/>
    <d v="2023-11-24T00:00:00"/>
    <d v="2023-11-30T00:00:00"/>
    <s v="NÃO PRECISA"/>
    <m/>
    <x v="0"/>
    <x v="0"/>
    <s v="AG. MEDIÇÃO"/>
    <n v="5"/>
    <x v="1"/>
    <n v="2"/>
  </r>
  <r>
    <s v="RSCLER0095"/>
    <s v="MNDAF"/>
    <m/>
    <m/>
    <s v="PORTO ALEGRE"/>
    <s v="ATMOSFERA"/>
    <s v="AV. PRAIA DE BELAS, 2024"/>
    <m/>
    <d v="2023-06-01T00:00:00"/>
    <x v="0"/>
    <s v="JEFERSON "/>
    <s v="JEFERSON"/>
    <s v="100% - OK"/>
    <s v="-"/>
    <m/>
    <n v="547"/>
    <s v="ESSE MDU ESTA COM INSUFICIENCIA DE FIBRA / PARA FINALIZAR ESSE MDU SERÁ NECESSARIO LANÇAR OUTRO CABO DE 24FO DA CAIXA TRONCAL MNDAA112 ATÉ A MNDAA.115, POIS NA EPOCA FOI CONSTRUIDO COM UM CABO DE 12FO. 347 METROS DE CABO 24FO, 200 METROS DE CABO 24FO / 15 FUSÃO / 5 TESTE / 3 DERIVAÇÃO / 2 ABERTURA E FECHAMENTO"/>
    <d v="2023-09-06T00:00:00"/>
    <d v="2023-06-22T00:00:00"/>
    <d v="2023-06-22T00:00:00"/>
    <d v="2023-07-07T00:00:00"/>
    <d v="2023-07-07T00:00:00"/>
    <s v="NÃO PRECISA"/>
    <m/>
    <x v="0"/>
    <x v="0"/>
    <s v="AG. MEDIÇÃO"/>
    <n v="11"/>
    <x v="1"/>
    <n v="8"/>
  </r>
  <r>
    <s v="RSCLER0452"/>
    <s v="RBRAA"/>
    <s v="RBRAO"/>
    <s v="RSPLE08"/>
    <s v="PORTO ALEGRE"/>
    <s v="Cond Edificio Jonas Wolf"/>
    <s v="Av. Protásio Alves, 1320"/>
    <s v="RBRAA.124.M010"/>
    <d v="2024-10-01T00:00:00"/>
    <x v="0"/>
    <m/>
    <s v="ANDERSON"/>
    <s v="100% - OK"/>
    <s v="OK - ENVIADO"/>
    <s v="SEM LANÇAMENTO"/>
    <s v="SEM LANÇAMENTO"/>
    <s v="4 ABERTURA E FECHAMENTO, 11 FUSÃO, 3 TESTE "/>
    <d v="2024-10-23T00:00:00"/>
    <d v="2024-10-21T00:00:00"/>
    <d v="2024-10-22T00:00:00"/>
    <d v="2024-10-22T00:00:00"/>
    <d v="2024-10-22T00:00:00"/>
    <s v="NÃO PRECISA"/>
    <m/>
    <x v="0"/>
    <x v="0"/>
    <s v="AG. MEDIÇÃO"/>
    <n v="1"/>
    <x v="0"/>
    <n v="-2"/>
  </r>
  <r>
    <s v="RSCLER0849"/>
    <s v="BVSAB"/>
    <m/>
    <m/>
    <s v="PORTO ALEGRE"/>
    <s v="Condomínio Edificio Elfrida"/>
    <s v="Av. Protásio Alves, 2631"/>
    <s v="BVSAB.111.M070"/>
    <d v="2026-05-01T00:00:00"/>
    <x v="0"/>
    <m/>
    <s v="CATIA"/>
    <m/>
    <m/>
    <s v="SEM LANÇAMENTO"/>
    <s v="SEM LANÇAMENTO"/>
    <s v="3 ABERTURA E FECHAMENTO, 2 FUSÕES, 1 TESTE"/>
    <d v="2026-05-07T00:00:00"/>
    <d v="2026-05-05T00:00:00"/>
    <m/>
    <m/>
    <d v="2026-05-06T00:00:00"/>
    <d v="2026-05-07T00:00:00"/>
    <m/>
    <x v="0"/>
    <x v="0"/>
    <s v="AG. MEDIÇÃO"/>
    <n v="1"/>
    <x v="0"/>
    <n v="-2"/>
  </r>
  <r>
    <s v="RSCLER0489"/>
    <s v="BVSAB"/>
    <s v="BVSALA"/>
    <s v="PAE NR"/>
    <s v="PORTO ALEGRE"/>
    <s v="Três Figueiras"/>
    <s v="Av. Protásio Alves, 4028"/>
    <s v="BVSAB.222.M070"/>
    <d v="2025-01-01T00:00:00"/>
    <x v="0"/>
    <m/>
    <s v="ANDERSON"/>
    <s v="100% - OK"/>
    <s v="OK - ENVIADO"/>
    <s v="SEM LANÇAMENTO"/>
    <s v="SEM LANÇAMENTO"/>
    <s v="2 ABERTURA E FECHAMENTO, 2 FUSÕES, 1 TESTE"/>
    <d v="2024-01-15T00:00:00"/>
    <d v="2025-01-13T00:00:00"/>
    <d v="2025-01-14T00:00:00"/>
    <d v="2025-01-15T00:00:00"/>
    <d v="2025-01-15T00:00:00"/>
    <s v="NÃO PRECISA"/>
    <m/>
    <x v="0"/>
    <x v="0"/>
    <s v="AG. MEDIÇÃO"/>
    <n v="2"/>
    <x v="0"/>
    <n v="-1"/>
  </r>
  <r>
    <s v="RSCLER0451"/>
    <s v="BVSAB"/>
    <s v="PETAU"/>
    <s v="PAE NR"/>
    <s v="PORTO ALEGRE"/>
    <s v="Edifício Axis Office "/>
    <s v="Av. Sen. Tarso Dutra, 161"/>
    <s v="BVSAB.081.M080.,"/>
    <d v="2024-10-01T00:00:00"/>
    <x v="0"/>
    <m/>
    <s v="ANDERSON"/>
    <s v="100% - OK"/>
    <s v="OK - ENVIADO"/>
    <s v="SEM LANÇAMENTO"/>
    <s v="SEM LANÇAMENTO"/>
    <s v="3 ABERTURA E FECHAMENTO, 4 FUSÃO, 2 TESTE "/>
    <d v="2024-10-23T00:00:00"/>
    <d v="2024-10-21T00:00:00"/>
    <d v="2024-10-22T00:00:00"/>
    <d v="2024-10-22T00:00:00"/>
    <d v="2024-10-22T00:00:00"/>
    <s v="NÃO PRECISA"/>
    <m/>
    <x v="0"/>
    <x v="0"/>
    <s v="AG. MEDIÇÃO"/>
    <n v="1"/>
    <x v="0"/>
    <n v="-2"/>
  </r>
  <r>
    <s v="RSCLER0499"/>
    <s v="CNT"/>
    <m/>
    <s v="RSTES14"/>
    <s v="TORRES"/>
    <m/>
    <s v="Av. Silva Jardim, 1034"/>
    <s v="CNT015-M1"/>
    <d v="2025-02-01T00:00:00"/>
    <x v="0"/>
    <s v="MAQUENZE"/>
    <s v="MAQUENZE"/>
    <m/>
    <m/>
    <n v="113"/>
    <n v="90"/>
    <s v=" FOI LANÇADO 90 METROS DE CABO DE 12FO, 11 ABERTURA E FECHAMENTO, 15 FUSÕES, 1 CX NOVA, 1 DERIVAÇÃO, "/>
    <d v="2025-05-08T00:00:00"/>
    <d v="2025-02-04T00:00:00"/>
    <d v="2025-02-12T00:00:00"/>
    <m/>
    <m/>
    <s v="NÃO PRECISA"/>
    <m/>
    <x v="0"/>
    <x v="0"/>
    <s v="AG. MEDIÇÃO"/>
    <n v="407"/>
    <x v="1"/>
    <n v="404"/>
  </r>
  <r>
    <s v="RSCLER0703"/>
    <s v="STD"/>
    <m/>
    <m/>
    <s v="ESTRELA"/>
    <m/>
    <s v="Rua Dr Tostes, 33"/>
    <s v="STD.022.M080"/>
    <d v="2025-08-01T00:00:00"/>
    <x v="0"/>
    <m/>
    <s v="MARCIEL"/>
    <m/>
    <m/>
    <s v="SEM LANÇAMENTO"/>
    <s v="SEM LANÇAMENTO"/>
    <s v="3 ABERTURAS E FECHAMENTO, 10 FUSÕES, 1 TESTES DE OTDR."/>
    <m/>
    <d v="2025-08-11T00:00:00"/>
    <m/>
    <m/>
    <d v="2025-09-09T00:00:00"/>
    <m/>
    <m/>
    <x v="2"/>
    <x v="2"/>
    <s v="AG. RELATÓRIO"/>
    <n v="21"/>
    <x v="1"/>
    <n v="18"/>
  </r>
  <r>
    <s v="RSCLER0345"/>
    <s v="TRZAA"/>
    <s v="TRZAJA"/>
    <s v="RSPSU11"/>
    <s v="PORTO ALEGRE"/>
    <s v="Cestto Atacadista"/>
    <s v="Av. Wenceslau Escobar, 1286"/>
    <s v="TRZAA.014.M020"/>
    <d v="2024-07-01T00:00:00"/>
    <x v="0"/>
    <m/>
    <s v="MARCOS EMILIANO"/>
    <s v="100% - OK"/>
    <s v="OK"/>
    <s v="SEM LANÇAMENTO"/>
    <s v="SEM LANÇAMENTO"/>
    <s v="3 ABERTURA E FECHAMENTO, 2 FUSÃO, 1 TESTE"/>
    <d v="2024-07-24T00:00:00"/>
    <d v="2024-07-11T00:00:00"/>
    <d v="2024-07-11T00:00:00"/>
    <d v="2024-07-11T00:00:00"/>
    <d v="2024-07-11T00:00:00"/>
    <s v="NÃO PRECISA"/>
    <m/>
    <x v="0"/>
    <x v="0"/>
    <s v="AG. MEDIÇÃO"/>
    <n v="0"/>
    <x v="0"/>
    <n v="-3"/>
  </r>
  <r>
    <s v="RSCLER0437"/>
    <s v="TRZAA"/>
    <s v="TRZAJA"/>
    <s v="RSPSU11"/>
    <s v="PORTO ALEGRE"/>
    <s v="Cond Plaza de Las Torres "/>
    <s v="Av. Wenceslau Escobar, 2034"/>
    <s v="TRZAA.011.M010"/>
    <d v="2024-09-01T00:00:00"/>
    <x v="0"/>
    <m/>
    <s v="ANDERSON"/>
    <s v="100% - OK"/>
    <s v="OK"/>
    <s v="SEM LANÇAMENTO"/>
    <s v="SEM LANÇAMENTO"/>
    <s v="3 ABERTURA E FECHAMENTO, 5 FUSÃO, 2 TESTE "/>
    <d v="2024-09-20T00:00:00"/>
    <d v="2024-09-17T00:00:00"/>
    <d v="2024-09-18T00:00:00"/>
    <d v="2024-09-23T00:00:00"/>
    <d v="2024-09-18T00:00:00"/>
    <s v="NÃO PRECISA"/>
    <m/>
    <x v="0"/>
    <x v="0"/>
    <s v="AG. MEDIÇÃO"/>
    <n v="1"/>
    <x v="0"/>
    <n v="-2"/>
  </r>
  <r>
    <s v="RSCLER0504"/>
    <s v="RBTAA"/>
    <m/>
    <s v="PAE ARY"/>
    <s v="PORTO ALEGRE"/>
    <s v="Cond Horizontal Vivenda Ecoville"/>
    <s v="Av. Willy Eugênio Fleck, 1500"/>
    <s v="RBTAA.091.M010 - RBTAA.091.M020"/>
    <d v="2025-02-01T00:00:00"/>
    <x v="0"/>
    <m/>
    <s v="AUGUSTO"/>
    <m/>
    <m/>
    <s v="SEM LANÇAMENTO"/>
    <s v="SEM LANÇAMENTO"/>
    <s v="5 ABERTURA E FECHAMENTO, 9 FUSÕES, 8 TESTES"/>
    <d v="2025-03-18T00:00:00"/>
    <d v="2025-02-06T00:00:00"/>
    <d v="2025-02-13T00:00:00"/>
    <d v="2025-02-18T00:00:00"/>
    <d v="2025-02-18T00:00:00"/>
    <s v="NÃO PRECISA"/>
    <m/>
    <x v="0"/>
    <x v="0"/>
    <s v="AG. MEDIÇÃO"/>
    <n v="8"/>
    <x v="1"/>
    <n v="5"/>
  </r>
  <r>
    <s v="RSCLER0001"/>
    <s v="FLOA"/>
    <m/>
    <m/>
    <s v="PORTO ALEGRE"/>
    <s v="COND. TREND24"/>
    <s v="AVENIDA 24 DE OUTUBRO, 1440"/>
    <m/>
    <d v="2023-01-01T00:00:00"/>
    <x v="0"/>
    <m/>
    <s v="DIOGO"/>
    <s v="100% - OK"/>
    <s v="-"/>
    <s v="SEM LANÇAMENTO"/>
    <s v="SEM LANÇAMENTO"/>
    <s v="ALINHAMENTO DE FIBRA"/>
    <s v="SIM"/>
    <d v="2023-01-02T00:00:00"/>
    <d v="2023-01-02T00:00:00"/>
    <d v="2023-01-16T00:00:00"/>
    <d v="2023-01-16T00:00:00"/>
    <s v="NÃO PRECISA"/>
    <m/>
    <x v="0"/>
    <x v="0"/>
    <s v="AG. MEDIÇÃO"/>
    <n v="10"/>
    <x v="1"/>
    <n v="7"/>
  </r>
  <r>
    <s v="RSCLER0351"/>
    <s v="VIPAA"/>
    <s v="VIPAJ"/>
    <s v="RSPNO19"/>
    <s v="PORTO ALEGRE"/>
    <s v=" Cond Edificio Vista Flamboyant "/>
    <s v="Avenida Benno Mentz 885/855"/>
    <s v="VIPAA.004.M050"/>
    <d v="2024-07-01T00:00:00"/>
    <x v="0"/>
    <s v="UBIRATAN"/>
    <s v="ANDERSON"/>
    <s v="100% - OK"/>
    <s v="OK"/>
    <m/>
    <n v="210"/>
    <s v="FOI LANÇADO 210 METROS DE CABO DE 12FO, 3 ABERTURA E FECHAMENTO, 1 DERIVAÇÃO, 1 TESTE, 3 FUSÃO, 1 CX NOVA"/>
    <d v="2024-07-24T00:00:00"/>
    <d v="2024-07-16T00:00:00"/>
    <d v="2024-07-18T00:00:00"/>
    <d v="2024-07-18T00:00:00"/>
    <d v="2024-07-18T00:00:00"/>
    <s v="NÃO PRECISA"/>
    <m/>
    <x v="0"/>
    <x v="0"/>
    <s v="AG. MEDIÇÃO"/>
    <n v="2"/>
    <x v="0"/>
    <n v="-1"/>
  </r>
  <r>
    <s v="RSCLER0248"/>
    <s v="JITAB"/>
    <m/>
    <m/>
    <s v="PORTO ALEGRE"/>
    <s v="Condomínio Cascais "/>
    <s v="Avenida Cascais, 99"/>
    <s v="CNUAB.013.M020."/>
    <d v="2024-04-01T00:00:00"/>
    <x v="0"/>
    <s v="THIAGO"/>
    <s v="MARCOS EMILIANO"/>
    <s v="100% - OK"/>
    <s v="OK"/>
    <m/>
    <n v="721"/>
    <s v="FOI LANÇADO 721 METROS DE CABO DE 12 FO, 1 ABERTURA E FECHAMENTO, 1 DERIVAÇÃO, 8 FUSÃO, 1 CX NOVA, 4 TESTE"/>
    <d v="2024-04-23T00:00:00"/>
    <d v="2024-04-02T00:00:00"/>
    <d v="2024-04-03T00:00:00"/>
    <d v="2024-04-04T00:00:00"/>
    <d v="2024-04-04T00:00:00"/>
    <s v="NÃO PRECISA"/>
    <m/>
    <x v="0"/>
    <x v="0"/>
    <s v="AG. MEDIÇÃO"/>
    <n v="2"/>
    <x v="0"/>
    <n v="-1"/>
  </r>
  <r>
    <s v="RSCLER0751"/>
    <s v="FLOAA"/>
    <s v="FLOAO"/>
    <s v="RSPNO11"/>
    <s v="PORTO ALEGRE"/>
    <m/>
    <s v="Avenida Cristóvão Colombo, 1319/1311 - Floresta"/>
    <s v="FLOAA.031.M030"/>
    <d v="2025-11-25T00:00:00"/>
    <x v="0"/>
    <m/>
    <s v="AUGUSTO"/>
    <m/>
    <m/>
    <s v="SEM LANÇAMENTO"/>
    <s v="SEM LANÇAMENTO"/>
    <s v="7 ABERTURA E FECHAMENTO, 13 FUSÃO, 4 TESTE, "/>
    <d v="2026-02-05T00:00:00"/>
    <m/>
    <m/>
    <m/>
    <d v="2025-11-19T00:00:00"/>
    <d v="2026-02-05T00:00:00"/>
    <m/>
    <x v="0"/>
    <x v="0"/>
    <s v="AG. MEDIÇÃO"/>
    <s v="DATA ENTRADA"/>
    <x v="1"/>
    <s v="DATA ENTRADA"/>
  </r>
  <r>
    <s v="RSCLER0021"/>
    <s v="FLOAA"/>
    <m/>
    <m/>
    <s v="PORTO ALEGRE"/>
    <s v="COTIZA FLORESTA"/>
    <s v="AVENIDA CRISTOVÃO COLOMBO, 1800"/>
    <m/>
    <d v="2023-03-01T00:00:00"/>
    <x v="0"/>
    <m/>
    <s v="LUCAS"/>
    <s v="100% - OK"/>
    <m/>
    <s v="SEM LANÇAMENTO"/>
    <s v="SEM LANÇAMENTO"/>
    <s v="3 ABERTURA E FECHAMENTO, 3 FUSÕES, 2 TESTE, 1 TESTE  COM OTDR, 1  CEO, 1 DERIVAÇÃO. ( FIBRA ESTAVA PARADA NO CAMINHO0."/>
    <d v="2023-06-19T00:00:00"/>
    <d v="2023-03-15T00:00:00"/>
    <d v="2023-03-16T00:00:00"/>
    <d v="2023-03-27T00:00:00"/>
    <d v="2023-03-27T00:00:00"/>
    <s v="NÃO PRECISA"/>
    <m/>
    <x v="0"/>
    <x v="0"/>
    <s v="AG. MEDIÇÃO"/>
    <n v="8"/>
    <x v="1"/>
    <n v="5"/>
  </r>
  <r>
    <s v="RSCLER0022"/>
    <s v="CLTAA"/>
    <m/>
    <m/>
    <s v="PORTO ALEGRE"/>
    <s v="RESCIDENCE DU LAC"/>
    <s v="AVENIDA DIÁRIO DE NOTICIAS, 200"/>
    <m/>
    <d v="2023-03-01T00:00:00"/>
    <x v="0"/>
    <s v="TELMO PEREIRA"/>
    <s v="RODRIGO PEREIRA"/>
    <s v="100% - OK"/>
    <m/>
    <s v="SEM LANÇAMENTO"/>
    <s v="SEM LANÇAMENTO"/>
    <s v="INSTALAÇÃO DE CAIXA NOVA"/>
    <d v="2023-05-20T00:00:00"/>
    <d v="2023-03-15T00:00:00"/>
    <d v="2023-03-16T00:00:00"/>
    <d v="2023-03-20T00:00:00"/>
    <d v="2023-03-20T00:00:00"/>
    <s v="NÃO PRECISA"/>
    <m/>
    <x v="0"/>
    <x v="0"/>
    <s v="AG. MEDIÇÃO"/>
    <n v="3"/>
    <x v="0"/>
    <n v="0"/>
  </r>
  <r>
    <s v="RSCLER0023"/>
    <s v="CLTAA"/>
    <m/>
    <m/>
    <s v="PORTO ALEGRE"/>
    <s v="RESCIDENCE DU LAC"/>
    <s v="AVENIDA DIÁRIO DE NOTICIAS, 400"/>
    <m/>
    <d v="2023-03-01T00:00:00"/>
    <x v="0"/>
    <s v="TELMO PEREIRA"/>
    <s v="RODRIGO PEREIRA"/>
    <s v="100% - OK"/>
    <m/>
    <m/>
    <n v="1900"/>
    <s v="LANÇAMENTO DE 1900m (24FO) E INSTALAÇÃO DE CAIXA NOVA"/>
    <d v="2023-05-20T00:00:00"/>
    <d v="2023-03-15T00:00:00"/>
    <d v="2023-03-16T00:00:00"/>
    <d v="2023-03-20T00:00:00"/>
    <d v="2023-03-20T00:00:00"/>
    <s v="NÃO PRECISA"/>
    <m/>
    <x v="0"/>
    <x v="0"/>
    <s v="AG. MEDIÇÃO"/>
    <n v="3"/>
    <x v="0"/>
    <n v="0"/>
  </r>
  <r>
    <s v="RSCLER0024"/>
    <s v="CLTAA"/>
    <m/>
    <m/>
    <s v="PORTO ALEGRE"/>
    <s v="RESCIDENCE DU LAC"/>
    <s v="AVENIDA DIÁRIO DE NOTICIAS, 500"/>
    <m/>
    <d v="2023-03-01T00:00:00"/>
    <x v="0"/>
    <s v="TELMO PEREIRA"/>
    <s v="RODRIGO PEREIRA"/>
    <s v="100% - OK"/>
    <m/>
    <m/>
    <n v="250"/>
    <s v="LANÇAMENTO DE 250m (24FO)  E INSTALAÇÃO DE CAIXA NOVA"/>
    <d v="2023-05-20T00:00:00"/>
    <d v="2023-03-15T00:00:00"/>
    <d v="2023-03-16T00:00:00"/>
    <d v="2023-03-20T00:00:00"/>
    <d v="2023-03-20T00:00:00"/>
    <s v="NÃO PRECISA"/>
    <m/>
    <x v="0"/>
    <x v="0"/>
    <s v="AG. MEDIÇÃO"/>
    <n v="3"/>
    <x v="0"/>
    <n v="0"/>
  </r>
  <r>
    <s v="RSCLER0062"/>
    <s v="BFMAA"/>
    <m/>
    <m/>
    <s v="PORTO ALEGRE"/>
    <s v="COND. SWITCH"/>
    <s v="AVENIDA INDEPENDENCIA, 1053"/>
    <m/>
    <d v="2023-04-01T00:00:00"/>
    <x v="0"/>
    <m/>
    <m/>
    <s v="100% - OK"/>
    <m/>
    <m/>
    <n v="200"/>
    <s v="LANÇAMENTO DE 200 METROS (12FO) / 4 FUSÃO / 2 TESTE / 2 ABERTURA E FECHAMENTO / 1 CX NOVA"/>
    <d v="2023-07-11T00:00:00"/>
    <d v="2023-04-04T00:00:00"/>
    <d v="2023-04-05T00:00:00"/>
    <d v="2023-04-18T00:00:00"/>
    <d v="2023-04-18T00:00:00"/>
    <s v="NÃO PRECISA"/>
    <m/>
    <x v="0"/>
    <x v="0"/>
    <s v="AG. MEDIÇÃO"/>
    <n v="10"/>
    <x v="1"/>
    <n v="7"/>
  </r>
  <r>
    <s v="RSCLER0025"/>
    <s v="RBRAA"/>
    <m/>
    <m/>
    <s v="PORTO ALEGRE"/>
    <s v="ED. DIAMANTINA"/>
    <s v="AVENIDA MARIANTE, 1076"/>
    <m/>
    <d v="2023-03-01T00:00:00"/>
    <x v="0"/>
    <m/>
    <s v="PAULO GOMES"/>
    <s v="100% - OK"/>
    <m/>
    <s v="SEM LANÇAMENTO"/>
    <s v="SEM LANÇAMENTO"/>
    <s v="ALINHAMENTO DE FIBRA"/>
    <d v="2023-05-20T00:00:00"/>
    <d v="2023-02-17T00:00:00"/>
    <d v="2023-03-10T00:00:00"/>
    <d v="2023-03-14T00:00:00"/>
    <d v="2023-03-14T00:00:00"/>
    <s v="NÃO PRECISA"/>
    <m/>
    <x v="0"/>
    <x v="0"/>
    <s v="AG. MEDIÇÃO"/>
    <n v="17"/>
    <x v="1"/>
    <n v="14"/>
  </r>
  <r>
    <s v="RSCLER0026"/>
    <s v="CNTAA"/>
    <m/>
    <m/>
    <s v="NOVO HAMBURGO"/>
    <s v="RES. FOUR SEASONS RESIDENCE"/>
    <s v="AVENIDA MAURICIO CARDOSO, 2002"/>
    <m/>
    <d v="2023-03-01T00:00:00"/>
    <x v="0"/>
    <s v="MARCOS EMILIANO"/>
    <s v="BRUNO"/>
    <s v="100% - OK"/>
    <m/>
    <m/>
    <n v="250"/>
    <s v="1 ABERTURA E FECHAMENTO, 8 FUSÕES, 1 DERIVAÇÃO , 1  INST. CEO  4 TESTES, 250M 12FO - NECESSÁRIO FAZER AS BUILT"/>
    <d v="2023-06-05T00:00:00"/>
    <d v="2023-03-16T00:00:00"/>
    <d v="2023-03-16T00:00:00"/>
    <d v="2023-03-27T00:00:00"/>
    <d v="2023-03-27T00:00:00"/>
    <s v="NÃO PRECISA"/>
    <m/>
    <x v="0"/>
    <x v="0"/>
    <s v="AG. MEDIÇÃO"/>
    <n v="7"/>
    <x v="1"/>
    <n v="4"/>
  </r>
  <r>
    <s v="RSCLER0337"/>
    <s v="CMQAA"/>
    <s v="CMQAG"/>
    <s v="RSPSU87"/>
    <s v="PORTO ALEGRE"/>
    <s v="CONDOMINIO VIVER ZONA SUL"/>
    <s v="AVENIDA OTTO NIEMEYER, 1702"/>
    <s v="CMQAA.091.M020"/>
    <d v="2024-07-01T00:00:00"/>
    <x v="0"/>
    <m/>
    <s v="MARCOS EMILIANO"/>
    <s v="100% - OK"/>
    <s v="OK"/>
    <m/>
    <n v="50"/>
    <s v="FOI LANÇADO 50 METROS DE CABO DE 12FO, 2 ABERTURA E FECHAMENTO, 1 DERIVAÇÃO, 1 CX NOVA, 18 FUSÃO, 5 TESTE "/>
    <d v="2024-07-24T00:00:00"/>
    <d v="2024-07-04T00:00:00"/>
    <d v="2024-07-04T00:00:00"/>
    <d v="2024-07-04T00:00:00"/>
    <d v="2024-07-04T00:00:00"/>
    <s v="NÃO PRECISA"/>
    <m/>
    <x v="0"/>
    <x v="0"/>
    <s v="AG. MEDIÇÃO"/>
    <n v="0"/>
    <x v="0"/>
    <n v="-3"/>
  </r>
  <r>
    <s v="RSCLER0063"/>
    <s v="TRZAK"/>
    <m/>
    <m/>
    <s v="PORTO ALEGRE"/>
    <s v="OTTO 2500 SHOPPING "/>
    <s v="AVENIDA OTTO NIEMEYER, 2500"/>
    <m/>
    <d v="2023-04-01T00:00:00"/>
    <x v="0"/>
    <s v="NEYMAR"/>
    <s v="PAULO"/>
    <s v="100% - OK"/>
    <m/>
    <m/>
    <m/>
    <s v="1 ABERTURA E FECHAMENTO, 10 FUSÕES, 4 TESTES, 1 CEO, 1 DERIVAÇÃO. ( COBRAR MANUTENÇÃO, TIVEMOS QUE VOLTAR E FAZER FUSÃO E MDU)."/>
    <d v="2023-06-19T00:00:00"/>
    <d v="2022-03-28T00:00:00"/>
    <d v="2023-03-29T00:00:00"/>
    <d v="2023-03-31T00:00:00"/>
    <d v="2023-03-31T00:00:00"/>
    <s v="NÃO PRECISA"/>
    <m/>
    <x v="0"/>
    <x v="0"/>
    <s v="AG. MEDIÇÃO"/>
    <n v="264"/>
    <x v="1"/>
    <n v="261"/>
  </r>
  <r>
    <s v="RSCLER0274"/>
    <s v="MNDAC"/>
    <s v="MNDAO"/>
    <s v="PAE CL"/>
    <s v="PORTO ALEGRE"/>
    <s v="DIRETORIA"/>
    <s v="Avenida Padre Cacique, 266 "/>
    <s v="MNDAC.071.M020"/>
    <d v="2024-04-01T00:00:00"/>
    <x v="0"/>
    <s v="POMPEU"/>
    <s v="ANDERSON"/>
    <s v="100% - OK"/>
    <s v="OK - ENVIADO"/>
    <m/>
    <n v="424"/>
    <s v="FOI LANÇADO 424 METROS DE CABO DE 12FO - 8 ABERTURA E FECHAMENTO, 1 DERIVAÇÃO, 1 CX NOVA , 8 FUSÃO, 3 TESTE"/>
    <d v="2024-06-26T00:00:00"/>
    <d v="2024-04-18T00:00:00"/>
    <d v="2024-04-25T00:00:00"/>
    <d v="2024-04-25T00:00:00"/>
    <d v="2024-05-29T00:00:00"/>
    <s v="NÃO PRECISA"/>
    <m/>
    <x v="0"/>
    <x v="0"/>
    <s v="AG. MEDIÇÃO"/>
    <n v="29"/>
    <x v="1"/>
    <n v="26"/>
  </r>
  <r>
    <s v="RSCLER0064"/>
    <s v="BVSAB"/>
    <m/>
    <m/>
    <s v="PORTO ALEGRE"/>
    <s v="LIFE SQUARE"/>
    <s v="AVENIDA PLINIO BRASIL MILANO, 1310"/>
    <m/>
    <d v="2023-04-01T00:00:00"/>
    <x v="0"/>
    <m/>
    <m/>
    <s v="100% - OK"/>
    <s v="-"/>
    <m/>
    <n v="531"/>
    <s v="531  METROS DE CABO/ 4 FUSÃO / 2 TESTE / 1 CX NOVA / 2 ABERTURA E FECHAMENTO"/>
    <d v="2023-07-11T00:00:00"/>
    <d v="2023-04-13T00:00:00"/>
    <d v="2023-04-14T00:00:00"/>
    <d v="2023-04-18T00:00:00"/>
    <d v="2023-04-18T00:00:00"/>
    <s v="NÃO PRECISA"/>
    <m/>
    <x v="0"/>
    <x v="0"/>
    <s v="AG. MEDIÇÃO"/>
    <n v="3"/>
    <x v="0"/>
    <n v="0"/>
  </r>
  <r>
    <s v="RSCLER0027"/>
    <s v="RBTAA"/>
    <m/>
    <m/>
    <s v="PORTO ALEGRE"/>
    <s v="COND. VIVENDA ECOVILLE"/>
    <s v="AVENIDA WILLY EUGÊNIO FLECK, 1500"/>
    <m/>
    <d v="2023-03-01T00:00:00"/>
    <x v="0"/>
    <s v="IVANIR - NEYMAR"/>
    <s v="MAICON NUNES"/>
    <s v="100% - OK"/>
    <m/>
    <m/>
    <n v="980"/>
    <s v="1 ABERTURA E FECHAMENTO, 12 FUSÕES, 1 INST. CEO, 6 TESTES, 980M 12FO"/>
    <d v="2023-06-05T00:00:00"/>
    <d v="2023-02-17T00:00:00"/>
    <d v="2023-03-10T00:00:00"/>
    <d v="2023-03-31T00:00:00"/>
    <d v="2023-03-29T00:00:00"/>
    <s v="NÃO PRECISA"/>
    <m/>
    <x v="0"/>
    <x v="0"/>
    <s v="AG. MEDIÇÃO"/>
    <n v="28"/>
    <x v="1"/>
    <n v="25"/>
  </r>
  <r>
    <s v="RSCLER0153"/>
    <s v="FATAA"/>
    <m/>
    <m/>
    <s v="CANOAS "/>
    <s v="R. Butenbender, 155"/>
    <s v="Bairro Fátima, Canoas - Res. Pedro Gomes - FATAA"/>
    <m/>
    <d v="2023-10-30T00:00:00"/>
    <x v="0"/>
    <s v="GIOVANE"/>
    <s v="LUCAS HOBERT"/>
    <s v="100% - OK"/>
    <s v="OK"/>
    <m/>
    <n v="922"/>
    <s v="LANÇADO 922 METROS DE CABO DE 12FO, 1 ABERTURA E FECHAMENTO, 15 FUSÃO , 1 DERIVAÇÃO, 2 CX NOVA, 2 TESTE, DEVIDO A UM ROMPIMENTO TEVE UMA EMENDA EXTRA COM 12 FUSÕES. FAZER AS BUILTS"/>
    <d v="2023-11-20T00:00:00"/>
    <d v="2023-10-30T00:00:00"/>
    <m/>
    <d v="2023-10-31T00:00:00"/>
    <d v="2023-11-02T00:00:00"/>
    <s v="NÃO PRECISA"/>
    <m/>
    <x v="0"/>
    <x v="0"/>
    <s v="AG. MEDIÇÃO"/>
    <n v="3"/>
    <x v="0"/>
    <n v="0"/>
  </r>
  <r>
    <s v="RSCLER0467"/>
    <s v="CTLAA"/>
    <m/>
    <s v="RSPSU07"/>
    <s v="PORTO ALEGRE"/>
    <m/>
    <s v="BARRA SHOPPING"/>
    <m/>
    <d v="2024-11-01T00:00:00"/>
    <x v="0"/>
    <m/>
    <s v="MARCOS EMILIANO"/>
    <m/>
    <m/>
    <m/>
    <m/>
    <s v="2 ABERTURA E FECHAMENTO, 17 CX NOVA, 34 DERIVAÇÕES, 1192 FUSÕES, 27 DGO NOVO, 28 NAP NOVA, 29 TESTES.  Foi reconstruído os Racks 04A e 08A, com a instalação de bastidor e DIO 72FO, devido ao ambiente destes; Instalação e fornecimento de 03 un. de Splitter 1x2 e 10 un. de Cordão SC APC x SC APC 2,0m; Instalação de fornecimento de 42,0m de Eletrocalha Galvanizada 50x50mm."/>
    <d v="2025-03-26T00:00:00"/>
    <m/>
    <m/>
    <m/>
    <d v="2025-03-19T00:00:00"/>
    <s v="NÃO PRECISA"/>
    <m/>
    <x v="0"/>
    <x v="0"/>
    <s v="AG. MEDIÇÃO"/>
    <s v="DATA ENTRADA"/>
    <x v="1"/>
    <s v="DATA ENTRADA"/>
  </r>
  <r>
    <s v="RSCLER0557"/>
    <s v="CTLAA"/>
    <m/>
    <s v="RSPSU07"/>
    <s v="PORTO ALEGRE"/>
    <s v="LINK"/>
    <s v="BARRA SHOPPING"/>
    <m/>
    <d v="2025-03-01T00:00:00"/>
    <x v="0"/>
    <m/>
    <s v="MAQUENZE / SIDNEI"/>
    <m/>
    <m/>
    <m/>
    <m/>
    <s v="9 ABERTURA E FECHAMENTO, 21 FUSÕES, 6 TESTES"/>
    <d v="2025-03-25T00:00:00"/>
    <m/>
    <m/>
    <m/>
    <m/>
    <s v="NÃO PRECISA"/>
    <m/>
    <x v="0"/>
    <x v="0"/>
    <s v="AG. MEDIÇÃO"/>
    <s v="DATA ENTRADA"/>
    <x v="1"/>
    <s v="DATA ENTRADA"/>
  </r>
  <r>
    <s v="RSCLER0681"/>
    <s v="TRA"/>
    <m/>
    <m/>
    <s v="TRAMANDAÍ"/>
    <m/>
    <s v="BEIRA RIO 1011"/>
    <s v="TRA051.M030"/>
    <d v="2025-07-01T00:00:00"/>
    <x v="0"/>
    <s v="FABIO AMARILHO"/>
    <s v="FABIO AMARILHO"/>
    <m/>
    <m/>
    <n v="20"/>
    <m/>
    <s v="FOI LANÇADO 24 METROS DE CABO DE 12FO, 4 ABERTURA E FECHAMENTO, 15 FUSÕES, 2 DERIVAÇÕES, 3 TESTES, 1 CX NOVA."/>
    <d v="2025-08-08T00:00:00"/>
    <d v="2025-07-23T00:00:00"/>
    <m/>
    <m/>
    <d v="2025-08-05T00:00:00"/>
    <s v="NÃO PRECISA"/>
    <m/>
    <x v="0"/>
    <x v="0"/>
    <s v="AG. MEDIÇÃO"/>
    <n v="9"/>
    <x v="1"/>
    <n v="6"/>
  </r>
  <r>
    <s v="RSCLER0576"/>
    <s v="CNT"/>
    <m/>
    <m/>
    <s v="TORRES"/>
    <m/>
    <s v="BENJAMIM CONSTANT 931"/>
    <s v="CNT009.M3"/>
    <d v="2025-04-01T00:00:00"/>
    <x v="0"/>
    <s v="MAQUENZE"/>
    <s v="MAQUENZE"/>
    <m/>
    <m/>
    <s v="JÁ ESTAVA CONSTRUÍDO"/>
    <m/>
    <s v="1 ABERTURA E FECHAMENTO"/>
    <d v="2025-05-08T00:00:00"/>
    <d v="2025-04-10T00:00:00"/>
    <d v="2025-04-14T00:00:00"/>
    <m/>
    <d v="2025-04-23T00:00:00"/>
    <s v="NÃO PRECISA"/>
    <m/>
    <x v="0"/>
    <x v="0"/>
    <s v="AG. MEDIÇÃO"/>
    <n v="9"/>
    <x v="1"/>
    <n v="6"/>
  </r>
  <r>
    <s v="RSCLER0598"/>
    <s v="CNT"/>
    <m/>
    <m/>
    <s v="TORRES"/>
    <m/>
    <s v="BENJAMIN CONSTANT 716"/>
    <s v="CNT007.M3"/>
    <d v="2025-05-01T00:00:00"/>
    <x v="0"/>
    <m/>
    <s v="MAQUENZE"/>
    <s v="100% - OK"/>
    <s v="OK - ENVIADO"/>
    <s v="SEM LANÇAMENTO"/>
    <s v="SEM LANÇAMENTO"/>
    <s v="4 ABERTURA E FECHAMENTO, 16 FUSÕES, 4 TESTES"/>
    <d v="2025-06-18T00:00:00"/>
    <d v="2025-05-20T00:00:00"/>
    <m/>
    <m/>
    <d v="2025-05-23T00:00:00"/>
    <s v="NÃO PRECISA"/>
    <m/>
    <x v="0"/>
    <x v="0"/>
    <s v="AG. MEDIÇÃO"/>
    <n v="3"/>
    <x v="0"/>
    <n v="0"/>
  </r>
  <r>
    <s v="RSCLER0302"/>
    <s v="BVSAB"/>
    <s v="PETAAA"/>
    <s v="PAE NR"/>
    <s v="PORTO ALEGRE"/>
    <s v="DIRETORIA"/>
    <s v="Buenos Aires, 520"/>
    <s v="BVSAB.111.M070"/>
    <d v="2024-04-01T00:00:00"/>
    <x v="0"/>
    <s v="THIAGO"/>
    <s v="FABIO AMARILIO"/>
    <s v="100% - OK"/>
    <s v="OK - ENVIADO"/>
    <m/>
    <n v="550"/>
    <s v="FOI LANÇADO 550 METROS DE CABO DE 12 FO,  4 ABERTURA E FECHAMENTO, 20 FUSÃO, 4 DERIVAÇÃO, 1 CX NOVA, 4 TESTE"/>
    <d v="2024-06-26T00:00:00"/>
    <d v="2024-04-30T00:00:00"/>
    <d v="2024-05-30T00:00:00"/>
    <d v="2024-06-05T00:00:00"/>
    <d v="2024-06-05T00:00:00"/>
    <s v="NÃO PRECISA"/>
    <m/>
    <x v="0"/>
    <x v="0"/>
    <s v="AG. MEDIÇÃO"/>
    <n v="26"/>
    <x v="1"/>
    <n v="23"/>
  </r>
  <r>
    <s v="RSCLER0128"/>
    <s v="PRTAA"/>
    <m/>
    <m/>
    <s v="PORTO ALEGRE"/>
    <s v="COND. LIKE"/>
    <s v="CAP. PEDRO WERLANG, 1066"/>
    <m/>
    <d v="2023-09-01T00:00:00"/>
    <x v="0"/>
    <m/>
    <s v="DIOGO"/>
    <s v="100% - OK"/>
    <s v="OK"/>
    <s v="SEM LANÇAMENTO"/>
    <s v="SEM LANÇAMENTO"/>
    <s v="6 ABERTURA E FECHAMENTO, 10 FUSÃO, 1 DERIVAÇÃO, 2 TESTE E 1 CX NOVA"/>
    <d v="2023-09-29T00:00:00"/>
    <d v="2023-09-18T00:00:00"/>
    <m/>
    <d v="2023-09-22T00:00:00"/>
    <d v="2023-09-22T00:00:00"/>
    <s v="NÃO PRECISA"/>
    <m/>
    <x v="0"/>
    <x v="0"/>
    <s v="AG. MEDIÇÃO"/>
    <n v="4"/>
    <x v="1"/>
    <n v="1"/>
  </r>
  <r>
    <s v="RSCLER0312"/>
    <s v="PRTAA"/>
    <s v="JSOAD"/>
    <m/>
    <s v="PORTO ALEGRE"/>
    <s v="DIRETORIA"/>
    <s v="CEE"/>
    <s v="PRTAA.091.M030"/>
    <d v="2024-05-01T00:00:00"/>
    <x v="0"/>
    <s v="KM"/>
    <s v="ANDERSON"/>
    <s v="100% - OK"/>
    <s v="OK"/>
    <s v="SEM LANÇAMENTO"/>
    <s v="SEM LANÇAMENTO"/>
    <s v="6 ABERTURA E FECHAMENTO, 4 TESTE, 7 FUSÃO, 1 CX NOVA, 1 DERIVAÇÃO"/>
    <d v="2024-05-27T00:00:00"/>
    <m/>
    <m/>
    <d v="2024-05-10T00:00:00"/>
    <d v="2024-05-11T00:00:00"/>
    <s v="NÃO PRECISA"/>
    <m/>
    <x v="0"/>
    <x v="0"/>
    <s v="AG. MEDIÇÃO"/>
    <s v="DATA ENTRADA"/>
    <x v="1"/>
    <s v="DATA ENTRADA"/>
  </r>
  <r>
    <s v="RSCLER0468"/>
    <s v="MTSAA"/>
    <s v="MTSAE"/>
    <s v="PAE BV"/>
    <s v="PORTO ALEGRE"/>
    <m/>
    <s v="CEL BORDINI, 1125"/>
    <s v="MTSAA.092.M060"/>
    <d v="2024-11-01T00:00:00"/>
    <x v="0"/>
    <m/>
    <s v="PAULO GOMES"/>
    <s v="100% - OK"/>
    <s v="OK - ENVIADO"/>
    <s v="SEM LANÇAMENTO"/>
    <s v="SEM LANÇAMENTO"/>
    <s v="3 ABERTURA E FECHAMENTO, 3 FUSÃO, 1 DERIVAÇÃO, 1 TESTE."/>
    <d v="2024-11-25T00:00:00"/>
    <d v="2024-11-18T00:00:00"/>
    <d v="2024-11-19T00:00:00"/>
    <m/>
    <d v="2024-11-19T00:00:00"/>
    <s v="NÃO PRECISA"/>
    <m/>
    <x v="0"/>
    <x v="0"/>
    <s v="AG. MEDIÇÃO"/>
    <n v="1"/>
    <x v="0"/>
    <n v="-2"/>
  </r>
  <r>
    <s v="RSCLER0497"/>
    <s v="CNTAB"/>
    <s v="CNTAG"/>
    <s v="RSPCE14"/>
    <s v="PORTO ALEGRE"/>
    <s v="ED CEL GENUINO"/>
    <s v="CEL GENUINO 150"/>
    <s v="CNTAB.071.M050"/>
    <d v="2025-01-01T00:00:00"/>
    <x v="0"/>
    <s v="LUIS SCHUCH"/>
    <s v="LUIS SCHUCH"/>
    <s v="100% - OK"/>
    <s v="OK - ENVIADO"/>
    <n v="620"/>
    <n v="709"/>
    <s v="FOI LANÇADO 709 METROS DE CABO DE 12FO, 6 ABERTURA E FECHAMENTO, 12 FUSÃO, 2 TESTES."/>
    <d v="2025-02-12T00:00:00"/>
    <d v="2025-01-31T00:00:00"/>
    <d v="2025-02-04T00:00:00"/>
    <d v="2025-02-08T00:00:00"/>
    <d v="2025-02-11T00:00:00"/>
    <s v="NÃO PRECISA"/>
    <m/>
    <x v="0"/>
    <x v="0"/>
    <s v="AG. MEDIÇÃO"/>
    <n v="7"/>
    <x v="1"/>
    <n v="4"/>
  </r>
  <r>
    <s v="RSCLER0186"/>
    <s v="CNTAA"/>
    <m/>
    <m/>
    <s v="PORTO ALEGRE"/>
    <s v="CEL GENUINO 433"/>
    <s v="CEL GENUINO 433"/>
    <m/>
    <d v="2023-12-01T00:00:00"/>
    <x v="0"/>
    <m/>
    <s v="LUCAS HOBERT"/>
    <s v="100% - OK"/>
    <s v="OK"/>
    <s v="SEM LANÇAMENTO"/>
    <s v="SEM LANÇAMENTO"/>
    <s v="2 ABERTURA E FECHAMENTO, 1 FUSÃO, 1 TESTE "/>
    <d v="2024-01-09T00:00:00"/>
    <d v="2023-12-12T00:00:00"/>
    <m/>
    <d v="2023-12-12T00:00:00"/>
    <d v="2023-12-12T00:00:00"/>
    <s v="NÃO PRECISA"/>
    <m/>
    <x v="0"/>
    <x v="0"/>
    <s v="AG. MEDIÇÃO"/>
    <n v="0"/>
    <x v="0"/>
    <n v="-3"/>
  </r>
  <r>
    <s v="RSCLER0729"/>
    <s v="CNTAA"/>
    <s v="CNTADB"/>
    <s v="NHO LO"/>
    <s v="NOVO HAMBURGO"/>
    <m/>
    <s v="Cel genuíno Sampaio 23"/>
    <s v="CNTAA.013.M010"/>
    <d v="2025-09-01T00:00:00"/>
    <x v="0"/>
    <m/>
    <s v="DIOGO"/>
    <m/>
    <m/>
    <s v="SEM LANÇAMENTO"/>
    <s v="SEM LANÇAMENTO"/>
    <s v="2 ABERTURA E FECHAMENTO, 3 FUSÕES, 3 TESTES"/>
    <d v="2025-12-20T00:00:00"/>
    <d v="2025-09-18T00:00:00"/>
    <m/>
    <m/>
    <d v="2025-09-19T00:00:00"/>
    <d v="2025-12-20T00:00:00"/>
    <m/>
    <x v="0"/>
    <x v="0"/>
    <s v="AG. MEDIÇÃO"/>
    <n v="1"/>
    <x v="0"/>
    <n v="-2"/>
  </r>
  <r>
    <s v="RSCLER0126"/>
    <s v="CNTAA"/>
    <m/>
    <m/>
    <s v="NOVO HAMBURGO"/>
    <s v=" COND. MONREALE"/>
    <s v="Centro RUA DOMINGOS DE ALMEIDA, 522 CENTRO"/>
    <m/>
    <d v="2023-09-01T00:00:00"/>
    <x v="0"/>
    <m/>
    <s v="DIOGO"/>
    <s v="100% - OK"/>
    <s v="OK"/>
    <s v="SEM LANÇAMENTO"/>
    <s v="SEM LANÇAMENTO"/>
    <s v="2 ABERTURA E FECHAMENTO, 5 FUSÃO,  5 TESTE"/>
    <d v="2023-09-29T00:00:00"/>
    <d v="2023-09-06T00:00:00"/>
    <d v="2023-09-08T00:00:00"/>
    <d v="2023-09-08T00:00:00"/>
    <d v="2023-09-08T00:00:00"/>
    <s v="NÃO PRECISA"/>
    <m/>
    <x v="0"/>
    <x v="0"/>
    <s v="AG. MEDIÇÃO"/>
    <n v="2"/>
    <x v="0"/>
    <n v="-1"/>
  </r>
  <r>
    <s v="RSCLER0654"/>
    <s v="SPEAA"/>
    <m/>
    <s v="PAE DAM"/>
    <s v="PORTO ALEGRE"/>
    <m/>
    <s v="Comendador Albino Cunha, 128"/>
    <s v="SPEAA.009.M020"/>
    <d v="2025-06-01T00:00:00"/>
    <x v="0"/>
    <m/>
    <s v="CATIA"/>
    <m/>
    <m/>
    <m/>
    <m/>
    <s v="DENTRO DO NODE SPEAAA"/>
    <s v="SPEAAA"/>
    <d v="2025-06-30T00:00:00"/>
    <m/>
    <m/>
    <d v="2025-07-02T00:00:00"/>
    <s v="NÃO PRECISA"/>
    <m/>
    <x v="0"/>
    <x v="0"/>
    <s v="AG. MEDIÇÃO"/>
    <n v="2"/>
    <x v="0"/>
    <n v="-1"/>
  </r>
  <r>
    <s v="RSCLER0471"/>
    <s v="GUAAA"/>
    <s v="GUAAA"/>
    <s v="RSPSU21"/>
    <s v="PORTO ALEGRE"/>
    <m/>
    <s v="Cond. - Rua Orleans, 638"/>
    <s v="GUAAA.011.M020"/>
    <d v="2024-11-01T00:00:00"/>
    <x v="0"/>
    <s v="PAULO GOMES"/>
    <s v="PAULO GOMES"/>
    <s v="100% - OK"/>
    <s v="OK - ENVIADO"/>
    <m/>
    <n v="67"/>
    <s v="FOI LANÇADO 67 METROS DE CABO DE 12FO, 4 ABERTURA E FECHAMENTO, 6 FUSÃO, 1 DERIVAÇÃO, 1 CX NOVA, 2 TESTES"/>
    <d v="2024-12-23T00:00:00"/>
    <d v="2024-11-21T00:00:00"/>
    <m/>
    <m/>
    <d v="2024-12-10T00:00:00"/>
    <s v="NÃO PRECISA"/>
    <m/>
    <x v="0"/>
    <x v="0"/>
    <s v="AG. MEDIÇÃO"/>
    <n v="13"/>
    <x v="1"/>
    <n v="10"/>
  </r>
  <r>
    <s v="RSCLER0672"/>
    <s v="CAPAB"/>
    <s v="XNLAM"/>
    <s v="RSXNL01"/>
    <s v="XANGRILÁ"/>
    <m/>
    <s v="Cond. Lá Plage"/>
    <s v="CAPAB.092"/>
    <d v="2025-07-01T00:00:00"/>
    <x v="0"/>
    <s v="ALAN VASCONCELOS"/>
    <s v="FABIO AMARILHO"/>
    <m/>
    <m/>
    <m/>
    <n v="1931"/>
    <s v="COBRAR NO PROJETO F"/>
    <d v="2025-09-18T00:00:00"/>
    <d v="2025-06-30T00:00:00"/>
    <s v="14/07/20250"/>
    <d v="2025-07-23T00:00:00"/>
    <d v="2025-07-24T00:00:00"/>
    <d v="2025-09-18T00:00:00"/>
    <m/>
    <x v="0"/>
    <x v="0"/>
    <s v="AG. MEDIÇÃO"/>
    <n v="18"/>
    <x v="1"/>
    <n v="15"/>
  </r>
  <r>
    <s v="RSCLER0658"/>
    <s v="CAPAB"/>
    <s v="XNLAM"/>
    <s v="RSXNL01"/>
    <s v="XANGRILÁ"/>
    <m/>
    <s v="Cond. Playa Vista"/>
    <m/>
    <d v="2025-07-01T00:00:00"/>
    <x v="0"/>
    <s v="ALAN VASCONCELOS"/>
    <s v="MAQUENZE"/>
    <m/>
    <m/>
    <m/>
    <m/>
    <s v="COBRAR NO PROJETO F, COBRAR 15 METROS DE CANALIZAÇÃO, 4 METROS DESOBSTRUÇÃO, 1 LIMPEZA DE CX"/>
    <s v="PROJETO F"/>
    <d v="2025-07-01T00:00:00"/>
    <d v="2025-07-07T00:00:00"/>
    <m/>
    <m/>
    <d v="2025-09-08T00:00:00"/>
    <m/>
    <x v="0"/>
    <x v="0"/>
    <s v="AG. MEDIÇÃO"/>
    <n v="302"/>
    <x v="1"/>
    <n v="299"/>
  </r>
  <r>
    <s v="RSCLER1041"/>
    <s v="CNTAA"/>
    <s v="CBXAE"/>
    <s v="PAE MF"/>
    <s v="PORTO ALEGRE"/>
    <m/>
    <s v="COND. R LUIZ AFONSO 603"/>
    <s v="CNTAA.353.M020"/>
    <d v="2026-08-01T00:00:00"/>
    <x v="0"/>
    <m/>
    <s v="CATIA"/>
    <m/>
    <s v="OK"/>
    <s v="SEM LANÇAMENTO"/>
    <s v="SEM LANÇAMENTO"/>
    <s v="3 ABERTURA E FECHAMENTO, 3 FUSÕES, 1 DERIVAÇÃO, 1 TESTE."/>
    <d v="2026-08-26T00:00:00"/>
    <d v="2026-08-19T00:00:00"/>
    <m/>
    <m/>
    <d v="2026-08-19T00:00:00"/>
    <d v="2026-08-26T00:00:00"/>
    <m/>
    <x v="0"/>
    <x v="0"/>
    <s v="AG. MEDIÇÃO"/>
    <n v="0"/>
    <x v="0"/>
    <n v="-3"/>
  </r>
  <r>
    <s v="RSCLER0210"/>
    <s v="CNT-20"/>
    <m/>
    <m/>
    <s v="ELDORADO"/>
    <s v="CONDOMINIO PENINSULA PONTA DA FIGUEIRA N3500"/>
    <s v="CONDOMINIO PENINSULA PONTA DA FIGUEIRA N3501"/>
    <m/>
    <d v="2024-01-01T00:00:00"/>
    <x v="0"/>
    <s v="GIOVANE"/>
    <s v="MARCOS EMILIANO"/>
    <s v="100% - OK"/>
    <s v="OK"/>
    <m/>
    <n v="1968"/>
    <s v="FOI LANÇADO 1968 METROS  DE CABO DE 12FO, 8 NAP NOVA, 1 FOSC NOVA, 1 FIST NOVA, 2 DERIVAÇÃO, 41 FUSÃO, 24 TESTE, 550 METROS DE CORDOALHA"/>
    <d v="2024-02-23T00:00:00"/>
    <d v="2024-01-31T00:00:00"/>
    <d v="2024-02-05T00:00:00"/>
    <d v="2024-02-07T00:00:00"/>
    <d v="2024-02-07T00:00:00"/>
    <s v="NÃO PRECISA"/>
    <m/>
    <x v="0"/>
    <x v="0"/>
    <s v="AG. MEDIÇÃO"/>
    <n v="5"/>
    <x v="1"/>
    <n v="2"/>
  </r>
  <r>
    <s v="RSCLER0892"/>
    <s v="BFMAB"/>
    <m/>
    <s v="RSPCE13"/>
    <s v="PORTO ALEGRE"/>
    <m/>
    <s v="CORREÇÃO ETIQUETAS TRONCAIS"/>
    <m/>
    <d v="2026-05-01T00:00:00"/>
    <x v="0"/>
    <m/>
    <s v="GEOVANI"/>
    <m/>
    <s v="OK"/>
    <s v="SEM LANÇAMENTO"/>
    <s v="SEM LANÇAMENTO"/>
    <s v="COBRAR 332 TROCAS DE ETIQUETAS"/>
    <d v="2026-08-27T00:00:00"/>
    <d v="2026-06-07T00:00:00"/>
    <m/>
    <m/>
    <d v="2026-06-10T00:00:00"/>
    <d v="2026-08-27T00:00:00"/>
    <m/>
    <x v="0"/>
    <x v="0"/>
    <s v="AG. MEDIÇÃO"/>
    <n v="2"/>
    <x v="0"/>
    <n v="-1"/>
  </r>
  <r>
    <s v="RSCLER0144"/>
    <s v="RBRAA"/>
    <m/>
    <m/>
    <s v="PORTO ALEGRE"/>
    <s v="CORTE REAL, 310"/>
    <s v="CORTE REAL; 310"/>
    <m/>
    <d v="2023-10-01T00:00:00"/>
    <x v="0"/>
    <s v="ADRIANO"/>
    <s v="LUCAS HOBERT"/>
    <s v="100% - OK"/>
    <s v="OK"/>
    <m/>
    <n v="180"/>
    <s v="180 METROS DE CABO LANÇADO , 12 FUSÃO , 1CX NOVA, 2 ABERTURA E FECHAMENTO , 4 TESTE OBS: FOI FEITO FUSÃO DO MDU"/>
    <d v="2023-10-30T00:00:00"/>
    <d v="2023-10-20T00:00:00"/>
    <d v="2023-10-19T00:00:00"/>
    <d v="2023-10-24T00:00:00"/>
    <d v="2023-10-24T00:00:00"/>
    <s v="NÃO PRECISA"/>
    <m/>
    <x v="0"/>
    <x v="0"/>
    <s v="AG. MEDIÇÃO"/>
    <n v="2"/>
    <x v="0"/>
    <n v="-1"/>
  </r>
  <r>
    <s v="RSCLER0295"/>
    <s v="TRLAA"/>
    <s v="TRLAG"/>
    <s v="HUB ZONA SUL"/>
    <s v="PORTO ALEGRE"/>
    <s v="DIRETORIA"/>
    <s v="Costa Lima, 790"/>
    <s v="TRLAA.221.M010"/>
    <d v="2024-04-01T00:00:00"/>
    <x v="0"/>
    <s v="UBIRATAN / VICTOR"/>
    <s v="MARCOS EMILIANO"/>
    <s v="100% - OK"/>
    <s v="OK"/>
    <m/>
    <n v="1431"/>
    <s v="FOI LANÇADO 994 METROS DE CABO DE 12FO TERÁ DOIS LANÇAMENTOS, POR MUDANÇA DE PROJETO, FOI LANÇADO 437 METROS DE CABO DE 12FO, 6 ABERTURA E FECHAMENTO, 24 FUSÃO, 2 DERIVAÇÃO, 1 CX NOVA, 4 TESTE"/>
    <d v="2024-07-24T00:00:00"/>
    <d v="2024-04-30T00:00:00"/>
    <d v="2024-06-11T00:00:00"/>
    <d v="2024-07-09T00:00:00"/>
    <d v="2024-07-09T00:00:00"/>
    <s v="NÃO PRECISA"/>
    <m/>
    <x v="0"/>
    <x v="0"/>
    <s v="AG. MEDIÇÃO"/>
    <n v="50"/>
    <x v="1"/>
    <n v="47"/>
  </r>
  <r>
    <s v="RSCLER0028"/>
    <s v="BVSAB"/>
    <m/>
    <m/>
    <s v="PORTO ALEGRE"/>
    <s v="CLUBE FARRAPOS"/>
    <s v="CRISTIANO FISCHER, 1331"/>
    <m/>
    <d v="2023-03-01T00:00:00"/>
    <x v="0"/>
    <s v="TELMO PEREIRA"/>
    <s v="MAICON NUNES"/>
    <s v="100% - OK"/>
    <m/>
    <m/>
    <n v="850"/>
    <s v="LANÇAMENTO DE 850m (12FO) E INSTALAÇÃO DE CAIXA NOVA"/>
    <d v="2023-05-20T00:00:00"/>
    <d v="2023-03-13T00:00:00"/>
    <d v="2023-03-16T00:00:00"/>
    <d v="2023-03-20T00:00:00"/>
    <d v="2023-03-16T00:00:00"/>
    <s v="NÃO PRECISA"/>
    <m/>
    <x v="0"/>
    <x v="0"/>
    <s v="AG. MEDIÇÃO"/>
    <n v="3"/>
    <x v="0"/>
    <n v="0"/>
  </r>
  <r>
    <s v="RSCLER0002"/>
    <s v="BVSAB"/>
    <m/>
    <m/>
    <s v="PORTO ALEGRE"/>
    <s v="COND. BELVEDERE HILLS"/>
    <s v="CRISTIANO FISCHER, 590 "/>
    <m/>
    <d v="2023-01-01T00:00:00"/>
    <x v="0"/>
    <m/>
    <s v="DIOGO"/>
    <s v="100% - OK"/>
    <s v="-"/>
    <s v="SEM LANÇAMENTO"/>
    <s v="SEM LANÇAMENTO"/>
    <s v="ALINHAMENTO DE FIBRA"/>
    <s v="SIM"/>
    <d v="2023-01-02T00:00:00"/>
    <d v="2023-01-02T00:00:00"/>
    <d v="2023-01-16T00:00:00"/>
    <d v="2023-01-16T00:00:00"/>
    <s v="NÃO PRECISA"/>
    <m/>
    <x v="0"/>
    <x v="0"/>
    <s v="AG. MEDIÇÃO"/>
    <n v="10"/>
    <x v="1"/>
    <n v="7"/>
  </r>
  <r>
    <s v="RSCLER0923"/>
    <s v="SPEAA"/>
    <s v="PDRACB"/>
    <s v="PAE DAM"/>
    <s v="PORTO ALEGRE"/>
    <m/>
    <s v="CRUZEIRO DO SUL 516, 524, 532, 540"/>
    <s v="SPEAA.031.M040"/>
    <d v="2026-06-01T00:00:00"/>
    <x v="0"/>
    <m/>
    <s v="AFONSO"/>
    <m/>
    <s v="OK"/>
    <s v="SEM LANÇAMENTO"/>
    <s v="SEM LANÇAMENTO"/>
    <s v="COBRAR JUNTO A OS RSCLER0898"/>
    <d v="2026-07-06T00:00:00"/>
    <d v="2026-06-05T00:00:00"/>
    <m/>
    <m/>
    <d v="2026-06-13T00:00:00"/>
    <d v="2026-07-06T00:00:00"/>
    <m/>
    <x v="0"/>
    <x v="0"/>
    <s v="AG. MEDIÇÃO"/>
    <n v="5"/>
    <x v="1"/>
    <n v="2"/>
  </r>
  <r>
    <s v="RSCLER0718"/>
    <s v="RBTAC"/>
    <s v="SRDAF"/>
    <s v="RSPNO16"/>
    <s v="PORTO ALEGRE"/>
    <m/>
    <s v="CURT JOHANNPETER 110"/>
    <s v="RBTAC.021.M020"/>
    <d v="2025-09-01T00:00:00"/>
    <x v="0"/>
    <s v="VICTOR"/>
    <s v="MARCOS EMILIANO"/>
    <m/>
    <m/>
    <m/>
    <m/>
    <s v="COBRAR DENTRO DO NODE SDRAF FASE 2 "/>
    <s v="SRDAF"/>
    <d v="2025-09-03T00:00:00"/>
    <m/>
    <m/>
    <m/>
    <s v="NÃO PRECISA"/>
    <m/>
    <x v="0"/>
    <x v="0"/>
    <s v="AG. MEDIÇÃO"/>
    <n v="256"/>
    <x v="1"/>
    <n v="253"/>
  </r>
  <r>
    <s v="RSCLER0308"/>
    <s v="VIPAA"/>
    <s v="VIPAOA"/>
    <m/>
    <s v="PORTO ALEGRE"/>
    <s v="DIRETORIA"/>
    <s v="Dário de Bittencourt, 300 "/>
    <s v="VIPAA.041.M020"/>
    <d v="2024-04-01T00:00:00"/>
    <x v="0"/>
    <m/>
    <s v="MARCOS EMILIANO"/>
    <s v="100% - OK"/>
    <s v="OK"/>
    <s v="SEM LANÇAMENTO"/>
    <s v="SEM LANÇAMENTO"/>
    <s v="4 ABERTURA E FECHAMENTO, 6 FUSÃO, 2 TESTE "/>
    <d v="2024-05-27T00:00:00"/>
    <d v="2024-04-30T00:00:00"/>
    <d v="2024-05-22T00:00:00"/>
    <d v="2024-05-22T00:00:00"/>
    <d v="2024-05-22T00:00:00"/>
    <s v="NÃO PRECISA"/>
    <m/>
    <x v="0"/>
    <x v="0"/>
    <s v="AG. MEDIÇÃO"/>
    <n v="16"/>
    <x v="1"/>
    <n v="13"/>
  </r>
  <r>
    <s v="RSCLER0329"/>
    <s v="RBRAA"/>
    <s v="RBRAA"/>
    <s v="RSPLE08"/>
    <s v="PORTO ALEGRE"/>
    <m/>
    <s v="DARIO PEDERNEIRAS 328"/>
    <s v="RBRAA.093.M103"/>
    <d v="2024-06-01T00:00:00"/>
    <x v="0"/>
    <s v="VICTOR"/>
    <s v="FABIO AMARILIO"/>
    <s v="100% - OK"/>
    <s v="OK"/>
    <m/>
    <n v="410"/>
    <s v="FOI LANÇADO 203 METROS DE CABO DE 12FO, FOI LANÇADO 207 METROS DE CABO DE 24FO, TEVE DOIS LANÇAMENTOS POR INSUFICIENCIA DE FIBRA, 3 ABERTURA E FECHAMENTO, 6 FUSÃO, 3 DERIVAÇÃO, 1 CX NOVA, 2 TESTE"/>
    <d v="2024-07-24T00:00:00"/>
    <d v="2024-06-28T00:00:00"/>
    <d v="2024-07-02T00:00:00"/>
    <d v="2024-07-08T00:00:00"/>
    <d v="2024-07-08T00:00:00"/>
    <s v="NÃO PRECISA"/>
    <m/>
    <x v="0"/>
    <x v="0"/>
    <s v="AG. MEDIÇÃO"/>
    <n v="6"/>
    <x v="1"/>
    <n v="3"/>
  </r>
  <r>
    <s v="RSCLER0315"/>
    <s v="PRTAA"/>
    <m/>
    <m/>
    <s v="PORTO ALEGRE"/>
    <s v="DIRETORIA"/>
    <s v="DEIC"/>
    <s v="PRTAA.091.M030."/>
    <d v="2024-05-01T00:00:00"/>
    <x v="0"/>
    <s v="KM"/>
    <s v="MARCIO"/>
    <s v="100% - OK"/>
    <s v="OK"/>
    <s v="SEM LANÇAMENTO"/>
    <s v="SEM LANÇAMENTO"/>
    <s v="4 ABERTURA E FECHAMENTO, 4 FUSÃO, 2 TESTE "/>
    <d v="2024-05-27T00:00:00"/>
    <d v="2024-05-20T00:00:00"/>
    <d v="2024-05-21T00:00:00"/>
    <d v="2024-05-21T00:00:00"/>
    <d v="2024-05-21T00:00:00"/>
    <s v="NÃO PRECISA"/>
    <m/>
    <x v="0"/>
    <x v="0"/>
    <s v="AG. MEDIÇÃO"/>
    <n v="1"/>
    <x v="0"/>
    <n v="-2"/>
  </r>
  <r>
    <s v="RSCLER0653"/>
    <s v="CNTAB"/>
    <s v="CNTAE"/>
    <s v="RSPCE14"/>
    <s v="PORTO ALEGRE"/>
    <m/>
    <s v="Demétrio Ribeiro 1067"/>
    <s v="CNTAB.173.M010"/>
    <d v="2025-06-01T00:00:00"/>
    <x v="0"/>
    <m/>
    <s v="CATIA"/>
    <m/>
    <m/>
    <s v="SEM LANÇAMENTO"/>
    <s v="SEM LANÇAMENTO"/>
    <s v="5 ABERTURA E FECHAMENTO, 7 FUSÕES, 2 TESTES"/>
    <d v="2025-07-10T00:00:00"/>
    <d v="2025-06-30T00:00:00"/>
    <m/>
    <m/>
    <d v="2025-07-02T00:00:00"/>
    <s v="NÃO PRECISA"/>
    <m/>
    <x v="0"/>
    <x v="0"/>
    <s v="AG. MEDIÇÃO"/>
    <n v="2"/>
    <x v="0"/>
    <n v="-1"/>
  </r>
  <r>
    <s v="RSCLER0947"/>
    <s v="CNTAA"/>
    <s v="CNTABB"/>
    <s v="NHO LO"/>
    <s v="NOVO HAMBURGO"/>
    <m/>
    <s v="DR MAGALHAES CALVET 549"/>
    <s v="CNTAA.052.M010"/>
    <d v="2026-06-01T00:00:00"/>
    <x v="0"/>
    <m/>
    <s v="AFONSO"/>
    <m/>
    <s v="OK"/>
    <s v="SEM LANÇAMENTO"/>
    <s v="SEM LANÇAMENTO"/>
    <s v="3 ABERTURA E FECHAMENTO, 2 FUSÕES, 1 TESTE"/>
    <d v="2026-06-23T00:00:00"/>
    <d v="2026-06-11T00:00:00"/>
    <m/>
    <m/>
    <d v="2026-06-12T00:00:00"/>
    <d v="2026-06-23T00:00:00"/>
    <m/>
    <x v="0"/>
    <x v="0"/>
    <s v="AG. MEDIÇÃO"/>
    <n v="1"/>
    <x v="0"/>
    <n v="-2"/>
  </r>
  <r>
    <s v="RSCLER0634"/>
    <s v="MNDAC"/>
    <s v="MNDAK"/>
    <s v="RSPSU02"/>
    <s v="PORTO ALEGRE"/>
    <s v="Morada Oscar Bittencourt"/>
    <s v="Dr Oscar Bittencourt 130"/>
    <s v="MNDAC.051.M020"/>
    <d v="2025-06-01T00:00:00"/>
    <x v="0"/>
    <m/>
    <s v="WILIAN VIGEL"/>
    <m/>
    <m/>
    <s v="SEM LANÇAMENTO"/>
    <s v="SEM LANÇAMENTO"/>
    <s v="7 ABERTURA E FECHAMENTO, 10 FUSÕES, 4 TESTES"/>
    <d v="2025-07-07T00:00:00"/>
    <d v="2025-06-12T00:00:00"/>
    <m/>
    <m/>
    <d v="2025-06-16T00:00:00"/>
    <s v="NÃO PRECISA"/>
    <m/>
    <x v="0"/>
    <x v="0"/>
    <s v="AG. MEDIÇÃO"/>
    <n v="2"/>
    <x v="0"/>
    <n v="-1"/>
  </r>
  <r>
    <s v="RSCLER0296"/>
    <s v="TRZAA"/>
    <s v="TRZAF"/>
    <s v="RSPSU11"/>
    <s v="PORTO ALEGRE"/>
    <s v="DIRETORIA"/>
    <s v="Dr Pereira Neto, 620 600 640"/>
    <s v="TRZAA.052.M080"/>
    <d v="2024-04-01T00:00:00"/>
    <x v="0"/>
    <s v="UBIRATAN"/>
    <s v="FABIO AMARILIO"/>
    <s v="100% - OK"/>
    <s v="OK"/>
    <m/>
    <n v="345"/>
    <s v="FOI LANÇADO 186 METROS DE CABO DE 12FO, FOI LANÇADO 159 METROS DE CABO DE 12FO, TEVE 2 LANÇAMENTOS POR INSUFICIENCIA DE FIBRA, 4 ABERTURA E FECHAMENTO, 4 DERIVAÇÃO,11 FUSÃO, 1 CX NOVA, 3 TESTE"/>
    <d v="2024-06-26T00:00:00"/>
    <d v="2024-04-30T00:00:00"/>
    <d v="2024-06-06T00:00:00"/>
    <d v="2024-06-21T00:00:00"/>
    <d v="2024-06-21T00:00:00"/>
    <s v="NÃO PRECISA"/>
    <m/>
    <x v="0"/>
    <x v="0"/>
    <s v="AG. MEDIÇÃO"/>
    <n v="38"/>
    <x v="1"/>
    <n v="35"/>
  </r>
  <r>
    <s v="RSCLER0029"/>
    <s v="CMQAJ"/>
    <m/>
    <m/>
    <s v="PORTO ALEGRE"/>
    <s v="COND. THE SUN"/>
    <s v="DR. BARCELOS, 2434"/>
    <m/>
    <d v="2023-03-01T00:00:00"/>
    <x v="0"/>
    <s v="NEIMAR LUCERO"/>
    <s v="PAULO GOMES "/>
    <s v="100% - OK"/>
    <m/>
    <m/>
    <n v="250"/>
    <s v="1 ABERTURA E FECHAMENTO, 4 FUSÕES, 2 DERIVAÇÃO, 1 INST. CEO, 4 TESTES, 1 TESTE COM OTDR, 250M 12FO"/>
    <d v="2023-06-05T00:00:00"/>
    <d v="2023-03-20T00:00:00"/>
    <d v="2023-03-20T00:00:00"/>
    <d v="2023-03-30T00:00:00"/>
    <d v="2023-03-29T00:00:00"/>
    <s v="NÃO PRECISA"/>
    <m/>
    <x v="0"/>
    <x v="0"/>
    <s v="AG. MEDIÇÃO"/>
    <n v="7"/>
    <x v="1"/>
    <n v="4"/>
  </r>
  <r>
    <s v="RSCLER0030"/>
    <s v="MTSAOB"/>
    <m/>
    <m/>
    <s v="PORTO ALEGRE"/>
    <s v="ED. ROVENA"/>
    <s v="DR. NILO PEÇANHA, 550 "/>
    <s v="MTSAA.152.M060"/>
    <d v="2023-03-01T00:00:00"/>
    <x v="0"/>
    <m/>
    <m/>
    <s v="100% - OK"/>
    <m/>
    <m/>
    <n v="496"/>
    <s v="LANÇAMENTO DE 496m (12FO) E INSTALAÇÃO DE CAIXA NOVA"/>
    <d v="2023-05-20T00:00:00"/>
    <d v="2023-03-17T00:00:00"/>
    <d v="2023-03-21T00:00:00"/>
    <d v="2023-03-23T00:00:00"/>
    <d v="2023-03-22T00:00:00"/>
    <s v="NÃO PRECISA"/>
    <m/>
    <x v="0"/>
    <x v="0"/>
    <s v="AG. MEDIÇÃO"/>
    <n v="3"/>
    <x v="0"/>
    <n v="0"/>
  </r>
  <r>
    <s v="RSCLER0291"/>
    <s v="RBRAA"/>
    <s v="RBRAA"/>
    <m/>
    <s v="PORTO ALEGRE"/>
    <s v="DIRETORIA"/>
    <s v="Eça de Queiroz, 867"/>
    <s v="RBRAA.093.M102"/>
    <d v="2024-04-01T00:00:00"/>
    <x v="0"/>
    <m/>
    <s v="ANDERSON"/>
    <s v="100% - OK"/>
    <s v="OK"/>
    <s v="SEM LANÇAMENTO"/>
    <s v="SEM LANÇAMENTO"/>
    <s v="6 FUSÕES, 1 CX NOVA, 2 TESTE"/>
    <d v="2024-05-27T00:00:00"/>
    <d v="2024-04-26T00:00:00"/>
    <d v="2024-05-14T00:00:00"/>
    <d v="2024-05-22T00:00:00"/>
    <d v="2024-05-22T00:00:00"/>
    <s v="NÃO PRECISA"/>
    <m/>
    <x v="0"/>
    <x v="0"/>
    <s v="AG. MEDIÇÃO"/>
    <n v="18"/>
    <x v="1"/>
    <n v="15"/>
  </r>
  <r>
    <s v="RSCLER0031"/>
    <s v="AZNAF"/>
    <m/>
    <m/>
    <s v="PORTO ALEGRE"/>
    <s v="RES. MARIO QUINTANA"/>
    <s v="ENG. FERNANDO MENDES RIBEIRO. 250"/>
    <m/>
    <d v="2023-03-01T00:00:00"/>
    <x v="0"/>
    <s v="NEIMAR LUCERO"/>
    <s v="PAULO GOMES "/>
    <s v="100% - OK"/>
    <m/>
    <m/>
    <n v="296"/>
    <s v="LANÇAMENTO DE 296m (12FO) E INSTALAÇÃO DE CAIXA NOVA"/>
    <d v="2023-05-20T00:00:00"/>
    <d v="2022-03-20T00:00:00"/>
    <d v="2023-03-22T00:00:00"/>
    <d v="2023-03-27T00:00:00"/>
    <d v="2023-03-27T00:00:00"/>
    <s v="NÃO PRECISA"/>
    <m/>
    <x v="0"/>
    <x v="0"/>
    <s v="AG. MEDIÇÃO"/>
    <n v="265"/>
    <x v="1"/>
    <n v="262"/>
  </r>
  <r>
    <s v="RSCLER0482"/>
    <s v="GUAAA"/>
    <s v="IPMAFA"/>
    <s v="RSPSU21"/>
    <s v="PORTO ALEGRE"/>
    <s v="RES DOIS IRMAOS"/>
    <s v="EST JORGE PEREIRA NUNES 1306"/>
    <s v="GUAAA.401.M010"/>
    <d v="2024-12-01T00:00:00"/>
    <x v="0"/>
    <s v="TIAGO FERREIRA"/>
    <s v="AUGUSTO"/>
    <s v="100% - OK"/>
    <s v="OK"/>
    <n v="4000"/>
    <n v="2990"/>
    <s v="FOI LANÇADO 1225 METROS DE CABO DE 12FO, FOI LANÇADO 1765 METROS DE CABO DE 24FO, 5 ABERTURA E FECHAMENTO, 36 FUSÕES, 3 DERIVAÇÕES, 1 CX NOVA, 4 TESTES, RETIRADO 40 METROS DE DROP."/>
    <d v="2025-02-10T00:00:00"/>
    <d v="2024-12-27T00:00:00"/>
    <d v="2025-01-15T00:00:00"/>
    <d v="2025-01-16T00:00:00"/>
    <d v="2025-01-17T00:00:00"/>
    <s v="NÃO PRECISA"/>
    <m/>
    <x v="0"/>
    <x v="0"/>
    <s v="AG. MEDIÇÃO"/>
    <n v="15"/>
    <x v="1"/>
    <n v="12"/>
  </r>
  <r>
    <s v="RSCLER0746"/>
    <s v="TRLAA"/>
    <m/>
    <s v="HUB ZONA SUL"/>
    <s v="PORTO ALEGRE"/>
    <s v="MIGRAÇÃO 144FO"/>
    <s v="HUB ZONA SUL"/>
    <s v="TRLAA.EST03"/>
    <d v="2025-10-01T00:00:00"/>
    <x v="0"/>
    <s v="BRUNO"/>
    <s v="AUGUSTO"/>
    <m/>
    <m/>
    <m/>
    <n v="1700"/>
    <s v="FOI LANÇADO 1700 METROS DE CABO DE 144 AUTO SUSTENTAVEL E 220 METROS DE CABO PRECON, 36 METROS DE CORDOALHA, 2 DIO, 1 CX NOVA E 144 FUSÕES E 1 DERIVAÇÃO"/>
    <m/>
    <m/>
    <m/>
    <m/>
    <m/>
    <m/>
    <m/>
    <x v="2"/>
    <x v="2"/>
    <s v="AG. RELATÓRIO"/>
    <s v="DATA ENTRADA"/>
    <x v="1"/>
    <s v="DATA ENTRADA"/>
  </r>
  <r>
    <s v="RSCLER0713"/>
    <s v="LPRAA"/>
    <s v="AGRAD"/>
    <s v="RSPSU98"/>
    <s v="PORTO ALEGRE"/>
    <s v="Clube Resid Singular"/>
    <s v="Estr. João de Oliveira Remião, 1738"/>
    <s v="LPRAA.013."/>
    <d v="2025-08-01T00:00:00"/>
    <x v="0"/>
    <s v="AUGUSTO"/>
    <s v="AUGUSTO"/>
    <m/>
    <m/>
    <n v="735"/>
    <n v="970"/>
    <s v="FOI LANÇADO 361 METROS DE CABO DE 12FO E 609 METROS DE CABO DE 24FO, 1 ABERTURA E FECHAMENTO, 2 CX NOVA, 1 DERIVAÇÃO,18 FUSÕES"/>
    <d v="2025-12-02T00:00:00"/>
    <d v="2025-08-22T00:00:00"/>
    <m/>
    <m/>
    <d v="2025-08-29T00:00:00"/>
    <s v="NÃO PRECISA"/>
    <m/>
    <x v="0"/>
    <x v="0"/>
    <s v="AG. MEDIÇÃO"/>
    <n v="5"/>
    <x v="1"/>
    <n v="2"/>
  </r>
  <r>
    <s v="RSCLER0730"/>
    <s v="IPMAA"/>
    <s v="IPMAFB"/>
    <m/>
    <s v="PORTO ALEGRE"/>
    <m/>
    <s v="Estrada Campo Novo, 131"/>
    <s v="IPMAA.011.M020"/>
    <d v="2025-09-01T00:00:00"/>
    <x v="0"/>
    <m/>
    <s v="DIOGO"/>
    <m/>
    <m/>
    <m/>
    <m/>
    <s v="COBRAR DENTRO DO NODE IPMAFB FASE 2 "/>
    <s v="IPMAFB"/>
    <m/>
    <m/>
    <m/>
    <d v="2025-09-24T00:00:00"/>
    <s v="NÃO PRECISA"/>
    <m/>
    <x v="0"/>
    <x v="0"/>
    <s v="AG. MEDIÇÃO"/>
    <s v="DATA ENTRADA"/>
    <x v="1"/>
    <s v="DATA ENTRADA"/>
  </r>
  <r>
    <s v="RSCLER0532"/>
    <s v="GUAAA"/>
    <m/>
    <s v="RSPSU21"/>
    <s v="PORTO ALEGRE"/>
    <s v="Condomínio Ipanema Residence"/>
    <s v="Estrada Campo Novo, 459"/>
    <s v="GUAAA.172.M020"/>
    <d v="2025-03-01T00:00:00"/>
    <x v="0"/>
    <s v="UBIRATAN"/>
    <s v="AUGUSTO"/>
    <m/>
    <d v="2026-01-26T00:00:00"/>
    <n v="620"/>
    <n v="730"/>
    <s v="FOI LANÇADO 730 METROS DE CABO DE 12FO, 2 ABERTURA E FECHAMENTO, 12 FUSÕES, 1 DERIVAÇÃO, 1 CX NOVA, 6 TESTES"/>
    <d v="2025-03-18T00:00:00"/>
    <d v="2025-03-11T00:00:00"/>
    <d v="2025-03-13T00:00:00"/>
    <d v="2025-03-16T00:00:00"/>
    <d v="2025-03-16T00:00:00"/>
    <d v="2026-01-26T00:00:00"/>
    <m/>
    <x v="0"/>
    <x v="0"/>
    <s v="AG. MEDIÇÃO"/>
    <n v="3"/>
    <x v="0"/>
    <n v="0"/>
  </r>
  <r>
    <s v="RSCLER0224"/>
    <m/>
    <m/>
    <m/>
    <s v="PORTO ALEGRE"/>
    <s v="CONDOMINIO VIVERDES CLUBLE RESIDENCIAL "/>
    <s v="ESTRADA CRISTIANO KRAEMER, 5080"/>
    <m/>
    <d v="2024-03-01T00:00:00"/>
    <x v="0"/>
    <s v="SAMURAI"/>
    <m/>
    <s v="100% - OK"/>
    <s v="OK"/>
    <m/>
    <n v="234"/>
    <s v="FOI LANÇADO 234 METROS DE CABO DE 12FO, 10 ABERTURA E FECHAMENTO DE GUARITAS, 1 GUARITA DESOBSTRUIDA, 5 GUARITAS TESTADAS DE 10 MTS CADA, 2 GUARITAS DE 10 MTS GUIADAS A PEDIDO DO CONDOMINIO, 50 MTS DE RESERVA NA 1° GUARITA APÓS LATERAL DO CONDOMINIO"/>
    <d v="2024-03-26T00:00:00"/>
    <d v="2024-03-13T00:00:00"/>
    <d v="2024-03-13T00:00:00"/>
    <m/>
    <d v="2024-03-13T00:00:00"/>
    <s v="NÃO PRECISA"/>
    <m/>
    <x v="0"/>
    <x v="0"/>
    <s v="AG. MEDIÇÃO"/>
    <n v="0"/>
    <x v="0"/>
    <n v="-3"/>
  </r>
  <r>
    <s v="RSCLER0776"/>
    <s v="CNTAB"/>
    <s v="CNTAFB"/>
    <s v="RSPCE14"/>
    <s v="PORTO ALEGRE"/>
    <m/>
    <s v="Fernando Machado 525"/>
    <s v="CNTAB.081.M030"/>
    <d v="2025-12-01T00:00:00"/>
    <x v="0"/>
    <s v="UBIRAJARA"/>
    <s v="DERIK"/>
    <m/>
    <m/>
    <n v="170"/>
    <n v="168"/>
    <s v="FOI LANÇADO 168 METROS DE CABO DE 12FO, 5 ABERTURA E FECHAMENTO, 5 FUSÕES, 1 DERIVAÇÃO."/>
    <d v="2026-02-06T00:00:00"/>
    <d v="2025-12-22T00:00:00"/>
    <m/>
    <m/>
    <d v="2026-12-24T00:00:00"/>
    <d v="2026-02-06T00:00:00"/>
    <m/>
    <x v="0"/>
    <x v="0"/>
    <s v="AG. MEDIÇÃO"/>
    <n v="263"/>
    <x v="1"/>
    <n v="260"/>
  </r>
  <r>
    <s v="RSCLER0599"/>
    <s v="CAPAA"/>
    <s v="CAPAG"/>
    <s v="KDK DTC"/>
    <s v="CAPÃO DA CANOA"/>
    <m/>
    <s v="FLAVIO BOIANOVISK 106"/>
    <s v="CAPAA.138.M020"/>
    <d v="2025-05-01T00:00:00"/>
    <x v="0"/>
    <s v="JOÃO FELIPE"/>
    <s v="FABIO AMARILHO"/>
    <m/>
    <m/>
    <m/>
    <m/>
    <s v="DENTRO DO NODE CAPAG"/>
    <s v="COBRAR NO NODE"/>
    <d v="2025-05-09T00:00:00"/>
    <m/>
    <m/>
    <d v="2025-05-20T00:00:00"/>
    <s v="NÃO PRECISA"/>
    <m/>
    <x v="0"/>
    <x v="0"/>
    <s v="AG. MEDIÇÃO"/>
    <n v="7"/>
    <x v="1"/>
    <n v="4"/>
  </r>
  <r>
    <s v="RSCLER0112"/>
    <s v="VIPAF"/>
    <m/>
    <m/>
    <s v="PORTO ALEGRE"/>
    <s v=" COND. JARDIM MARQUESA DOS SANTOS"/>
    <s v="Gaston Englert 655 a 785"/>
    <m/>
    <d v="2023-07-01T00:00:00"/>
    <x v="0"/>
    <s v="JEFERSON"/>
    <s v="JEFERSON"/>
    <s v="100% - OK"/>
    <s v="-"/>
    <m/>
    <n v="249"/>
    <s v=" lançado 249 metros de cabo de 24 fo foram feitos 5 abertura e fechamentos,12 fusão 1 caixa nova  1 derivação  e 3 testes ,obs fibra tava parado no site por isto teve 5 abertura "/>
    <d v="2023-09-06T00:00:00"/>
    <d v="2023-07-13T00:00:00"/>
    <d v="2023-07-14T00:00:00"/>
    <d v="2023-07-17T00:00:00"/>
    <d v="2023-07-17T00:00:00"/>
    <s v="NÃO PRECISA"/>
    <m/>
    <x v="0"/>
    <x v="0"/>
    <s v="AG. MEDIÇÃO"/>
    <n v="2"/>
    <x v="0"/>
    <n v="-1"/>
  </r>
  <r>
    <s v="RSCLER0304"/>
    <s v="NAVAA"/>
    <s v="BVSAD"/>
    <m/>
    <s v="PORTO ALEGRE"/>
    <s v="DIRETORIA"/>
    <s v="Gen. Couto de Magalhães, 1876"/>
    <s v="NAVAA.121.M010"/>
    <d v="2024-04-01T00:00:00"/>
    <x v="0"/>
    <m/>
    <s v="ANDERSON"/>
    <s v="100% - OK"/>
    <s v="OK"/>
    <s v="SEM LANÇAMENTO"/>
    <s v="SEM LANÇAMENTO"/>
    <s v="3 ABERTURA E FECHAMENTO, 10 FUSÃO, 5 TESTE"/>
    <d v="2024-05-27T00:00:00"/>
    <d v="2024-04-30T00:00:00"/>
    <d v="2024-05-14T00:00:00"/>
    <d v="2024-05-14T00:00:00"/>
    <d v="2024-05-14T00:00:00"/>
    <s v="NÃO PRECISA"/>
    <m/>
    <x v="0"/>
    <x v="0"/>
    <s v="AG. MEDIÇÃO"/>
    <n v="10"/>
    <x v="1"/>
    <n v="7"/>
  </r>
  <r>
    <s v="RSCLER0288"/>
    <s v="JITAB"/>
    <s v="VIPAIA"/>
    <m/>
    <s v="PORTO ALEGRE"/>
    <s v="DIRETORIA"/>
    <s v="Gomes de Freitas, 524"/>
    <s v="JITAB.094.M040"/>
    <d v="2024-04-01T00:00:00"/>
    <x v="0"/>
    <s v="TIAGO LAMBRETA"/>
    <s v="ANDERSON"/>
    <s v="100% - OK"/>
    <s v="OK"/>
    <m/>
    <n v="83"/>
    <s v="FOI LANÇADO 83 METROS DE CABO DE 12FO, 2 ABERTURA E FECHAMENTO,1 DERIVAÇÃO, 1 CX NOVA, 1 TESTE, 2 FUSÃO"/>
    <d v="2024-06-26T00:00:00"/>
    <d v="2024-04-23T00:00:00"/>
    <d v="2024-06-07T00:00:00"/>
    <d v="2024-06-14T00:00:00"/>
    <d v="2024-06-14T00:00:00"/>
    <s v="NÃO PRECISA"/>
    <m/>
    <x v="0"/>
    <x v="0"/>
    <s v="AG. MEDIÇÃO"/>
    <n v="38"/>
    <x v="1"/>
    <n v="35"/>
  </r>
  <r>
    <s v="RSCLER0715"/>
    <s v="STD"/>
    <m/>
    <s v="RSETA03"/>
    <s v="ESTRELA"/>
    <m/>
    <s v="RUA TIRADENTES 451"/>
    <s v="STD.022.M020"/>
    <d v="2025-10-02T00:00:00"/>
    <x v="0"/>
    <m/>
    <m/>
    <m/>
    <m/>
    <s v="SEM LANÇAMENTO"/>
    <s v="SEM LANÇAMENTO"/>
    <m/>
    <m/>
    <m/>
    <m/>
    <m/>
    <m/>
    <m/>
    <m/>
    <x v="2"/>
    <x v="2"/>
    <s v="AG. RELATÓRIO"/>
    <s v="DATA ENTRADA"/>
    <x v="1"/>
    <s v="DATA ENTRADA"/>
  </r>
  <r>
    <s v="RSCLER0801"/>
    <s v="NOV"/>
    <m/>
    <s v="RSTRI03"/>
    <s v="TRAMANDAÍ"/>
    <m/>
    <s v="INTERPRAIAS 505"/>
    <s v="NOV029.04.08"/>
    <d v="2026-02-01T00:00:00"/>
    <x v="0"/>
    <m/>
    <m/>
    <m/>
    <m/>
    <n v="490"/>
    <n v="892"/>
    <s v="FOI LANÇADO 892 METROS DE CABO DE 12FO, 1 ABERTURA E FECHAMENTO, 1 NAP NOVA, 1 DERIVAÇÃO,2 FUSÕES, 1 TESTE"/>
    <d v="2026-03-13T00:00:00"/>
    <d v="2026-02-19T00:00:00"/>
    <m/>
    <m/>
    <d v="2026-02-20T00:00:00"/>
    <d v="2026-02-13T00:00:00"/>
    <m/>
    <x v="0"/>
    <x v="0"/>
    <s v="AG. MEDIÇÃO"/>
    <n v="1"/>
    <x v="0"/>
    <n v="-2"/>
  </r>
  <r>
    <s v="RSCLER0313"/>
    <s v="BVSAB"/>
    <s v="JSOABA"/>
    <m/>
    <s v="PORTO ALEGRE"/>
    <s v="DIRETORIA"/>
    <s v="Jardim Botanico"/>
    <s v="BVSAB.274.04.05"/>
    <d v="2024-05-01T00:00:00"/>
    <x v="0"/>
    <s v="GIOVANE"/>
    <s v="ANDERSON"/>
    <s v="100% - OK"/>
    <s v="OK"/>
    <m/>
    <n v="674"/>
    <s v="FOI LANÇADO 674 METROS DE CABO DE 12FO, 2 ABERTURA E FECHAMENTO, 3 FUSÃO, 1 DERIVAÇÃO, 1 NAP NOVA, 1 TESTE"/>
    <d v="2024-05-27T00:00:00"/>
    <d v="2024-05-13T00:00:00"/>
    <d v="2024-05-14T00:00:00"/>
    <d v="2024-05-14T00:00:00"/>
    <d v="2024-05-14T00:00:00"/>
    <s v="NÃO PRECISA"/>
    <m/>
    <x v="0"/>
    <x v="0"/>
    <s v="AG. MEDIÇÃO"/>
    <n v="1"/>
    <x v="0"/>
    <n v="-2"/>
  </r>
  <r>
    <s v="RSCLER0305"/>
    <s v="PDRAA"/>
    <s v="PDRAHA"/>
    <m/>
    <s v="PORTO ALEGRE"/>
    <s v="DIRETORIA"/>
    <s v="Jarii, 359 "/>
    <s v="PDRAA.062.M080"/>
    <d v="2024-04-01T00:00:00"/>
    <x v="0"/>
    <s v="THIAGO"/>
    <s v="ANDERSON"/>
    <s v="100% - OK"/>
    <s v="OK"/>
    <m/>
    <n v="661"/>
    <s v="FOI LANÇADO 300 METROS DE CABO DE 12 FO, FOI LANÇADO MAIS 361 METROS DE CABO DE 12FO, POR INSUFICIENCIA DE FIBRA TEVE 2 LANÇAMENTOS, 6 ABERTURA E FECHAMENTO, 1 CX NOVA, 20 FUSÃO, 3 DERIVAÇÃO,  2 TESTE"/>
    <d v="2024-06-26T00:00:00"/>
    <d v="2024-04-30T00:00:00"/>
    <d v="2024-05-14T00:00:00"/>
    <d v="2024-05-15T00:00:00"/>
    <d v="2024-06-05T00:00:00"/>
    <s v="NÃO PRECISA"/>
    <m/>
    <x v="0"/>
    <x v="0"/>
    <s v="AG. MEDIÇÃO"/>
    <n v="26"/>
    <x v="1"/>
    <n v="23"/>
  </r>
  <r>
    <s v="RSCLER0977"/>
    <s v="CNUAB"/>
    <m/>
    <s v="RSNHO09"/>
    <s v="NOVO HAMBURGO"/>
    <s v="MUNDO NOVO"/>
    <s v="JOAO NUNES DA SILVA 194"/>
    <s v="CNUAB.401.M060"/>
    <d v="2026-07-01T00:00:00"/>
    <x v="0"/>
    <s v="ADRIANO"/>
    <s v="CATIA"/>
    <m/>
    <s v="OK"/>
    <n v="650"/>
    <n v="802"/>
    <s v="FOI LANÇADO 802 METROS DE CABO DE 12FO, 3 ABERTURA E FECHAMENTO, 3 CX NOVA, 2 DERIVAÇÃO, 32 FUSÕES, 5 TESTES. 2 TESTES OTDR."/>
    <d v="2026-07-18T00:00:00"/>
    <d v="2026-07-27T00:00:00"/>
    <m/>
    <m/>
    <d v="2026-07-23T00:00:00"/>
    <d v="2026-07-18T00:00:00"/>
    <m/>
    <x v="0"/>
    <x v="0"/>
    <s v="AG. MEDIÇÃO"/>
    <n v="-4"/>
    <x v="0"/>
    <n v="-7"/>
  </r>
  <r>
    <s v="RSCLER0725"/>
    <s v="CNTAA"/>
    <s v="CNTABA"/>
    <s v="NHO LO"/>
    <s v="NOVO HAMBURGO"/>
    <m/>
    <s v="JOAQUIM NABUCO 803"/>
    <s v="CNTAA.061.M060"/>
    <d v="2025-09-01T00:00:00"/>
    <x v="0"/>
    <s v="CLEVERSON"/>
    <s v="CLEVERSON"/>
    <m/>
    <s v="OK"/>
    <n v="200"/>
    <n v="176"/>
    <s v="FOI LANÇADO 176 METROS DE CABO DE 12 FO, 3 ABERTURA E FECHAMENTO, 1 CX NOVA , 8 FUSÕES, 3 TESTES, 1 TESTE OTDR"/>
    <d v="2025-12-08T00:00:00"/>
    <d v="2025-09-02T00:00:00"/>
    <m/>
    <m/>
    <d v="2025-09-17T00:00:00"/>
    <d v="2025-12-08T00:00:00"/>
    <m/>
    <x v="0"/>
    <x v="0"/>
    <s v="AG. MEDIÇÃO"/>
    <n v="11"/>
    <x v="1"/>
    <n v="8"/>
  </r>
  <r>
    <s v="RSCLER0032"/>
    <s v="CNTAG"/>
    <m/>
    <m/>
    <s v="NOVO HAMBURGO"/>
    <s v="RES. PARTHENON"/>
    <s v="JOAQUIM PEDRO SORARES, 175"/>
    <m/>
    <d v="2023-03-01T00:00:00"/>
    <x v="0"/>
    <s v="GIOVANE"/>
    <s v="FABIO AMARILIO"/>
    <s v="100% - OK"/>
    <s v="OK"/>
    <m/>
    <n v="339"/>
    <s v="3 ABERTURA E FECHAMENTO, 5 FUSÕES, 1 DERIVAÇÃO, 1 CEO, 5 TESTES, 2 TESTES COM OTDR, 339M 12FO. ( FOI TESTADO COM OTDR, FIBRA ESTAVA ABERTA E QUEBRADA NA ESTÇÃO"/>
    <d v="2023-06-06T00:00:00"/>
    <d v="2023-03-16T00:00:00"/>
    <d v="2023-03-16T00:00:00"/>
    <d v="2023-03-16T00:00:00"/>
    <d v="2023-03-16T00:00:00"/>
    <s v="NÃO PRECISA"/>
    <m/>
    <x v="0"/>
    <x v="0"/>
    <s v="AG. MEDIÇÃO"/>
    <n v="0"/>
    <x v="0"/>
    <n v="-3"/>
  </r>
  <r>
    <s v="RSCLER0033"/>
    <s v="CNTAG"/>
    <m/>
    <m/>
    <s v="NOVO HAMBURGO"/>
    <s v="CARLOS KONRDORFER"/>
    <s v="JOAQUIM PEDRO SORARES, 246"/>
    <m/>
    <d v="2023-03-01T00:00:00"/>
    <x v="0"/>
    <s v="GIOVANE"/>
    <s v="FABIO AMARILIO"/>
    <s v="100% - OK"/>
    <s v="OK"/>
    <s v="SEM LANÇAMENTO"/>
    <s v="SEM LANÇAMENTO"/>
    <s v="1 ABERTURA E FECHAMENTO, 3 FUSÕES, 3 TESTES"/>
    <d v="2023-06-06T00:00:00"/>
    <d v="2023-03-16T00:00:00"/>
    <d v="2023-03-16T00:00:00"/>
    <d v="2023-03-16T00:00:00"/>
    <d v="2023-03-16T00:00:00"/>
    <s v="NÃO PRECISA"/>
    <m/>
    <x v="0"/>
    <x v="0"/>
    <s v="AG. MEDIÇÃO"/>
    <n v="0"/>
    <x v="0"/>
    <n v="-3"/>
  </r>
  <r>
    <s v="RSCLER0166"/>
    <s v="GUAAA"/>
    <m/>
    <m/>
    <s v="PORTO ALEGRE"/>
    <s v="Bistek "/>
    <s v="Juca Batista, 1870"/>
    <m/>
    <d v="2023-11-01T00:00:00"/>
    <x v="0"/>
    <s v="THIAGO"/>
    <s v="LUCAS HOBET/ PAULO GOMES"/>
    <s v="100% - OK"/>
    <s v="OK"/>
    <m/>
    <n v="280"/>
    <s v="280 METROS DE CABO DE 12FO, 4 ABERTURA E FECHAMENTO, 8 FUSÃO , 2 DERIVAÇÃO, 2 TESTE"/>
    <d v="2023-11-30T00:00:00"/>
    <d v="2023-11-22T00:00:00"/>
    <m/>
    <d v="2023-11-23T00:00:00"/>
    <d v="2023-11-23T00:00:00"/>
    <s v="NÃO PRECISA"/>
    <m/>
    <x v="0"/>
    <x v="0"/>
    <s v="AG. MEDIÇÃO"/>
    <n v="1"/>
    <x v="0"/>
    <n v="-2"/>
  </r>
  <r>
    <s v="RSCLER0666"/>
    <s v="CNTAA"/>
    <m/>
    <s v="RSNHO LO"/>
    <s v="NOVO HAMBURGO"/>
    <s v="COND. EDF. REGENTE"/>
    <s v="JULIO DE CASTILHOS 22"/>
    <s v="CNTAA.061.M040"/>
    <d v="2025-07-01T00:00:00"/>
    <x v="0"/>
    <m/>
    <s v="DIOGO"/>
    <m/>
    <m/>
    <s v="SEM LANÇAMENTO"/>
    <s v="SEM LANÇAMENTO"/>
    <s v="2 ABERTURA E FECHAMENTO, 1 FUSÃO, 1 TESTE"/>
    <d v="2025-07-11T00:00:00"/>
    <d v="2025-07-09T00:00:00"/>
    <m/>
    <m/>
    <d v="2025-07-10T00:00:00"/>
    <s v="NÃO PRECISA"/>
    <m/>
    <x v="0"/>
    <x v="0"/>
    <s v="AG. MEDIÇÃO"/>
    <n v="1"/>
    <x v="0"/>
    <n v="-2"/>
  </r>
  <r>
    <s v="RSCLER0763"/>
    <s v="NITAA"/>
    <s v="NIT26A"/>
    <s v="RSCAN40"/>
    <s v="CANOAS "/>
    <m/>
    <s v="LINK RSCAN40"/>
    <s v="CX318AA"/>
    <d v="2025-12-01T00:00:00"/>
    <x v="0"/>
    <s v="VICTOR"/>
    <s v="AUGUSTO"/>
    <m/>
    <m/>
    <n v="350"/>
    <n v="487"/>
    <s v="FOI LANÇADO 487 METROS DE CABO DE 12FO,COBRAR 55 ABERTURA E FECHAMENTO, 90 FUSÕES, 2 CXS NOVAS, 4 DERIVAÇÕES."/>
    <d v="2026-03-24T00:00:00"/>
    <d v="2025-12-03T00:00:00"/>
    <m/>
    <m/>
    <d v="2025-12-12T00:00:00"/>
    <s v="NÃO PRECISA"/>
    <m/>
    <x v="0"/>
    <x v="0"/>
    <s v="AG. MEDIÇÃO"/>
    <n v="7"/>
    <x v="1"/>
    <n v="4"/>
  </r>
  <r>
    <s v="RSCLER0790"/>
    <s v="IDLAA"/>
    <m/>
    <s v="RSNHO11"/>
    <s v="NOVO HAMBURGO"/>
    <m/>
    <s v="LINK RSNHO11"/>
    <m/>
    <d v="2026-01-01T00:00:00"/>
    <x v="0"/>
    <s v="CLEVERSON"/>
    <s v="CLEVERSON"/>
    <m/>
    <m/>
    <n v="900"/>
    <n v="1333"/>
    <s v="FOI LANÇADO 933 METROS DE CABO DE 12FO AUTOSUSTENTAVEL E 400 METROS DE CABO DE 12FO ESPINADO, 32 ABERTURA E FECHAMENTO, 64 FUSÕES, 1 DERIVAÇÃO."/>
    <d v="2026-03-24T00:00:00"/>
    <d v="2026-01-15T00:00:00"/>
    <m/>
    <m/>
    <d v="2026-02-12T00:00:00"/>
    <s v="NÃO PRECISA"/>
    <m/>
    <x v="0"/>
    <x v="0"/>
    <s v="AG. MEDIÇÃO"/>
    <n v="20"/>
    <x v="1"/>
    <n v="17"/>
  </r>
  <r>
    <s v="RSCLER0794"/>
    <s v="BFMAB"/>
    <m/>
    <s v="RSPCE13"/>
    <s v="PORTO ALEGRE"/>
    <m/>
    <s v="LINK RSPCE13"/>
    <m/>
    <d v="2026-01-01T00:00:00"/>
    <x v="0"/>
    <m/>
    <s v="CATIA / ANDERSON"/>
    <m/>
    <m/>
    <n v="50"/>
    <n v="50"/>
    <s v="21 ABERTURA E FECHAMENTO, 42 FUSÕES, 3 TESTES OTDR, 2 DGO NOVO, 50 MENTROS DE CABO."/>
    <d v="2026-07-09T00:00:00"/>
    <d v="2026-03-15T00:00:00"/>
    <m/>
    <m/>
    <d v="2026-03-18T00:00:00"/>
    <s v="NÃO PRECISA"/>
    <m/>
    <x v="0"/>
    <x v="0"/>
    <s v="AG. MEDIÇÃO"/>
    <n v="2"/>
    <x v="0"/>
    <n v="-1"/>
  </r>
  <r>
    <s v="RSCLER0585"/>
    <s v="VNVAA"/>
    <m/>
    <m/>
    <s v="PORTO ALEGRE"/>
    <s v=" Cond Res Jardim Salomoni Vi"/>
    <s v="Loft - Av. João Salomoni, 715 "/>
    <s v="VNVAA.001.M010"/>
    <d v="2025-04-01T00:00:00"/>
    <x v="0"/>
    <s v="UBIRATAN"/>
    <s v="RODRIGO NUNES"/>
    <m/>
    <m/>
    <m/>
    <n v="500"/>
    <s v="FOI LANÇADO 500 METROS DE CABO DE 12FO,1 ABERTURA E FECHAMENTO, 2 FUSÕES, 1 CX NOVA, 1 DERIVAÇÃO,2 TESTES"/>
    <d v="2025-05-08T00:00:00"/>
    <d v="2025-04-30T00:00:00"/>
    <m/>
    <m/>
    <d v="2025-05-05T00:00:00"/>
    <s v="NÃO PRECISA"/>
    <m/>
    <x v="0"/>
    <x v="0"/>
    <s v="AG. MEDIÇÃO"/>
    <n v="3"/>
    <x v="0"/>
    <n v="0"/>
  </r>
  <r>
    <s v="RSCLER0590"/>
    <s v="GUAAA"/>
    <s v="GUAAC"/>
    <s v="RSPSU21"/>
    <s v="PORTO ALEGRE"/>
    <s v="Cond Recantos do Guaruja"/>
    <s v="Loft R. Ancara, 360"/>
    <s v="GUAAA.041.M010"/>
    <d v="2025-05-01T00:00:00"/>
    <x v="0"/>
    <s v="VICTOR"/>
    <s v="CESAR LEANDRO"/>
    <m/>
    <m/>
    <m/>
    <m/>
    <s v="DENTRO DO NODE GUAAC"/>
    <s v="COBRAR NO NODE"/>
    <d v="2025-05-07T00:00:00"/>
    <m/>
    <m/>
    <d v="2025-05-14T00:00:00"/>
    <s v="NÃO PRECISA"/>
    <m/>
    <x v="0"/>
    <x v="0"/>
    <s v="AG. MEDIÇÃO"/>
    <n v="5"/>
    <x v="1"/>
    <n v="2"/>
  </r>
  <r>
    <s v="RSCLER0435"/>
    <s v="CNTAA"/>
    <s v="CBXAE"/>
    <s v="PAE MF"/>
    <s v="PORTO ALEGRE"/>
    <m/>
    <s v="Luiz Afonso 526, 558"/>
    <s v="CNTAA.352.M060."/>
    <d v="2024-09-01T00:00:00"/>
    <x v="0"/>
    <s v="JUNIOR"/>
    <s v="ANDERSON"/>
    <s v="100% - OK"/>
    <s v="OK - ENVIADO"/>
    <n v="100"/>
    <n v="260"/>
    <s v="FOI LANÇADO 260 METROS DE CABO DE 12FO, 6 ABERTURA E FECHAMENTO, 31 FUSÃO, 1 DERIVAÇÃO, 3 TESTE "/>
    <d v="2024-10-10T00:00:00"/>
    <d v="2024-09-12T00:00:00"/>
    <d v="2024-09-13T00:00:00"/>
    <d v="2024-09-18T00:00:00"/>
    <d v="2024-09-19T00:00:00"/>
    <s v="NÃO PRECISA"/>
    <m/>
    <x v="0"/>
    <x v="0"/>
    <s v="AG. MEDIÇÃO"/>
    <n v="5"/>
    <x v="1"/>
    <n v="2"/>
  </r>
  <r>
    <s v="RSCLER0768"/>
    <m/>
    <m/>
    <m/>
    <s v="TAQUARA"/>
    <m/>
    <s v="MAL FLORIANO, 966 "/>
    <s v="006.M010"/>
    <d v="2025-12-01T00:00:00"/>
    <x v="0"/>
    <m/>
    <s v="RODRIGO (BUIU)"/>
    <m/>
    <m/>
    <s v="SEM LANÇAMENTO"/>
    <s v="SEM LANÇAMENTO"/>
    <s v="4 ABERTURA E FECHAMENTO, 11 FUSÕES, 1 TESTE E 1 TESTE OTDR."/>
    <d v="2026-02-09T00:00:00"/>
    <d v="2025-12-08T00:00:00"/>
    <m/>
    <m/>
    <d v="2025-12-16T00:00:00"/>
    <d v="2026-02-09T00:00:00"/>
    <m/>
    <x v="0"/>
    <x v="0"/>
    <s v="AG. MEDIÇÃO"/>
    <n v="6"/>
    <x v="1"/>
    <n v="3"/>
  </r>
  <r>
    <s v="RSCLER0462"/>
    <s v="MTSAA"/>
    <s v="MTSAA"/>
    <s v="PAE BV"/>
    <s v="PORTO ALEGRE"/>
    <m/>
    <s v="Marcelo Gama, 1215"/>
    <s v="MTSAA.002.M010"/>
    <d v="2024-11-01T00:00:00"/>
    <x v="0"/>
    <s v="VICTOR"/>
    <s v="ANDERSON"/>
    <s v="100% - OK"/>
    <s v="OK - ENVIADO"/>
    <m/>
    <m/>
    <s v="1 ABERTURA E FECHAMENTO, 1 FUSÃO, 1 CX NOVA, 1 TESTE"/>
    <d v="2024-12-06T00:00:00"/>
    <d v="2024-11-13T00:00:00"/>
    <d v="2024-11-13T00:00:00"/>
    <m/>
    <d v="2024-11-20T00:00:00"/>
    <s v="NÃO PRECISA"/>
    <m/>
    <x v="0"/>
    <x v="0"/>
    <s v="AG. MEDIÇÃO"/>
    <n v="5"/>
    <x v="1"/>
    <n v="2"/>
  </r>
  <r>
    <s v="RSCLER0230"/>
    <s v="MRDAA"/>
    <m/>
    <m/>
    <s v="CANOAS "/>
    <s v="MC DONALDS"/>
    <s v="MC DONALDS"/>
    <m/>
    <d v="2024-03-01T00:00:00"/>
    <x v="0"/>
    <s v="VITOR"/>
    <s v="MARCOS EMILIANO"/>
    <s v="100% - OK"/>
    <s v="OK"/>
    <m/>
    <n v="750"/>
    <s v="FOI 750 METROS DE CABO 12FO , 1 ABERTURA E FECHAMENTO , 1 FOSC NOVA, 1 NAP NOVA, 4 FUSÃO, 1 DERIVAÇÃO"/>
    <d v="2024-03-26T00:00:00"/>
    <d v="2024-03-11T00:00:00"/>
    <d v="2024-03-12T00:00:00"/>
    <d v="2024-03-12T00:00:00"/>
    <d v="2024-03-13T00:00:00"/>
    <s v="NÃO PRECISA"/>
    <m/>
    <x v="0"/>
    <x v="0"/>
    <s v="AG. MEDIÇÃO"/>
    <n v="2"/>
    <x v="0"/>
    <n v="-1"/>
  </r>
  <r>
    <s v="RSCLER0791"/>
    <s v="BFMAB"/>
    <m/>
    <s v="RSPCE13"/>
    <s v="PORTO ALEGRE"/>
    <m/>
    <s v="MIGRAÇÃO RSPCE13"/>
    <m/>
    <d v="2026-01-01T00:00:00"/>
    <x v="0"/>
    <s v="ALAN VASCONCELOS"/>
    <s v="ANDERSON"/>
    <m/>
    <m/>
    <n v="3600"/>
    <n v="5287"/>
    <s v="FOI LANÇADO 820 METROS DE CABO DE 144FO, 2661 METROS DE CABO DE 72FO, 1200 METROS DE 48FO, 500 METROS DE CABO DE 24FO, 106 METROS DE CABO DE 36FO. COBRAR 6 CX NOVA, 6 DERIVAÇÕES, 672 FUSÕES, 1 ABERTURA E FECHAMENTO, 1 DERIVAÇÃO, 18 FUSÕES.3 ABERTURA E FECHAMENTO, 150FUSÕES, 1 DERIVAÇÃO, 10 ABERTURA E FECHAMENTO, 70 FUSÕES, 6 DERIVAÇÕES."/>
    <d v="2026-07-09T00:00:00"/>
    <d v="2026-03-03T00:00:00"/>
    <m/>
    <m/>
    <d v="2026-05-20T00:00:00"/>
    <s v="NÃO PRECISA"/>
    <m/>
    <x v="0"/>
    <x v="0"/>
    <s v="AG. MEDIÇÃO"/>
    <n v="56"/>
    <x v="1"/>
    <n v="53"/>
  </r>
  <r>
    <s v="RSCLER0959"/>
    <s v="CNUAB"/>
    <m/>
    <s v="RSNHO09"/>
    <s v="NOVO HAMBURGO"/>
    <m/>
    <s v="MUNDO NOVO, 311"/>
    <s v="CNUAB.401.M050"/>
    <d v="2026-06-01T00:00:00"/>
    <x v="0"/>
    <s v="CLEVERSON"/>
    <s v="CATIA / CLEVERSON"/>
    <m/>
    <s v="OK"/>
    <n v="500"/>
    <n v="253"/>
    <s v="FOI LANÇADO 253 METROS DE CABO DE 12FO, 2 ABERTURA E FECHAMENTO, 1 CX NOVA, 1 DERIVAÇÃO, 10 FUSÕES, 5 TESTES."/>
    <d v="2026-07-10T00:00:00"/>
    <d v="2026-06-29T00:00:00"/>
    <m/>
    <m/>
    <d v="2026-07-03T00:00:00"/>
    <d v="2026-07-10T00:00:00"/>
    <m/>
    <x v="0"/>
    <x v="0"/>
    <s v="AG. MEDIÇÃO"/>
    <n v="4"/>
    <x v="1"/>
    <n v="1"/>
  </r>
  <r>
    <s v="RSCLER0294"/>
    <s v="CMQAA"/>
    <m/>
    <m/>
    <s v="PORTO ALEGRE"/>
    <s v="DIRETORIA"/>
    <s v="Otto Niemeyer, 1702"/>
    <m/>
    <d v="2024-04-01T00:00:00"/>
    <x v="0"/>
    <m/>
    <s v="ANDERSON"/>
    <s v="100% - OK"/>
    <s v="OK"/>
    <s v="SEM LANÇAMENTO"/>
    <s v="SEM LANÇAMENTO"/>
    <s v="5 ABERTURA E FECHAMENTO, 20 FUSÃO, 5 TESTE"/>
    <d v="2024-05-27T00:00:00"/>
    <d v="2024-04-30T00:00:00"/>
    <m/>
    <d v="2024-05-21T00:00:00"/>
    <d v="2024-05-21T00:00:00"/>
    <s v="NÃO PRECISA"/>
    <m/>
    <x v="0"/>
    <x v="0"/>
    <s v="AG. MEDIÇÃO"/>
    <n v="15"/>
    <x v="1"/>
    <n v="12"/>
  </r>
  <r>
    <s v="RSCLER0298"/>
    <s v="SSOAA"/>
    <s v="SSOAFA"/>
    <m/>
    <s v="PORTO ALEGRE"/>
    <s v="DIRETORIA"/>
    <s v="Panamericana, 101"/>
    <s v="SSOAA.091.M090"/>
    <d v="2024-04-01T00:00:00"/>
    <x v="0"/>
    <s v="RICARDO"/>
    <s v="ANDERSON"/>
    <s v="100% - OK"/>
    <s v="OK"/>
    <m/>
    <n v="471"/>
    <s v="FOI LANÇADO 471 METROS DE CABO DE 12FO,8 ABERTURA E FECHAMENTO,1 DERIVAÇÃO, 1 CX NOVA 3 TESTE, 16 FUSÃO"/>
    <d v="2024-06-26T00:00:00"/>
    <d v="2024-04-30T00:00:00"/>
    <d v="2024-05-15T00:00:00"/>
    <d v="2024-06-13T00:00:00"/>
    <d v="2024-06-13T00:00:00"/>
    <s v="NÃO PRECISA"/>
    <m/>
    <x v="0"/>
    <x v="0"/>
    <s v="AG. MEDIÇÃO"/>
    <n v="32"/>
    <x v="1"/>
    <n v="29"/>
  </r>
  <r>
    <s v="RSCLER0034"/>
    <s v="CNTAA"/>
    <m/>
    <m/>
    <s v="NOVO HAMBURGO"/>
    <s v="CALÇADÃO OSVALDO CRUZ (GAL. NETO) "/>
    <s v="PASSEIO CALÇADÃO OSVALDO CRUZ, 26"/>
    <m/>
    <d v="2023-03-01T00:00:00"/>
    <x v="0"/>
    <m/>
    <m/>
    <s v="100% - OK"/>
    <m/>
    <s v="SEM LANÇAMENTO"/>
    <s v="SEM LANÇAMENTO"/>
    <s v="TESTE DE FIBRA"/>
    <d v="2023-05-20T00:00:00"/>
    <d v="2023-03-16T00:00:00"/>
    <d v="2023-03-16T00:00:00"/>
    <d v="2023-03-27T00:00:00"/>
    <d v="2023-03-21T00:00:00"/>
    <s v="NÃO PRECISA"/>
    <m/>
    <x v="0"/>
    <x v="0"/>
    <s v="AG. MEDIÇÃO"/>
    <n v="3"/>
    <x v="0"/>
    <n v="0"/>
  </r>
  <r>
    <s v="RSCLER0035"/>
    <s v="CNTAA"/>
    <m/>
    <m/>
    <s v="NOVO HAMBURGO"/>
    <s v="CALÇADÃO OSVALDO CRUZ (GAL. NETO) "/>
    <s v="PASSEIO CALÇADÃO OSVALDO CRUZ, 39"/>
    <m/>
    <d v="2023-03-01T00:00:00"/>
    <x v="0"/>
    <m/>
    <m/>
    <s v="100% - OK"/>
    <m/>
    <s v="SEM LANÇAMENTO"/>
    <s v="SEM LANÇAMENTO"/>
    <s v="TESTE DE FIBRA"/>
    <d v="2023-05-20T00:00:00"/>
    <d v="2023-03-16T00:00:00"/>
    <d v="2023-03-16T00:00:00"/>
    <d v="2023-03-27T00:00:00"/>
    <d v="2023-03-21T00:00:00"/>
    <s v="NÃO PRECISA"/>
    <m/>
    <x v="0"/>
    <x v="0"/>
    <s v="AG. MEDIÇÃO"/>
    <n v="3"/>
    <x v="0"/>
    <n v="0"/>
  </r>
  <r>
    <s v="RSCLER0036"/>
    <s v="CNTAA"/>
    <m/>
    <m/>
    <s v="NOVO HAMBURGO"/>
    <s v="CALÇADÃO OSVALDO CRUZ (GAL. NETO) "/>
    <s v="PASSEIO CALÇADÃO OSVALDO CRUZ, 40"/>
    <m/>
    <d v="2023-03-01T00:00:00"/>
    <x v="0"/>
    <m/>
    <m/>
    <s v="100% - OK"/>
    <m/>
    <s v="SEM LANÇAMENTO"/>
    <s v="SEM LANÇAMENTO"/>
    <s v="TESTE DE FIBRA"/>
    <d v="2023-05-20T00:00:00"/>
    <d v="2023-03-16T00:00:00"/>
    <d v="2023-03-16T00:00:00"/>
    <d v="2023-03-27T00:00:00"/>
    <d v="2023-03-21T00:00:00"/>
    <s v="NÃO PRECISA"/>
    <m/>
    <x v="0"/>
    <x v="0"/>
    <s v="AG. MEDIÇÃO"/>
    <n v="3"/>
    <x v="0"/>
    <n v="0"/>
  </r>
  <r>
    <s v="RSCLER0037"/>
    <s v="CNTAA"/>
    <m/>
    <m/>
    <s v="NOVO HAMBURGO"/>
    <s v="CALÇADÃO OSVALDO CRUZ (GAL. NETO) "/>
    <s v="PASSEIO CALÇADÃO OSVALDO CRUZ, 54"/>
    <m/>
    <d v="2023-03-01T00:00:00"/>
    <x v="0"/>
    <s v="JLE"/>
    <s v="JLE"/>
    <s v="100% - OK"/>
    <m/>
    <m/>
    <n v="200"/>
    <s v="LANÇAMENTO DE 200m (12FO) E INSTALAÇÃO DE CAIXA NOVA"/>
    <d v="2023-05-20T00:00:00"/>
    <d v="2023-03-16T00:00:00"/>
    <d v="2023-03-16T00:00:00"/>
    <d v="2023-03-27T00:00:00"/>
    <d v="2023-03-21T00:00:00"/>
    <s v="NÃO PRECISA"/>
    <m/>
    <x v="0"/>
    <x v="0"/>
    <s v="AG. MEDIÇÃO"/>
    <n v="3"/>
    <x v="0"/>
    <n v="0"/>
  </r>
  <r>
    <s v="RSCLER0738"/>
    <s v="CLC"/>
    <m/>
    <s v="RSTES02"/>
    <s v="TORRES"/>
    <m/>
    <s v="RUA BORGES DE MEDEIRO, 212"/>
    <s v="CLC022-M6"/>
    <d v="2025-10-03T00:00:00"/>
    <x v="0"/>
    <s v="MAQUENZE"/>
    <s v="MAQUENZE"/>
    <m/>
    <m/>
    <n v="72"/>
    <m/>
    <m/>
    <m/>
    <d v="2025-10-08T00:00:00"/>
    <m/>
    <m/>
    <m/>
    <m/>
    <m/>
    <x v="2"/>
    <x v="2"/>
    <s v="AG. RELATÓRIO"/>
    <n v="231"/>
    <x v="1"/>
    <n v="228"/>
  </r>
  <r>
    <s v="RSCLER0978"/>
    <s v="BVSAB"/>
    <s v="JSOABA"/>
    <s v="PAE NR"/>
    <s v="PORTO ALEGRE"/>
    <m/>
    <s v="Pfr. Pedro Santa Helena 140"/>
    <s v="BVSAB.274.M040"/>
    <d v="2026-07-01T00:00:00"/>
    <x v="0"/>
    <m/>
    <s v="DAVID SALOMÃO"/>
    <m/>
    <s v="OK"/>
    <s v="SEM LANÇAMENTO"/>
    <s v="SEM LANÇAMENTO"/>
    <s v="3 ABERTURA E FECHAMENTO, 3 FUSÕES, 1 TESTE."/>
    <d v="2026-07-15T00:00:00"/>
    <d v="2026-07-04T00:00:00"/>
    <m/>
    <m/>
    <d v="2026-07-04T00:00:00"/>
    <d v="2026-07-15T00:00:00"/>
    <m/>
    <x v="0"/>
    <x v="0"/>
    <s v="AG. MEDIÇÃO"/>
    <n v="-1"/>
    <x v="0"/>
    <n v="-4"/>
  </r>
  <r>
    <s v="RSCLER0311"/>
    <s v="BFMAA"/>
    <m/>
    <m/>
    <s v="PORTO ALEGRE"/>
    <s v="DIRETORIA"/>
    <s v="PINHEIRO MACHADO 282 "/>
    <m/>
    <d v="2024-05-01T00:00:00"/>
    <x v="0"/>
    <m/>
    <s v="ANDERSON"/>
    <s v="100% - OK"/>
    <s v="OK"/>
    <s v="SEM LANÇAMENTO"/>
    <s v="SEM LANÇAMENTO"/>
    <s v="2 ABERTURA E FECHAMENTO, 2 FUSÃO, 2 TESTE"/>
    <d v="2024-05-27T00:00:00"/>
    <d v="2024-05-02T00:00:00"/>
    <d v="2024-05-14T00:00:00"/>
    <d v="2024-05-14T00:00:00"/>
    <d v="2024-05-14T00:00:00"/>
    <s v="NÃO PRECISA"/>
    <m/>
    <x v="0"/>
    <x v="0"/>
    <s v="AG. MEDIÇÃO"/>
    <n v="8"/>
    <x v="1"/>
    <n v="5"/>
  </r>
  <r>
    <s v="RSCLER0740"/>
    <s v="CNTAA"/>
    <m/>
    <s v="NHO LO"/>
    <s v="NOVO HAMBURGO"/>
    <m/>
    <s v="PINTO BANDEIRA 66"/>
    <s v="CNTAA.113.M020"/>
    <d v="2025-10-01T00:00:00"/>
    <x v="0"/>
    <m/>
    <s v="DIOGO"/>
    <m/>
    <m/>
    <s v="SEM LANÇAMENTO"/>
    <s v="SEM LANÇAMENTO"/>
    <s v="3 ABERTURA E FECHAMENTO, 2 FUSÕES, 1 TESTE"/>
    <d v="2025-10-21T00:00:00"/>
    <d v="2025-10-16T00:00:00"/>
    <d v="2025-10-16T00:00:00"/>
    <d v="2025-10-21T00:00:00"/>
    <d v="2025-10-21T00:00:00"/>
    <d v="2025-10-21T00:00:00"/>
    <m/>
    <x v="0"/>
    <x v="0"/>
    <s v="AG. MEDIÇÃO"/>
    <n v="3"/>
    <x v="0"/>
    <n v="0"/>
  </r>
  <r>
    <s v="RSCLER0322"/>
    <m/>
    <m/>
    <m/>
    <s v="PORTO ALEGRE"/>
    <s v=" conj 1206, 1207, 1208 e 1209"/>
    <s v="Praça Osvaldo Cruz 15"/>
    <m/>
    <d v="2024-06-01T00:00:00"/>
    <x v="0"/>
    <m/>
    <s v="ADRIANO"/>
    <s v="100% - OK"/>
    <s v="OK"/>
    <s v="SEM LANÇAMENTO"/>
    <s v="SEM LANÇAMENTO"/>
    <s v="2 ABERTURA E FECHAMENTO, 2 DERIVAÇÃO, 3 FUSÃO ( APOIO A KM )"/>
    <d v="2024-06-26T00:00:00"/>
    <d v="2024-06-17T00:00:00"/>
    <d v="2024-06-17T00:00:00"/>
    <d v="2024-06-17T00:00:00"/>
    <d v="2024-06-17T00:00:00"/>
    <s v="NÃO PRECISA"/>
    <m/>
    <x v="0"/>
    <x v="0"/>
    <s v="AG. MEDIÇÃO"/>
    <n v="0"/>
    <x v="0"/>
    <n v="-3"/>
  </r>
  <r>
    <s v="RSCLER0975"/>
    <s v="TRLAA"/>
    <m/>
    <m/>
    <s v="PORTO ALEGRE"/>
    <s v="Condominio Residencial São Caetano"/>
    <s v="PRAÇA SÃO CAETANO 90"/>
    <s v="TRLAA.211"/>
    <d v="2026-07-01T00:00:00"/>
    <x v="0"/>
    <s v="CLEVERSON"/>
    <s v="CLEVERSON"/>
    <m/>
    <m/>
    <n v="600"/>
    <n v="309"/>
    <s v="FOI LANÇADO 309 METROS DE CABO 12FO, 1 ABERTURA E FECHAMENTO, 1 DERIVAÇÃO, 4 NAP NOVA, 4 TESTES. COBRAR AS BULTS."/>
    <d v="2026-07-17T00:00:00"/>
    <d v="2026-07-13T00:00:00"/>
    <m/>
    <m/>
    <d v="2026-07-14T00:00:00"/>
    <d v="2026-07-17T00:00:00"/>
    <m/>
    <x v="0"/>
    <x v="0"/>
    <s v="AG. MEDIÇÃO"/>
    <n v="1"/>
    <x v="0"/>
    <n v="-2"/>
  </r>
  <r>
    <s v="RSCLER0692"/>
    <s v="TRLAA"/>
    <s v="TRLAC"/>
    <s v="PAE HZS"/>
    <s v="PORTO ALEGRE"/>
    <m/>
    <s v="PRAÇA SÃO CAETANO, 90"/>
    <s v="TRLAA.211.M010"/>
    <d v="2025-07-01T00:00:00"/>
    <x v="0"/>
    <m/>
    <m/>
    <m/>
    <m/>
    <m/>
    <m/>
    <s v="COBRAR DENTRO DO NODE TRLAC"/>
    <s v="TRLAC"/>
    <d v="2025-07-30T00:00:00"/>
    <m/>
    <d v="2025-08-12T00:00:00"/>
    <m/>
    <d v="2025-08-16T00:00:00"/>
    <m/>
    <x v="0"/>
    <x v="0"/>
    <s v="AG. MEDIÇÃO"/>
    <n v="281"/>
    <x v="1"/>
    <n v="278"/>
  </r>
  <r>
    <s v="RSCLER0306"/>
    <s v="MTSAA"/>
    <s v="PETALB"/>
    <s v="PAE BV"/>
    <s v="PORTO ALEGRE"/>
    <s v="DIRETORIA"/>
    <s v="Prof. Fitzgerald, 101"/>
    <s v="MTSAA.331.M050"/>
    <d v="2024-04-01T00:00:00"/>
    <x v="0"/>
    <s v="THIAGO LAMBRETA"/>
    <s v="ADRIANO"/>
    <s v="100% - OK"/>
    <s v="OK"/>
    <m/>
    <n v="909"/>
    <s v="FOI LANÇADO 909 METROS DE CABO DE 12FO, 2 ABERTURA E FECHAMENTO, 1 DERIVAÇÃO, 1 CX NOVA, 6 FUSÃO, 3 TESTE"/>
    <d v="2024-06-26T00:00:00"/>
    <d v="2024-04-30T00:00:00"/>
    <d v="2024-06-11T00:00:00"/>
    <d v="2024-06-18T00:00:00"/>
    <d v="2024-06-18T00:00:00"/>
    <s v="NÃO PRECISA"/>
    <m/>
    <x v="0"/>
    <x v="0"/>
    <s v="AG. MEDIÇÃO"/>
    <n v="35"/>
    <x v="1"/>
    <n v="32"/>
  </r>
  <r>
    <s v="RSCLER0671"/>
    <s v="NAVAB"/>
    <s v="NAVAD"/>
    <s v="PAE FAR"/>
    <s v="PORTO ALEGRE"/>
    <m/>
    <s v="Quintino Bandeira, 64"/>
    <s v="NAVAB.122.M010"/>
    <d v="2025-07-01T00:00:00"/>
    <x v="0"/>
    <m/>
    <m/>
    <m/>
    <m/>
    <m/>
    <m/>
    <s v="COBRAR DENTRO DO NODE NAVAD FASE 2"/>
    <s v="NAVAD F2"/>
    <d v="2025-07-14T00:00:00"/>
    <m/>
    <m/>
    <d v="2025-07-17T00:00:00"/>
    <s v="NÃO PRECISA"/>
    <m/>
    <x v="0"/>
    <x v="0"/>
    <s v="AG. MEDIÇÃO"/>
    <n v="3"/>
    <x v="0"/>
    <n v="0"/>
  </r>
  <r>
    <s v="RSCLER0668"/>
    <s v="NAVAB"/>
    <s v="NAVAD"/>
    <s v="PAE FAR"/>
    <s v="PORTO ALEGRE"/>
    <m/>
    <s v="Quintino Bandeira, 67"/>
    <s v="NAVAB.122.M010."/>
    <d v="2025-07-01T00:00:00"/>
    <x v="0"/>
    <m/>
    <m/>
    <m/>
    <m/>
    <m/>
    <m/>
    <s v="COBRAR DENTRO DO NODE NAVAD FASE 2"/>
    <s v="NAVAD F2"/>
    <d v="2025-07-14T00:00:00"/>
    <m/>
    <m/>
    <d v="2025-07-17T00:00:00"/>
    <s v="NÃO PRECISA"/>
    <m/>
    <x v="0"/>
    <x v="0"/>
    <s v="AG. MEDIÇÃO"/>
    <n v="3"/>
    <x v="0"/>
    <n v="0"/>
  </r>
  <r>
    <s v="RSCLER0987"/>
    <s v="CNTAA"/>
    <s v="CNTAL"/>
    <s v="PAE MF"/>
    <s v="PORTO ALEGRE"/>
    <m/>
    <s v="R 24 DE MAIO 244"/>
    <s v="CNTAA.134.M030"/>
    <d v="2026-07-01T00:00:00"/>
    <x v="0"/>
    <s v="MAURICIO"/>
    <s v="MAURICIO"/>
    <m/>
    <s v="OK"/>
    <n v="80"/>
    <n v="80"/>
    <s v="FOI LANÇADO 80 METROS DE CABO, 4 ABERTURA E FECHAMENTO, 8 FUSÃO, 2 DERIVAÇÃO, 2 TESTE"/>
    <d v="2026-08-13T00:00:00"/>
    <d v="2026-07-22T00:00:00"/>
    <m/>
    <m/>
    <d v="2026-07-22T00:00:00"/>
    <d v="2026-08-13T00:00:00"/>
    <m/>
    <x v="0"/>
    <x v="0"/>
    <s v="AG. MEDIÇÃO"/>
    <n v="0"/>
    <x v="0"/>
    <n v="-3"/>
  </r>
  <r>
    <s v="RSCLER0816"/>
    <s v="JITAB"/>
    <s v="JITAIA"/>
    <s v="RSPNO75"/>
    <s v="PORTO ALEGRE"/>
    <s v="Cond.(Paloma Palace)"/>
    <s v="R Adda Mascarenhas de Moraes 705 "/>
    <s v="JITAB.151.M060"/>
    <d v="2026-03-01T00:00:00"/>
    <x v="0"/>
    <m/>
    <s v="CATIA"/>
    <m/>
    <m/>
    <s v="SEM LANÇAMENTO"/>
    <s v="SEM LANÇAMENTO"/>
    <s v="2 ABERTURA E FECHAMENTO, 2 FUSÕES, 1 TESTE, 1 TESTE OTDR"/>
    <d v="2026-04-02T00:00:00"/>
    <d v="2026-03-30T00:00:00"/>
    <d v="2026-03-30T00:00:00"/>
    <m/>
    <d v="2026-04-02T00:00:00"/>
    <d v="2026-04-02T00:00:00"/>
    <m/>
    <x v="0"/>
    <x v="0"/>
    <s v="AG. MEDIÇÃO"/>
    <n v="3"/>
    <x v="0"/>
    <n v="0"/>
  </r>
  <r>
    <s v="RSCLER0261"/>
    <s v="CNTAA"/>
    <m/>
    <m/>
    <s v="CANOAS "/>
    <s v="PARQUE VENTURA I "/>
    <s v="R AFONSO PENA 340 "/>
    <m/>
    <d v="2024-04-01T00:00:00"/>
    <x v="0"/>
    <s v="UBIRATAN"/>
    <s v="MARCOS EMILIANO"/>
    <s v="100% - OK"/>
    <s v="OK"/>
    <m/>
    <n v="770"/>
    <s v="FOI LANÇADO 770 METROS DE CABO DE 12FO, 1 ABERTURA E FECHAMENTO, 1 CX NOVA, 1 DERIVAÇÃO, 8 FUSÃO, 4 TESTE"/>
    <d v="2024-04-23T00:00:00"/>
    <d v="2024-04-11T00:00:00"/>
    <d v="2024-04-17T00:00:00"/>
    <m/>
    <d v="2024-04-20T00:00:00"/>
    <s v="NÃO PRECISA"/>
    <m/>
    <x v="0"/>
    <x v="0"/>
    <s v="AG. MEDIÇÃO"/>
    <n v="6"/>
    <x v="1"/>
    <n v="3"/>
  </r>
  <r>
    <s v="RSCLER0943"/>
    <s v="IDLAA"/>
    <s v="IDLAG"/>
    <s v="RSNHO11"/>
    <s v="NOVO HAMBURGO"/>
    <m/>
    <s v="R AIMORÉ 58"/>
    <s v="IDLAA.051.M040"/>
    <d v="2026-06-01T00:00:00"/>
    <x v="0"/>
    <m/>
    <s v="CATIA"/>
    <m/>
    <s v="OK"/>
    <s v="SEM LANÇAMENTO"/>
    <s v="SEM LANÇAMENTO"/>
    <s v="2 ABERTURA E FECHAMENTO, 2 FUSÃO, 1 TESTE."/>
    <d v="2026-07-08T00:00:00"/>
    <d v="2026-06-19T00:00:00"/>
    <m/>
    <m/>
    <d v="2026-06-24T00:00:00"/>
    <d v="2026-07-08T00:00:00"/>
    <m/>
    <x v="0"/>
    <x v="0"/>
    <s v="AG. MEDIÇÃO"/>
    <n v="3"/>
    <x v="0"/>
    <n v="0"/>
  </r>
  <r>
    <s v="RSCLER0116"/>
    <s v="SPEADA"/>
    <m/>
    <m/>
    <s v="PORTO ALEGRE"/>
    <s v="COND. THE AMBASSADOR"/>
    <s v="R ALBERTO SILVA 355"/>
    <m/>
    <d v="2023-08-01T00:00:00"/>
    <x v="0"/>
    <m/>
    <s v="LUCAS HOBERT"/>
    <s v="100% - OK"/>
    <s v="OK"/>
    <s v="SEM LANÇAMENTO"/>
    <s v="SEM LANÇAMENTO"/>
    <s v="NÃO TEVE LANÇAMENTO ,FOI 2 ABERTURA E FECHAMENTO 3 FUSÃO , 3 TETES "/>
    <d v="2023-09-15T00:00:00"/>
    <d v="2023-08-29T00:00:00"/>
    <d v="2023-08-31T00:00:00"/>
    <d v="2023-08-31T00:00:00"/>
    <s v="31/09/2023"/>
    <s v="NÃO PRECISA"/>
    <m/>
    <x v="0"/>
    <x v="0"/>
    <s v="AG. MEDIÇÃO"/>
    <s v="CHECAR DATA"/>
    <x v="1"/>
    <s v="CHECAR DATA"/>
  </r>
  <r>
    <s v="RSCLER0667"/>
    <s v="MNDAB"/>
    <m/>
    <m/>
    <s v="PORTO ALEGRE"/>
    <m/>
    <s v="R ALBERTO TORRES 111"/>
    <s v="MNDAB.352.M080"/>
    <d v="2025-07-01T00:00:00"/>
    <x v="0"/>
    <s v="UBIRAJARA"/>
    <s v="DIOGO"/>
    <s v="100% - OK"/>
    <m/>
    <n v="195"/>
    <m/>
    <s v="FOI LANÇADO 385 METROS DE CABO DE 12FO, 4 ABERTURA E FECHAMENTO, 8 FUSÕES, 4 DERIVAÇÕES, 2 TESTES"/>
    <d v="2025-07-14T00:00:00"/>
    <d v="2025-07-10T00:00:00"/>
    <d v="2025-07-11T00:00:00"/>
    <s v="11/07/20250"/>
    <d v="2025-07-11T00:00:00"/>
    <s v="NÃO PRECISA"/>
    <m/>
    <x v="0"/>
    <x v="0"/>
    <s v="AG. MEDIÇÃO"/>
    <n v="1"/>
    <x v="0"/>
    <n v="-2"/>
  </r>
  <r>
    <s v="RSCLER0081"/>
    <s v="CBXAIB"/>
    <m/>
    <m/>
    <s v="PORTO ALEGRE"/>
    <s v=" ALBERTO TORRES, 134"/>
    <s v="R ALBERTO TORRES 134"/>
    <m/>
    <d v="2023-06-01T00:00:00"/>
    <x v="0"/>
    <m/>
    <m/>
    <s v="100% - OK"/>
    <s v="-"/>
    <s v="SEM LANÇAMENTO"/>
    <s v="SEM LANÇAMENTO"/>
    <s v="2 ABERTURA E FECHAMENTO / 4 FUSÃO / 4 TESTE"/>
    <d v="2023-06-26T00:00:00"/>
    <d v="2023-06-22T00:00:00"/>
    <d v="2023-06-23T00:00:00"/>
    <d v="2023-06-24T00:00:00"/>
    <d v="2023-06-24T00:00:00"/>
    <s v="NÃO PRECISA"/>
    <m/>
    <x v="0"/>
    <x v="0"/>
    <s v="AG. MEDIÇÃO"/>
    <n v="1"/>
    <x v="0"/>
    <n v="-2"/>
  </r>
  <r>
    <s v="RSCLER0350"/>
    <s v="BVSAB"/>
    <s v="JSOABA"/>
    <s v="PAE NR"/>
    <s v="PORTO ALEGRE"/>
    <m/>
    <s v="R Aldo Menoti Sirângelo 40"/>
    <s v="BVSAB.274.M080"/>
    <d v="2024-07-01T00:00:00"/>
    <x v="0"/>
    <m/>
    <s v="MARCOS EMILIANO"/>
    <s v="100% - OK"/>
    <s v="OK"/>
    <s v="SEM LANÇAMENTO"/>
    <s v="SEM LANÇAMENTO"/>
    <s v="3 ABERTURA E FECHAMENTO, 6 FUSÃO, 3 TESTE"/>
    <d v="2024-07-24T00:00:00"/>
    <d v="2024-07-15T00:00:00"/>
    <d v="2024-07-15T00:00:00"/>
    <d v="2024-07-15T00:00:00"/>
    <d v="2024-07-15T00:00:00"/>
    <s v="NÃO PRECISA"/>
    <m/>
    <x v="0"/>
    <x v="0"/>
    <s v="AG. MEDIÇÃO"/>
    <n v="0"/>
    <x v="0"/>
    <n v="-3"/>
  </r>
  <r>
    <s v="RSCLER0789"/>
    <s v="CNT "/>
    <m/>
    <m/>
    <s v="TORRES"/>
    <m/>
    <s v="R ALEXANDRINO DE ALENCAR, 360"/>
    <s v="CNT03-M3"/>
    <d v="2026-01-01T00:00:00"/>
    <x v="0"/>
    <m/>
    <s v="LUKAS MUNHOZ"/>
    <m/>
    <m/>
    <s v="SEM LANÇAMENTO"/>
    <s v="SEM LANÇAMENTO"/>
    <s v="5 ABERTURA E FECHAMENTO, 4 FUSÕES, 1 TESTE"/>
    <d v="2026-01-30T00:00:00"/>
    <d v="2026-01-14T00:00:00"/>
    <m/>
    <m/>
    <d v="2026-01-18T00:00:00"/>
    <d v="2026-01-30T00:00:00"/>
    <m/>
    <x v="0"/>
    <x v="0"/>
    <s v="AG. MEDIÇÃO"/>
    <n v="2"/>
    <x v="0"/>
    <n v="-1"/>
  </r>
  <r>
    <s v="RSCLER0695"/>
    <s v="CNT"/>
    <m/>
    <m/>
    <s v="TORRES"/>
    <m/>
    <s v="R ALEXANDRINO DE ALENCAR, 485"/>
    <s v="CNT22-M6"/>
    <d v="2025-08-01T00:00:00"/>
    <x v="0"/>
    <s v="ALAN GALVÃO"/>
    <s v="MAQUENZE"/>
    <m/>
    <m/>
    <n v="327"/>
    <n v="339"/>
    <s v="FOI LANÇADO 339 METROS DE CABO DE 12FO, 11 ABERTURA E FECHAMENTO, 11 FUSÕES, 1 CX NOVA, 1 DERIVAÇÃO, 1 TESTE"/>
    <d v="2025-09-18T00:00:00"/>
    <d v="2025-08-01T00:00:00"/>
    <m/>
    <m/>
    <d v="2025-09-18T00:00:00"/>
    <d v="2025-09-18T00:00:00"/>
    <m/>
    <x v="0"/>
    <x v="0"/>
    <s v="AG. MEDIÇÃO"/>
    <n v="34"/>
    <x v="1"/>
    <n v="31"/>
  </r>
  <r>
    <s v="RSCLER0727"/>
    <s v="TRA"/>
    <m/>
    <m/>
    <s v="TRAMANDAI"/>
    <m/>
    <s v="R ALM TAMANDARE, 1047"/>
    <m/>
    <d v="2025-09-01T00:00:00"/>
    <x v="0"/>
    <m/>
    <s v="FABIO AMARILHO"/>
    <s v="CONCLUIDO"/>
    <s v="OK"/>
    <s v="SEM LANÇAMENTO"/>
    <s v="SEM LANÇAMENTO"/>
    <s v="3 ABERTURA E FECHAMENTO, 4 FUSOES E 2 TESTES"/>
    <d v="2025-09-15T00:00:00"/>
    <d v="2025-09-09T00:00:00"/>
    <d v="2025-09-15T00:00:00"/>
    <m/>
    <d v="2025-09-15T00:00:00"/>
    <d v="2025-09-15T00:00:00"/>
    <m/>
    <x v="0"/>
    <x v="0"/>
    <s v="AG. MEDIÇÃO"/>
    <n v="4"/>
    <x v="1"/>
    <n v="1"/>
  </r>
  <r>
    <s v="RSCLER0893"/>
    <s v="VIPAA"/>
    <s v="SPEAH"/>
    <s v="RSPNO19"/>
    <s v="PORTO ALEGRE"/>
    <s v="Cond Ed Sheldon Center"/>
    <s v="R ÁLVARES CABRAL 164"/>
    <s v="VIPAA.021.M030"/>
    <d v="2026-06-01T00:00:00"/>
    <x v="0"/>
    <m/>
    <s v="CATIA"/>
    <m/>
    <s v="OK"/>
    <s v="SEM LANÇAMENTO"/>
    <s v="SEM LANÇAMENTO"/>
    <s v="2 ABERTURA E FECHAMENTO, 1 FUSÃO, 1 TESTE."/>
    <d v="2026-07-02T00:00:00"/>
    <d v="2026-06-01T00:00:00"/>
    <m/>
    <m/>
    <d v="2026-06-03T00:00:00"/>
    <d v="2026-07-02T00:00:00"/>
    <m/>
    <x v="0"/>
    <x v="0"/>
    <s v="AG. MEDIÇÃO"/>
    <n v="2"/>
    <x v="0"/>
    <n v="-1"/>
  </r>
  <r>
    <s v="RSCLER0907"/>
    <s v="MTSAA"/>
    <s v="PETALA"/>
    <s v="PAE BV"/>
    <s v="PORTO ALEGRE"/>
    <s v="Cond. Jardim Amelia"/>
    <s v="R AMELIA TELES 257"/>
    <s v="MTSAA.322.M010"/>
    <d v="2026-06-01T00:00:00"/>
    <x v="0"/>
    <m/>
    <s v="ANDERSON"/>
    <m/>
    <m/>
    <s v="SEM LANÇAMENTO"/>
    <s v="SEM LANÇAMENTO"/>
    <s v="3 ABERTURA E FECHAMENTO, 4 FUSÕES, 2 TESTES"/>
    <d v="2026-06-10T00:00:00"/>
    <d v="2026-06-08T00:00:00"/>
    <m/>
    <m/>
    <d v="2026-06-10T00:00:00"/>
    <d v="2026-06-10T00:00:00"/>
    <m/>
    <x v="0"/>
    <x v="0"/>
    <s v="AG. MEDIÇÃO"/>
    <n v="2"/>
    <x v="0"/>
    <n v="-1"/>
  </r>
  <r>
    <s v="RSCLER0568"/>
    <s v="CAMAB"/>
    <m/>
    <s v="RSSPS02"/>
    <s v="SAPUCAIA DO SUL"/>
    <s v="Condomínio Residencial Anita Garibaldi"/>
    <s v="R AMERICO VESPUCIO - 471"/>
    <s v="CAMAB.401.M010"/>
    <d v="2025-03-01T00:00:00"/>
    <x v="0"/>
    <s v="AUGUSTO"/>
    <s v="AUGUSTO"/>
    <m/>
    <m/>
    <n v="3560"/>
    <n v="3640"/>
    <s v="FOI LANÇADO 3640 METROS DE CABO DE 24FO, 4 ABERTURA E FECHAMENTO, 3 CX NOVA, 1 DERIVAÇÃO, 18 FUSÕES, 3 TESTES"/>
    <d v="2025-05-08T00:00:00"/>
    <d v="2025-03-28T00:00:00"/>
    <d v="2025-04-07T00:00:00"/>
    <d v="2025-04-10T00:00:00"/>
    <d v="2025-05-05T00:00:00"/>
    <s v="NÃO PRECISA"/>
    <m/>
    <x v="0"/>
    <x v="0"/>
    <s v="AG. MEDIÇÃO"/>
    <n v="26"/>
    <x v="1"/>
    <n v="23"/>
  </r>
  <r>
    <s v="RSCLER0444"/>
    <s v="PDRAA"/>
    <s v="PDRAHA"/>
    <s v="RSPNO17"/>
    <s v="PORTO ALEGRE"/>
    <s v="RESID AGAPANTHUS"/>
    <s v="R ANDARAI 596"/>
    <s v="PDRAA.062.M060"/>
    <d v="2024-10-14T00:00:00"/>
    <x v="0"/>
    <m/>
    <s v="LUCAS HOBERT"/>
    <s v="100% - OK"/>
    <s v="OK - ENVIADO"/>
    <s v="SEM LANÇAMENTO"/>
    <s v="SEM LANÇAMENTO"/>
    <s v="5 ABERTURA E FECHAMENTO, 4 FUSÃO, 1 TESTE"/>
    <d v="2024-10-23T00:00:00"/>
    <d v="2024-10-14T00:00:00"/>
    <d v="2024-10-15T00:00:00"/>
    <d v="2024-10-15T00:00:00"/>
    <d v="2024-10-15T00:00:00"/>
    <s v="NÃO PRECISA"/>
    <m/>
    <x v="0"/>
    <x v="0"/>
    <s v="AG. MEDIÇÃO"/>
    <n v="1"/>
    <x v="0"/>
    <n v="-2"/>
  </r>
  <r>
    <s v="RSCLER0173"/>
    <s v="BVSAB"/>
    <m/>
    <m/>
    <s v="PORTO ALEGRE"/>
    <s v="Carlos Gomes"/>
    <s v="R Anita Garibaldi 1325"/>
    <s v="BVSAB.031.M050"/>
    <d v="2023-11-01T00:00:00"/>
    <x v="0"/>
    <s v="MAICON"/>
    <s v="PAULO GOMES"/>
    <s v="100% - OK"/>
    <s v="OK"/>
    <m/>
    <n v="315"/>
    <s v="315 METROS DE CABO DE 12FO, 2 ABERTURA E FECHAMENTO, 2 FUSÃO, 1 TESTE"/>
    <d v="2023-12-13T00:00:00"/>
    <d v="2023-11-24T00:00:00"/>
    <d v="2023-11-30T00:00:00"/>
    <d v="2023-12-04T00:00:00"/>
    <d v="2023-12-10T00:00:00"/>
    <s v="NÃO PRECISA"/>
    <m/>
    <x v="0"/>
    <x v="0"/>
    <s v="AG. MEDIÇÃO"/>
    <n v="10"/>
    <x v="1"/>
    <n v="7"/>
  </r>
  <r>
    <s v="RSCLER0165"/>
    <s v="BVSAA"/>
    <m/>
    <m/>
    <s v="PORTO ALEGRE"/>
    <s v="Cond. Ed. Mirage"/>
    <s v="R Anita Garibaldi 2298"/>
    <m/>
    <d v="2023-11-01T00:00:00"/>
    <x v="0"/>
    <m/>
    <s v="PAULO GOMES"/>
    <s v="100% - OK"/>
    <s v="OK"/>
    <s v="SEM LANÇAMENTO"/>
    <s v="SEM LANÇAMENTO"/>
    <s v="2 ABERTURA E FECHAMENTO, 4 FUSÃO, 4 TESTE"/>
    <d v="2023-11-20T00:00:00"/>
    <d v="2023-11-14T00:00:00"/>
    <m/>
    <d v="2023-11-16T00:00:00"/>
    <d v="2023-11-16T00:00:00"/>
    <s v="NÃO PRECISA"/>
    <m/>
    <x v="0"/>
    <x v="0"/>
    <s v="AG. MEDIÇÃO"/>
    <n v="2"/>
    <x v="0"/>
    <n v="-1"/>
  </r>
  <r>
    <s v="RSCLER0097"/>
    <s v="BVSAA"/>
    <m/>
    <m/>
    <s v="PORTO ALEGRE"/>
    <s v=" VIVENDAS DO PARQUE"/>
    <s v="R ANITA GARIBALDI 2340"/>
    <m/>
    <d v="2023-07-01T00:00:00"/>
    <x v="0"/>
    <m/>
    <s v="JEFERSON"/>
    <s v="100% - OK"/>
    <s v="-"/>
    <s v="SEM LANÇAMENTO"/>
    <s v="SEM LANÇAMENTO"/>
    <s v="3 ABERTURA E FECHAMENTO, 2 FUSÃO , 1 TESTE"/>
    <d v="2023-07-26T00:00:00"/>
    <d v="2023-07-13T00:00:00"/>
    <d v="2023-07-13T00:00:00"/>
    <d v="2023-07-14T00:00:00"/>
    <d v="2023-07-14T00:00:00"/>
    <s v="NÃO PRECISA"/>
    <m/>
    <x v="0"/>
    <x v="0"/>
    <s v="AG. MEDIÇÃO"/>
    <n v="1"/>
    <x v="0"/>
    <n v="-2"/>
  </r>
  <r>
    <s v="RSCLER0426"/>
    <s v="MTSAA"/>
    <s v="MTSAE"/>
    <s v="PAE BV"/>
    <s v="PORTO ALEGRE"/>
    <s v="Cond Ed Vivendas de Mont Serrat"/>
    <s v="R Anita Garibaldi, 336 "/>
    <s v="MTSAA.091.M020"/>
    <d v="2024-09-01T00:00:00"/>
    <x v="0"/>
    <m/>
    <s v="MARCOS EMILIANO"/>
    <s v="100% - OK"/>
    <s v="OK"/>
    <s v="SEM LANÇAMENTO"/>
    <s v="SEM LANÇAMENTO"/>
    <s v="3 ABERTURA E FECHAMENTO, 2 FUSÃO, 1 TESTE"/>
    <d v="2024-09-20T00:00:00"/>
    <d v="2024-09-12T00:00:00"/>
    <d v="2024-09-13T00:00:00"/>
    <d v="2024-09-18T00:00:00"/>
    <d v="2024-09-18T00:00:00"/>
    <s v="NÃO PRECISA"/>
    <m/>
    <x v="0"/>
    <x v="0"/>
    <s v="AG. MEDIÇÃO"/>
    <n v="4"/>
    <x v="1"/>
    <n v="1"/>
  </r>
  <r>
    <s v="RSCLER0936"/>
    <s v="BFMAA"/>
    <s v="BFMAA"/>
    <s v="PAE IND"/>
    <s v="PORTO ALEGRE"/>
    <s v="CENTRO PROFISSIONAL"/>
    <s v="R ANTÃO DE FARIA 35"/>
    <s v="BFMAA.124.M020"/>
    <d v="2026-06-01T00:00:00"/>
    <x v="0"/>
    <s v="TIAGO FERREIRA"/>
    <s v="AFONSO"/>
    <m/>
    <s v="OK"/>
    <n v="133"/>
    <n v="125"/>
    <s v="FOI LANÇADO 125 METROS DE CABO DE 12FO, 4 ABERTURA E FECHAMENTO, 12 FUSÕES, 2 DERIVAÇÃO, 10 TESTES."/>
    <d v="2026-08-10T00:00:00"/>
    <d v="2026-06-18T00:00:00"/>
    <m/>
    <m/>
    <d v="2026-06-25T00:00:00"/>
    <d v="2026-08-10T00:00:00"/>
    <m/>
    <x v="0"/>
    <x v="0"/>
    <s v="AG. MEDIÇÃO"/>
    <n v="5"/>
    <x v="1"/>
    <n v="2"/>
  </r>
  <r>
    <s v="RSCLER0917"/>
    <s v="BFMAA"/>
    <s v="BFMAA"/>
    <s v="PAE IND"/>
    <s v="PORTO ALEGRE"/>
    <m/>
    <s v="R ANTÃO DE FARIAS 21"/>
    <s v="BFMAA.124.M020"/>
    <d v="2026-06-01T00:00:00"/>
    <x v="0"/>
    <m/>
    <s v="CATIA"/>
    <m/>
    <s v="OK"/>
    <s v="SEM LANÇAMENTO"/>
    <s v="SEM LANÇAMENTO"/>
    <s v="COBRAR JUNTO NA OS RSCLER0916"/>
    <d v="2026-07-07T00:00:00"/>
    <d v="2026-06-15T00:00:00"/>
    <m/>
    <m/>
    <d v="2026-06-16T00:00:00"/>
    <d v="2026-07-07T00:00:00"/>
    <m/>
    <x v="0"/>
    <x v="0"/>
    <s v="AG. MEDIÇÃO"/>
    <n v="1"/>
    <x v="0"/>
    <n v="-2"/>
  </r>
  <r>
    <s v="RSCLER0192"/>
    <s v="TRLAA"/>
    <m/>
    <m/>
    <s v="PORTO ALEGRE"/>
    <s v="Cond. Vidaviva Linked"/>
    <s v="R Antonio Sereno Moretto 55"/>
    <m/>
    <d v="2023-11-01T00:00:00"/>
    <x v="0"/>
    <s v="MAICON"/>
    <s v="LUCAS HOBERT"/>
    <s v="100% - OK"/>
    <s v="-"/>
    <m/>
    <n v="310"/>
    <s v="310 METROS DE CABO 12FO, 70 METROS DE CORDOALHA, FAZER AS BUILTS, 1 ABERTURA E FECHAMENTO, 6 FUSÃO, 1 CX NOVA, 1 DERIVAÇÃO, 3 TESTE"/>
    <d v="2023-12-13T00:00:00"/>
    <d v="2023-11-24T00:00:00"/>
    <d v="2023-11-30T00:00:00"/>
    <d v="2023-12-02T00:00:00"/>
    <d v="2023-12-07T00:00:00"/>
    <s v="NÃO PRECISA"/>
    <m/>
    <x v="0"/>
    <x v="0"/>
    <s v="AG. MEDIÇÃO"/>
    <n v="9"/>
    <x v="1"/>
    <n v="6"/>
  </r>
  <r>
    <s v="RSCLER0817"/>
    <s v="RBTAA"/>
    <s v="RBTALB"/>
    <s v="RSPNOA8"/>
    <s v="PORTO ALEGRE"/>
    <m/>
    <s v="R ARI BARROSO 36"/>
    <s v="RBTAA.021.M010"/>
    <d v="2026-04-01T00:00:00"/>
    <x v="0"/>
    <s v="AUGUSTO"/>
    <s v="AUGUSTO"/>
    <m/>
    <m/>
    <n v="142"/>
    <n v="149"/>
    <s v="FOI LANÇADO 149 METROS DE CABO DE 12FO, 1 CX NOVA, 1 NAP NOVA, 13 FUSÕES, 9 TESTES. COBRAR JUNTO COM A OS RSCLER0803"/>
    <d v="2026-04-20T00:00:00"/>
    <d v="2026-04-01T00:00:00"/>
    <m/>
    <m/>
    <d v="2026-04-14T00:00:00"/>
    <d v="2026-04-20T00:00:00"/>
    <m/>
    <x v="0"/>
    <x v="0"/>
    <s v="AG. MEDIÇÃO"/>
    <n v="9"/>
    <x v="1"/>
    <n v="6"/>
  </r>
  <r>
    <s v="RSCLER0859"/>
    <s v="MNDAC"/>
    <m/>
    <m/>
    <s v="PORTO ALEGRE"/>
    <s v="Cond. ED. DNA ESTHER"/>
    <s v="R BARBEDO,474"/>
    <s v="MNDAC.133.M030"/>
    <d v="2026-05-01T00:00:00"/>
    <x v="0"/>
    <m/>
    <s v="CATIA"/>
    <m/>
    <m/>
    <s v="SEM LANÇAMENTO"/>
    <s v="SEM LANÇAMENTO"/>
    <s v="2 ABERTURA E FECHAMENTO, 1 FUSÃO, 1 TESTE"/>
    <d v="2026-05-18T00:00:00"/>
    <d v="2026-05-13T00:00:00"/>
    <m/>
    <m/>
    <d v="2026-05-14T00:00:00"/>
    <d v="2026-05-18T00:00:00"/>
    <m/>
    <x v="0"/>
    <x v="0"/>
    <s v="AG. MEDIÇÃO"/>
    <n v="1"/>
    <x v="0"/>
    <n v="-2"/>
  </r>
  <r>
    <s v="RSCLER0993"/>
    <s v="JBOAA"/>
    <m/>
    <m/>
    <s v="PORTO ALEGRE"/>
    <s v="Edifício Hermitage"/>
    <s v="R BORGES DO CANTO 189"/>
    <s v="JBOAA.051.M070"/>
    <d v="2026-07-01T00:00:00"/>
    <x v="0"/>
    <m/>
    <s v="CATIA"/>
    <m/>
    <s v="OK"/>
    <s v="SEM LANÇAMENTO"/>
    <s v="SEM LANÇAMENTO"/>
    <s v="2 ABERTURA E FECHAMENTO, 1 FUSÃO, 1 TESTE.."/>
    <d v="2026-08-18T00:00:00"/>
    <d v="2026-07-16T00:00:00"/>
    <m/>
    <m/>
    <d v="2026-07-23T00:00:00"/>
    <d v="2026-08-18T00:00:00"/>
    <m/>
    <x v="0"/>
    <x v="0"/>
    <s v="AG. MEDIÇÃO"/>
    <n v="5"/>
    <x v="1"/>
    <n v="2"/>
  </r>
  <r>
    <s v="RSCLER0163"/>
    <s v="MTSAA"/>
    <m/>
    <m/>
    <s v="PORTO ALEGRE"/>
    <s v="Cond. Ubah Bela Vista"/>
    <s v="R BR DE UBA 23"/>
    <m/>
    <d v="2023-11-01T00:00:00"/>
    <x v="0"/>
    <m/>
    <s v="LUCAS HOBERT"/>
    <s v="100% - OK"/>
    <s v="OK"/>
    <s v="SEM LANÇAMENTO"/>
    <s v="SEM LANÇAMENTO"/>
    <s v="2 ABERTURA E FECHAMENTO, 3 FUSÃO, 3 TESTE"/>
    <d v="2023-11-20T00:00:00"/>
    <d v="2023-11-14T00:00:00"/>
    <m/>
    <d v="2023-11-16T00:00:00"/>
    <d v="2023-11-16T00:00:00"/>
    <s v="NÃO PRECISA"/>
    <m/>
    <x v="0"/>
    <x v="0"/>
    <s v="AG. MEDIÇÃO"/>
    <n v="2"/>
    <x v="0"/>
    <n v="-1"/>
  </r>
  <r>
    <s v="RSCLER0868"/>
    <s v="MTSAA"/>
    <m/>
    <m/>
    <s v="PORTO ALEGRE"/>
    <m/>
    <s v="R BR DE UBA,199"/>
    <s v="MTSAA.305.M020"/>
    <d v="2026-05-01T00:00:00"/>
    <x v="0"/>
    <m/>
    <s v="CATIA"/>
    <m/>
    <m/>
    <s v="SEM LANÇAMENTO"/>
    <s v="SEM LANÇAMENTO"/>
    <s v="2  ABERTURA E FECHAMENTO, 3 FUSÕES, 2 TESTES, 1 TESTE OTDR"/>
    <d v="2026-05-20T00:00:00"/>
    <d v="2026-05-16T00:00:00"/>
    <m/>
    <m/>
    <d v="2026-05-15T00:00:00"/>
    <d v="2026-05-20T00:00:00"/>
    <m/>
    <x v="0"/>
    <x v="0"/>
    <s v="AG. MEDIÇÃO"/>
    <n v="-2"/>
    <x v="0"/>
    <n v="-5"/>
  </r>
  <r>
    <s v="RSCLER0133"/>
    <s v="CNTAA"/>
    <m/>
    <m/>
    <s v="CANOAS "/>
    <s v="RESID VILLAGGIO BRASIL "/>
    <s v="R BRASIL 121"/>
    <m/>
    <d v="2023-09-01T00:00:00"/>
    <x v="0"/>
    <m/>
    <s v="MARCOS EMILIANO/ FELIPE"/>
    <s v="100% - OK"/>
    <s v="OK"/>
    <s v="SEM LANÇAMENTO"/>
    <s v="SEM LANÇAMENTO"/>
    <s v="1 ABERTURA E FECHAMENTO, 9 FUSÃO"/>
    <d v="2023-10-30T00:00:00"/>
    <d v="2023-09-28T00:00:00"/>
    <m/>
    <d v="2023-10-06T00:00:00"/>
    <d v="2023-10-10T00:00:00"/>
    <s v="NÃO PRECISA"/>
    <m/>
    <x v="0"/>
    <x v="0"/>
    <s v="AG. MEDIÇÃO"/>
    <n v="8"/>
    <x v="1"/>
    <n v="5"/>
  </r>
  <r>
    <s v="RSCLER0709"/>
    <s v="JBOAA"/>
    <s v="JBOAG"/>
    <s v="RSPLE18"/>
    <s v="PORTO ALEGRE"/>
    <m/>
    <s v="R BUENOS AIRES 402 "/>
    <s v="JBOAA.021.M020"/>
    <d v="2025-08-01T00:00:00"/>
    <x v="0"/>
    <m/>
    <s v="DIOGO"/>
    <s v="100% - OK"/>
    <m/>
    <s v="SEM LANÇAMENTO"/>
    <s v="SEM LANÇAMENTO"/>
    <s v="2 ABERTURA E FECHAMENTO, 2 FUSÃO, 2 TESTE"/>
    <d v="2025-09-08T00:00:00"/>
    <d v="2025-08-20T00:00:00"/>
    <m/>
    <m/>
    <d v="2025-09-01T00:00:00"/>
    <d v="2025-09-08T00:00:00"/>
    <m/>
    <x v="0"/>
    <x v="0"/>
    <s v="AG. MEDIÇÃO"/>
    <n v="8"/>
    <x v="1"/>
    <n v="5"/>
  </r>
  <r>
    <s v="RSCLER0875"/>
    <s v="PETAA"/>
    <m/>
    <m/>
    <s v="PORTO ALEGRE"/>
    <m/>
    <s v="R CARAZINHO ,145"/>
    <s v="PETAA.154.M020"/>
    <d v="2026-05-01T00:00:00"/>
    <x v="0"/>
    <m/>
    <s v="CATIA"/>
    <m/>
    <m/>
    <s v="SEM LANÇAMENTO"/>
    <s v="SEM LANÇAMENTO"/>
    <s v="2 ABERTURA E FECHAMENTO, 3 FUSÕES, 1 TESTE OTDR, 2 TESTES."/>
    <d v="2026-05-20T00:00:00"/>
    <d v="2026-05-16T00:00:00"/>
    <m/>
    <m/>
    <d v="2026-05-17T00:00:00"/>
    <d v="2026-05-20T00:00:00"/>
    <m/>
    <x v="0"/>
    <x v="0"/>
    <s v="AG. MEDIÇÃO"/>
    <n v="-1"/>
    <x v="0"/>
    <n v="-4"/>
  </r>
  <r>
    <s v="RSCLER1029"/>
    <s v="PETAA"/>
    <s v="PETAR"/>
    <s v="RSPLE11"/>
    <s v="PORTO ALEGRE"/>
    <s v="COND. LOUZANNE"/>
    <s v="R CARAZINHO 217"/>
    <s v="PETAA.152.M030"/>
    <d v="2026-08-01T00:00:00"/>
    <x v="0"/>
    <m/>
    <s v="CATIA"/>
    <m/>
    <s v="OK"/>
    <s v="SEM LANÇAMENTO"/>
    <s v="SEM LANÇAMENTO"/>
    <s v="4 ABERTURA E FECHAMENTO, 6 FUSÕES, 3 TESTES."/>
    <d v="2026-08-25T00:00:00"/>
    <d v="2026-08-13T00:00:00"/>
    <m/>
    <m/>
    <d v="2026-08-17T00:00:00"/>
    <d v="2026-08-25T00:00:00"/>
    <m/>
    <x v="0"/>
    <x v="0"/>
    <s v="AG. MEDIÇÃO"/>
    <n v="2"/>
    <x v="0"/>
    <n v="-1"/>
  </r>
  <r>
    <s v="RSCLER0980"/>
    <s v="PETAA"/>
    <s v="PETAR"/>
    <s v="RSPLE11"/>
    <s v="PORTO ALEGRE"/>
    <s v="Edifício Abott Carazinho"/>
    <s v="R CARAZINHO 242"/>
    <s v="PETAA.152.M030"/>
    <d v="2026-07-01T00:00:00"/>
    <x v="0"/>
    <m/>
    <s v="CATIA"/>
    <m/>
    <s v="OK"/>
    <s v="SEM LANÇAMENTO"/>
    <s v="SEM LANÇAMENTO"/>
    <s v="4 ABERTURA E FECHAMENTO, 11 FUSÕES, 5 TESTES.1 TESTE OTDR, 1 DERIVAÇÃO."/>
    <d v="2026-08-18T00:00:00"/>
    <d v="2026-07-21T00:00:00"/>
    <m/>
    <m/>
    <d v="2026-07-24T00:00:00"/>
    <d v="2026-08-18T00:00:00"/>
    <m/>
    <x v="0"/>
    <x v="0"/>
    <s v="AG. MEDIÇÃO"/>
    <n v="3"/>
    <x v="0"/>
    <n v="0"/>
  </r>
  <r>
    <s v="RSCLER1014"/>
    <s v="PETAA"/>
    <s v="PETAR"/>
    <s v="RSPLE11"/>
    <s v="PORTO ALEGRE"/>
    <s v="Edifício Carazinho"/>
    <s v="R CARAZINHO 245"/>
    <s v="PETAA.152.M010"/>
    <d v="2026-08-01T00:00:00"/>
    <x v="0"/>
    <m/>
    <s v="CATIA"/>
    <m/>
    <s v="OK"/>
    <s v="SEM LANÇAMENTO"/>
    <s v="SEM LANÇAMENTO"/>
    <s v="3 ABERTURA E FECHAMENTO, 4 FUSÕES, 2 TESTES, 2 TESTES OTDR"/>
    <d v="2026-08-20T00:00:00"/>
    <d v="2026-08-06T00:00:00"/>
    <m/>
    <m/>
    <d v="2026-08-07T00:00:00"/>
    <d v="2026-08-20T00:00:00"/>
    <m/>
    <x v="0"/>
    <x v="0"/>
    <s v="AG. MEDIÇÃO"/>
    <n v="1"/>
    <x v="0"/>
    <n v="-2"/>
  </r>
  <r>
    <s v="RSCLER0981"/>
    <s v="PETAA"/>
    <s v="PETAR"/>
    <s v="RSPLE11"/>
    <s v="PORTO ALEGRE"/>
    <s v="Edifício Solar Petrópolis"/>
    <s v="R CARAZINHO 299"/>
    <s v="PETAA.152.M030"/>
    <d v="2026-07-01T00:00:00"/>
    <x v="0"/>
    <m/>
    <s v="CATIA"/>
    <m/>
    <s v="OK"/>
    <s v="SEM LANÇAMENTO"/>
    <s v="SEM LANÇAMENTO"/>
    <s v="COBRAR JUNTO COM A OS RSCLER0980"/>
    <d v="2026-08-18T00:00:00"/>
    <d v="2026-07-21T00:00:00"/>
    <m/>
    <m/>
    <d v="2026-07-24T00:00:00"/>
    <d v="2026-08-18T00:00:00"/>
    <m/>
    <x v="0"/>
    <x v="0"/>
    <s v="AG. MEDIÇÃO"/>
    <n v="3"/>
    <x v="0"/>
    <n v="0"/>
  </r>
  <r>
    <s v="RSCLER0824"/>
    <s v="RBTAB"/>
    <s v="RBTAD"/>
    <s v="RSPNO22"/>
    <s v="PORTO ALEGRE"/>
    <m/>
    <s v="R CARLOS ESTEVAO 435"/>
    <s v="RBTAB.034.M010"/>
    <d v="2026-04-01T00:00:00"/>
    <x v="0"/>
    <m/>
    <s v="CATIA"/>
    <m/>
    <m/>
    <s v="SEM LANÇAMENTO"/>
    <s v="SEM LANÇAMENTO"/>
    <s v="2 ABERTURA E FECHAMENTO, 4 FUSÕES, 4 TESTES"/>
    <d v="2026-04-20T00:00:00"/>
    <d v="2026-04-17T00:00:00"/>
    <d v="2026-04-18T00:00:00"/>
    <m/>
    <d v="2026-04-18T00:00:00"/>
    <d v="2026-04-20T00:00:00"/>
    <m/>
    <x v="0"/>
    <x v="0"/>
    <s v="AG. MEDIÇÃO"/>
    <n v="0"/>
    <x v="0"/>
    <n v="-3"/>
  </r>
  <r>
    <s v="RSCLER1027"/>
    <s v="RBTAB"/>
    <s v="RBTAD"/>
    <s v="RSPNO22"/>
    <s v="PORTO ALEGRE"/>
    <m/>
    <s v="R CARLOS ESTEVÃO 460"/>
    <s v="RBTAB.034.M010"/>
    <d v="2026-08-01T00:00:00"/>
    <x v="0"/>
    <m/>
    <s v="CATIA"/>
    <m/>
    <s v="OK"/>
    <s v="SEM LANÇAMENTO"/>
    <s v="SEM LANÇAMENTO"/>
    <s v="5 ABERTURA E FECHAMENTO, 15 FUSÕES, 8 TESTES, 1 TESTE OTDR."/>
    <d v="2026-08-20T00:00:00"/>
    <d v="2026-08-10T00:00:00"/>
    <m/>
    <m/>
    <d v="2026-08-14T00:00:00"/>
    <d v="2026-08-20T00:00:00"/>
    <m/>
    <x v="0"/>
    <x v="0"/>
    <s v="AG. MEDIÇÃO"/>
    <n v="4"/>
    <x v="1"/>
    <n v="1"/>
  </r>
  <r>
    <s v="RSCLER0836"/>
    <s v="RBTAB"/>
    <s v="RBTAD"/>
    <s v="RSPNO22"/>
    <s v="PORTO ALEGRE"/>
    <s v="Cond Praia dos Artistas"/>
    <s v="R CARLOS ESTEVÃO 620"/>
    <s v="RBTAB.034.M020"/>
    <d v="2026-04-01T00:00:00"/>
    <x v="0"/>
    <m/>
    <s v="CATIA"/>
    <m/>
    <m/>
    <s v="SEM LANÇAMENTO"/>
    <s v="SEM LANÇAMENTO"/>
    <s v="3 ABERTURA E FECHAMENTO, 8 FUSÕES, 5 TESTES, 1 TESTE OTDR"/>
    <d v="2026-05-19T00:00:00"/>
    <d v="2026-04-24T00:00:00"/>
    <m/>
    <m/>
    <d v="2026-04-27T00:00:00"/>
    <d v="2026-05-19T00:00:00"/>
    <m/>
    <x v="0"/>
    <x v="0"/>
    <s v="AG. MEDIÇÃO"/>
    <n v="1"/>
    <x v="0"/>
    <n v="-2"/>
  </r>
  <r>
    <s v="RSCLER0887"/>
    <s v="RBTAB"/>
    <m/>
    <m/>
    <s v="PORTO ALEGRE"/>
    <m/>
    <s v="R CARLOS ESTEVAO 740"/>
    <s v="RBTAB.041.M020"/>
    <d v="2026-05-01T00:00:00"/>
    <x v="0"/>
    <s v="TIAGO FERREIRA"/>
    <s v="CATIA"/>
    <m/>
    <s v="OK"/>
    <n v="153"/>
    <n v="161"/>
    <s v="FOI LANÇADO 161 METROS DE CABO DE 12FO, 3 ABERTURA E FECHAMENTO, 5 FUSÕES, 2 DERIVAÇÕES, 2 TESTES."/>
    <d v="2026-08-10T00:00:00"/>
    <d v="2026-05-28T00:00:00"/>
    <m/>
    <m/>
    <d v="2026-05-30T00:00:00"/>
    <d v="2026-08-07T00:00:00"/>
    <m/>
    <x v="0"/>
    <x v="0"/>
    <s v="AG. MEDIÇÃO"/>
    <n v="1"/>
    <x v="0"/>
    <n v="-2"/>
  </r>
  <r>
    <s v="RSCLER0613"/>
    <s v="RBTAB"/>
    <s v="RBTAB"/>
    <s v="RSPNO22"/>
    <s v="PORTO ALEGRE"/>
    <m/>
    <s v="R CARLOS ESTEVÃO, 955"/>
    <s v="RBTAB.062.M030"/>
    <d v="2025-05-01T00:00:00"/>
    <x v="0"/>
    <s v="UBIRATAN"/>
    <s v="ALEXANDRE/ DIOGO"/>
    <m/>
    <m/>
    <n v="84"/>
    <n v="100"/>
    <s v="FOI LANÇADO 100 METROS DE CABO DE 12FO, 3 ABERTURAS E FECHAMENTO, 6 TESTES, 1 TESTE OTDR"/>
    <d v="2025-06-18T00:00:00"/>
    <d v="2025-05-30T00:00:00"/>
    <m/>
    <m/>
    <d v="2025-06-03T00:00:00"/>
    <s v="NÃO PRECISA"/>
    <m/>
    <x v="0"/>
    <x v="0"/>
    <s v="AG. MEDIÇÃO"/>
    <n v="2"/>
    <x v="0"/>
    <n v="-1"/>
  </r>
  <r>
    <s v="RSCLER0834"/>
    <s v="NAVAA"/>
    <m/>
    <m/>
    <s v="PORTO ALEGRE"/>
    <m/>
    <s v="R CARLOS VON KOSERITZ 334"/>
    <s v="NAVAA.034.M020"/>
    <d v="2026-04-01T00:00:00"/>
    <x v="0"/>
    <m/>
    <s v="CATIA"/>
    <m/>
    <m/>
    <s v="SEM LANÇAMENTO"/>
    <s v="SEM LANÇAMENTO"/>
    <s v="2 ABERTURA E FECHAMENTO, 1 FUSÃO, 1 TESTE"/>
    <d v="2026-05-15T00:00:00"/>
    <d v="2026-04-23T00:00:00"/>
    <m/>
    <m/>
    <d v="2026-04-26T00:00:00"/>
    <d v="2026-05-15T00:00:00"/>
    <m/>
    <x v="0"/>
    <x v="0"/>
    <s v="AG. MEDIÇÃO"/>
    <n v="1"/>
    <x v="0"/>
    <n v="-2"/>
  </r>
  <r>
    <s v="RSCLER0289"/>
    <s v="MTSAA"/>
    <s v="MTSAOB"/>
    <s v="PAE BV"/>
    <s v="PORTO ALEGRE"/>
    <s v="DIRETORIA"/>
    <s v="R Carvalho Monteiro"/>
    <s v="MTSAA.151.M050"/>
    <d v="2024-04-01T00:00:00"/>
    <x v="0"/>
    <s v="TIAGO LAMBRETA"/>
    <s v="FABIO AMARILIO"/>
    <s v="100% - OK"/>
    <s v="OK"/>
    <m/>
    <n v="347"/>
    <s v="FOI LANÇADO 347 METROS DE CABO DE 12FO, 3 ABERTURA E FECHAMENTO, 16 FUSÃO, 1 CX NOVA, 1 DERIVAÇÃO, 7 TESTE"/>
    <d v="2024-06-26T00:00:00"/>
    <d v="2024-04-26T00:00:00"/>
    <d v="2024-06-06T00:00:00"/>
    <d v="2024-06-11T00:00:00"/>
    <d v="2024-06-11T00:00:00"/>
    <s v="NÃO PRECISA"/>
    <m/>
    <x v="0"/>
    <x v="0"/>
    <s v="AG. MEDIÇÃO"/>
    <n v="32"/>
    <x v="1"/>
    <n v="29"/>
  </r>
  <r>
    <s v="RSCLER0642"/>
    <s v="RBRAQ"/>
    <m/>
    <s v="PAE BV"/>
    <s v="PORTO ALEGRE"/>
    <s v="Cond. Livile"/>
    <s v="R Casemiro de Abreu 1655"/>
    <s v="RBRAQ.001.M010"/>
    <d v="2025-06-01T00:00:00"/>
    <x v="0"/>
    <m/>
    <s v="DIOGO"/>
    <m/>
    <m/>
    <s v="SEM LANÇAMENTO"/>
    <s v="SEM LANÇAMENTO"/>
    <s v="3 ABERTURA E FECHAMENTO, 5 FUSÕES, 3 TESTES"/>
    <d v="2025-07-07T00:00:00"/>
    <d v="2025-06-18T00:00:00"/>
    <m/>
    <m/>
    <d v="2025-06-24T00:00:00"/>
    <s v="NÃO PRECISA"/>
    <m/>
    <x v="0"/>
    <x v="0"/>
    <s v="AG. MEDIÇÃO"/>
    <n v="4"/>
    <x v="1"/>
    <n v="1"/>
  </r>
  <r>
    <s v="RSCLER0934"/>
    <s v="BFMAA"/>
    <s v="RBRAFA"/>
    <s v="PAE IND"/>
    <s v="PORTO ALEGRE"/>
    <s v="Cond Jd Solar"/>
    <s v="R CASTRO ALVES 272"/>
    <s v="BFMAA.092.M020"/>
    <d v="2026-06-01T00:00:00"/>
    <x v="0"/>
    <m/>
    <s v="AFONSO"/>
    <m/>
    <s v="OK"/>
    <s v="SEM LANÇAMENTO"/>
    <s v="SEM LANÇAMENTO"/>
    <s v="2 ABERTURA E FECHAMENTO, 1 FUSÃO, 1 TESTES"/>
    <d v="2026-06-22T00:00:00"/>
    <d v="2026-06-16T00:00:00"/>
    <m/>
    <m/>
    <d v="2026-06-18T00:00:00"/>
    <d v="2026-06-22T00:00:00"/>
    <m/>
    <x v="0"/>
    <x v="0"/>
    <s v="AG. MEDIÇÃO"/>
    <n v="2"/>
    <x v="0"/>
    <n v="-1"/>
  </r>
  <r>
    <s v="RSCLER0984"/>
    <s v="BFMAA"/>
    <s v="RBRAFA"/>
    <s v="PAE IND"/>
    <s v="PORTO ALEGRE"/>
    <m/>
    <s v="R CASTRO ALVES 45"/>
    <s v="BFMAA.091.M010"/>
    <d v="2026-07-01T00:00:00"/>
    <x v="0"/>
    <m/>
    <s v="CATIA"/>
    <m/>
    <s v="OK"/>
    <s v="SEM LANÇAMENTO"/>
    <s v="SEM LANÇAMENTO"/>
    <s v="2 ABERTURA E FECHAMENTO, 4 FUSÕES, 2 TESTES OTDR "/>
    <d v="2026-07-18T00:00:00"/>
    <d v="2026-07-16T00:00:00"/>
    <m/>
    <m/>
    <d v="2026-07-18T00:00:00"/>
    <d v="2026-07-18T00:00:00"/>
    <m/>
    <x v="0"/>
    <x v="0"/>
    <s v="AG. MEDIÇÃO"/>
    <n v="1"/>
    <x v="0"/>
    <n v="-2"/>
  </r>
  <r>
    <s v="RSCLER0986"/>
    <s v="BFMAA"/>
    <s v="RBRAFA"/>
    <s v="PAE IND"/>
    <s v="PORTO ALEGRE"/>
    <m/>
    <s v="R CASTRO ALVES 45 / R FERNANDES VIEIRA 181"/>
    <s v="BFMAA.091.M010"/>
    <d v="2026-07-01T00:00:00"/>
    <x v="0"/>
    <s v="CLEVERSON"/>
    <s v="CLEVERSON"/>
    <m/>
    <s v="OK"/>
    <n v="653"/>
    <n v="653"/>
    <s v="FOI LANÇADO 506 METROS DE CABO DE 48FO E 147 METROS DE CABO DE 12FO, 1 ABERTURA E FECHAMENTO, 2 CX NOVAS, 3 DERIVAÇÃO, 12 FUSÕES, 6 TESTES. COBRAR AS BUILTS."/>
    <d v="2026-07-24T00:00:00"/>
    <d v="2026-07-17T00:00:00"/>
    <m/>
    <m/>
    <d v="2026-07-18T00:00:00"/>
    <d v="2026-07-24T00:00:00"/>
    <m/>
    <x v="0"/>
    <x v="0"/>
    <s v="AG. MEDIÇÃO"/>
    <n v="0"/>
    <x v="0"/>
    <n v="-3"/>
  </r>
  <r>
    <s v="RSCLER1006"/>
    <s v="BFMAB"/>
    <s v="RBRAI"/>
    <s v="RSPCE13"/>
    <s v="PORTO ALEGRE"/>
    <s v="Edifício Castro Alves"/>
    <s v="R CASTRO ALVES 607 "/>
    <s v="BFMAB.182.M020"/>
    <d v="2026-07-01T00:00:00"/>
    <x v="0"/>
    <m/>
    <s v="CATIA"/>
    <m/>
    <s v="OK"/>
    <s v="SEM LANÇAMENTO"/>
    <s v="SEM LANÇAMENTO"/>
    <s v="2 ABERTURA E FECHAMENTO, 2 FUSÕES, 1 TESTE, 1 OTDR."/>
    <d v="2026-08-27T00:00:00"/>
    <d v="2026-07-29T00:00:00"/>
    <m/>
    <d v="2026-07-30T00:00:00"/>
    <d v="2026-07-29T00:00:00"/>
    <d v="2026-08-27T00:00:00"/>
    <m/>
    <x v="0"/>
    <x v="0"/>
    <s v="AG. MEDIÇÃO"/>
    <n v="0"/>
    <x v="0"/>
    <n v="-3"/>
  </r>
  <r>
    <s v="RSCLER0752"/>
    <s v="VIPAA"/>
    <s v="VIPAOA"/>
    <s v="RSPNO19"/>
    <s v="PORTO ALEGRE"/>
    <s v="Tree Haus By Porsche"/>
    <s v="Av. Veríssimo de Amaral, 536"/>
    <s v="VIPAA.041.M010"/>
    <d v="2025-11-26T00:00:00"/>
    <x v="0"/>
    <m/>
    <s v="DIOGO"/>
    <m/>
    <m/>
    <s v="SEM LANÇAMENTO"/>
    <s v="SEM LANÇAMENTO"/>
    <m/>
    <m/>
    <d v="2025-11-12T00:00:00"/>
    <m/>
    <m/>
    <d v="2025-11-13T00:00:00"/>
    <m/>
    <m/>
    <x v="2"/>
    <x v="2"/>
    <s v="AG. RELATÓRIO"/>
    <n v="1"/>
    <x v="0"/>
    <n v="-2"/>
  </r>
  <r>
    <s v="RSCLER0990"/>
    <s v="BFMAA"/>
    <s v="FLOAPB"/>
    <s v="PAE IND"/>
    <s v="PORTO ALEGRE"/>
    <m/>
    <s v="R CDOR AZEVEDO 497"/>
    <s v="BFMAA.033.M030"/>
    <d v="2026-07-01T00:00:00"/>
    <x v="0"/>
    <m/>
    <s v="CATIA"/>
    <m/>
    <s v="OK"/>
    <s v="SEM LANÇAMENTO"/>
    <s v="SEM LANÇAMENTO"/>
    <s v="2 ABERTURA E FECHAMENTO, 2 FUSÕES, 1 TESTES, 1 TESTE OTDR"/>
    <d v="2026-08-18T00:00:00"/>
    <d v="2026-07-21T00:00:00"/>
    <m/>
    <m/>
    <d v="2026-07-23T00:00:00"/>
    <d v="2026-08-18T00:00:00"/>
    <m/>
    <x v="0"/>
    <x v="0"/>
    <s v="AG. MEDIÇÃO"/>
    <n v="2"/>
    <x v="0"/>
    <n v="-1"/>
  </r>
  <r>
    <s v="RSCLER0123"/>
    <s v="TRLAA"/>
    <m/>
    <m/>
    <s v="PORTO ALEGRE"/>
    <s v=" APARICIO BORGES "/>
    <s v="R CEL APARICIO BORGES 1568"/>
    <m/>
    <d v="2023-09-01T00:00:00"/>
    <x v="0"/>
    <s v="ALAN GOMES"/>
    <s v="FABIO AMARILIO"/>
    <s v="100% - OK"/>
    <s v="-"/>
    <m/>
    <n v="452"/>
    <s v="3 ABERTURA E FECHAMENTO, 9 FUSÃO, 1 CX NOVA, 1 DERIVAÇÃO, 3 TESTE, FOI LANÇADO 452 METROS DE CABO DE 12FO, 27 METROS DE CORDOALHA."/>
    <d v="2023-10-04T00:00:00"/>
    <d v="2023-09-06T00:00:00"/>
    <d v="2023-09-14T00:00:00"/>
    <d v="2023-09-16T00:00:00"/>
    <d v="2023-09-16T00:00:00"/>
    <s v="NÃO PRECISA"/>
    <m/>
    <x v="0"/>
    <x v="0"/>
    <s v="AG. MEDIÇÃO"/>
    <n v="7"/>
    <x v="1"/>
    <n v="4"/>
  </r>
  <r>
    <s v="RSCLER0328"/>
    <s v="NAVAA"/>
    <s v="BVSAD"/>
    <s v="RSPNO05"/>
    <s v="PORTO ALEGRE"/>
    <s v="NEW HORIZON"/>
    <s v="R CEL FEIJO 516 "/>
    <s v="NAVAA.123.M070"/>
    <d v="2024-06-01T00:00:00"/>
    <x v="0"/>
    <s v="ALAN VASCONCELOS"/>
    <s v="FABIO AMARILIO"/>
    <s v="100% - OK"/>
    <s v="OK"/>
    <m/>
    <n v="220"/>
    <s v="FOI LANÇADO 220 METROS DE CABO DE 12FO, 3 ABERTURA E FECHAMENTO, 1 DERIVAÇÃO, 1 CX NOVA, 6 FUSÃO, 2 TESTE"/>
    <d v="2024-07-24T00:00:00"/>
    <d v="2024-06-27T00:00:00"/>
    <d v="2024-06-28T00:00:00"/>
    <d v="2024-07-01T00:00:00"/>
    <d v="2024-07-01T00:00:00"/>
    <s v="NÃO PRECISA"/>
    <m/>
    <x v="0"/>
    <x v="0"/>
    <s v="AG. MEDIÇÃO"/>
    <n v="2"/>
    <x v="0"/>
    <n v="-1"/>
  </r>
  <r>
    <s v="RSCLER0141"/>
    <s v="CNTAA"/>
    <m/>
    <m/>
    <s v="PORTO ALEGRE"/>
    <s v="Edf Santa Lucia"/>
    <s v="R Cel Genuino 280"/>
    <m/>
    <d v="2023-10-01T00:00:00"/>
    <x v="0"/>
    <m/>
    <s v="BRUNO"/>
    <s v="100% - OK"/>
    <s v="-"/>
    <s v="SEM LANÇAMENTO"/>
    <s v="SEM LANÇAMENTO"/>
    <s v="2 ABERTURA E FECHAMENTO, 4 FUSÃO, 2 DERIVAÇÃO, 100 METROS DE CABO "/>
    <d v="2023-10-24T00:00:00"/>
    <d v="2023-10-12T00:00:00"/>
    <d v="2023-10-17T00:00:00"/>
    <d v="2023-10-17T00:00:00"/>
    <d v="2023-10-17T00:00:00"/>
    <s v="NÃO PRECISA"/>
    <m/>
    <x v="0"/>
    <x v="0"/>
    <s v="AG. MEDIÇÃO"/>
    <n v="3"/>
    <x v="0"/>
    <n v="0"/>
  </r>
  <r>
    <s v="RSCLER0920"/>
    <s v="BFMAA"/>
    <s v="BFMADA"/>
    <s v="PAE IND"/>
    <s v="PORTO ALEGRE"/>
    <s v="ED CEL VICENTE"/>
    <s v="R CEL VICENTE 625"/>
    <s v="BFMAA.023.M070"/>
    <d v="2026-06-01T00:00:00"/>
    <x v="0"/>
    <m/>
    <s v="CATIA"/>
    <m/>
    <s v="OK"/>
    <s v="SEM LANÇAMENTO"/>
    <s v="SEM LANÇAMENTO"/>
    <s v="COBRAR NA MESMA OS DA RSCLER0911"/>
    <d v="2026-07-07T00:00:00"/>
    <d v="2026-06-10T00:00:00"/>
    <m/>
    <m/>
    <d v="2026-06-15T00:00:00"/>
    <d v="2026-07-07T00:00:00"/>
    <m/>
    <x v="0"/>
    <x v="0"/>
    <s v="AG. MEDIÇÃO"/>
    <n v="3"/>
    <x v="0"/>
    <n v="0"/>
  </r>
  <r>
    <s v="RSCLER0921"/>
    <s v="BFMAA"/>
    <s v="RBRAFA"/>
    <s v="PAE IND"/>
    <s v="PORTO ALEGRE"/>
    <m/>
    <s v="R CEL. FERNANDES VIEIRA 146"/>
    <s v="BFMAA.091.M010"/>
    <d v="2026-06-01T00:00:00"/>
    <x v="0"/>
    <m/>
    <s v="CATIA"/>
    <m/>
    <s v="OK"/>
    <s v="SEM LANÇAMENTO"/>
    <s v="SEM LANÇAMENTO"/>
    <s v="COBRAR JUNTO COM A OS RSCLER0910"/>
    <d v="2026-07-07T00:00:00"/>
    <d v="2026-06-09T00:00:00"/>
    <m/>
    <m/>
    <d v="2026-06-11T00:00:00"/>
    <d v="2026-07-07T00:00:00"/>
    <m/>
    <x v="0"/>
    <x v="0"/>
    <s v="AG. MEDIÇÃO"/>
    <n v="2"/>
    <x v="0"/>
    <n v="-1"/>
  </r>
  <r>
    <s v="RSCLER0910"/>
    <s v="BFMAA"/>
    <s v="RBRAFA"/>
    <s v="PAE IND"/>
    <s v="PORTO ALEGRE"/>
    <s v="Cond. Edifício Éden"/>
    <s v="R CEL. FERNANDES VIEIRA 155"/>
    <s v="BFMAA.091.M010"/>
    <d v="2026-06-01T00:00:00"/>
    <x v="0"/>
    <m/>
    <s v="CATIA"/>
    <m/>
    <s v="OK"/>
    <s v="SEM LANÇAMENTO"/>
    <s v="SEM LANÇAMENTO"/>
    <s v="6 ABERTURA E FECHAMENTO, 23 FUSÕES, 2 DERIVAÇÕES, 5 TESTES."/>
    <d v="2026-07-07T00:00:00"/>
    <d v="2026-06-09T00:00:00"/>
    <m/>
    <m/>
    <d v="2026-06-11T00:00:00"/>
    <d v="2026-07-07T00:00:00"/>
    <m/>
    <x v="0"/>
    <x v="0"/>
    <s v="AG. MEDIÇÃO"/>
    <n v="2"/>
    <x v="0"/>
    <n v="-1"/>
  </r>
  <r>
    <s v="RSCLER0829"/>
    <s v="TRLAA"/>
    <s v="STZAAB"/>
    <s v="PAE HZS"/>
    <s v="PORTO ALEGRE"/>
    <m/>
    <s v="R CEL. JOÃO PINTO 185"/>
    <s v="TRLAA.161.M030"/>
    <d v="2026-04-01T00:00:00"/>
    <x v="0"/>
    <m/>
    <s v="CATIA"/>
    <m/>
    <m/>
    <s v="SEM LANÇAMENTO"/>
    <s v="SEM LANÇAMENTO"/>
    <s v="3 ABERTURA E FECHAMENTO, 4 FUSÕES, 1 TESTES, 2 TESTE OTDR"/>
    <d v="2026-05-15T00:00:00"/>
    <d v="2026-04-20T00:00:00"/>
    <m/>
    <m/>
    <d v="2026-04-23T00:00:00"/>
    <d v="2026-05-15T00:00:00"/>
    <m/>
    <x v="0"/>
    <x v="0"/>
    <s v="AG. MEDIÇÃO"/>
    <n v="3"/>
    <x v="0"/>
    <n v="0"/>
  </r>
  <r>
    <s v="RSCLER1035"/>
    <s v="TRZAA"/>
    <s v="TRZAAB"/>
    <s v="RSPAU11"/>
    <s v="PORTO ALEGRE"/>
    <s v="COND. VILA MONTANA"/>
    <s v="R CEL. MARCOS 240"/>
    <s v="TRZAA.141.M020"/>
    <d v="2026-08-01T00:00:00"/>
    <x v="0"/>
    <m/>
    <s v="CATIA"/>
    <m/>
    <s v="OK"/>
    <s v="SEM LANÇAMENTO"/>
    <s v="SEM LANÇAMENTO"/>
    <s v="2 ABERTURA E FECHAMENTO, 1 FUSÃO, 1 TESTE."/>
    <d v="2026-08-25T00:00:00"/>
    <d v="2026-08-17T00:00:00"/>
    <m/>
    <m/>
    <d v="2026-08-18T00:00:00"/>
    <d v="2026-08-25T00:00:00"/>
    <m/>
    <x v="0"/>
    <x v="0"/>
    <s v="AG. MEDIÇÃO"/>
    <n v="1"/>
    <x v="0"/>
    <n v="-2"/>
  </r>
  <r>
    <s v="RSCLER0876"/>
    <s v="UMBAA"/>
    <m/>
    <s v="RSAVA05"/>
    <s v="ALVORADA"/>
    <s v="Condomínio"/>
    <s v="R Cento e Vinte e Um ,176"/>
    <s v="UMBAA.029.M020"/>
    <d v="2026-05-01T00:00:00"/>
    <x v="0"/>
    <m/>
    <s v="AFONSO"/>
    <m/>
    <m/>
    <s v="SEM LANÇAMENTO"/>
    <s v="SEM LANÇAMENTO"/>
    <s v="2 ABERTURA E FECHAMENTO, 2 FUSÕES, 2 TESTES "/>
    <d v="2026-06-08T00:00:00"/>
    <d v="2026-05-15T00:00:00"/>
    <m/>
    <m/>
    <d v="2026-05-18T00:00:00"/>
    <d v="2026-06-08T00:00:00"/>
    <m/>
    <x v="0"/>
    <x v="0"/>
    <s v="AG. MEDIÇÃO"/>
    <n v="1"/>
    <x v="0"/>
    <n v="-2"/>
  </r>
  <r>
    <s v="RSCLER0867"/>
    <s v="JBOAA"/>
    <m/>
    <m/>
    <s v="PORTO ALEGRE"/>
    <m/>
    <s v="R CHILE 902"/>
    <s v="JBOAA.081.M040"/>
    <d v="2026-05-01T00:00:00"/>
    <x v="0"/>
    <m/>
    <s v="CATIA"/>
    <m/>
    <m/>
    <s v="SEM LANÇAMENTO"/>
    <s v="SEM LANÇAMENTO"/>
    <s v="3 ABERTURA E FECHAMENTO, 5 FUSÕES, 2 TESTES"/>
    <d v="2026-06-08T00:00:00"/>
    <d v="2026-05-25T00:00:00"/>
    <m/>
    <m/>
    <d v="2026-05-28T00:00:00"/>
    <d v="2026-06-08T00:00:00"/>
    <m/>
    <x v="0"/>
    <x v="0"/>
    <s v="AG. MEDIÇÃO"/>
    <n v="3"/>
    <x v="0"/>
    <n v="0"/>
  </r>
  <r>
    <s v="RSCLER0726"/>
    <s v="RBTAA"/>
    <s v="SRDAL"/>
    <s v="PAE ARY"/>
    <s v="PORTO ALEGRE"/>
    <m/>
    <s v="R Comissário BERGMANN 29"/>
    <s v="RBTAA.103.M020"/>
    <d v="2025-09-01T00:00:00"/>
    <x v="0"/>
    <s v="VICTOR"/>
    <s v="DIOGO"/>
    <m/>
    <m/>
    <m/>
    <m/>
    <s v="COBRAR DENTRO DO NODE SRDAL FASE 2"/>
    <s v="SRDAL F2"/>
    <m/>
    <m/>
    <m/>
    <d v="2025-09-16T00:00:00"/>
    <s v="NÃO PRECISA"/>
    <m/>
    <x v="0"/>
    <x v="0"/>
    <s v="AG. MEDIÇÃO"/>
    <s v="DATA ENTRADA"/>
    <x v="1"/>
    <s v="DATA ENTRADA"/>
  </r>
  <r>
    <s v="RSCLER0341"/>
    <s v="RBRAA"/>
    <s v="RBRAA"/>
    <s v="RSPLE08"/>
    <s v="PORTO ALEGRE"/>
    <s v="Cond. Ed Urbano Petrópolis"/>
    <s v="R Corte Real 82"/>
    <s v="RBRAA.094.M040"/>
    <d v="2024-07-01T00:00:00"/>
    <x v="0"/>
    <s v="TIAGO FERREIRA"/>
    <s v="MARCOS EMILIANO"/>
    <s v="100% - OK"/>
    <s v="OK"/>
    <m/>
    <n v="170"/>
    <s v="FOI LANÇADO 170 METROS DE CABO DE 12FO, 3 ABERTURA E FECHAMENTO, 4 FUSÃO, 1 DERIVAÇÃO, 1 CX NOVA, 2 TESTE "/>
    <d v="2024-07-24T00:00:00"/>
    <d v="2024-07-09T00:00:00"/>
    <d v="2024-07-11T00:00:00"/>
    <d v="2024-07-15T00:00:00"/>
    <d v="2024-07-15T00:00:00"/>
    <s v="NÃO PRECISA"/>
    <m/>
    <x v="0"/>
    <x v="0"/>
    <s v="AG. MEDIÇÃO"/>
    <n v="4"/>
    <x v="1"/>
    <n v="1"/>
  </r>
  <r>
    <s v="RSCLER0164"/>
    <s v="MNDAC"/>
    <m/>
    <m/>
    <s v="PORTO ALEGRE"/>
    <s v="Cond. Patio Costa Menino Deus"/>
    <s v="R Costa 419"/>
    <m/>
    <d v="2023-11-01T00:00:00"/>
    <x v="0"/>
    <s v="SAMURAI"/>
    <s v="PAULO GOMES / LUCAS HOBERT"/>
    <s v="100% - OK"/>
    <s v="OK"/>
    <m/>
    <n v="260"/>
    <s v="260 METROS DE CABO DE 12FO, 16 ABERTURA E FECHAMENTO, 25 FUSÃO, 2 DERIVAÇÃO, 1 CX NOVA OBS TEVE BASTANTE ABERTURA E FECHAMENTO, POIS TINHA MUITA FIBRA QUEBRADA E MUITA CAIXA DE MANUTENÇÃO."/>
    <d v="2023-11-30T00:00:00"/>
    <d v="2023-11-14T00:00:00"/>
    <m/>
    <d v="2023-11-23T00:00:00"/>
    <d v="2023-11-27T00:00:00"/>
    <s v="NÃO PRECISA"/>
    <m/>
    <x v="0"/>
    <x v="0"/>
    <s v="AG. MEDIÇÃO"/>
    <n v="9"/>
    <x v="1"/>
    <n v="6"/>
  </r>
  <r>
    <s v="RSCLER0645"/>
    <s v="CTO"/>
    <m/>
    <s v="RSOSR01"/>
    <s v="OSORIO"/>
    <m/>
    <s v="R COSTA GAMA, 1427"/>
    <s v="CTO.008.M020"/>
    <d v="2025-06-01T00:00:00"/>
    <x v="0"/>
    <m/>
    <s v="FABIO AMARILHO"/>
    <m/>
    <m/>
    <s v="SEM LANÇAMENTO"/>
    <s v="SEM LANÇAMENTO"/>
    <s v="10 ABERTURA E FECHAMENTO, 14 FUSÕES, 2 TESTES"/>
    <d v="2025-09-05T00:00:00"/>
    <d v="2025-06-18T00:00:00"/>
    <m/>
    <m/>
    <m/>
    <d v="2025-09-05T00:00:00"/>
    <m/>
    <x v="0"/>
    <x v="0"/>
    <s v="AG. MEDIÇÃO"/>
    <n v="311"/>
    <x v="1"/>
    <n v="308"/>
  </r>
  <r>
    <s v="RSCLER0728"/>
    <s v="SPEAA"/>
    <s v="SJOAAA"/>
    <s v="PAE DAM"/>
    <s v="PORTO ALEGRE"/>
    <m/>
    <s v="R CRISTOVAO PEREIRA 392"/>
    <s v="SPEAA.023.M030"/>
    <d v="2025-09-01T00:00:00"/>
    <x v="0"/>
    <s v="CLEVERSON"/>
    <s v="CLEVERSON"/>
    <m/>
    <m/>
    <m/>
    <m/>
    <s v="COBRAR DENTRO DO NODE SJOAA FASE 3"/>
    <s v="SJOAAA"/>
    <d v="2025-09-16T00:00:00"/>
    <m/>
    <m/>
    <d v="2025-09-19T00:00:00"/>
    <s v="NÃO PRECISA"/>
    <m/>
    <x v="0"/>
    <x v="0"/>
    <s v="AG. MEDIÇÃO"/>
    <n v="3"/>
    <x v="0"/>
    <n v="0"/>
  </r>
  <r>
    <s v="RSCLER0597"/>
    <s v="CLC"/>
    <m/>
    <m/>
    <s v="TORRES"/>
    <m/>
    <s v="R CRUZEIRO DO SUL, 288"/>
    <s v="CLC12-M8"/>
    <d v="2025-05-01T00:00:00"/>
    <x v="0"/>
    <m/>
    <s v="MAQUENZE"/>
    <s v="100% - OK"/>
    <s v="OK - ENVIADO"/>
    <s v="SEM LANÇAMENTO"/>
    <s v="SEM LANÇAMENTO"/>
    <s v="3 ABERTURA E FECHAMENTO, 3 FUSÕES, 1 TESTE"/>
    <d v="2025-06-18T00:00:00"/>
    <d v="2025-05-21T00:00:00"/>
    <m/>
    <m/>
    <d v="2025-05-22T00:00:00"/>
    <s v="NÃO PRECISA"/>
    <m/>
    <x v="0"/>
    <x v="0"/>
    <s v="AG. MEDIÇÃO"/>
    <n v="1"/>
    <x v="0"/>
    <n v="-2"/>
  </r>
  <r>
    <s v="RSCLER0519"/>
    <s v="CTLAA"/>
    <m/>
    <m/>
    <s v="PORTO ALEGRE"/>
    <m/>
    <s v="R CURUPAITI 1062"/>
    <s v="CTLAA.063.M050"/>
    <d v="2025-02-01T00:00:00"/>
    <x v="0"/>
    <s v="UBIRATAN"/>
    <s v="ANDERSON"/>
    <s v="100% - OK"/>
    <s v="OK - ENVIADO"/>
    <n v="161"/>
    <n v="220"/>
    <s v="FOI LANÇADO 220 METROS DE CABO DE 12FO, 2 ABERTURA E FECHAMENTO, 11 FUSÃO, 1 DERIVAÇÃO, 1 CX NOVA, 4 TESTE"/>
    <d v="2025-03-18T00:00:00"/>
    <d v="2025-02-18T00:00:00"/>
    <d v="2025-02-19T00:00:00"/>
    <d v="2025-02-25T00:00:00"/>
    <d v="2025-02-25T00:00:00"/>
    <s v="NÃO PRECISA"/>
    <m/>
    <x v="0"/>
    <x v="0"/>
    <s v="AG. MEDIÇÃO"/>
    <n v="5"/>
    <x v="1"/>
    <n v="2"/>
  </r>
  <r>
    <s v="RSCLER0612"/>
    <s v="MNDAC"/>
    <s v="MNDAN"/>
    <s v="PAE CL"/>
    <s v="PORTO ALEGRE"/>
    <m/>
    <s v="R DA AUGUSTA 445"/>
    <s v="MNDAC.092.M010"/>
    <d v="2025-06-01T00:00:00"/>
    <x v="0"/>
    <s v="UBIRATAN"/>
    <s v="DIOGO"/>
    <s v="100% - OK"/>
    <s v="OK - ENVIADO"/>
    <n v="84"/>
    <n v="100"/>
    <s v="FOI LANÇADO 100 METROS DE CABO DE 12FO, 4 ABERTURA E FECHAMENTO, 6 FUSÕES, 2 DERIVAÇÕES, 2 TESTES"/>
    <d v="2025-06-18T00:00:00"/>
    <d v="2025-06-02T00:00:00"/>
    <m/>
    <m/>
    <d v="2025-06-04T00:00:00"/>
    <s v="NÃO PRECISA"/>
    <m/>
    <x v="0"/>
    <x v="0"/>
    <s v="AG. MEDIÇÃO"/>
    <n v="2"/>
    <x v="0"/>
    <n v="-1"/>
  </r>
  <r>
    <s v="RSCLER0624"/>
    <s v="MNDAC"/>
    <s v="MNDAN"/>
    <s v="RSPSU02"/>
    <s v="PORTO ALEGRE"/>
    <s v="Cond. Edifício Solar Alta Vista"/>
    <s v="R da Gabriela, 273"/>
    <s v="MNDAC.093.M060"/>
    <d v="2025-06-01T00:00:00"/>
    <x v="0"/>
    <s v="CATIA"/>
    <s v="CATIA"/>
    <m/>
    <m/>
    <n v="121"/>
    <n v="153"/>
    <s v="FOI LANÇADO 153 METROS DE CABO DE 12FO, 18 ABERTURA E FECHAMENTO, 20 FUSÕES, 2 DERIVAÇÕES, 5 TESTES OTDR, 2 TESTES"/>
    <d v="2025-06-18T00:00:00"/>
    <d v="2025-06-09T00:00:00"/>
    <m/>
    <m/>
    <d v="2025-06-16T00:00:00"/>
    <s v="NÃO PRECISA"/>
    <m/>
    <x v="0"/>
    <x v="0"/>
    <s v="AG. MEDIÇÃO"/>
    <n v="5"/>
    <x v="1"/>
    <n v="2"/>
  </r>
  <r>
    <s v="RSCLER0945"/>
    <s v="CNTAA"/>
    <s v="CNTAGA"/>
    <s v="RSNHO LO"/>
    <s v="NOVO HAMBURGO"/>
    <m/>
    <s v="R DAVID CANABARRO 94"/>
    <s v="CNTAA.115.M020"/>
    <d v="2026-06-01T00:00:00"/>
    <x v="0"/>
    <m/>
    <s v="CATIA"/>
    <m/>
    <m/>
    <s v="SEM LANÇAMENTO"/>
    <s v="SEM LANÇAMENTO"/>
    <s v="11 ABERTURA E FECHAMENTO, 15 FUSÕES, 6 TESTES OTDR, 2 TESTES."/>
    <d v="2026-07-08T00:00:00"/>
    <d v="2026-06-19T00:00:00"/>
    <m/>
    <m/>
    <d v="2026-06-25T00:00:00"/>
    <d v="2026-07-08T00:00:00"/>
    <m/>
    <x v="0"/>
    <x v="0"/>
    <s v="AG. MEDIÇÃO"/>
    <n v="4"/>
    <x v="1"/>
    <n v="1"/>
  </r>
  <r>
    <s v="RSCLER0830"/>
    <s v="PRTAB"/>
    <s v="PRTALB"/>
    <s v="RSPLE21"/>
    <s v="PORTO ALEGRE"/>
    <m/>
    <s v="R DELFINO RIET 610"/>
    <s v="PRTAB.091.M020"/>
    <d v="2026-04-01T00:00:00"/>
    <x v="0"/>
    <s v="AUGUSTO"/>
    <s v="AUGUSTO"/>
    <m/>
    <s v="OK"/>
    <n v="935"/>
    <n v="925"/>
    <s v="FOI LANÇADO 391 METROS DE CABO DE 24FO E 534 METROS DE CABO DE 12FO, 5 ABERTURA E FECHAMENTO, 5 CX NOVA, 1 NAP NOVA, 1 DERIVAÇÃO, 36 FUSÕES,3 TESTES"/>
    <d v="2026-08-12T00:00:00"/>
    <d v="2026-04-14T00:00:00"/>
    <m/>
    <m/>
    <d v="2026-04-22T00:00:00"/>
    <d v="2026-08-12T00:00:00"/>
    <m/>
    <x v="0"/>
    <x v="0"/>
    <s v="AG. MEDIÇÃO"/>
    <n v="6"/>
    <x v="1"/>
    <n v="3"/>
  </r>
  <r>
    <s v="RSCLER0167"/>
    <s v="CNTAA"/>
    <m/>
    <m/>
    <s v="PORTO ALEGRE"/>
    <s v="Cond Solar Demetrio Residence"/>
    <s v="R DEMETRIO RIBEIRO 870"/>
    <m/>
    <d v="2023-11-01T00:00:00"/>
    <x v="0"/>
    <s v="SAMURAI"/>
    <s v="LUCAS HOBERT/PAULO GOMES"/>
    <s v="100% - OK"/>
    <s v="OK"/>
    <m/>
    <n v="280"/>
    <s v="280 METROS DE CABO DE 12FO, FAZER AS BUILTS 1 ABERTURA E FECHAMENTO, 4 FUSÃO, 1 CX NOVA, 4 TESTE"/>
    <d v="2023-12-13T00:00:00"/>
    <d v="2023-11-23T00:00:00"/>
    <d v="2023-11-30T00:00:00"/>
    <d v="2023-12-02T00:00:00"/>
    <d v="2023-12-10T00:00:00"/>
    <s v="NÃO PRECISA"/>
    <m/>
    <x v="0"/>
    <x v="0"/>
    <s v="AG. MEDIÇÃO"/>
    <n v="11"/>
    <x v="1"/>
    <n v="8"/>
  </r>
  <r>
    <s v="RSCLER0359"/>
    <s v="NAVAA"/>
    <s v="BVSAE"/>
    <s v="RSPNO05"/>
    <s v="PORTO ALEGRE"/>
    <s v="Cond. Pavei 978 "/>
    <s v="R Dom Pedro II 978"/>
    <s v="NAVAA.132.M080"/>
    <d v="2024-07-01T00:00:00"/>
    <x v="0"/>
    <s v="TIAGO FERREIRA"/>
    <s v="ANDERSON"/>
    <s v="100% - OK"/>
    <s v="OK"/>
    <m/>
    <n v="365"/>
    <s v="FOI LANÇADO 365 METROS DE CABO DE 12FO, 4 ABERTURA E FECHAMENTO, 11 FUSÃO, 1 DERIVAÇÃO, 1 CX NOVA, 2 TESTE"/>
    <d v="2024-08-28T00:00:00"/>
    <d v="2024-07-25T00:00:00"/>
    <d v="2024-07-29T00:00:00"/>
    <d v="2024-08-14T00:00:00"/>
    <d v="2024-08-14T00:00:00"/>
    <s v="NÃO PRECISA"/>
    <m/>
    <x v="0"/>
    <x v="0"/>
    <s v="AG. MEDIÇÃO"/>
    <n v="14"/>
    <x v="1"/>
    <n v="11"/>
  </r>
  <r>
    <s v="RSCLER0881"/>
    <s v="VLI"/>
    <m/>
    <s v="RSGUB07"/>
    <s v="GUAÍBA"/>
    <m/>
    <s v="R DONA ALAIDES LARRE PEREIRA 187"/>
    <s v="VLI029M010"/>
    <d v="2026-05-01T00:00:00"/>
    <x v="0"/>
    <s v="CATIA"/>
    <s v="CATIA"/>
    <m/>
    <s v="OK"/>
    <n v="140"/>
    <n v="153"/>
    <s v="FOI LANÇADO 153 METROS DE CABO DE 12FO, 1 ABERTURA E FECHAMENTO, 4 FUSÕES, 1 CX NOVA, 2 DERIVAÇÕES, 2 TESTES."/>
    <d v="2026-08-07T00:00:00"/>
    <d v="2026-05-26T00:00:00"/>
    <m/>
    <m/>
    <d v="2026-05-30T00:00:00"/>
    <d v="2026-08-07T00:00:00"/>
    <m/>
    <x v="0"/>
    <x v="0"/>
    <s v="AG. MEDIÇÃO"/>
    <n v="3"/>
    <x v="0"/>
    <n v="0"/>
  </r>
  <r>
    <s v="RSCLER1033"/>
    <s v="RBRAA"/>
    <s v="RBRAA"/>
    <s v="RSPLE08"/>
    <s v="PORTO ALEGRE"/>
    <s v="COND. OURO VELHO"/>
    <s v="R DONA ALICE, 34"/>
    <s v="RBRAA.091.M040"/>
    <d v="2026-08-01T00:00:00"/>
    <x v="0"/>
    <m/>
    <s v="CATIA"/>
    <m/>
    <s v="OK"/>
    <s v="SEM LANÇAMENTO"/>
    <s v="SEM LANÇAMENTO"/>
    <s v="3 ABERTURA E FECHAMENTO, 2 FUSÕES, 1 TESTE."/>
    <d v="2026-08-25T00:00:00"/>
    <d v="2026-08-14T00:00:00"/>
    <m/>
    <m/>
    <d v="2026-08-17T00:00:00"/>
    <d v="2026-08-25T00:00:00"/>
    <m/>
    <x v="0"/>
    <x v="0"/>
    <s v="AG. MEDIÇÃO"/>
    <n v="1"/>
    <x v="0"/>
    <n v="-2"/>
  </r>
  <r>
    <s v="RSCLER0700"/>
    <s v="PRTAA"/>
    <s v="PRTAP"/>
    <s v="RSPLE26"/>
    <s v="PORTO ALEGRE"/>
    <m/>
    <s v="R DOS BURGUESES 255"/>
    <s v="PRTAA.031.M020"/>
    <d v="2025-08-01T00:00:00"/>
    <x v="0"/>
    <s v="LUIS FELIPE"/>
    <s v="CLEVERSON"/>
    <m/>
    <m/>
    <m/>
    <m/>
    <s v="COBRAR DENTRO DO NODE PRTAP"/>
    <s v="PRTAP"/>
    <m/>
    <m/>
    <m/>
    <m/>
    <s v="NÃO PRECISA"/>
    <m/>
    <x v="0"/>
    <x v="0"/>
    <s v="AG. MEDIÇÃO"/>
    <s v="DATA ENTRADA"/>
    <x v="1"/>
    <s v="DATA ENTRADA"/>
  </r>
  <r>
    <s v="RSCLER0786"/>
    <s v="TCS"/>
    <m/>
    <s v="RSTSS01"/>
    <s v="TRÊS COROA"/>
    <m/>
    <s v="R DOZE DE MAIO, 483"/>
    <s v="TCS.018.M010"/>
    <d v="2026-03-01T00:00:00"/>
    <x v="0"/>
    <m/>
    <s v="RODRIGO BUIU"/>
    <m/>
    <d v="2026-04-02T00:00:00"/>
    <s v="SEM LANÇAMENTO"/>
    <s v="SEM LANÇAMENTO"/>
    <s v="6 ABERTURA E FECHAMENTO, 11 FUSÕES, 3 TESTES, "/>
    <d v="2026-04-02T00:00:00"/>
    <d v="2026-03-16T00:00:00"/>
    <m/>
    <m/>
    <d v="2026-03-30T00:00:00"/>
    <d v="2026-04-02T00:00:00"/>
    <m/>
    <x v="0"/>
    <x v="0"/>
    <s v="AG. MEDIÇÃO"/>
    <n v="10"/>
    <x v="1"/>
    <n v="7"/>
  </r>
  <r>
    <s v="RSCLER0838"/>
    <s v="TRZAA"/>
    <s v="TRZAM"/>
    <s v="RSPSU11"/>
    <s v="PORTO ALEGRE"/>
    <s v="(COND COMODORO)"/>
    <s v="R DR ARMANDO BARBEDO 876"/>
    <s v="TRZAA.113.M010"/>
    <d v="2026-04-01T00:00:00"/>
    <x v="0"/>
    <m/>
    <s v="CATIA"/>
    <m/>
    <s v="OK"/>
    <s v="SEM LANÇAMENTO"/>
    <s v="SEM LANÇAMENTO"/>
    <s v="4 ABERTURA E FECHAMENTO, 11 FUSÕES, 5 TETSTES, 3 TESTES OTDR."/>
    <d v="2026-07-06T00:00:00"/>
    <d v="2026-04-25T00:00:00"/>
    <m/>
    <m/>
    <d v="2026-04-28T00:00:00"/>
    <d v="2026-07-06T00:00:00"/>
    <m/>
    <x v="0"/>
    <x v="0"/>
    <s v="AG. MEDIÇÃO"/>
    <n v="1"/>
    <x v="0"/>
    <n v="-2"/>
  </r>
  <r>
    <s v="RSCLER0927"/>
    <s v="BFMAA"/>
    <s v="BFMAA"/>
    <s v="PAE IND"/>
    <s v="PORTO ALEGRE"/>
    <s v="Edifício Usmar B"/>
    <s v="R DR BARROS CASSAL 475, 513"/>
    <s v="BFMAA.122.M030"/>
    <d v="2026-06-01T00:00:00"/>
    <x v="0"/>
    <s v="TIAGO FERREIRA"/>
    <s v="CATIA"/>
    <m/>
    <s v="OK"/>
    <n v="202"/>
    <n v="207"/>
    <s v="FOI LANÇADO 207 METROS DE CABO DE 24FO, 3 ABERTURA E FECHAMENTO, 2 DERIVAÇÕES, 8 FUSÕES, 6 TESTES."/>
    <d v="2026-08-11T00:00:00"/>
    <d v="2026-06-16T00:00:00"/>
    <m/>
    <m/>
    <d v="2026-06-25T00:00:00"/>
    <d v="2026-08-11T00:00:00"/>
    <m/>
    <x v="0"/>
    <x v="0"/>
    <s v="AG. MEDIÇÃO"/>
    <n v="7"/>
    <x v="1"/>
    <n v="4"/>
  </r>
  <r>
    <s v="RSCLER1032"/>
    <s v="BFMAA"/>
    <s v="BFMAA"/>
    <s v="PAE IND"/>
    <s v="PORTO ALEGRE"/>
    <s v="Edifício Cintia "/>
    <s v="R DR BARROS CASSAL 531"/>
    <s v="BFMAA.112.M050"/>
    <d v="2026-08-01T00:00:00"/>
    <x v="0"/>
    <m/>
    <s v="CATIA"/>
    <m/>
    <s v="OK"/>
    <s v="SEM LANÇAMENTO"/>
    <s v="SEM LANÇAMENTO"/>
    <s v="4 ABERTURA E FECHAMENTO, 7 FUSÕES, 3 TESTES, 1 TESTES OTDR."/>
    <d v="2026-08-25T00:00:00"/>
    <d v="2026-08-12T00:00:00"/>
    <m/>
    <m/>
    <d v="2026-08-17T00:00:00"/>
    <d v="2026-08-25T00:00:00"/>
    <m/>
    <x v="0"/>
    <x v="0"/>
    <s v="AG. MEDIÇÃO"/>
    <n v="3"/>
    <x v="0"/>
    <n v="0"/>
  </r>
  <r>
    <s v="RSCLER1008"/>
    <s v="RBTAB"/>
    <m/>
    <m/>
    <s v="PORTO ALEGRE"/>
    <m/>
    <s v="R DR CARLOS MARIA BINS 230"/>
    <s v="RBTAB.034.M040"/>
    <d v="2026-08-01T00:00:00"/>
    <x v="0"/>
    <s v="TIAGO FERREIRA"/>
    <s v="CATIA"/>
    <m/>
    <s v="OK"/>
    <n v="145"/>
    <n v="200"/>
    <s v="FOI LANÇADO 200 METROS DE CABO DE 24FO, 1 ABERTURA E FECHAMENTO, 1 DERIVAÇÃO, 1 CX NOVA, 2 FUSÕES, 2 TESTES."/>
    <d v="2026-08-27T00:00:00"/>
    <d v="2026-08-21T00:00:00"/>
    <m/>
    <m/>
    <d v="2026-08-25T00:00:00"/>
    <d v="2026-08-27T00:00:00"/>
    <m/>
    <x v="0"/>
    <x v="0"/>
    <s v="AG. MEDIÇÃO"/>
    <n v="2"/>
    <x v="0"/>
    <n v="-1"/>
  </r>
  <r>
    <s v="RSCLER0895"/>
    <s v="VIPAA"/>
    <s v="PETAX"/>
    <s v="RSPLE11"/>
    <s v="PORTO ALEGRE"/>
    <s v="Condomínio Edificio Indiana"/>
    <s v="R DR DÁRIO DE BITTENCOURT 225"/>
    <s v="VIPAA.102.M050"/>
    <d v="2026-06-01T00:00:00"/>
    <x v="0"/>
    <m/>
    <s v="CATIA"/>
    <m/>
    <s v="OK"/>
    <s v="SEM LANÇAMENTO"/>
    <s v="SEM LANÇAMENTO"/>
    <s v="6 ABERTURA E FECHAMENTO, 10 FUSÕES, 2 TESTES."/>
    <d v="2026-07-02T00:00:00"/>
    <d v="2026-06-05T00:00:00"/>
    <m/>
    <m/>
    <d v="2026-06-10T00:00:00"/>
    <d v="2026-07-02T00:00:00"/>
    <m/>
    <x v="0"/>
    <x v="0"/>
    <s v="AG. MEDIÇÃO"/>
    <n v="3"/>
    <x v="0"/>
    <n v="0"/>
  </r>
  <r>
    <s v="RSCLER0930"/>
    <s v="TRZAB"/>
    <m/>
    <m/>
    <s v="PORTO ALEGRE"/>
    <s v="Condomínio"/>
    <s v="R Dr David de Azevedo Gusmão, 185"/>
    <s v="TRZAB.061.01.03"/>
    <d v="2026-06-01T00:00:00"/>
    <x v="0"/>
    <m/>
    <s v="AFONSO"/>
    <m/>
    <m/>
    <n v="20"/>
    <n v="20"/>
    <s v="FOI LANÇADO 20 METROS DE CABO DE 12FO, 2 ABERTURA E FECHAMENTO, 4 FUSÃO, 1 DERIVAÇÃO, 1 CX NOVA, 2 TESTE "/>
    <d v="2026-06-22T00:00:00"/>
    <d v="2026-06-16T00:00:00"/>
    <m/>
    <m/>
    <d v="2026-06-18T00:00:00"/>
    <d v="2026-06-22T00:00:00"/>
    <m/>
    <x v="0"/>
    <x v="0"/>
    <s v="AG. MEDIÇÃO"/>
    <n v="2"/>
    <x v="0"/>
    <n v="-1"/>
  </r>
  <r>
    <s v="RSCLER0699"/>
    <s v="CMQAA"/>
    <m/>
    <s v="RSPSU87"/>
    <s v="PORTO ALEGRE"/>
    <s v="PATMOS"/>
    <s v="R DR PEREIRA NETO 715"/>
    <s v="CMQAA.142.M030"/>
    <d v="2025-08-01T00:00:00"/>
    <x v="0"/>
    <m/>
    <s v="DIOGO"/>
    <s v="100% - OK"/>
    <m/>
    <s v="SEM LANÇAMENTO"/>
    <s v="SEM LANÇAMENTO"/>
    <s v="4 ABERTURA E FECHAMENTO, 3 FUSÕES, 1 TESTE"/>
    <d v="2025-08-19T00:00:00"/>
    <d v="2025-08-08T00:00:00"/>
    <m/>
    <m/>
    <d v="2025-08-19T00:00:00"/>
    <d v="2025-08-19T00:00:00"/>
    <m/>
    <x v="0"/>
    <x v="0"/>
    <s v="AG. MEDIÇÃO"/>
    <n v="7"/>
    <x v="1"/>
    <n v="4"/>
  </r>
  <r>
    <s v="RSCLER1021"/>
    <s v="AZNAA"/>
    <s v="AZNAF"/>
    <s v="RSPLE17"/>
    <s v="PORTO ALEGRE"/>
    <s v="Edifício Sabará"/>
    <s v="R DR. VOLTAIRE PIRES 260"/>
    <s v="AZNAA.052.M040"/>
    <d v="2026-08-01T00:00:00"/>
    <x v="0"/>
    <m/>
    <s v="CATIA"/>
    <m/>
    <s v="OK"/>
    <s v="SEM LANÇAMENTO"/>
    <s v="SEM LANÇAMENTO"/>
    <s v="2 ABERTURA E FECHAMENTO, 1 FUSÃO, 1 TESTE."/>
    <d v="2026-08-24T00:00:00"/>
    <d v="2026-08-10T00:00:00"/>
    <m/>
    <m/>
    <d v="2026-08-10T00:00:00"/>
    <d v="2026-08-24T00:00:00"/>
    <m/>
    <x v="0"/>
    <x v="0"/>
    <s v="AG. MEDIÇÃO"/>
    <n v="0"/>
    <x v="0"/>
    <n v="-3"/>
  </r>
  <r>
    <s v="RSCLER1048"/>
    <s v="CNTAB"/>
    <m/>
    <m/>
    <s v="PORTO ALEGRE"/>
    <s v="Cond. Edifício SEN. ANNIBAL DI PRIMIO BECK"/>
    <s v="R Duque de Caxias, 1284"/>
    <s v="CNTAB.572.M010"/>
    <d v="2026-08-01T00:00:00"/>
    <x v="0"/>
    <m/>
    <s v="CATIA"/>
    <m/>
    <s v="OK"/>
    <s v="SEM LANÇAMENTO"/>
    <s v="SEM LANÇAMENTO"/>
    <s v="2 ABERTURA E FECHAMENTO, 3 FUSÕES, 3 TESTES."/>
    <d v="2026-08-27T00:00:00"/>
    <d v="2026-08-21T00:00:00"/>
    <m/>
    <m/>
    <d v="2026-08-24T00:00:00"/>
    <d v="2026-08-27T00:00:00"/>
    <m/>
    <x v="0"/>
    <x v="0"/>
    <s v="AG. MEDIÇÃO"/>
    <n v="1"/>
    <x v="0"/>
    <n v="-2"/>
  </r>
  <r>
    <s v="RSCLER0979"/>
    <s v="CNTAA"/>
    <s v="CNTAL"/>
    <s v="PAE MF"/>
    <s v="PORTO ALEGRE"/>
    <s v="Condomínio Edifício Itaroquem"/>
    <s v="R Duque de Caxias,1576"/>
    <s v="CNTAA.131.M020"/>
    <d v="2026-07-01T00:00:00"/>
    <x v="0"/>
    <m/>
    <s v="CATIA"/>
    <m/>
    <s v="OK"/>
    <s v="SEM LANÇAMENTO"/>
    <s v="SEM LANÇAMENTO"/>
    <s v="2 ABERTURA E FECHAMENTO, 4 FUSÕES, 2 TESTES."/>
    <d v="2026-07-20T00:00:00"/>
    <d v="2026-07-03T00:00:00"/>
    <m/>
    <m/>
    <d v="2026-07-03T00:00:00"/>
    <d v="2026-07-20T00:00:00"/>
    <m/>
    <x v="0"/>
    <x v="0"/>
    <s v="AG. MEDIÇÃO"/>
    <n v="0"/>
    <x v="0"/>
    <n v="-3"/>
  </r>
  <r>
    <s v="RSCLER0628"/>
    <s v="SPEAA"/>
    <s v="SPEAAA"/>
    <s v="PAE DAM"/>
    <s v="PORTO ALEGRE"/>
    <s v="JD DAS BANDEIRAS"/>
    <s v="R EDMUNDO BASTIAN 86 "/>
    <s v="SPEAA.016.M060"/>
    <d v="2025-06-01T00:00:00"/>
    <x v="0"/>
    <s v="UBIRATAN"/>
    <s v="CATIA"/>
    <m/>
    <m/>
    <n v="210"/>
    <n v="253"/>
    <s v="FOI LANÇADO 253 MTEROS DE CABO DE 12FO, 7 ABERTURA E FECHAMENTO, 20 FUSÕES, 1 CX NOVA, 1 DERIVAÇÃO, 4 TESTES COM OTDR, "/>
    <d v="2025-07-07T00:00:00"/>
    <d v="2025-06-09T00:00:00"/>
    <m/>
    <m/>
    <d v="2025-06-13T00:00:00"/>
    <s v="NÃO PRECISA"/>
    <m/>
    <x v="0"/>
    <x v="0"/>
    <s v="AG. MEDIÇÃO"/>
    <n v="4"/>
    <x v="1"/>
    <n v="1"/>
  </r>
  <r>
    <s v="RSCLER0953"/>
    <s v="CNUAB"/>
    <m/>
    <s v="RSNHO09"/>
    <s v="NOVO HAMBURGO"/>
    <s v="Cond Mauro Chika"/>
    <s v="R EDUARDO DA SILVA PRADO 22, 50, 62"/>
    <s v="CNUAB.401.M010"/>
    <d v="2026-05-01T00:00:00"/>
    <x v="0"/>
    <s v="TIAGO FERREIRA"/>
    <s v="AFONSO"/>
    <m/>
    <s v="OK"/>
    <n v="462"/>
    <n v="486"/>
    <s v="FOI LANÇADO 486 METROS DE CABO DE 12FO, 4 ABERTURA E FECHAMENTO, 28 FUSÕES, 1 CX NOVA, 2 DERIVAÇÕES, 12 TESTES."/>
    <d v="2026-07-15T00:00:00"/>
    <d v="2026-05-22T00:00:00"/>
    <m/>
    <m/>
    <d v="2026-05-26T00:00:00"/>
    <d v="2026-07-15T00:00:00"/>
    <m/>
    <x v="0"/>
    <x v="0"/>
    <s v="AG. MEDIÇÃO"/>
    <n v="2"/>
    <x v="0"/>
    <n v="-1"/>
  </r>
  <r>
    <s v="RSCLER0890"/>
    <s v="MRDAA"/>
    <s v="NSG13A"/>
    <s v="RSCAN01"/>
    <s v="CANOAS "/>
    <s v="COND. CAZA LINCK"/>
    <s v="R EMBOADAS 20"/>
    <s v="MRDAA.081.M020"/>
    <d v="2026-06-01T00:00:00"/>
    <x v="0"/>
    <s v="TIAGO FERREIRA"/>
    <s v="CATIA"/>
    <m/>
    <s v="OK"/>
    <n v="704"/>
    <n v="589"/>
    <s v="FOI LANÇADO 589 METROS DE CABO DE 12FO, 3 ABERTURA E FECHAMENTO, 2 CX NOVA, 1 DERIVAÇÃO, 23 FUSÕES, 8 TESTES."/>
    <d v="2026-07-14T00:00:00"/>
    <d v="2026-06-01T00:00:00"/>
    <m/>
    <m/>
    <d v="2026-06-05T00:00:00"/>
    <d v="2026-07-14T00:00:00"/>
    <m/>
    <x v="0"/>
    <x v="0"/>
    <s v="AG. MEDIÇÃO"/>
    <n v="4"/>
    <x v="1"/>
    <n v="1"/>
  </r>
  <r>
    <s v="RSCLER0149"/>
    <s v="RBTAA"/>
    <m/>
    <m/>
    <s v="PORTO ALEGRE"/>
    <s v="ED. LUXOR "/>
    <s v="R ENG FERNANDO ABREU PEREIRA 710"/>
    <m/>
    <d v="2023-10-01T00:00:00"/>
    <x v="0"/>
    <m/>
    <s v="PAULO GOMES"/>
    <s v="100% - OK"/>
    <s v="OK"/>
    <s v="SEM LANÇAMENTO"/>
    <s v="SEM LANÇAMENTO"/>
    <s v="2 ABERTURA E FECHAMENTO, 1 FUSÃO, 1 TESTE"/>
    <d v="2023-10-30T00:00:00"/>
    <d v="2023-10-26T00:00:00"/>
    <m/>
    <d v="2023-10-26T00:00:00"/>
    <d v="2023-10-26T00:00:00"/>
    <s v="NÃO PRECISA"/>
    <m/>
    <x v="0"/>
    <x v="0"/>
    <s v="AG. MEDIÇÃO"/>
    <n v="0"/>
    <x v="0"/>
    <n v="-3"/>
  </r>
  <r>
    <s v="RSCLER0137"/>
    <s v="BVSAB"/>
    <m/>
    <m/>
    <s v="PORTO ALEGRE"/>
    <s v=" Edf Teená "/>
    <s v="R Eng Ildefonso Simões Lopes 190"/>
    <m/>
    <d v="2023-10-01T00:00:00"/>
    <x v="0"/>
    <m/>
    <s v=" LUCAS HOBERT"/>
    <s v="100% - OK"/>
    <s v="OK"/>
    <m/>
    <m/>
    <s v="SEM SINAL/ INSUFICIÊNCIA DE FIBRA, SERÁ NECESSARIO OUTRO CABO DE 12FO, FAZER AS BULTS 3 ABERTURA E FECHAMENTO, 3 FUSÃO , 1 TESTE"/>
    <d v="2023-11-20T00:00:00"/>
    <d v="2023-10-06T00:00:00"/>
    <m/>
    <d v="2023-10-11T00:00:00"/>
    <d v="2023-10-25T00:00:00"/>
    <s v="NÃO PRECISA"/>
    <m/>
    <x v="0"/>
    <x v="0"/>
    <s v="AG. MEDIÇÃO"/>
    <n v="13"/>
    <x v="1"/>
    <n v="10"/>
  </r>
  <r>
    <s v="RSCLER0610"/>
    <s v="CNT"/>
    <m/>
    <s v="RSTES14"/>
    <s v="TORRES"/>
    <m/>
    <s v="R ERNESTO ALVES - Número 601"/>
    <s v="CNT.006.M10"/>
    <d v="2025-05-01T00:00:00"/>
    <x v="0"/>
    <m/>
    <s v="MAQUENZE"/>
    <m/>
    <m/>
    <s v="SEM LANÇAMENTO"/>
    <s v="SEM LANÇAMENTO"/>
    <s v="9 ABERTURA E FECHAMENTO, 17 FUSÕES, 3 TESTES"/>
    <d v="2025-07-07T00:00:00"/>
    <d v="2025-05-30T00:00:00"/>
    <m/>
    <m/>
    <d v="2025-06-09T00:00:00"/>
    <s v="NÃO PRECISA"/>
    <m/>
    <x v="0"/>
    <x v="0"/>
    <s v="AG. MEDIÇÃO"/>
    <n v="6"/>
    <x v="1"/>
    <n v="3"/>
  </r>
  <r>
    <s v="RSCLER0183"/>
    <s v="HMTAA"/>
    <m/>
    <m/>
    <s v="PORTO ALEGRE"/>
    <s v="Cond. Res Porto Verissimo"/>
    <s v="R Ernesto Neugebauer 1820"/>
    <m/>
    <d v="2023-12-01T00:00:00"/>
    <x v="0"/>
    <s v="THIAGO"/>
    <s v="LUCAS HOBERT"/>
    <s v="100% - OK"/>
    <s v="OK"/>
    <m/>
    <n v="964"/>
    <s v="FOI LANÇADO 964 METROS DE CABO DE 12FO, 2 ABERTURA E FECHAMENTO, 1 DERIVAÇÃO, 2 CX NOVA, 20 FUSÃO, 4 TESTE, "/>
    <d v="2024-01-09T00:00:00"/>
    <d v="2023-12-12T00:00:00"/>
    <d v="2023-12-13T00:00:00"/>
    <d v="2023-12-18T00:00:00"/>
    <d v="2023-12-20T00:00:00"/>
    <s v="NÃO PRECISA"/>
    <m/>
    <x v="0"/>
    <x v="0"/>
    <s v="AG. MEDIÇÃO"/>
    <n v="6"/>
    <x v="1"/>
    <n v="3"/>
  </r>
  <r>
    <s v="RSCLER0150"/>
    <s v="BVSAA"/>
    <m/>
    <m/>
    <s v="PORTO ALEGRE"/>
    <s v="RES. VILLAGIO DI FIRENZE"/>
    <s v="R ESTÁCIO DE SÁ 905"/>
    <m/>
    <d v="2023-10-01T00:00:00"/>
    <x v="0"/>
    <m/>
    <s v="LUCAS HOBERT/ PAULO GOMES"/>
    <s v="100% - OK"/>
    <s v="OK"/>
    <s v="SEM LANÇAMENTO"/>
    <s v="SEM LANÇAMENTO"/>
    <s v="5 ABERTURA E FECHAMENTO, 7 FUSÃO , OBS: HAVIAMOS QUEBRADO O SPLITTER PARA USAR A FIBRA RETA, MAIS TINHA SINAL, TIVEMOS QUE REFAZER E AGUARDAR ATÉ A SEGUNDA ORDEM, POR ISSO DEU MAIS FUSÕES E ABERTURA."/>
    <d v="2023-11-20T00:00:00"/>
    <d v="2023-10-26T00:00:00"/>
    <m/>
    <d v="2023-11-01T00:00:00"/>
    <d v="2023-11-21T00:00:00"/>
    <s v="NÃO PRECISA"/>
    <m/>
    <x v="0"/>
    <x v="0"/>
    <s v="AG. MEDIÇÃO"/>
    <n v="18"/>
    <x v="1"/>
    <n v="15"/>
  </r>
  <r>
    <s v="RSCLER0783"/>
    <s v="MNDAC"/>
    <s v="PBLAB"/>
    <s v="RSPSU02"/>
    <s v="PORTO ALEGRE"/>
    <s v="Estádio Beira-Rio"/>
    <s v="Av. Padre Cacique, 891"/>
    <s v="MNDAC.101.M010MAN"/>
    <d v="2025-12-01T00:00:00"/>
    <x v="0"/>
    <m/>
    <s v="DERIK / MARCOS EMILIANO"/>
    <m/>
    <m/>
    <s v="SEM LANÇAMENTO"/>
    <s v="SEM LANÇAMENTO"/>
    <s v="16 ABERTURA E FECHAMENTO, 93 FUSÕES, 4 TESTES.COBRAR 130 METROS DE CABO DE 24FO A MAIS ,130 METROS DE DROP A MAIS E 1023 METROS DE CABO DE 12FO. E 130 METROS DE RETIRADA DE DROP, 3 DERIVAÇÕES.1 CX NOVA"/>
    <m/>
    <d v="2025-12-26T00:00:00"/>
    <m/>
    <m/>
    <m/>
    <m/>
    <m/>
    <x v="2"/>
    <x v="2"/>
    <s v="AG. RELATÓRIO"/>
    <n v="174"/>
    <x v="1"/>
    <n v="171"/>
  </r>
  <r>
    <s v="RSCLER0211"/>
    <s v="VNVAA"/>
    <m/>
    <m/>
    <s v="PORTO ALEGRE"/>
    <s v="Res Porto Aurora "/>
    <s v="R Família Gonçalves Carneiro, 201"/>
    <m/>
    <d v="2024-02-01T00:00:00"/>
    <x v="0"/>
    <s v="NATANIEL"/>
    <s v="NATANIEL"/>
    <s v="100% - OK"/>
    <s v="OK"/>
    <m/>
    <n v="373"/>
    <s v="FOI LANÇADO 373 METROS DE CABO DE 12FO, 1 CX NOVA, 1 DERIVAÇÃO , 5 ABERTURA E FECHAMENTO, 30 FUSÃO, 5 TESTE"/>
    <d v="2024-02-23T00:00:00"/>
    <d v="2024-02-07T00:00:00"/>
    <d v="2024-02-07T00:00:00"/>
    <d v="2024-02-09T00:00:00"/>
    <d v="2024-02-14T00:00:00"/>
    <s v="NÃO PRECISA"/>
    <m/>
    <x v="0"/>
    <x v="0"/>
    <s v="AG. MEDIÇÃO"/>
    <n v="5"/>
    <x v="1"/>
    <n v="2"/>
  </r>
  <r>
    <s v="RSCLER0324"/>
    <s v="RBRAA"/>
    <m/>
    <m/>
    <s v="PORTO ALEGRE"/>
    <s v=" Cond. Ed. Faria Santos"/>
    <s v="R Faria Santos 230"/>
    <s v="RBRAA.093.M060"/>
    <d v="2024-06-01T00:00:00"/>
    <x v="0"/>
    <m/>
    <s v="LUCAS HOBERT"/>
    <s v="100% - OK"/>
    <s v="OK"/>
    <s v="SEM LANÇAMENTO"/>
    <s v="SEM LANÇAMENTO"/>
    <s v="FOI INSTALADO UM SPLITTER 1X8, 8 ABERTURA E FECHAMENTO, 18 FUSÃO, 4 TESTE"/>
    <d v="2024-07-24T00:00:00"/>
    <d v="2024-06-21T00:00:00"/>
    <m/>
    <d v="2024-06-26T00:00:00"/>
    <d v="2024-06-26T00:00:00"/>
    <s v="NÃO PRECISA"/>
    <m/>
    <x v="0"/>
    <x v="0"/>
    <s v="AG. MEDIÇÃO"/>
    <n v="3"/>
    <x v="0"/>
    <n v="0"/>
  </r>
  <r>
    <s v="RSCLER0861"/>
    <s v="MTSAA"/>
    <s v="MTSAA"/>
    <s v="PAE BV"/>
    <s v="PORTO ALEGRE"/>
    <s v="Cond Ed Felicissimo"/>
    <s v="R FELICISSIMO DE AZEVEDO 1257"/>
    <s v="MTSAA.004.M020"/>
    <d v="2026-05-01T00:00:00"/>
    <x v="0"/>
    <m/>
    <s v="AFONSO"/>
    <m/>
    <s v="OK"/>
    <s v="SEM LANÇAMENTO"/>
    <s v="SEM LANÇAMENTO"/>
    <s v="3 ABERTURA E FECHAMENTO, 4 FUSÕES, 2 TESTES"/>
    <d v="2026-06-19T00:00:00"/>
    <d v="2026-05-19T00:00:00"/>
    <m/>
    <m/>
    <d v="2026-05-19T00:00:00"/>
    <d v="2026-06-19T00:00:00"/>
    <m/>
    <x v="0"/>
    <x v="0"/>
    <s v="AG. MEDIÇÃO"/>
    <n v="0"/>
    <x v="0"/>
    <n v="-3"/>
  </r>
  <r>
    <s v="RSCLER0885"/>
    <s v="NAVAA"/>
    <m/>
    <m/>
    <s v="PORTO ALEGRE"/>
    <s v="Cond.(ED POUSADA REAL)"/>
    <s v="R FELICISSIMO DE AZEVEDO 658"/>
    <s v="NAVAA.091M010"/>
    <d v="2026-05-01T00:00:00"/>
    <x v="0"/>
    <m/>
    <s v="CATIA"/>
    <m/>
    <s v="OK"/>
    <s v="SEM LANÇAMENTO"/>
    <s v="SEM LANÇAMENTO"/>
    <s v="2 ABERTURA E FECHAMENTO, 2 FUSÕES, 2 TESTES"/>
    <d v="2026-06-19T00:00:00"/>
    <d v="2026-05-27T00:00:00"/>
    <m/>
    <m/>
    <d v="2026-05-27T00:00:00"/>
    <d v="2026-06-19T00:00:00"/>
    <m/>
    <x v="0"/>
    <x v="0"/>
    <s v="AG. MEDIÇÃO"/>
    <n v="0"/>
    <x v="0"/>
    <n v="-3"/>
  </r>
  <r>
    <s v="RSCLER0971"/>
    <s v="BFMAA"/>
    <s v="RBRAFA"/>
    <s v="PAE IND"/>
    <s v="PORTO ALEGRE"/>
    <s v="Edifício Residencial Don Felipe"/>
    <s v="R FELIPE CAMARÃO 142"/>
    <s v="BFMAA.092.M030"/>
    <d v="2026-07-01T00:00:00"/>
    <x v="0"/>
    <m/>
    <s v="CATIA"/>
    <m/>
    <s v="OK"/>
    <s v="SEM LANÇAMENTO"/>
    <s v="SEM LANÇAMENTO"/>
    <s v="4 ABERTURA E FECHAMENTO, 6 FUSÕES, 1 TESTE OTDR, 2 TESTES"/>
    <d v="2026-08-17T00:00:00"/>
    <d v="2026-07-13T00:00:00"/>
    <m/>
    <m/>
    <d v="2026-07-14T00:00:00"/>
    <d v="2026-08-17T00:00:00"/>
    <m/>
    <x v="0"/>
    <x v="0"/>
    <s v="AG. MEDIÇÃO"/>
    <n v="1"/>
    <x v="0"/>
    <n v="-2"/>
  </r>
  <r>
    <s v="RSCLER0974"/>
    <s v="BFMAA"/>
    <s v="RBRAFA"/>
    <s v="PAE IND"/>
    <s v="PORTO ALEGRE"/>
    <m/>
    <s v="R FELIPE CAMARÃO 72 , 96"/>
    <s v="BFMAA.092.M030"/>
    <d v="2026-07-01T00:00:00"/>
    <x v="0"/>
    <s v="TIAGO FERREIRA"/>
    <s v="CATIA"/>
    <m/>
    <s v="OK"/>
    <n v="420"/>
    <n v="454"/>
    <s v="FOI LANÇADO 454 METROS DE CABO DE 12 FO, 4 ABERTURA E FECHAMENTO, 12 FUSÕES, 3 DERIVAÇÕES, 5 TESTES."/>
    <d v="2026-08-17T00:00:00"/>
    <d v="2026-07-14T00:00:00"/>
    <m/>
    <m/>
    <d v="2026-07-18T00:00:00"/>
    <d v="2026-08-17T00:00:00"/>
    <m/>
    <x v="0"/>
    <x v="0"/>
    <s v="AG. MEDIÇÃO"/>
    <n v="3"/>
    <x v="0"/>
    <n v="0"/>
  </r>
  <r>
    <s v="RSCLER0765"/>
    <s v="VIPAA"/>
    <s v="VIPAPB"/>
    <s v="RSPNO19"/>
    <s v="PORTO ALEGRE"/>
    <s v="MANOBRA VISIUM (REPETTO)"/>
    <s v="AV TULIO DE ROSE 500"/>
    <s v="VIPAA.051.M010"/>
    <d v="2025-12-02T00:00:00"/>
    <x v="0"/>
    <s v="TIAGO FERREIRA"/>
    <s v="MAURICIO"/>
    <m/>
    <m/>
    <n v="614"/>
    <m/>
    <m/>
    <m/>
    <d v="2026-08-21T00:00:00"/>
    <m/>
    <m/>
    <d v="2026-08-21T00:00:00"/>
    <m/>
    <m/>
    <x v="2"/>
    <x v="2"/>
    <s v="AG. RELATÓRIO"/>
    <n v="0"/>
    <x v="0"/>
    <n v="-3"/>
  </r>
  <r>
    <s v="RSCLER0793"/>
    <s v="TRA"/>
    <m/>
    <m/>
    <s v="TRAMANDAÍ"/>
    <m/>
    <s v=" R TUIUTI 413"/>
    <s v="TRA045.M030"/>
    <d v="2026-01-01T00:00:00"/>
    <x v="0"/>
    <m/>
    <s v="FABIO AMARILIO"/>
    <m/>
    <m/>
    <s v="SEM LANÇAMENTO"/>
    <s v="SEM LANÇAMENTO"/>
    <m/>
    <m/>
    <d v="2026-01-22T00:00:00"/>
    <m/>
    <m/>
    <d v="2026-01-26T00:00:00"/>
    <m/>
    <m/>
    <x v="2"/>
    <x v="2"/>
    <s v="AG. RELATÓRIO"/>
    <n v="2"/>
    <x v="0"/>
    <n v="-1"/>
  </r>
  <r>
    <s v="RSCLER0891"/>
    <s v="BFMAA"/>
    <s v="RBRAFA"/>
    <s v="PAE IND"/>
    <s v="PORTO ALEGRE"/>
    <s v="Cond Edifício Rio Guaira"/>
    <s v="R FELIPE CAMARÃO 200 "/>
    <s v="BFMAA.092.M030"/>
    <d v="2026-07-01T00:00:00"/>
    <x v="0"/>
    <m/>
    <s v="CATIA"/>
    <m/>
    <s v="OK"/>
    <s v="SEM LANÇAMENTO"/>
    <s v="SEM LANÇAMENTO"/>
    <s v="5 ABERTURA E FECHAMENTO, 13 FUSÕES, 3 TESTES, 4 TESTES OTDR"/>
    <d v="2026-08-13T00:00:00"/>
    <d v="2026-07-09T00:00:00"/>
    <m/>
    <m/>
    <d v="2026-07-09T00:00:00"/>
    <d v="2026-08-13T00:00:00"/>
    <m/>
    <x v="0"/>
    <x v="0"/>
    <s v="AG. MEDIÇÃO"/>
    <n v="0"/>
    <x v="0"/>
    <n v="-3"/>
  </r>
  <r>
    <s v="RSCLER0905"/>
    <s v="FLOAA"/>
    <s v="FLOAF"/>
    <s v="RSPNO11"/>
    <s v="PORTO ALEGRE"/>
    <s v=" Cond. ARTISAN"/>
    <s v="R FELIPE NERI 110"/>
    <s v="FLOAA.115.M040"/>
    <d v="2026-06-01T00:00:00"/>
    <x v="0"/>
    <m/>
    <s v="AFONSO"/>
    <m/>
    <s v="OK"/>
    <s v="SEM LANÇAMENTO"/>
    <s v="SEM LANÇAMENTO"/>
    <s v="2 ABERTURA E FECHAMENTO, 4 FUSÕES, 4 TESTES."/>
    <d v="2026-07-06T00:00:00"/>
    <d v="2026-06-08T00:00:00"/>
    <m/>
    <m/>
    <d v="2026-06-09T00:00:00"/>
    <d v="2026-07-06T00:00:00"/>
    <m/>
    <x v="0"/>
    <x v="0"/>
    <s v="AG. MEDIÇÃO"/>
    <n v="1"/>
    <x v="0"/>
    <n v="-2"/>
  </r>
  <r>
    <s v="RSCLER0970"/>
    <s v="BFMAA"/>
    <s v="RBRAFA"/>
    <s v="PAE IND"/>
    <s v="PORTO ALEGRE"/>
    <s v="Cond. (Maison Ville Franche)"/>
    <s v="R FERNANDES VIEIRA 181"/>
    <s v="BFMAA.091.M010"/>
    <d v="2026-07-01T00:00:00"/>
    <x v="0"/>
    <m/>
    <s v="CATIA"/>
    <m/>
    <s v="OK"/>
    <s v="SEM LANÇAMENTO"/>
    <s v="SEM LANÇAMENTO"/>
    <s v="4 ABERTURA E FECHAMENTO, 9 FUSÕES, 3 TESTES"/>
    <d v="2026-07-24T00:00:00"/>
    <d v="2026-07-09T00:00:00"/>
    <m/>
    <m/>
    <d v="2026-07-14T00:00:00"/>
    <d v="2026-07-24T00:00:00"/>
    <m/>
    <x v="0"/>
    <x v="0"/>
    <s v="AG. MEDIÇÃO"/>
    <n v="3"/>
    <x v="0"/>
    <n v="0"/>
  </r>
  <r>
    <s v="RSCLER0963"/>
    <s v="BFMAA"/>
    <s v="RBRAFA"/>
    <s v="PAE IND"/>
    <s v="PORTO ALEGRE"/>
    <s v="Cond. Edifício Juncal"/>
    <s v="R FERNANDES VIEIRA 203"/>
    <s v="BFMAA.091.M010"/>
    <d v="2026-07-01T00:00:00"/>
    <x v="0"/>
    <s v="CLEVERSON"/>
    <s v="CATIA"/>
    <m/>
    <s v="OK"/>
    <n v="154"/>
    <n v="167"/>
    <s v="FOI LANÇADO 167 METROS DE CABO DE 24FO, 6 ABERTURA E FECHAMENTO, 14 FUSÕES, 2 DERIVAÇÕES, 2 TESTES"/>
    <d v="2026-07-24T00:00:00"/>
    <d v="2026-07-03T00:00:00"/>
    <m/>
    <m/>
    <d v="2026-07-07T00:00:00"/>
    <d v="2026-07-24T00:00:00"/>
    <m/>
    <x v="0"/>
    <x v="0"/>
    <s v="AG. MEDIÇÃO"/>
    <n v="2"/>
    <x v="0"/>
    <n v="-1"/>
  </r>
  <r>
    <s v="RSCLER1020"/>
    <s v="VIPAA"/>
    <s v="SPEAH"/>
    <s v="RSPNO19"/>
    <s v="PORTO ALEGRE"/>
    <s v="Residencial Fernando Cortez"/>
    <s v="R FERNANDO CORTEZ 137"/>
    <s v="VIPAA.021.M050"/>
    <d v="2026-08-01T00:00:00"/>
    <x v="0"/>
    <m/>
    <s v="CATIA"/>
    <m/>
    <s v="OK"/>
    <s v="SEM LANÇAMENTO"/>
    <s v="SEM LANÇAMENTO"/>
    <s v="3 ABERTURA E FECHAMENTO, 2 FUSÕES, 1 TESTE."/>
    <d v="2026-08-20T00:00:00"/>
    <d v="2026-08-08T00:00:00"/>
    <m/>
    <m/>
    <d v="2026-08-10T00:00:00"/>
    <d v="2026-08-20T00:00:00"/>
    <m/>
    <x v="0"/>
    <x v="0"/>
    <s v="AG. MEDIÇÃO"/>
    <n v="0"/>
    <x v="0"/>
    <n v="-3"/>
  </r>
  <r>
    <s v="RSCLER1037"/>
    <s v="VIPAA"/>
    <s v="SPEAH"/>
    <s v="RSPNO19"/>
    <s v="PORTO ALEGRE"/>
    <s v="ED RESIDENCIAL NORMANDIE"/>
    <s v="R FERNANDO CORTEZ 151"/>
    <s v="VIPAA.021.M050"/>
    <d v="2026-08-01T00:00:00"/>
    <x v="0"/>
    <s v="TIAGO FERREIRA"/>
    <s v="CATIA"/>
    <m/>
    <s v="OK"/>
    <n v="315"/>
    <n v="362"/>
    <s v="FOI LANÇADO 362 METROS DE CABO DE 24FO, 3 ABERTURAS E FECHAMENTOS, 2 DERIVAÇÕES, 7 FUSÕES, 1 TESTE OTDR, 3 TESTES."/>
    <d v="2026-08-25T00:00:00"/>
    <d v="2026-08-18T00:00:00"/>
    <m/>
    <m/>
    <d v="2026-08-21T00:00:00"/>
    <d v="2026-08-25T00:00:00"/>
    <m/>
    <x v="0"/>
    <x v="0"/>
    <s v="AG. MEDIÇÃO"/>
    <n v="3"/>
    <x v="0"/>
    <n v="0"/>
  </r>
  <r>
    <s v="RSCLER0184"/>
    <s v="RBRAA"/>
    <m/>
    <m/>
    <s v="PORTO ALEGRE"/>
    <s v="Edificio Welcome"/>
    <s v="R Ferreira Viana 279"/>
    <m/>
    <d v="2023-12-01T00:00:00"/>
    <x v="0"/>
    <m/>
    <s v=" MARCOS EMILIANO"/>
    <s v="100% - OK"/>
    <s v="OK"/>
    <s v="SEM LANÇAMENTO"/>
    <s v="SEM LANÇAMENTO"/>
    <s v="7 ABERTURA E FECHAMENTO, 13 FUSÃO, 1 SPLITTER, 3 TESTE, "/>
    <d v="2024-01-09T00:00:00"/>
    <d v="2023-12-12T00:00:00"/>
    <m/>
    <d v="2023-12-18T00:00:00"/>
    <d v="2023-12-27T00:00:00"/>
    <s v="NÃO PRECISA"/>
    <m/>
    <x v="0"/>
    <x v="0"/>
    <s v="AG. MEDIÇÃO"/>
    <n v="11"/>
    <x v="1"/>
    <n v="8"/>
  </r>
  <r>
    <s v="RSCLER0994"/>
    <s v="SRDAA"/>
    <s v="SRDAI"/>
    <s v="RSPNO08"/>
    <s v="PORTO ALEGRE"/>
    <s v="Cond. Ed. Nuevo Laredo"/>
    <s v="R FIGUEIREDO MASCARENHAS 1011"/>
    <s v="SRDAA.061.M010"/>
    <d v="2026-07-01T00:00:00"/>
    <x v="0"/>
    <s v="TIAGO FERREIRA"/>
    <s v="CATIA"/>
    <m/>
    <s v="OK"/>
    <n v="520"/>
    <n v="441"/>
    <s v="FOI LANÇADO 84 METROS DE CABO DE 36FO, E 357 METROS DE CABO DE 24FO, 4 ABERTURA E FECHAMENTO, 2 CX NOVA, 1 DERIVAÇÃO, 35 FUSÕES, 27 TESTES."/>
    <d v="2026-08-19T00:00:00"/>
    <d v="2026-07-24T00:00:00"/>
    <m/>
    <d v="2026-07-27T00:00:00"/>
    <d v="2026-07-27T00:00:00"/>
    <d v="2026-08-19T00:00:00"/>
    <m/>
    <x v="0"/>
    <x v="0"/>
    <s v="AG. MEDIÇÃO"/>
    <n v="1"/>
    <x v="0"/>
    <n v="-2"/>
  </r>
  <r>
    <s v="RSCLER0997"/>
    <s v="SRDAA"/>
    <s v="SRDAI"/>
    <s v="RSPNO08"/>
    <s v="PORTO ALEGRE"/>
    <s v="Cond. Residencial Bahamas"/>
    <s v="R FIGUEIREDO MASCARENHAS 1020"/>
    <s v="SRDAA.061.M010"/>
    <d v="2026-07-01T00:00:00"/>
    <x v="0"/>
    <m/>
    <s v="CATIA"/>
    <m/>
    <s v="OK"/>
    <s v="SEM LANÇAMENTO"/>
    <s v="SEM LANÇAMENTO"/>
    <s v="FOI COBRADO JUNTO A OS RSCLER0994."/>
    <d v="2026-08-19T00:00:00"/>
    <d v="2026-07-24T00:00:00"/>
    <m/>
    <d v="2026-07-27T00:00:00"/>
    <d v="2026-07-27T00:00:00"/>
    <d v="2026-08-19T00:00:00"/>
    <m/>
    <x v="0"/>
    <x v="0"/>
    <s v="AG. MEDIÇÃO"/>
    <n v="1"/>
    <x v="0"/>
    <n v="-2"/>
  </r>
  <r>
    <s v="RSCLER0995"/>
    <s v="SRDAA"/>
    <s v="SRDAI"/>
    <s v="RSPNO08"/>
    <s v="PORTO ALEGRE"/>
    <s v="Cond. San Diego"/>
    <s v="R FIGUEIREDO MASCARENHAS 980"/>
    <s v="SRDAA.061.M010"/>
    <d v="2026-07-01T00:00:00"/>
    <x v="0"/>
    <m/>
    <s v="CATIA"/>
    <m/>
    <s v="OK"/>
    <s v="SEM LANÇAMENTO"/>
    <s v="SEM LANÇAMENTO"/>
    <s v="FOI COBRADO JUNTO A OS RSCLER0994."/>
    <d v="2026-08-19T00:00:00"/>
    <d v="2026-07-24T00:00:00"/>
    <m/>
    <d v="2026-07-27T00:00:00"/>
    <d v="2026-07-27T00:00:00"/>
    <d v="2026-08-19T00:00:00"/>
    <m/>
    <x v="0"/>
    <x v="0"/>
    <s v="AG. MEDIÇÃO"/>
    <n v="1"/>
    <x v="0"/>
    <n v="-2"/>
  </r>
  <r>
    <s v="RSCLER0996"/>
    <s v="SRDAA"/>
    <s v="SRDAI"/>
    <s v="RSPNO08"/>
    <s v="PORTO ALEGRE"/>
    <s v=" Cond. Ed. Piedras Blancas"/>
    <s v="R FIGUEIREDO MASCARENHAS 991"/>
    <s v="SRDAA.061.M010"/>
    <d v="2026-07-01T00:00:00"/>
    <x v="0"/>
    <m/>
    <s v="CATIA"/>
    <m/>
    <s v="OK"/>
    <s v="SEM LANÇAMENTO"/>
    <s v="SEM LANÇAMENTO"/>
    <s v="FOI COBRADO JUNTO A OS RSCLER0994."/>
    <d v="2026-08-19T00:00:00"/>
    <d v="2026-07-24T00:00:00"/>
    <m/>
    <d v="2026-07-27T00:00:00"/>
    <d v="2026-07-27T00:00:00"/>
    <d v="2026-08-19T00:00:00"/>
    <m/>
    <x v="0"/>
    <x v="0"/>
    <s v="AG. MEDIÇÃO"/>
    <n v="1"/>
    <x v="0"/>
    <n v="-2"/>
  </r>
  <r>
    <s v="RSCLER0883"/>
    <s v="CNUAB"/>
    <s v="CNUAB"/>
    <s v="RSNHO09"/>
    <s v="NOVO HAMBURGO"/>
    <s v=" Residencial Ícaro "/>
    <s v="R FLAMARION 245"/>
    <s v="CNUAB.061.M010"/>
    <d v="2026-05-01T00:00:00"/>
    <x v="0"/>
    <s v="TIAGO FERREIRA"/>
    <s v="AFONSO"/>
    <m/>
    <s v="OK"/>
    <n v="800"/>
    <n v="825"/>
    <s v="FOI LANÇADO 825 METROS DE CABO DE 12FO, 2 ABERTURA E FECHAMENTO, 8 FUSÕES, 1 DERIVAÇÃO, 1 CX NOVA, 4 TESTES."/>
    <d v="2026-07-14T00:00:00"/>
    <d v="2026-05-26T00:00:00"/>
    <m/>
    <m/>
    <d v="2026-05-27T00:00:00"/>
    <d v="2026-07-14T00:00:00"/>
    <m/>
    <x v="0"/>
    <x v="0"/>
    <s v="AG. MEDIÇÃO"/>
    <n v="1"/>
    <x v="0"/>
    <n v="-2"/>
  </r>
  <r>
    <s v="RSCLER0321"/>
    <s v="PRTAA"/>
    <s v="PRTANA"/>
    <m/>
    <s v="PORTO ALEGRE"/>
    <s v="Residencial Frei Germano"/>
    <s v="R Frei Germano 138 "/>
    <s v="PRTAA.001.M110"/>
    <d v="2024-06-01T00:00:00"/>
    <x v="0"/>
    <s v="TIAGO"/>
    <s v="ANDERSON"/>
    <s v="100% - OK"/>
    <s v="OK"/>
    <m/>
    <n v="250"/>
    <s v="FOI LANÇADO 250 METROS DE CABO DE 12FO, 3 ABERRTURA E FECHAMENTO, 3 FUSÃO, 2 DERIVAÇÃO, 1 CX NOVA, 1 TESTE"/>
    <d v="2024-07-24T00:00:00"/>
    <d v="2024-06-17T00:00:00"/>
    <d v="2024-06-24T00:00:00"/>
    <d v="2024-06-26T00:00:00"/>
    <d v="2024-06-26T00:00:00"/>
    <s v="NÃO PRECISA"/>
    <m/>
    <x v="0"/>
    <x v="0"/>
    <s v="AG. MEDIÇÃO"/>
    <n v="7"/>
    <x v="1"/>
    <n v="4"/>
  </r>
  <r>
    <s v="RSCLER0926"/>
    <s v="BFMAA"/>
    <s v="BFMADA"/>
    <s v="PAE IND"/>
    <s v="PORTO ALEGRE"/>
    <s v="Edificio Rio Uruguai"/>
    <s v="R GARIBALDI 902"/>
    <s v="BFMAA.023.M020"/>
    <d v="2026-06-01T00:00:00"/>
    <x v="0"/>
    <s v="TIAGO FERREIRA"/>
    <s v="AFONSO"/>
    <m/>
    <s v="OK"/>
    <n v="137"/>
    <n v="112"/>
    <s v="FOI LANÇADO 112 METROS DE CABO DE 12FO, 2 ABERTURA E FECHAMENTO, 2 DERIVAÇÃO, 3 FUSÃO, 3 TESTES."/>
    <d v="2026-06-22T00:00:00"/>
    <d v="2026-06-15T00:00:00"/>
    <m/>
    <m/>
    <d v="2026-06-19T00:00:00"/>
    <d v="2026-06-22T00:00:00"/>
    <m/>
    <x v="0"/>
    <x v="0"/>
    <s v="AG. MEDIÇÃO"/>
    <n v="4"/>
    <x v="1"/>
    <n v="1"/>
  </r>
  <r>
    <s v="RSCLER0205"/>
    <s v="MTSAA"/>
    <m/>
    <m/>
    <s v="PORTO ALEGRE"/>
    <s v="Condomínio Edificio Enea"/>
    <s v="R GEN COUTO DE MAGALHAES 495"/>
    <m/>
    <d v="2024-01-01T00:00:00"/>
    <x v="0"/>
    <m/>
    <s v="PAULO GOMES"/>
    <s v="100% - OK"/>
    <s v="OK"/>
    <s v="SEM LANÇAMENTO"/>
    <s v="SEM LANÇAMENTO"/>
    <s v="5 ABERTURA E FECHAMENTO, 5 FUSÃO, 2 TESTE"/>
    <d v="2024-01-09T00:00:00"/>
    <d v="2024-01-08T00:00:00"/>
    <m/>
    <d v="2024-01-09T00:00:00"/>
    <d v="2024-01-09T00:00:00"/>
    <s v="NÃO PRECISA"/>
    <m/>
    <x v="0"/>
    <x v="0"/>
    <s v="AG. MEDIÇÃO"/>
    <n v="1"/>
    <x v="0"/>
    <n v="-2"/>
  </r>
  <r>
    <s v="RSCLER0939"/>
    <s v="SANAA"/>
    <s v="CBXAH"/>
    <s v="RSPCE22"/>
    <s v="PORTO ALEGRE"/>
    <m/>
    <s v="R GEN LIMA E SILVA 529"/>
    <s v="SANAA.273.M030"/>
    <d v="2026-06-01T00:00:00"/>
    <x v="0"/>
    <m/>
    <s v="CATIA"/>
    <m/>
    <s v="OK"/>
    <s v="SEM LANÇAMENTO"/>
    <s v="SEM LANÇAMENTO"/>
    <s v="2 ABERTURA E FECHAMENTO, 3 FUSÕES, 2 TESTES, 1 TESTE OTDR."/>
    <d v="2026-08-13T00:00:00"/>
    <d v="2026-06-18T00:00:00"/>
    <m/>
    <m/>
    <d v="2026-06-20T00:00:00"/>
    <d v="2026-08-13T00:00:00"/>
    <m/>
    <x v="0"/>
    <x v="0"/>
    <s v="AG. MEDIÇÃO"/>
    <n v="1"/>
    <x v="0"/>
    <n v="-2"/>
  </r>
  <r>
    <s v="RSCLER0865"/>
    <s v="CNTAA"/>
    <m/>
    <m/>
    <s v="PORTO ALEGRE"/>
    <m/>
    <s v="R GEN LIMA E SILVA 841"/>
    <s v="CNTAA.367.M010"/>
    <d v="2026-05-01T00:00:00"/>
    <x v="0"/>
    <m/>
    <s v="AFONSO"/>
    <m/>
    <m/>
    <s v="SEM LANÇAMENTO"/>
    <s v="SEM LANÇAMENTO"/>
    <s v="8 ABERTURA E FECHAMENTO, 7 FUSÕES, 1 TESTE."/>
    <d v="2026-05-26T00:00:00"/>
    <d v="2026-05-22T00:00:00"/>
    <m/>
    <m/>
    <d v="2026-05-22T00:00:00"/>
    <d v="2026-05-26T00:00:00"/>
    <m/>
    <x v="0"/>
    <x v="0"/>
    <s v="AG. MEDIÇÃO"/>
    <n v="0"/>
    <x v="0"/>
    <n v="-3"/>
  </r>
  <r>
    <s v="RSCLER1016"/>
    <s v="BFMAB"/>
    <s v="BFMAF"/>
    <s v="RSPCE13"/>
    <s v="PORTO ALEGRE"/>
    <s v="Edifício Julieta"/>
    <s v="R GEN. JOÃO TELLES 292"/>
    <s v="BFMAB.282.M040"/>
    <d v="2026-08-01T00:00:00"/>
    <x v="0"/>
    <m/>
    <s v="CATIA"/>
    <m/>
    <s v="OK"/>
    <s v="SEM LANÇAMENTO"/>
    <s v="SEM LANÇAMENTO"/>
    <s v="2 ABERTURA E FECHAMENTO, 2 FUSÕES, 1 TESTE, 1 TESTE OTDR."/>
    <d v="2026-08-20T00:00:00"/>
    <d v="2026-08-07T00:00:00"/>
    <m/>
    <m/>
    <d v="2026-08-07T00:00:00"/>
    <d v="2026-08-20T00:00:00"/>
    <m/>
    <x v="0"/>
    <x v="0"/>
    <s v="AG. MEDIÇÃO"/>
    <n v="0"/>
    <x v="0"/>
    <n v="-3"/>
  </r>
  <r>
    <s v="RSCLER0157"/>
    <s v="TRZAA"/>
    <m/>
    <m/>
    <s v="PORTO ALEGRE"/>
    <s v="Res. Guaíba"/>
    <s v="R Gen. Rondon 1044 / 1050"/>
    <m/>
    <d v="2023-11-01T00:00:00"/>
    <x v="0"/>
    <m/>
    <s v="PAULO GOMES"/>
    <s v="100% - OK"/>
    <s v="OK"/>
    <s v="SEM LANÇAMENTO"/>
    <s v="SEM LANÇAMENTO"/>
    <s v="2 ABERTURA E FECHAMENTO, 2 FUSÃO, 1 TESTE "/>
    <d v="2023-11-20T00:00:00"/>
    <d v="2023-11-03T00:00:00"/>
    <m/>
    <d v="2023-11-06T00:00:00"/>
    <d v="2023-11-06T00:00:00"/>
    <s v="NÃO PRECISA"/>
    <m/>
    <x v="0"/>
    <x v="0"/>
    <s v="AG. MEDIÇÃO"/>
    <n v="1"/>
    <x v="0"/>
    <n v="-2"/>
  </r>
  <r>
    <s v="RSCLER1042"/>
    <s v="JBOAA"/>
    <s v="PETAA"/>
    <s v="RSPLE18"/>
    <s v="PORTO ALEGRE"/>
    <s v="Cond. Edifício Albina"/>
    <s v="R GEN. SOUZA DOCA, 52"/>
    <s v="JBOAA.061.M030"/>
    <d v="2026-08-01T00:00:00"/>
    <x v="0"/>
    <m/>
    <s v="CATIA"/>
    <m/>
    <s v="OK"/>
    <s v="SEM LANÇAMENTO"/>
    <s v="SEM LANÇAMENTO"/>
    <s v="3 ABERTURA E FECHAMENTO, 9 FUSÕES, 1 DERIVAÇÃO, 3 TESTES."/>
    <d v="2026-08-26T00:00:00"/>
    <d v="2026-08-19T00:00:00"/>
    <m/>
    <m/>
    <d v="2026-08-20T00:00:00"/>
    <d v="2026-08-26T00:00:00"/>
    <m/>
    <x v="0"/>
    <x v="0"/>
    <s v="AG. MEDIÇÃO"/>
    <n v="1"/>
    <x v="0"/>
    <n v="-2"/>
  </r>
  <r>
    <s v="RSCLER0770"/>
    <s v="TRA"/>
    <m/>
    <m/>
    <s v="TRAMANDAI"/>
    <m/>
    <s v="R GETULIO VARGAS - N 719 "/>
    <s v="TRA055M010"/>
    <d v="2025-12-01T00:00:00"/>
    <x v="0"/>
    <m/>
    <s v="DERIK"/>
    <m/>
    <m/>
    <s v="SEM LANÇAMENTO"/>
    <s v="SEM LANÇAMENTO"/>
    <s v="2 ABERTURA E FECHAMENTO, 2 FUSÕES, 2 TESTES"/>
    <d v="2026-02-02T00:00:00"/>
    <d v="2025-12-10T00:00:00"/>
    <m/>
    <m/>
    <d v="2025-12-18T00:00:00"/>
    <s v="NÃO PRECISA"/>
    <m/>
    <x v="0"/>
    <x v="0"/>
    <s v="AG. MEDIÇÃO"/>
    <n v="6"/>
    <x v="1"/>
    <n v="3"/>
  </r>
  <r>
    <s v="RSCLER0353"/>
    <s v="MRDAA"/>
    <s v="NSG16A"/>
    <s v="RSCAN01"/>
    <s v="CANOAS "/>
    <s v="CAZA SCENARIO"/>
    <s v="R GOMES FREIRE DE ANDRADE 126"/>
    <s v="MRDAA.191.M020"/>
    <d v="2024-07-01T00:00:00"/>
    <x v="0"/>
    <s v="TIAGO FERREIRA"/>
    <s v="FABIO AMARILIO"/>
    <s v="100% - OK"/>
    <s v="OK"/>
    <m/>
    <n v="350"/>
    <s v="FOI LANÇADO 350 METROS DE CABO DE 12FO, 3 ABERTURA E FECHAMENTO, 2 FUSÃO, 1 TESTE"/>
    <d v="2024-07-24T00:00:00"/>
    <d v="2024-07-19T00:00:00"/>
    <d v="2024-07-21T00:00:00"/>
    <d v="2024-07-24T00:00:00"/>
    <d v="2024-07-24T00:00:00"/>
    <s v="NÃO PRECISA"/>
    <m/>
    <x v="0"/>
    <x v="0"/>
    <s v="AG. MEDIÇÃO"/>
    <n v="3"/>
    <x v="0"/>
    <n v="0"/>
  </r>
  <r>
    <s v="RSCLER1046"/>
    <s v="BFMAA"/>
    <s v="FLOAM"/>
    <s v="PAE IND"/>
    <s v="PORTO ALEGRE"/>
    <s v="Ed Senior Living"/>
    <s v="R GONÇALO DE CARVALHO 347"/>
    <s v="BFMAA.241.M040"/>
    <d v="2026-08-01T00:00:00"/>
    <x v="0"/>
    <m/>
    <s v="CATIA"/>
    <m/>
    <s v="OK"/>
    <n v="40"/>
    <n v="40"/>
    <s v="FOI LANÇADO 40 METROS DE DROP 8FO, 5 ABERTURA E FECHAMENTO, 1 DERIVAÇÃO, 10 FUSÕES, 2 TESTES. 3 TESTES OTDR."/>
    <d v="2026-08-27T00:00:00"/>
    <d v="2026-08-19T00:00:00"/>
    <m/>
    <m/>
    <d v="2026-08-20T00:00:00"/>
    <d v="2026-08-27T00:00:00"/>
    <m/>
    <x v="0"/>
    <x v="0"/>
    <s v="AG. MEDIÇÃO"/>
    <n v="1"/>
    <x v="0"/>
    <n v="-2"/>
  </r>
  <r>
    <s v="RSCLER0884"/>
    <s v="BFMAA"/>
    <s v="FLOAM"/>
    <s v="PAE IND"/>
    <s v="PORTO ALEGRE"/>
    <m/>
    <s v="R GONÇALO DE CARVALHO, 439"/>
    <s v="BFMAA.243.M020"/>
    <d v="2026-05-01T00:00:00"/>
    <x v="0"/>
    <m/>
    <s v="CATIA"/>
    <m/>
    <m/>
    <s v="SEM LANÇAMENTO"/>
    <s v="SEM LANÇAMENTO"/>
    <s v="2 ABERTURA E FECHAMENTO, 1 FUSÃO, 1 TESTE."/>
    <d v="2026-06-18T00:00:00"/>
    <d v="2026-05-27T00:00:00"/>
    <m/>
    <m/>
    <d v="2026-05-28T00:00:00"/>
    <d v="2026-06-18T00:00:00"/>
    <m/>
    <x v="0"/>
    <x v="0"/>
    <s v="AG. MEDIÇÃO"/>
    <n v="1"/>
    <x v="0"/>
    <n v="-2"/>
  </r>
  <r>
    <s v="RSCLER0948"/>
    <s v="RNDAA"/>
    <s v="RNDAC"/>
    <s v="RSNHO12"/>
    <s v="NOVO HAMBURGO"/>
    <m/>
    <s v="R GUANABARA 110"/>
    <s v="RNDAA.082.M030"/>
    <d v="2026-06-01T00:00:00"/>
    <x v="0"/>
    <m/>
    <s v="CATIA"/>
    <m/>
    <s v="OK"/>
    <s v="SEM LANÇAMENTO"/>
    <s v="SEM LANÇAMENTO"/>
    <s v="2 ABERTURA E FECHAMENTO, 2 FUSÃO, 1 TESTE."/>
    <d v="2026-07-08T00:00:00"/>
    <d v="2026-06-19T00:00:00"/>
    <m/>
    <m/>
    <d v="2026-06-24T00:00:00"/>
    <d v="2026-07-08T00:00:00"/>
    <m/>
    <x v="0"/>
    <x v="0"/>
    <s v="AG. MEDIÇÃO"/>
    <n v="3"/>
    <x v="0"/>
    <n v="0"/>
  </r>
  <r>
    <s v="RSCLER0609"/>
    <s v="CNT"/>
    <m/>
    <m/>
    <s v="ARROIO DO MEIO"/>
    <m/>
    <s v="R GUSTAVO WENANDTS 987"/>
    <s v="CNT.030.M020"/>
    <d v="2025-05-01T00:00:00"/>
    <x v="0"/>
    <m/>
    <s v="WESLEY "/>
    <m/>
    <m/>
    <s v="SEM LANÇAMENTO"/>
    <s v="SEM LANÇAMENTO"/>
    <s v="2 ABERTURA E FECHAMENTO, 1 FUSÃO, 1 TESTE"/>
    <d v="2025-06-18T00:00:00"/>
    <d v="2025-05-27T00:00:00"/>
    <m/>
    <m/>
    <d v="2025-06-03T00:00:00"/>
    <s v="NÃO PRECISA"/>
    <m/>
    <x v="0"/>
    <x v="0"/>
    <s v="AG. MEDIÇÃO"/>
    <n v="5"/>
    <x v="1"/>
    <n v="2"/>
  </r>
  <r>
    <s v="RSCLER0966"/>
    <s v="BFMAA"/>
    <s v="FLOAI"/>
    <s v="PAE IND"/>
    <s v="PORTO ALEGRE"/>
    <s v="CASA MOINHOS"/>
    <s v="R HILARIO RIBEIRO 150"/>
    <s v="BFMAA.063.M010"/>
    <d v="2026-07-01T00:00:00"/>
    <x v="0"/>
    <m/>
    <s v="CATIA"/>
    <m/>
    <s v="OK"/>
    <s v="SEM LANÇAMENTO"/>
    <s v="SEM LANÇAMENTO"/>
    <s v="2 ABERTURA E FECHAMENTO, 3 FUSÕES, 3 TESTES."/>
    <d v="2026-07-09T00:00:00"/>
    <d v="2026-07-02T00:00:00"/>
    <m/>
    <m/>
    <d v="2026-07-03T00:00:00"/>
    <d v="2026-07-09T00:00:00"/>
    <m/>
    <x v="0"/>
    <x v="0"/>
    <s v="AG. MEDIÇÃO"/>
    <n v="1"/>
    <x v="0"/>
    <n v="-2"/>
  </r>
  <r>
    <s v="RSCLER0985"/>
    <s v="BFMAA"/>
    <s v="FLOAPB"/>
    <s v="PAE IND"/>
    <s v="PORTO ALEGRE"/>
    <s v="COND CONCORDIA"/>
    <s v="R HOFFMANN 543"/>
    <s v="BFMAA.031.M010"/>
    <d v="2026-07-01T00:00:00"/>
    <x v="0"/>
    <m/>
    <s v="CLEVERSON / CATIA"/>
    <m/>
    <s v="OK"/>
    <s v="SEM LANÇAMENTO"/>
    <s v="SEM LANÇAMENTO"/>
    <s v="3 ABERTURA E FECHAMENTO, 2 FUSÃO, 1 TESTE."/>
    <d v="2026-07-24T00:00:00"/>
    <d v="2026-07-16T00:00:00"/>
    <m/>
    <m/>
    <d v="2026-07-23T00:00:00"/>
    <d v="2026-07-24T00:00:00"/>
    <m/>
    <x v="0"/>
    <x v="0"/>
    <s v="AG. MEDIÇÃO"/>
    <n v="5"/>
    <x v="1"/>
    <n v="2"/>
  </r>
  <r>
    <s v="RSCLER0158"/>
    <s v="JCVAA"/>
    <m/>
    <m/>
    <s v="PORTO ALEGRE"/>
    <s v="Porto Bahamas"/>
    <s v="R Imo Francisco Rauch 575 TOR 2"/>
    <m/>
    <d v="2023-11-01T00:00:00"/>
    <x v="0"/>
    <m/>
    <s v="MARCOS EMILIANO"/>
    <s v="100% - OK"/>
    <s v="OK"/>
    <s v="SEM LANÇAMENTO"/>
    <s v="SEM LANÇAMENTO"/>
    <s v="4 ABERTURA E FECHAMENTO, 3 FUSÃO , 1 TESTE "/>
    <d v="2023-11-20T00:00:00"/>
    <d v="2023-11-07T00:00:00"/>
    <m/>
    <d v="2023-11-10T00:00:00"/>
    <d v="2023-11-10T00:00:00"/>
    <s v="NÃO PRECISA"/>
    <m/>
    <x v="0"/>
    <x v="0"/>
    <s v="AG. MEDIÇÃO"/>
    <n v="3"/>
    <x v="0"/>
    <n v="0"/>
  </r>
  <r>
    <s v="RSCLER1043"/>
    <s v="BFMAA"/>
    <s v="BFMAA"/>
    <s v="PAE IND"/>
    <s v="PORTO ALEGRE"/>
    <s v="COND. Bristol"/>
    <s v="R IMO JOSE OTAO 170"/>
    <s v="BFMAA.122.M050"/>
    <d v="2026-08-01T00:00:00"/>
    <x v="0"/>
    <m/>
    <s v="LIRA"/>
    <m/>
    <s v="OK"/>
    <s v="SEM LANÇAMENTO"/>
    <s v="SEM LANÇAMENTO"/>
    <s v="NÃO COBRAR POIS O LIRA DA CLARO QUEM FEZ."/>
    <s v="NÃO COBRAR"/>
    <d v="2026-08-19T00:00:00"/>
    <m/>
    <m/>
    <d v="2026-08-19T00:00:00"/>
    <s v="NÃO PRECISA"/>
    <m/>
    <x v="0"/>
    <x v="0"/>
    <s v="AG. MEDIÇÃO"/>
    <n v="0"/>
    <x v="0"/>
    <n v="-3"/>
  </r>
  <r>
    <s v="RSCLER0496"/>
    <s v="RBTAB"/>
    <s v="RBTABA"/>
    <s v="RSPNO22"/>
    <s v="PORTO ALEGRE"/>
    <m/>
    <s v="R IRMÃ TEREZILDA STEFFEN 195"/>
    <s v="RBTAB.061.M030"/>
    <d v="2025-01-01T00:00:00"/>
    <x v="0"/>
    <s v="LUIS SCHUCH"/>
    <s v="LUIS SCHUCH"/>
    <s v="SEM SINAL"/>
    <m/>
    <n v="890"/>
    <n v="997"/>
    <s v="FOI LANÇADO 997 METROS DE CABO DE 12FO, FOI LANÇADO 275 METROS DE CORDOALHA,2 CX NOVA, 1 ABERTURA E FECHAMENTO, 14 FUSÕES, 1 DERIVAÇÃO, "/>
    <d v="2025-03-18T00:00:00"/>
    <d v="2025-01-30T00:00:00"/>
    <d v="2025-02-04T00:00:00"/>
    <d v="2025-02-03T00:00:00"/>
    <d v="2025-02-06T00:00:00"/>
    <s v="NÃO PRECISA"/>
    <m/>
    <x v="0"/>
    <x v="0"/>
    <s v="AG. MEDIÇÃO"/>
    <n v="5"/>
    <x v="1"/>
    <n v="2"/>
  </r>
  <r>
    <s v="RSCLER0747"/>
    <s v="JBOAA"/>
    <s v="PETAE"/>
    <s v="RSPLE18"/>
    <s v="PORTO ALEGRE"/>
    <m/>
    <s v="R Itaboraí 101"/>
    <s v="JBOAA.102.M010"/>
    <d v="2025-10-01T00:00:00"/>
    <x v="0"/>
    <m/>
    <m/>
    <m/>
    <m/>
    <m/>
    <m/>
    <s v="COBRAR DENTRO DO NODE PETAE"/>
    <s v="PETAE"/>
    <m/>
    <m/>
    <m/>
    <m/>
    <s v="NÃO PRECISA"/>
    <m/>
    <x v="0"/>
    <x v="0"/>
    <s v="AG. MEDIÇÃO"/>
    <s v="DATA ENTRADA"/>
    <x v="1"/>
    <s v="DATA ENTRADA"/>
  </r>
  <r>
    <s v="RSCLER0835"/>
    <s v="JBOAA"/>
    <s v="PETAE"/>
    <s v="RSPLE18"/>
    <s v="PORTO ALEGRE"/>
    <m/>
    <s v="R ITABORAI 154"/>
    <s v="JBOAA.102.M020"/>
    <d v="2026-04-01T00:00:00"/>
    <x v="0"/>
    <m/>
    <s v="CLEVERSON"/>
    <m/>
    <m/>
    <s v="SEM LANÇAMENTO"/>
    <s v="SEM LANÇAMENTO"/>
    <s v="2 ABERTURA E FECHAMENTO, 1 FUSÕES, 1 TESTE"/>
    <d v="2026-05-05T00:00:00"/>
    <d v="2026-04-24T00:00:00"/>
    <m/>
    <m/>
    <d v="2026-04-25T00:00:00"/>
    <d v="2026-05-05T00:00:00"/>
    <m/>
    <x v="0"/>
    <x v="0"/>
    <s v="AG. MEDIÇÃO"/>
    <n v="0"/>
    <x v="0"/>
    <n v="-3"/>
  </r>
  <r>
    <s v="RSCLER0455"/>
    <s v="CTLAA"/>
    <s v="CTLAI"/>
    <s v="RSPSU07"/>
    <s v="PORTO ALEGRE"/>
    <s v="Ed Canvas"/>
    <s v="R Jaguari 1170"/>
    <s v="CTLAA.071.M010"/>
    <d v="2024-10-01T00:00:00"/>
    <x v="0"/>
    <m/>
    <s v="ANDERSON"/>
    <s v="100% - OK"/>
    <s v="OK - ENVIADO"/>
    <s v="SEM LANÇAMENTO"/>
    <s v="SEM LANÇAMENTO"/>
    <s v="4 ABERTURA E FECHAMENTO, 5 FUSÃO, 3 TESTE"/>
    <d v="2024-11-12T00:00:00"/>
    <d v="2024-10-30T00:00:00"/>
    <m/>
    <m/>
    <d v="2024-11-05T00:00:00"/>
    <s v="NÃO PRECISA"/>
    <m/>
    <x v="0"/>
    <x v="0"/>
    <s v="AG. MEDIÇÃO"/>
    <n v="4"/>
    <x v="1"/>
    <n v="1"/>
  </r>
  <r>
    <s v="RSCLER0874"/>
    <s v="JITAB"/>
    <s v="JITAIA"/>
    <s v="RSPNO75"/>
    <s v="PORTO ALEGRE"/>
    <m/>
    <s v="R JALMAR AZAMBUJA DINIZ 222"/>
    <s v="JITAB.152.M040"/>
    <d v="2026-05-01T00:00:00"/>
    <x v="0"/>
    <m/>
    <s v="AFONSO"/>
    <m/>
    <m/>
    <s v="SEM LANÇAMENTO"/>
    <s v="SEM LANÇAMENTO"/>
    <s v="2 ABERTURA E FECHAMENTO, 1 FUSÃO, 1 TESTE."/>
    <d v="2026-05-25T00:00:00"/>
    <d v="2026-05-20T00:00:00"/>
    <m/>
    <m/>
    <d v="2026-05-20T00:00:00"/>
    <d v="2026-05-25T00:00:00"/>
    <m/>
    <x v="0"/>
    <x v="0"/>
    <s v="AG. MEDIÇÃO"/>
    <n v="0"/>
    <x v="0"/>
    <n v="-3"/>
  </r>
  <r>
    <s v="RSCLER0397"/>
    <s v="PDRAA"/>
    <s v="PDRAHA"/>
    <s v="RSPNO17"/>
    <s v="PORTO ALEGRE"/>
    <s v="DIRETORIA"/>
    <s v="R Jari 619"/>
    <s v="PDRAA.062.M090"/>
    <d v="2024-08-01T00:00:00"/>
    <x v="0"/>
    <s v="TIAGO FERREIRA"/>
    <s v="LUCAS HOBERT"/>
    <s v="100% - OK"/>
    <s v="OK"/>
    <m/>
    <n v="510"/>
    <s v="FOI LANÇADO 510 METROS DE CABO DE 12 FO, 1 DERIVAÇÃO, 1 CX NOVA, 1 ABERTURA, 9 FUÃO, 7 TESTE"/>
    <d v="2024-09-10T00:00:00"/>
    <d v="2024-08-27T00:00:00"/>
    <d v="2024-08-30T00:00:00"/>
    <s v="31/09/2024"/>
    <d v="2024-08-31T00:00:00"/>
    <s v="NÃO PRECISA"/>
    <m/>
    <x v="0"/>
    <x v="0"/>
    <s v="AG. MEDIÇÃO"/>
    <n v="3"/>
    <x v="0"/>
    <n v="0"/>
  </r>
  <r>
    <s v="RSCLER0398"/>
    <s v="PDRAA"/>
    <s v="PDRAHA"/>
    <s v="RSPNO17"/>
    <s v="PORTO ALEGRE"/>
    <s v="DIRETORIA"/>
    <s v="R Jari 740, 735"/>
    <s v="PDRAA.062.M100"/>
    <d v="2024-08-01T00:00:00"/>
    <x v="0"/>
    <s v="TIAGO FERREIRA"/>
    <s v="LUCAS HOBERT"/>
    <s v="100% - OK"/>
    <s v="OK"/>
    <m/>
    <n v="118"/>
    <s v="FOI LANÇADO 118 METROS DE CABO DE 24FO, 1 ABERTURA E FECHAMENTO, 1 DERIVAÇÃO, 2 FUSÃO, 1 CX NOVA, 2 TESTE "/>
    <d v="2024-09-10T00:00:00"/>
    <d v="2024-08-27T00:00:00"/>
    <d v="2024-09-01T00:00:00"/>
    <d v="2024-09-01T00:00:00"/>
    <d v="2024-09-01T00:00:00"/>
    <s v="NÃO PRECISA"/>
    <m/>
    <x v="0"/>
    <x v="0"/>
    <s v="AG. MEDIÇÃO"/>
    <n v="3"/>
    <x v="0"/>
    <n v="0"/>
  </r>
  <r>
    <s v="RSCLER0894"/>
    <s v="CNTAB"/>
    <s v="CNTAU"/>
    <s v="RPCE14"/>
    <s v="PORTO ALEGRE"/>
    <m/>
    <s v="R JERONIMO COELHO,59"/>
    <s v="CNTAB.061.M510"/>
    <d v="2026-06-01T00:00:00"/>
    <x v="0"/>
    <m/>
    <s v="JUNIOR"/>
    <m/>
    <s v="OK"/>
    <n v="95"/>
    <n v="95"/>
    <s v="FOI LANÇADO 95 METROS DE CABO, 2 ABERTURA E FECHAMENTO, 3 DERIVAÇÃO, 1 CX NOVA, 6 FUSÕES, 3 TESTES"/>
    <d v="2026-07-24T00:00:00"/>
    <d v="2026-06-05T00:00:00"/>
    <m/>
    <m/>
    <d v="2026-06-11T00:00:00"/>
    <d v="2026-07-02T00:00:00"/>
    <m/>
    <x v="0"/>
    <x v="0"/>
    <s v="AG. MEDIÇÃO"/>
    <n v="4"/>
    <x v="1"/>
    <n v="1"/>
  </r>
  <r>
    <s v="RSCLER0369"/>
    <s v="SANAA"/>
    <s v="SANABB"/>
    <s v="RSPCE22"/>
    <s v="PORTO ALEGRE"/>
    <s v="Cond. Edf. Doris"/>
    <s v="R Jeronimo de Ornelas 527"/>
    <s v="SANAA.041.M030"/>
    <d v="2024-08-01T00:00:00"/>
    <x v="0"/>
    <m/>
    <s v="PAULO GOMES"/>
    <s v="100% - OK"/>
    <s v="OK"/>
    <s v="SEM LANÇAMENTO"/>
    <s v="SEM LANÇAMENTO"/>
    <s v="4 ABERTURA E FECHAMENTO, 9 FUSÃO, 3 TESTE"/>
    <d v="2024-08-28T00:00:00"/>
    <d v="2024-08-01T00:00:00"/>
    <d v="2024-08-09T00:00:00"/>
    <d v="2024-08-09T00:00:00"/>
    <d v="2024-08-09T00:00:00"/>
    <s v="NÃO PRECISA"/>
    <m/>
    <x v="0"/>
    <x v="0"/>
    <s v="AG. MEDIÇÃO"/>
    <n v="6"/>
    <x v="1"/>
    <n v="3"/>
  </r>
  <r>
    <s v="RSCLER0846"/>
    <s v="MNDAB"/>
    <m/>
    <m/>
    <s v="PORTO ALEGRE"/>
    <s v="ED BELA"/>
    <s v="R JOAO ALFREDO 235"/>
    <s v="MNDAB.001.M010"/>
    <d v="2026-05-01T00:00:00"/>
    <x v="0"/>
    <m/>
    <s v="AFONSO"/>
    <m/>
    <m/>
    <s v="SEM LANÇAMENTO"/>
    <s v="SEM LANÇAMENTO"/>
    <s v="4 ABERTURAR E FECHAMENTO, 6 FUSÕES, 2 TESTES"/>
    <d v="2026-05-22T00:00:00"/>
    <d v="2026-05-02T00:00:00"/>
    <m/>
    <m/>
    <d v="2026-05-04T00:00:00"/>
    <d v="2026-05-22T00:00:00"/>
    <m/>
    <x v="0"/>
    <x v="0"/>
    <s v="AG. MEDIÇÃO"/>
    <n v="0"/>
    <x v="0"/>
    <n v="-3"/>
  </r>
  <r>
    <s v="RSCLER0854"/>
    <s v="PETAA"/>
    <m/>
    <m/>
    <s v="PORTO ALEGRE"/>
    <s v="Cond.KLIMT"/>
    <s v="R JOAO CAETANO,58"/>
    <s v="PETAA.042.M030"/>
    <d v="2026-05-01T00:00:00"/>
    <x v="0"/>
    <m/>
    <s v="AFONSO"/>
    <m/>
    <m/>
    <s v="SEM LANÇAMENTO"/>
    <s v="SEM LANÇAMENTO"/>
    <s v="2 ABERTURA E FECHAMENTO, 2 FUSÕES, 2 TESTES"/>
    <d v="2026-05-19T00:00:00"/>
    <d v="2026-05-08T00:00:00"/>
    <m/>
    <m/>
    <d v="2026-05-09T00:00:00"/>
    <d v="2026-05-19T00:00:00"/>
    <m/>
    <x v="0"/>
    <x v="0"/>
    <s v="AG. MEDIÇÃO"/>
    <n v="0"/>
    <x v="0"/>
    <n v="-3"/>
  </r>
  <r>
    <s v="RSCLER0608"/>
    <s v="STD"/>
    <m/>
    <s v="RSETA03"/>
    <s v="ARROIO DO MEIO"/>
    <m/>
    <s v="R JOAO LINO BRAUN 733"/>
    <s v="STD.003.M020"/>
    <d v="2025-05-01T00:00:00"/>
    <x v="0"/>
    <m/>
    <s v="MARCIEL"/>
    <m/>
    <m/>
    <n v="277"/>
    <n v="320"/>
    <s v="FOI LANÇADO 320 METROS DE CABO DE 12FO AS, 1 ABERTURA E FECHAMENTO, 2 FUSÕES, 1 CX NOVA, 1 DERIVAÇÃO, 1 TESTE."/>
    <d v="2026-03-12T00:00:00"/>
    <d v="2025-05-27T00:00:00"/>
    <d v="2026-06-03T00:00:00"/>
    <m/>
    <d v="2025-06-03T00:00:00"/>
    <d v="2026-03-12T00:00:00"/>
    <m/>
    <x v="0"/>
    <x v="0"/>
    <s v="AG. MEDIÇÃO"/>
    <n v="5"/>
    <x v="1"/>
    <n v="2"/>
  </r>
  <r>
    <s v="RSCLER0841"/>
    <s v="JITAB"/>
    <s v="JITAIA"/>
    <s v="RSPNO75"/>
    <s v="PORTO ALEGRE"/>
    <m/>
    <s v="R JOAQUIM G. DE CAMPOS NETTO 91"/>
    <s v="JITAB.153.M070"/>
    <d v="2026-04-01T00:00:00"/>
    <x v="0"/>
    <s v="AFONSO"/>
    <s v="AFONSO"/>
    <m/>
    <m/>
    <n v="160"/>
    <n v="154"/>
    <s v="FOI LANÇADO 154 METROS DE CABO DE 24FO, 4 ABERTURA E FECHAMENTO, 4 FUSÕES, 2 DERIVAÇÕES, 1 TESTES"/>
    <d v="2026-06-18T00:00:00"/>
    <d v="2026-04-27T00:00:00"/>
    <d v="2026-04-28T00:00:00"/>
    <d v="2026-04-30T00:00:00"/>
    <d v="2026-04-30T00:00:00"/>
    <d v="2026-06-18T00:00:00"/>
    <m/>
    <x v="0"/>
    <x v="0"/>
    <s v="AG. MEDIÇÃO"/>
    <n v="3"/>
    <x v="0"/>
    <n v="0"/>
  </r>
  <r>
    <s v="RSCLER0530"/>
    <s v="CNT"/>
    <m/>
    <s v="RSDSR01"/>
    <s v="DOIS IRMÃOS"/>
    <s v="RESIDENCIAL MONTE CARLO"/>
    <s v="R JOSE ARMINDO SCHMIDT 36"/>
    <s v="CNT.029.M010"/>
    <d v="2025-03-01T00:00:00"/>
    <x v="0"/>
    <s v="TIAGO FERREIRA"/>
    <s v="CESAR LEANDRO"/>
    <m/>
    <m/>
    <n v="495"/>
    <n v="435"/>
    <s v="FOI LANÇADO 435 METROS DE CABO DE 12FO, 9 ABERTURA E FRECHAMENTO,  15 FUSÕES, 1 DERIVAÇÃO, 1 CX NOVA, 4 TESTES"/>
    <d v="2025-03-18T00:00:00"/>
    <d v="2025-03-06T00:00:00"/>
    <d v="2025-03-11T00:00:00"/>
    <d v="2025-03-13T00:00:00"/>
    <d v="2025-03-16T00:00:00"/>
    <s v="NÃO PRECISA"/>
    <m/>
    <x v="0"/>
    <x v="0"/>
    <s v="AG. MEDIÇÃO"/>
    <n v="6"/>
    <x v="1"/>
    <n v="3"/>
  </r>
  <r>
    <s v="RSCLER0203"/>
    <s v="MNDAA"/>
    <m/>
    <m/>
    <s v="PORTO ALEGRE"/>
    <s v="R JOSÉ DE ALENCAR 1276"/>
    <s v="R JOSÉ DE ALENCAR 1276"/>
    <m/>
    <d v="2024-01-01T00:00:00"/>
    <x v="0"/>
    <m/>
    <s v="LUCAS HOBERT"/>
    <s v="100% - OK"/>
    <s v="OK"/>
    <s v="SEM LANÇAMENTO"/>
    <s v="SEM LANÇAMENTO"/>
    <s v="3 ABERTURA E FECHAMENTO, 6 FUSÃO, 3 TESTE"/>
    <d v="2024-01-09T00:00:00"/>
    <d v="2024-01-05T00:00:00"/>
    <m/>
    <m/>
    <d v="2024-01-05T00:00:00"/>
    <s v="NÃO PRECISA"/>
    <m/>
    <x v="0"/>
    <x v="0"/>
    <s v="AG. MEDIÇÃO"/>
    <n v="0"/>
    <x v="0"/>
    <n v="-3"/>
  </r>
  <r>
    <s v="RSCLER0185"/>
    <s v="TRZAA"/>
    <m/>
    <m/>
    <s v="PORTO ALEGRE"/>
    <s v="Residencial José Gomes"/>
    <s v="R Jose Gomes 26"/>
    <m/>
    <d v="2023-12-01T00:00:00"/>
    <x v="0"/>
    <m/>
    <s v="LUCAS HOBERT"/>
    <s v="100% - OK"/>
    <s v="OK"/>
    <s v="SEM LANÇAMENTO"/>
    <s v="SEM LANÇAMENTO"/>
    <s v="2  ABERTURA E FECHAMENTO, 2 FUSÕES , 2 TESTE"/>
    <d v="2024-01-09T00:00:00"/>
    <d v="2023-12-12T00:00:00"/>
    <m/>
    <d v="2023-12-15T00:00:00"/>
    <d v="2023-12-15T00:00:00"/>
    <s v="NÃO PRECISA"/>
    <m/>
    <x v="0"/>
    <x v="0"/>
    <s v="AG. MEDIÇÃO"/>
    <n v="3"/>
    <x v="0"/>
    <n v="0"/>
  </r>
  <r>
    <s v="RSCLER0772"/>
    <s v="CLC"/>
    <m/>
    <m/>
    <s v="TORRES "/>
    <m/>
    <s v="R JOSE OSORIO CABRAL - N 1160 "/>
    <s v="CLC004-M3"/>
    <d v="2025-12-01T00:00:00"/>
    <x v="0"/>
    <m/>
    <s v="DERIK"/>
    <m/>
    <d v="2026-01-26T00:00:00"/>
    <s v="SEM LANÇAMENTO"/>
    <s v="SEM LANÇAMENTO"/>
    <s v="3 ABERTURA E FECHAMENTO, 6 FUSÕES, 3 TESTES"/>
    <d v="2026-01-26T00:00:00"/>
    <d v="2025-12-11T00:00:00"/>
    <m/>
    <m/>
    <d v="2025-12-17T00:00:00"/>
    <d v="2026-01-26T00:00:00"/>
    <m/>
    <x v="0"/>
    <x v="0"/>
    <s v="AG. MEDIÇÃO"/>
    <n v="4"/>
    <x v="1"/>
    <n v="1"/>
  </r>
  <r>
    <s v="RSCLER0792"/>
    <s v="CLC"/>
    <m/>
    <s v="RSTES02"/>
    <s v="TORRES"/>
    <m/>
    <s v="R N SRA DOS NAVEGANTES 85 "/>
    <s v="CLC024-M2"/>
    <d v="2026-01-01T00:00:00"/>
    <x v="0"/>
    <m/>
    <s v="MAQUENZE"/>
    <m/>
    <m/>
    <s v="SEM LANÇAMENTO"/>
    <s v="SEM LANÇAMENTO"/>
    <m/>
    <m/>
    <d v="2026-01-22T00:00:00"/>
    <m/>
    <m/>
    <d v="2026-01-25T00:00:00"/>
    <m/>
    <m/>
    <x v="2"/>
    <x v="2"/>
    <s v="AG. RELATÓRIO"/>
    <n v="1"/>
    <x v="0"/>
    <n v="-2"/>
  </r>
  <r>
    <s v="RSCLER0871"/>
    <s v="TRZAA"/>
    <s v="TRZAAA"/>
    <s v="RSPSU11"/>
    <s v="PORTO ALEGRE"/>
    <s v="Cond. Nardon Veneza"/>
    <s v="R LANDEL DE MOURA 207"/>
    <s v="TRZAA.082.M030"/>
    <d v="2026-05-01T00:00:00"/>
    <x v="0"/>
    <s v="TIAGO FERREIRA"/>
    <s v="AFONSO"/>
    <m/>
    <s v="OK"/>
    <n v="400"/>
    <n v="425"/>
    <s v="FOI LANÇADO 425 METROS DE CABO DE 12FO, 4  ABERTURA E FECHAMENTO, 1 CX NOVA, 6 FUSÕES, 1 DERIVAÇÃO, 6 TESTES."/>
    <d v="2026-06-22T00:00:00"/>
    <d v="2026-05-20T00:00:00"/>
    <m/>
    <m/>
    <d v="2026-06-10T00:00:00"/>
    <d v="2026-06-22T00:00:00"/>
    <m/>
    <x v="0"/>
    <x v="0"/>
    <s v="AG. MEDIÇÃO"/>
    <n v="15"/>
    <x v="1"/>
    <n v="12"/>
  </r>
  <r>
    <s v="RSCLER0757"/>
    <s v="CNT"/>
    <m/>
    <m/>
    <s v="TORRES "/>
    <m/>
    <s v="R Leonardo Truda N;531"/>
    <s v="CNT07-M1"/>
    <d v="2025-11-01T00:00:00"/>
    <x v="0"/>
    <m/>
    <s v="MAQUENZE  "/>
    <m/>
    <d v="2025-12-04T00:00:00"/>
    <m/>
    <m/>
    <s v="8 ABERTURA E FECHAMENTO, 11 FUSÕES, 2 TESTES.2 TESTES OTDR"/>
    <s v="OK"/>
    <m/>
    <m/>
    <m/>
    <d v="2025-11-04T00:00:00"/>
    <d v="2025-12-04T00:00:00"/>
    <m/>
    <x v="0"/>
    <x v="0"/>
    <s v="AG. MEDIÇÃO"/>
    <s v="DATA ENTRADA"/>
    <x v="1"/>
    <s v="DATA ENTRADA"/>
  </r>
  <r>
    <s v="RSCLER1051"/>
    <s v="RBRAA"/>
    <s v="RBRAEA"/>
    <s v="RSPLE08"/>
    <s v="PORTO ALEGRE"/>
    <s v="Cond. Edifício Samuel Morse"/>
    <s v="R Leopoldo Bier,574"/>
    <s v="RBRAA.001.M030"/>
    <d v="2026-08-01T00:00:00"/>
    <x v="0"/>
    <m/>
    <s v="CATIA"/>
    <m/>
    <s v="OK"/>
    <s v="SEM LANÇAMENTO"/>
    <s v="SEM LANÇAMENTO"/>
    <s v="2 ABERTURA E FECHAMENTO, 4 FUSÕES, 2 TESTES, 2 TESTES OTDR."/>
    <d v="2026-08-27T00:00:00"/>
    <d v="2026-08-25T00:00:00"/>
    <m/>
    <m/>
    <d v="2026-08-25T00:00:00"/>
    <d v="2026-08-27T00:00:00"/>
    <m/>
    <x v="0"/>
    <x v="0"/>
    <s v="AG. MEDIÇÃO"/>
    <n v="0"/>
    <x v="0"/>
    <n v="-3"/>
  </r>
  <r>
    <s v="RSCLER1034"/>
    <s v="BFMAB"/>
    <s v="FLOAT"/>
    <s v="RSPCE13"/>
    <s v="PORTO ALEGRE"/>
    <s v="ED CENTRO PROFISSIONAL SAVERIO TRUDA"/>
    <s v="R LUCIANA DE ABREU 337"/>
    <s v="BFMAB.071.M020"/>
    <d v="2026-08-01T00:00:00"/>
    <x v="0"/>
    <m/>
    <s v="CATIA"/>
    <m/>
    <s v="OK"/>
    <s v="SEM LANÇAMENTO"/>
    <s v="SEM LANÇAMENTO"/>
    <s v="2 ABERTURA E FECHAMENTO, 4 FUSÕES, 2 TESTES, 2 TESTES OTDR."/>
    <d v="2026-08-25T00:00:00"/>
    <d v="2026-08-17T00:00:00"/>
    <m/>
    <m/>
    <d v="2026-08-17T00:00:00"/>
    <d v="2026-08-25T00:00:00"/>
    <m/>
    <x v="0"/>
    <x v="0"/>
    <s v="AG. MEDIÇÃO"/>
    <n v="0"/>
    <x v="0"/>
    <n v="-3"/>
  </r>
  <r>
    <s v="RSCLER0847"/>
    <s v="CNTAB"/>
    <s v="CNTAG"/>
    <s v="RSPCE14"/>
    <s v="PORTO ALEGRE"/>
    <s v="ED MAL FLORIANO"/>
    <s v="R MAL FLORIANO PEIXOTO 589"/>
    <s v="CNTAB.071.M060"/>
    <d v="2026-05-01T00:00:00"/>
    <x v="0"/>
    <m/>
    <s v="AFONSO"/>
    <m/>
    <m/>
    <s v="SEM LANÇAMENTO"/>
    <s v="SEM LANÇAMENTO"/>
    <s v="4 ABERTURA E FECHAMENTO, 5 FUSÕES, 1 TESTE"/>
    <d v="2026-06-18T00:00:00"/>
    <d v="2026-05-02T00:00:00"/>
    <m/>
    <m/>
    <d v="2026-04-18T00:00:00"/>
    <d v="2026-06-18T00:00:00"/>
    <m/>
    <x v="0"/>
    <x v="0"/>
    <s v="AG. MEDIÇÃO"/>
    <n v="-11"/>
    <x v="0"/>
    <n v="-14"/>
  </r>
  <r>
    <s v="RSCLER0767"/>
    <s v="CNT"/>
    <m/>
    <m/>
    <s v="TORRES"/>
    <m/>
    <s v="R MANOEL FORTUNATO DE SOUZA, 40"/>
    <s v="CNT01-M06"/>
    <d v="2025-12-01T00:00:00"/>
    <x v="0"/>
    <m/>
    <s v="DERIK"/>
    <m/>
    <m/>
    <s v="SEM LANÇAMENTO"/>
    <s v="SEM LANÇAMENTO"/>
    <s v="4 ABERTURA E FECHAMENTO, 16 FUSÕES, 5 TESTE"/>
    <d v="2026-02-11T00:00:00"/>
    <d v="2025-12-04T00:00:00"/>
    <m/>
    <m/>
    <d v="2025-12-17T00:00:00"/>
    <d v="2026-02-11T00:00:00"/>
    <m/>
    <x v="0"/>
    <x v="0"/>
    <s v="AG. MEDIÇÃO"/>
    <n v="9"/>
    <x v="1"/>
    <n v="6"/>
  </r>
  <r>
    <s v="RSCLER0845"/>
    <s v="PRTAA"/>
    <m/>
    <m/>
    <s v="PORTO ALEGRE"/>
    <s v="Cond. Jardim Guanabara"/>
    <s v="R MARCONE 250"/>
    <s v="PRTAA.051.M010"/>
    <d v="2026-04-01T00:00:00"/>
    <x v="0"/>
    <m/>
    <s v="AFONSO"/>
    <m/>
    <m/>
    <n v="300"/>
    <n v="313"/>
    <s v="FOI LANÇADO 313 METROS DE CABO DE 12FO, 2 ABERTURA E FECHAMENTO, 4 FUSÕES, 2 DERIVAÇÃO, 2 TESTES"/>
    <d v="2026-05-22T00:00:00"/>
    <d v="2026-04-30T00:00:00"/>
    <m/>
    <m/>
    <d v="2026-05-01T00:00:00"/>
    <d v="2026-05-22T00:00:00"/>
    <m/>
    <x v="0"/>
    <x v="0"/>
    <s v="AG. MEDIÇÃO"/>
    <n v="1"/>
    <x v="0"/>
    <n v="-2"/>
  </r>
  <r>
    <s v="RSCLER0882"/>
    <s v="RNDAA"/>
    <s v="RNDAH"/>
    <s v="RSNHO12"/>
    <s v="NOVO HAMBURGO"/>
    <s v="Residencial Porto Baden"/>
    <s v="R MARIA OLINDA TELLES 1222"/>
    <s v="RNDAA.062.M010"/>
    <d v="2026-05-01T00:00:00"/>
    <x v="0"/>
    <s v="TIAGO FERREIRA"/>
    <s v="AFONSO"/>
    <m/>
    <s v="OK"/>
    <n v="700"/>
    <n v="752"/>
    <s v="FOI LANÇADO 752 METROS DE CABO DE 12FO, 5 ABERTURA E FECHHAMENTO, 15 FUSÕES, 1 DERIVAÇÃO, 1 CX NOVA, 5 TESTES."/>
    <d v="2026-08-07T00:00:00"/>
    <d v="2026-05-26T00:00:00"/>
    <m/>
    <m/>
    <d v="2026-05-29T00:00:00"/>
    <d v="2026-07-14T00:00:00"/>
    <m/>
    <x v="0"/>
    <x v="0"/>
    <s v="AG. MEDIÇÃO"/>
    <n v="3"/>
    <x v="0"/>
    <n v="0"/>
  </r>
  <r>
    <s v="RSCLER0575"/>
    <s v="TRLAA"/>
    <s v="MNDAR"/>
    <s v="HZS"/>
    <s v="PORTO ALEGRE"/>
    <s v="Cond. Urbano Menino Deus"/>
    <s v="R Mariano de Matos, 520 "/>
    <s v="TRLAA.011.M060"/>
    <d v="2025-04-01T00:00:00"/>
    <x v="0"/>
    <s v="UBIRATAN"/>
    <s v="CATIA / MARCOS EMILIANO"/>
    <m/>
    <m/>
    <m/>
    <n v="546"/>
    <s v="FOI LANÇADO 546 METROS DE CABO DE 12FO, 23 ABERTURA E FECHAMENTO, 38 FUSÕES, 1 CX NOVA, 1 DERIVAÇÃO, 4 TESTES"/>
    <d v="2025-05-08T00:00:00"/>
    <d v="2025-04-14T00:00:00"/>
    <d v="2025-04-15T00:00:00"/>
    <m/>
    <d v="2025-04-29T00:00:00"/>
    <s v="NÃO PRECISA"/>
    <m/>
    <x v="0"/>
    <x v="0"/>
    <s v="AG. MEDIÇÃO"/>
    <n v="11"/>
    <x v="1"/>
    <n v="8"/>
  </r>
  <r>
    <s v="RSCLER0179"/>
    <s v="BVSAB"/>
    <m/>
    <m/>
    <s v="PORTO ALEGRE"/>
    <s v="Res. Botanique"/>
    <s v="R MARIZ E BARROS 580"/>
    <m/>
    <d v="2023-12-01T00:00:00"/>
    <x v="0"/>
    <s v="THIAGO"/>
    <s v="LUCAS HOBERT"/>
    <s v="100% - OK"/>
    <s v="OK"/>
    <m/>
    <n v="370"/>
    <s v="FOI LANÇADO 120 METROS DE CABO DE 12FO, TEVE ALTERAÇÃO NO PROJETO, FOI LANÇADO MAIS UM TRAJETO DE 250 METROS DE CABO DE 12FO, 3 ABERTURA E FECHAMENTO, 3 DERIVAÇÃO, 2 CX NOVA, 8 FUSÃO, 2 TESTE, FAZER AS BUILTS"/>
    <d v="2024-01-09T00:00:00"/>
    <d v="2023-12-08T00:00:00"/>
    <d v="2023-12-22T00:00:00"/>
    <d v="2023-12-26T00:00:00"/>
    <d v="2023-12-27T00:00:00"/>
    <s v="NÃO PRECISA"/>
    <m/>
    <x v="0"/>
    <x v="0"/>
    <s v="AG. MEDIÇÃO"/>
    <n v="13"/>
    <x v="1"/>
    <n v="10"/>
  </r>
  <r>
    <s v="RSCLER0800"/>
    <s v="CNT"/>
    <m/>
    <s v="TUN EB"/>
    <s v="CACHOEIRA DO SUL"/>
    <m/>
    <s v="RUA JUVENCIO SOARES 990"/>
    <s v="CNT.041.M040"/>
    <d v="2026-02-01T00:00:00"/>
    <x v="1"/>
    <m/>
    <m/>
    <m/>
    <m/>
    <m/>
    <m/>
    <m/>
    <m/>
    <d v="2026-02-20T00:00:00"/>
    <m/>
    <m/>
    <s v="CANCELADO"/>
    <s v="NÃO PRECISA"/>
    <m/>
    <x v="1"/>
    <x v="1"/>
    <s v="CANCELADO"/>
    <s v="CANCELADO"/>
    <x v="1"/>
    <s v="CANCELADO"/>
  </r>
  <r>
    <s v="RSCLER0886"/>
    <s v="MTSAA"/>
    <s v="MTSACA"/>
    <s v="PAE BV"/>
    <s v="PORTO ALEGRE"/>
    <s v="Cond Ed Jardim Mariland"/>
    <s v="R MATA BACELAR 240"/>
    <s v="MTSAA.262.M010"/>
    <d v="2026-05-01T00:00:00"/>
    <x v="0"/>
    <m/>
    <s v="CATIA"/>
    <m/>
    <s v="OK"/>
    <s v="SEM LANÇAMENTO"/>
    <s v="SEM LANÇAMENTO"/>
    <s v="2 ABERTURA E FECHAMENTO, 2 FUSÕES, 2 TESTES."/>
    <d v="2026-07-02T00:00:00"/>
    <d v="2026-05-27T00:00:00"/>
    <m/>
    <m/>
    <d v="2026-05-27T00:00:00"/>
    <d v="2026-07-02T00:00:00"/>
    <m/>
    <x v="0"/>
    <x v="0"/>
    <s v="AG. MEDIÇÃO"/>
    <n v="0"/>
    <x v="0"/>
    <n v="-3"/>
  </r>
  <r>
    <s v="RSCLER0900"/>
    <s v="MNDAC"/>
    <s v="MNDAMA"/>
    <s v="PAE CL"/>
    <s v="PORTO ALEGRE"/>
    <s v="Cond (Edificio Caribe)"/>
    <s v="R MIGUEL COUTO 269"/>
    <s v="MNDAC.082.M010"/>
    <d v="2026-06-01T00:00:00"/>
    <x v="0"/>
    <s v="BICA"/>
    <s v="CATIA"/>
    <m/>
    <m/>
    <n v="190"/>
    <n v="185"/>
    <s v="FOI LANÇADO 185 METROS DE CABO DE 24FO, 2 ABERTURA E FECHAMENTO, 10 FUSÕES, 2 DERIVAÇÕES, 5 TESTES."/>
    <d v="2026-08-12T00:00:00"/>
    <d v="2026-06-05T00:00:00"/>
    <m/>
    <m/>
    <d v="2026-06-09T00:00:00"/>
    <d v="2026-08-12T00:00:00"/>
    <m/>
    <x v="0"/>
    <x v="0"/>
    <s v="AG. MEDIÇÃO"/>
    <n v="2"/>
    <x v="0"/>
    <n v="-1"/>
  </r>
  <r>
    <s v="RSCLER0924"/>
    <s v="BFMAA"/>
    <s v="RBRAFA"/>
    <s v="PAE IND"/>
    <s v="PORTO ALEGRE"/>
    <m/>
    <s v="R MIGUEL TOSTES 139"/>
    <s v="BFMAA.092.M040"/>
    <d v="2026-06-01T00:00:00"/>
    <x v="0"/>
    <s v="TIAGO FERREIRA"/>
    <s v="AFONSO"/>
    <m/>
    <s v="OK"/>
    <n v="340"/>
    <n v="496"/>
    <s v="FOI LANÇADO 496 METROS DE CABO DE 24FO, 3 ABERTURA E FECHAMENTO, 12 FUSÕES, 1 CX NOVA, 1 DERIVAÇÃO, 5 TESTES."/>
    <d v="2026-08-11T00:00:00"/>
    <d v="2026-06-15T00:00:00"/>
    <m/>
    <m/>
    <d v="2026-06-25T00:00:00"/>
    <d v="2026-08-11T00:00:00"/>
    <m/>
    <x v="0"/>
    <x v="0"/>
    <s v="AG. MEDIÇÃO"/>
    <n v="8"/>
    <x v="1"/>
    <n v="5"/>
  </r>
  <r>
    <s v="RSCLER0472"/>
    <s v="RBRAA"/>
    <s v="RBRAGA"/>
    <s v="RSPLE08"/>
    <s v="PORTO ALEGRE"/>
    <s v="SATURAÇÃO DE BACKBONE GPON"/>
    <s v="R MIGUEL TOSTES 240"/>
    <s v="RBRAA.013.M020"/>
    <d v="2024-11-01T00:00:00"/>
    <x v="0"/>
    <s v="TIAGO FERREIRA"/>
    <s v="ANDERSON"/>
    <s v="100% - OK"/>
    <s v="OK - ENVIADO"/>
    <m/>
    <n v="465"/>
    <s v="FOI LANÇADO 465 METROS DE CABO DE 12FO, 9 ABERTURA E FECHAMENTO, 11 FUSÃO, 2 DERIVAÇÃO, 2 TESTES"/>
    <d v="2024-12-06T00:00:00"/>
    <d v="2024-11-25T00:00:00"/>
    <m/>
    <m/>
    <d v="2024-12-01T00:00:00"/>
    <s v="NÃO PRECISA"/>
    <m/>
    <x v="0"/>
    <x v="0"/>
    <s v="AG. MEDIÇÃO"/>
    <n v="4"/>
    <x v="1"/>
    <n v="1"/>
  </r>
  <r>
    <s v="RSCLER0942"/>
    <s v="RNDAA"/>
    <s v="RNDAH"/>
    <s v="RSNHO12"/>
    <s v="NOVO HAMBURGO"/>
    <m/>
    <s v="AV GUIA LOPES 900,"/>
    <s v="RNDAA.061.M050"/>
    <d v="2026-06-01T00:00:00"/>
    <x v="2"/>
    <m/>
    <s v="CATIA"/>
    <m/>
    <s v="OK"/>
    <s v="SEM LANÇAMENTO"/>
    <s v="SEM LANÇAMENTO"/>
    <s v="4 ABERTURA E FECHAMENTO,1 CX NOVA, 12 FUSÕES, 5 TESTES."/>
    <m/>
    <d v="2026-06-19T00:00:00"/>
    <m/>
    <m/>
    <d v="2026-06-23T00:00:00"/>
    <d v="2026-08-12T00:00:00"/>
    <m/>
    <x v="3"/>
    <x v="0"/>
    <s v="SEM SINAL"/>
    <n v="2"/>
    <x v="0"/>
    <n v="-1"/>
  </r>
  <r>
    <s v="RSCLER1024"/>
    <s v="BFMAA"/>
    <m/>
    <s v="PAE IND"/>
    <s v="PORTO ALEGRE"/>
    <s v="Cond. Edifício Armenia"/>
    <s v="R MOSTARDEIRO 12"/>
    <s v="BFMAA.081.M040"/>
    <d v="2026-08-01T00:00:00"/>
    <x v="0"/>
    <m/>
    <s v="CATIA"/>
    <m/>
    <s v="OK"/>
    <s v="SEM LANÇAMENTO"/>
    <s v="SEM LANÇAMENTO"/>
    <s v="3 ABERTURA E FECHAMENTO, 6 FUSÕES, 3 TESTES."/>
    <d v="2026-08-24T00:00:00"/>
    <d v="2026-08-12T00:00:00"/>
    <m/>
    <m/>
    <d v="2026-08-15T00:00:00"/>
    <d v="2026-08-24T00:00:00"/>
    <m/>
    <x v="0"/>
    <x v="0"/>
    <s v="AG. MEDIÇÃO"/>
    <n v="2"/>
    <x v="0"/>
    <n v="-1"/>
  </r>
  <r>
    <s v="RSCLER0919"/>
    <s v="CNTAB"/>
    <s v="CNTAG"/>
    <s v="RSPCE14"/>
    <s v="PORTO ALEGRE"/>
    <m/>
    <s v="PÇA CONDE DE PORTO ALEGRE 40"/>
    <s v="CNTAB.071.M070"/>
    <d v="2026-06-01T00:00:00"/>
    <x v="0"/>
    <s v="TIAGO FERREIRA"/>
    <s v="CATIA"/>
    <m/>
    <s v="OK"/>
    <n v="550"/>
    <n v="586"/>
    <s v="FOI LANÇADO 586 METROS DE CABO DE 12FO, 7 ABERTURA E FECHAMENTO, 35 FUSÕES, 5 DERIVAÇÕES, 1 CX NOVA, 5 TESTES, 2 TESTES OTDR."/>
    <m/>
    <d v="2026-06-12T00:00:00"/>
    <m/>
    <m/>
    <d v="2026-06-19T00:00:00"/>
    <d v="2026-08-13T00:00:00"/>
    <m/>
    <x v="3"/>
    <x v="0"/>
    <s v="AG. MEDIÇÃO"/>
    <n v="5"/>
    <x v="1"/>
    <n v="2"/>
  </r>
  <r>
    <s v="RSCLER0906"/>
    <s v="MNDAC"/>
    <s v="MNDAJ"/>
    <s v="RSPSU02"/>
    <s v="PORTO ALEGRE"/>
    <m/>
    <s v="R Múcio Teixeira, 1250"/>
    <s v="MNDAC.031.M040"/>
    <d v="2026-06-01T00:00:00"/>
    <x v="0"/>
    <m/>
    <s v="AFONSO"/>
    <m/>
    <s v="OK"/>
    <s v="SEM LANÇAMENTO"/>
    <s v="SEM LANÇAMENTO"/>
    <s v="2 ABERTURA E FECHAMENTO, 2 FUSÕES, 2 TESTES."/>
    <d v="2026-07-07T00:00:00"/>
    <d v="2026-06-08T00:00:00"/>
    <m/>
    <m/>
    <d v="2026-06-09T00:00:00"/>
    <d v="2026-07-07T00:00:00"/>
    <m/>
    <x v="0"/>
    <x v="0"/>
    <s v="AG. MEDIÇÃO"/>
    <n v="1"/>
    <x v="0"/>
    <n v="-2"/>
  </r>
  <r>
    <s v="RSCLER0999"/>
    <s v="BFMAA"/>
    <s v="BFMACA"/>
    <s v="PAE IND"/>
    <s v="PORTO ALEGRE"/>
    <s v=" EDIFICIO CARAIBA "/>
    <s v=" R OSVALDO ARANHA 232"/>
    <s v="(BFMAA.141.M020)"/>
    <d v="2026-07-01T00:00:00"/>
    <x v="0"/>
    <m/>
    <s v="CATIA"/>
    <m/>
    <m/>
    <s v="SEM LANÇAMENTO"/>
    <s v="SEM LANÇAMENTO"/>
    <s v="2 ABERTURA E FECHAMENTO, 4 FUSÕES, 2 TESTES, 2 TESTES OTDR."/>
    <m/>
    <d v="2026-07-31T00:00:00"/>
    <m/>
    <d v="2026-07-31T00:00:00"/>
    <d v="2026-07-31T00:00:00"/>
    <m/>
    <m/>
    <x v="2"/>
    <x v="2"/>
    <s v="AG. RELATÓRIO"/>
    <n v="0"/>
    <x v="0"/>
    <n v="-3"/>
  </r>
  <r>
    <s v="RSCLER1017"/>
    <s v="JCVAA"/>
    <s v="MSTAC"/>
    <s v="RSPNO24"/>
    <s v="PORTO ALEGRE"/>
    <s v="COND. THE SLIM"/>
    <s v="R NEY DA GAMA AHRENDS 51"/>
    <s v="JCVAA.071.M010"/>
    <d v="2026-08-01T00:00:00"/>
    <x v="0"/>
    <m/>
    <s v="MAURICIO"/>
    <m/>
    <s v="OK"/>
    <s v="SEM LANÇAMENTO"/>
    <s v="SEM LANÇAMENTO"/>
    <s v="3 ABERTURA E FECHAMENTO, 4 FUSÕES, 2 TESTES"/>
    <d v="2026-08-20T00:00:00"/>
    <d v="2026-08-07T00:00:00"/>
    <m/>
    <m/>
    <d v="2026-08-08T00:00:00"/>
    <d v="2026-08-20T00:00:00"/>
    <m/>
    <x v="0"/>
    <x v="0"/>
    <s v="AG. MEDIÇÃO"/>
    <n v="0"/>
    <x v="0"/>
    <n v="-3"/>
  </r>
  <r>
    <s v="RSCLER0140"/>
    <s v="MNDAA"/>
    <m/>
    <m/>
    <s v="PORTO ALEGRE"/>
    <s v="Edf Prime"/>
    <s v="R Nunes Machado 76"/>
    <m/>
    <d v="2023-10-01T00:00:00"/>
    <x v="0"/>
    <m/>
    <s v="PAULO GOMES"/>
    <s v="100% - OK"/>
    <s v="OK"/>
    <s v="SEM LANÇAMENTO"/>
    <s v="SEM LANÇAMENTO"/>
    <s v="2 ABERTURA E FECHAMENTO, 2 FUSÃO, 2 TESTE"/>
    <d v="2023-10-24T00:00:00"/>
    <d v="2023-10-12T00:00:00"/>
    <m/>
    <d v="2023-10-20T00:00:00"/>
    <d v="2023-10-20T00:00:00"/>
    <s v="NÃO PRECISA"/>
    <m/>
    <x v="0"/>
    <x v="0"/>
    <s v="AG. MEDIÇÃO"/>
    <n v="6"/>
    <x v="1"/>
    <n v="3"/>
  </r>
  <r>
    <s v="RSCLER0853"/>
    <s v="SANAA"/>
    <m/>
    <m/>
    <s v="PORTO ALEGRE"/>
    <s v="COND. O TEMPO EO VENTO"/>
    <s v="R OCTAVIO CORREA,60"/>
    <s v="SANAA.363.M020"/>
    <d v="2026-05-01T00:00:00"/>
    <x v="0"/>
    <m/>
    <s v="CATIA"/>
    <m/>
    <m/>
    <s v="SEM LANÇAMENTO"/>
    <s v="SEM LANÇAMENTO"/>
    <s v="4 ABERTURA E FECHAMENTO, 11 FUSÕES, 4 TESTES; 4 TESTE OTDR."/>
    <d v="2026-05-21T00:00:00"/>
    <d v="2026-05-08T00:00:00"/>
    <m/>
    <m/>
    <d v="2026-05-09T00:00:00"/>
    <d v="2026-05-21T00:00:00"/>
    <m/>
    <x v="0"/>
    <x v="0"/>
    <s v="AG. MEDIÇÃO"/>
    <n v="0"/>
    <x v="0"/>
    <n v="-3"/>
  </r>
  <r>
    <s v="RSCLER0788"/>
    <s v="CNT"/>
    <m/>
    <m/>
    <s v="TORRES"/>
    <m/>
    <s v="R OSVALDO ARANHA 573"/>
    <s v="CNT09-M2"/>
    <d v="2026-01-01T00:00:00"/>
    <x v="0"/>
    <m/>
    <s v="LUKAS MUNHOZ"/>
    <m/>
    <m/>
    <s v="SEM LANÇAMENTO"/>
    <s v="SEM LANÇAMENTO"/>
    <s v="7 ABERTURA E FECHAMENTO, 12 FUSÕES, 2 TESTES, 2 TESTES OTDR"/>
    <d v="2026-01-30T00:00:00"/>
    <d v="2026-01-13T00:00:00"/>
    <m/>
    <m/>
    <d v="2026-01-18T00:00:00"/>
    <d v="2026-01-30T00:00:00"/>
    <m/>
    <x v="0"/>
    <x v="0"/>
    <s v="AG. MEDIÇÃO"/>
    <n v="3"/>
    <x v="0"/>
    <n v="0"/>
  </r>
  <r>
    <s v="RSCLER0976"/>
    <s v="RNDAA"/>
    <m/>
    <s v="RSNHO12"/>
    <s v="NOVO HAMBURGO"/>
    <s v="CONDOMINIO FRANKFURT"/>
    <s v="R OSWALDO ARTUR HARTZ,870"/>
    <s v="RNDAA.401.M010"/>
    <d v="2026-07-01T00:00:00"/>
    <x v="0"/>
    <m/>
    <s v="CATIA"/>
    <m/>
    <s v="OK"/>
    <s v="SEM LANÇAMENTO"/>
    <s v="SEM LANÇAMENTO"/>
    <s v="3 ABERTURA E FECHAMENTO, 12 FUSÕES, 5 TESTES, 3 TESTE OTDR"/>
    <d v="2026-08-17T00:00:00"/>
    <d v="2026-07-14T00:00:00"/>
    <m/>
    <m/>
    <d v="2026-07-15T00:00:00"/>
    <d v="2026-08-17T00:00:00"/>
    <m/>
    <x v="0"/>
    <x v="0"/>
    <s v="AG. MEDIÇÃO"/>
    <n v="1"/>
    <x v="0"/>
    <n v="-2"/>
  </r>
  <r>
    <s v="RSCLER0914"/>
    <s v="CNT"/>
    <m/>
    <s v="RSGUB01"/>
    <s v="GUAÍBA"/>
    <m/>
    <s v="R OTÁVIO ROCHA 205"/>
    <s v="CNT.009.M030"/>
    <d v="2026-06-01T00:00:00"/>
    <x v="0"/>
    <s v="CATIA"/>
    <s v="CATIA"/>
    <m/>
    <s v="OK"/>
    <n v="95"/>
    <n v="66"/>
    <s v="FOI LANÇADO 66 METROS DE CABO DE 12FO, 5 ABERTURA E FECHAMENTO, 1 CX NOVA, 24 FUSÕES, 3 TESTES, 9 TESTES OTDR"/>
    <d v="2026-06-19T00:00:00"/>
    <d v="2026-06-11T00:00:00"/>
    <m/>
    <m/>
    <d v="2026-06-14T00:00:00"/>
    <d v="2026-06-19T00:00:00"/>
    <m/>
    <x v="0"/>
    <x v="0"/>
    <s v="AG. MEDIÇÃO"/>
    <n v="1"/>
    <x v="0"/>
    <n v="-2"/>
  </r>
  <r>
    <s v="RSCLER0631"/>
    <s v="SPEAA"/>
    <s v="SPEAC "/>
    <s v="PAE DAM"/>
    <s v="PORTO ALEGRE"/>
    <s v="Cond Moradas da Ouro Preto"/>
    <s v="R Ouro Preto 408"/>
    <s v="SPEAA.059.M020"/>
    <d v="2025-06-01T00:00:00"/>
    <x v="0"/>
    <s v="MAICON"/>
    <s v="CESAR LEANDRO"/>
    <m/>
    <m/>
    <m/>
    <n v="450"/>
    <s v="FOI LANÇADO 450 METROS DE CABO DE 12FO, 6 ABERTURA E FECHAMENTO,1 CX NOVA, 1 DERIVAÇÃO, 7 FUSÕES, 1 TESTE"/>
    <d v="2025-07-07T00:00:00"/>
    <d v="2025-06-11T00:00:00"/>
    <m/>
    <m/>
    <d v="2025-06-11T00:00:00"/>
    <d v="2025-08-06T00:00:00"/>
    <m/>
    <x v="0"/>
    <x v="0"/>
    <s v="AG. MEDIÇÃO"/>
    <n v="0"/>
    <x v="0"/>
    <n v="-3"/>
  </r>
  <r>
    <s v="RSCLER1022"/>
    <s v="SSOAA"/>
    <s v="SSAOFA"/>
    <s v="RSPNO07"/>
    <s v="PORTO ALEGRE"/>
    <s v="Edifício Roberta"/>
    <s v="R OURO PRETO 65"/>
    <s v="SSOAA.091.M100"/>
    <d v="2026-08-01T00:00:00"/>
    <x v="0"/>
    <m/>
    <s v="CATIA"/>
    <m/>
    <s v="OK"/>
    <s v="SEM LANÇAMENTO"/>
    <s v="SEM LANÇAMENTO"/>
    <s v="4 ABERTURA E FECHAMENTO, 8 FUSÕES, 2 DERIVAÇÕES, 2 TESTES."/>
    <d v="2026-08-24T00:00:00"/>
    <d v="2026-08-12T00:00:00"/>
    <m/>
    <m/>
    <d v="2026-08-15T00:00:00"/>
    <d v="2026-08-24T00:00:00"/>
    <m/>
    <x v="0"/>
    <x v="0"/>
    <s v="AG. MEDIÇÃO"/>
    <n v="2"/>
    <x v="0"/>
    <n v="-1"/>
  </r>
  <r>
    <s v="RSCLER1023"/>
    <s v="SSOAA"/>
    <s v="SSAOFA"/>
    <s v="RSPNO07"/>
    <s v="PORTO ALEGRE"/>
    <s v="Edifício Ana Paula"/>
    <s v="R OURO PRETO 71"/>
    <s v="SSOAA.091.M100"/>
    <d v="2026-08-01T00:00:00"/>
    <x v="0"/>
    <m/>
    <s v="CATIA"/>
    <m/>
    <s v="OK"/>
    <s v="SEM LANÇAMENTO"/>
    <s v="SEM LANÇAMENTO"/>
    <s v="COBRAR JUNTO COM A OS RSCLER1022."/>
    <d v="2026-08-24T00:00:00"/>
    <d v="2026-08-12T00:00:00"/>
    <m/>
    <m/>
    <d v="2026-08-15T00:00:00"/>
    <d v="2026-08-24T00:00:00"/>
    <m/>
    <x v="0"/>
    <x v="0"/>
    <s v="AG. MEDIÇÃO"/>
    <n v="2"/>
    <x v="0"/>
    <n v="-1"/>
  </r>
  <r>
    <s v="RSCLER0399"/>
    <s v="UMBAA"/>
    <m/>
    <s v="RSAVA05"/>
    <s v="ALVORADA"/>
    <s v="Cond. Residencial dos Passaros"/>
    <s v="R Papagaios 786"/>
    <s v="UMBAA.011.M030"/>
    <d v="2024-08-01T00:00:00"/>
    <x v="0"/>
    <s v="LUCAS HOBERT"/>
    <s v="LUCAS HOBERT"/>
    <s v="100% - OK"/>
    <s v="OK"/>
    <m/>
    <n v="40"/>
    <s v="FOI LANÇADO 40 METROS DE CABO DE 12FO, 2 ABERTURA E FECHAMENTO, 1 CX NOVA, 1 DERIVAÇÃO, 4 FUSÃO, 2 TESTE"/>
    <d v="2024-09-10T00:00:00"/>
    <d v="2024-08-27T00:00:00"/>
    <d v="2024-09-05T00:00:00"/>
    <d v="2024-09-05T00:00:00"/>
    <d v="2024-09-05T00:00:00"/>
    <s v="NÃO PRECISA"/>
    <m/>
    <x v="0"/>
    <x v="0"/>
    <s v="AG. MEDIÇÃO"/>
    <n v="7"/>
    <x v="1"/>
    <n v="4"/>
  </r>
  <r>
    <s v="RSCLER0968"/>
    <s v="RNDAA"/>
    <s v="RNDAC"/>
    <s v="RSNHO12"/>
    <s v="NOVO HAMBURGO"/>
    <m/>
    <s v="R PEDRO PETRY 366"/>
    <s v="RNDAA.061.M060"/>
    <d v="2026-07-01T00:00:00"/>
    <x v="0"/>
    <s v="TIAGO FERREIRA"/>
    <s v="CLEVERSON"/>
    <m/>
    <s v="OK"/>
    <n v="675"/>
    <n v="665"/>
    <s v="FOI LANÇADO 665 METROS DE CABO DE 12FO, 3 ABERTURA E FECHAMENTO, 6 FUSÕES, 1 CX NOVA, 2 TESTES."/>
    <d v="2026-08-06T00:00:00"/>
    <d v="2026-07-07T00:00:00"/>
    <m/>
    <m/>
    <d v="2026-07-10T00:00:00"/>
    <d v="2026-08-06T00:00:00"/>
    <m/>
    <x v="0"/>
    <x v="0"/>
    <s v="AG. MEDIÇÃO"/>
    <n v="3"/>
    <x v="0"/>
    <n v="0"/>
  </r>
  <r>
    <s v="RSCLER0961"/>
    <s v="RNDAA"/>
    <s v="RNDAC"/>
    <s v="RSNHO12"/>
    <s v="NOVO HAMBURGO"/>
    <m/>
    <s v="R PEDRO PETRY 920"/>
    <s v="RNDAA.061.M020"/>
    <d v="2026-06-01T00:00:00"/>
    <x v="0"/>
    <s v="CLEVERSON"/>
    <s v="CLEVERSON"/>
    <m/>
    <s v="OK"/>
    <n v="450"/>
    <n v="500"/>
    <s v="FOI LANÇADO 500 METROS DE 12FO, 3 ABERTURA E FECHAMENTO, 2 DERIVAÇÃO, 2 FUSÃO, 1 TESTE."/>
    <d v="2026-07-09T00:00:00"/>
    <d v="2026-06-29T00:00:00"/>
    <m/>
    <m/>
    <d v="2026-07-01T00:00:00"/>
    <d v="2026-07-09T00:00:00"/>
    <m/>
    <x v="0"/>
    <x v="0"/>
    <s v="AG. MEDIÇÃO"/>
    <n v="2"/>
    <x v="0"/>
    <n v="-1"/>
  </r>
  <r>
    <s v="RSCLER0355"/>
    <s v="IPMAA"/>
    <s v="IPMADB"/>
    <s v="RSPSU19"/>
    <s v="PORTO ALEGRE"/>
    <s v="Verde Ipanema"/>
    <s v="R PERCIO FREITAS MAESTRI 388"/>
    <s v="IPMAA.071.M040"/>
    <d v="2024-07-01T00:00:00"/>
    <x v="0"/>
    <s v="ALAN"/>
    <s v="MARCOS EMILIANO"/>
    <s v="100% - OK"/>
    <s v="OK"/>
    <m/>
    <n v="407"/>
    <s v="FOI LANÇADO 407 METROS DE CABO DE 12FO, 2 ABERTURA E FECHAMENTO, 1 DERIVAÇÃO, 1 CX NOVA, 8 FUSÃO, 3 TESTE"/>
    <d v="2024-08-28T00:00:00"/>
    <d v="2024-07-24T00:00:00"/>
    <d v="2024-08-03T00:00:00"/>
    <d v="2024-08-22T00:00:00"/>
    <d v="2024-08-22T00:00:00"/>
    <s v="NÃO PRECISA"/>
    <m/>
    <x v="0"/>
    <x v="0"/>
    <s v="AG. MEDIÇÃO"/>
    <n v="21"/>
    <x v="1"/>
    <n v="18"/>
  </r>
  <r>
    <s v="RSCLER0758"/>
    <s v="CLC"/>
    <m/>
    <m/>
    <s v="TORRES "/>
    <m/>
    <s v="R Porto Alegre N;235"/>
    <s v="CLC011-M5"/>
    <d v="2025-11-01T00:00:00"/>
    <x v="0"/>
    <s v="MAQUENZE"/>
    <s v="MAQUENZE"/>
    <m/>
    <m/>
    <m/>
    <m/>
    <s v="FOI LANÇADO 146 METROS DE CABO 12FO AS, 7 ABERTURA E FECHAMENTO, 16 FUSÕES, 2 TESTES E 5 ADEQUAÇÕES DE POSTES.2 TESTES OTDR"/>
    <d v="2025-12-02T00:00:00"/>
    <m/>
    <m/>
    <m/>
    <d v="2025-11-13T00:00:00"/>
    <d v="2025-12-02T00:00:00"/>
    <m/>
    <x v="0"/>
    <x v="0"/>
    <s v="AG. MEDIÇÃO"/>
    <s v="DATA ENTRADA"/>
    <x v="1"/>
    <s v="DATA ENTRADA"/>
  </r>
  <r>
    <s v="RSCLER0223"/>
    <s v="PRTAA"/>
    <m/>
    <m/>
    <s v="PORTO ALEGRE"/>
    <s v="RESID CURCEL"/>
    <s v="R PRF CRISTIANO FISCHER 2272 "/>
    <s v="PRTAA.001.M100"/>
    <d v="2024-03-01T00:00:00"/>
    <x v="0"/>
    <s v="THIAGO"/>
    <s v="PAULO GOMES"/>
    <s v="100% - OK"/>
    <s v="OK"/>
    <m/>
    <n v="265"/>
    <s v="FOI LANÇADO 265 METRNOS DE CABO DE 12FO, 6 ABERTURA E FECHAMENTIO, 5 FUSÃO, 1 CX NOVA, 1 DERIVAÇÃO, 1 TESTE"/>
    <d v="2024-03-26T00:00:00"/>
    <d v="2024-03-13T00:00:00"/>
    <d v="2024-03-15T00:00:00"/>
    <d v="2024-03-15T00:00:00"/>
    <d v="2024-03-23T00:00:00"/>
    <s v="NÃO PRECISA"/>
    <m/>
    <x v="0"/>
    <x v="0"/>
    <s v="AG. MEDIÇÃO"/>
    <n v="7"/>
    <x v="1"/>
    <n v="4"/>
  </r>
  <r>
    <s v="RSCLER0129"/>
    <s v="RBRAA"/>
    <m/>
    <m/>
    <s v="PORTO ALEGRE"/>
    <s v=" GO RIO BRANCO "/>
    <s v="R PRF DUPLAN 60"/>
    <m/>
    <d v="2023-09-01T00:00:00"/>
    <x v="0"/>
    <m/>
    <s v="MARCOS EMILIANO"/>
    <s v="100% - OK"/>
    <s v="OK"/>
    <s v="SEM LANÇAMENTO"/>
    <s v="SEM LANÇAMENTO"/>
    <s v="5 ABERTURA E FECHAMENTO, 9 FUSÃO , 3 TESTE"/>
    <d v="2023-10-30T00:00:00"/>
    <d v="2023-09-26T00:00:00"/>
    <m/>
    <d v="2023-10-06T00:00:00"/>
    <d v="2023-10-19T00:00:00"/>
    <s v="NÃO PRECISA"/>
    <m/>
    <x v="0"/>
    <x v="0"/>
    <s v="AG. MEDIÇÃO"/>
    <n v="17"/>
    <x v="1"/>
    <n v="14"/>
  </r>
  <r>
    <s v="RSCLER0473"/>
    <s v="BVSAB"/>
    <s v="BVSALA"/>
    <s v="PAE NR"/>
    <s v="PORTO ALEGRE"/>
    <s v="UNIQUE PLACE"/>
    <s v="R PRIMEIRO DE JANEIRO 150"/>
    <s v="BVSAB.222.M110"/>
    <d v="2024-11-01T00:00:00"/>
    <x v="0"/>
    <s v="TIAGO FERREIRA"/>
    <s v="MARCOS EMILIANO"/>
    <s v="100% - OK"/>
    <s v="OK - ENVIADO"/>
    <n v="400"/>
    <n v="485"/>
    <s v="FOI LANÇADO 485 METROS DE CABO DE 12FO, 5 ABERTURA E FECHAMENTO, 20 FUSÃO, 1 CX NOVA, 1 DERIVAÇÃO, 4 TESTES"/>
    <d v="2024-12-06T00:00:00"/>
    <d v="2024-11-25T00:00:00"/>
    <d v="2024-11-29T00:00:00"/>
    <m/>
    <d v="2024-12-03T00:00:00"/>
    <s v="NÃO PRECISA"/>
    <m/>
    <x v="0"/>
    <x v="0"/>
    <s v="AG. MEDIÇÃO"/>
    <n v="6"/>
    <x v="1"/>
    <n v="3"/>
  </r>
  <r>
    <s v="RSCLER0582"/>
    <s v="SJEAA"/>
    <s v="PRTAGA"/>
    <s v="RSPLE23"/>
    <s v="PORTO ALEGRE"/>
    <s v=" Condomínio TORRES H-I"/>
    <s v="R PRIMEIRO DE SETEMBRO 340 BLOCOS A ATÉ O I"/>
    <s v="SJEAA.041.M050"/>
    <d v="2025-04-01T00:00:00"/>
    <x v="0"/>
    <s v="TIAGO FERREIRA"/>
    <s v="AUGUSTO"/>
    <m/>
    <m/>
    <n v="400"/>
    <n v="410"/>
    <s v="FOI LANÇADO 410 METROS DE CABO DE 12FO, 6 ABERTURA E FECHAMENTO, 20 FUSÕES, 2 DERIVAÇÕES, 5 TESTES"/>
    <d v="2025-05-08T00:00:00"/>
    <d v="2025-04-23T00:00:00"/>
    <d v="2025-04-24T00:00:00"/>
    <d v="2025-04-25T00:00:00"/>
    <d v="2025-05-08T00:00:00"/>
    <s v="NÃO PRECISA"/>
    <m/>
    <x v="0"/>
    <x v="0"/>
    <s v="AG. MEDIÇÃO"/>
    <n v="11"/>
    <x v="1"/>
    <n v="8"/>
  </r>
  <r>
    <s v="RSCLER0888"/>
    <s v="HMTAA"/>
    <s v="NAVAGA"/>
    <s v="RSPNO02"/>
    <s v="PORTO ALEGRE"/>
    <s v="COND (GARDEN PARK HUMAITÁ) "/>
    <s v="R PROF JOÃO DE SOUZA RIBEIRO 271"/>
    <s v="HMTAA.022.M020"/>
    <d v="2026-05-01T00:00:00"/>
    <x v="0"/>
    <s v="TIAGO FERREIRA"/>
    <s v="CATIA"/>
    <m/>
    <s v="OK"/>
    <n v="390"/>
    <n v="378"/>
    <s v="FOI LANÇADO 378 METROS DE CABO DE 12FO, 1 ABERTURA E FECHAMENTO, 1 CX NOVA, 1 DERIVAÇÕA, 4 FUSÕES, 4 TESTES."/>
    <d v="2026-08-11T00:00:00"/>
    <d v="2026-05-28T00:00:00"/>
    <m/>
    <m/>
    <d v="2026-05-30T00:00:00"/>
    <d v="2026-08-11T00:00:00"/>
    <m/>
    <x v="0"/>
    <x v="0"/>
    <s v="AG. MEDIÇÃO"/>
    <n v="1"/>
    <x v="0"/>
    <n v="-2"/>
  </r>
  <r>
    <s v="RSCLER0536"/>
    <s v="NAVAB"/>
    <s v="NAVAD"/>
    <s v="PAE FAR"/>
    <s v="PORTO ALEGRE"/>
    <s v="ED SOLAR BANDEIRA"/>
    <s v="R QUINTINO BANDEIRA 15"/>
    <s v="NAVAB.126.M050"/>
    <d v="2025-03-01T00:00:00"/>
    <x v="0"/>
    <s v="UBIRATAN"/>
    <s v="AUGUSTO"/>
    <s v="100% - OK"/>
    <s v="OK - ENVIADO"/>
    <n v="440"/>
    <n v="495"/>
    <s v="FOI LANÇADO 495 METROS DE CABO DE 12FO, 1 ABERTURA E FECHAMENTO, 1 CAIXA NOVA, 1 FUSÃO, 1 DERIVAÇÃO E 1 TESTE"/>
    <d v="2025-03-23T00:00:00"/>
    <d v="2025-03-12T00:00:00"/>
    <d v="2025-03-14T00:00:00"/>
    <d v="2025-03-19T00:00:00"/>
    <d v="2025-03-19T00:00:00"/>
    <s v="NÃO PRECISA"/>
    <m/>
    <x v="0"/>
    <x v="0"/>
    <s v="AG. MEDIÇÃO"/>
    <n v="5"/>
    <x v="1"/>
    <n v="2"/>
  </r>
  <r>
    <s v="RSCLER0326"/>
    <s v="RBTAC"/>
    <s v="RBTAGB"/>
    <m/>
    <s v="PORTO ALEGRE"/>
    <s v=" Cond Vivaz Santa Fé - "/>
    <s v="R Rev. Olavo Nunes 280"/>
    <s v="RBTAC.101.M010"/>
    <d v="2024-06-01T00:00:00"/>
    <x v="0"/>
    <s v="ALAN VASCONCELOS"/>
    <s v="FABIO AMARILIO"/>
    <s v="100% - OK"/>
    <s v="OK"/>
    <m/>
    <n v="485"/>
    <s v="FOI LANÇADO 485 METROS DE CABO DE 12FO, 3 ABERTURA E FECHAMENTO, 1 CX NOVA, 1 DERIVAÇÃO, 21 FUSÃO, 7 TESTE - FOI LANÇADO 137 METROS DE CORDOALHA"/>
    <d v="2024-07-24T00:00:00"/>
    <d v="2024-06-26T00:00:00"/>
    <d v="2024-06-27T00:00:00"/>
    <d v="2024-07-01T00:00:00"/>
    <d v="2024-07-01T00:00:00"/>
    <s v="NÃO PRECISA"/>
    <m/>
    <x v="0"/>
    <x v="0"/>
    <s v="AG. MEDIÇÃO"/>
    <n v="3"/>
    <x v="0"/>
    <n v="0"/>
  </r>
  <r>
    <s v="RSCLER0366"/>
    <s v="BVSAB"/>
    <s v="PETAAA"/>
    <s v="PAENR"/>
    <s v="PORTO ALEGRE"/>
    <s v="ED PORTAL DE PETROPOLIS"/>
    <s v="R SAICÃ 195"/>
    <s v="BVSAB.111.M080"/>
    <d v="2024-08-01T00:00:00"/>
    <x v="0"/>
    <s v="UBIRATAN"/>
    <s v="ANDERSON"/>
    <s v="100% - OK"/>
    <s v="OK"/>
    <m/>
    <n v="432"/>
    <s v="FOI LANÇADO 432 DE CABO DE 12FO, 12 FUSÃO, 4 ABERTURA E FECHAMENTO, 1 DERIVAÇÃO, 1 CX NOVA, "/>
    <d v="2024-08-28T00:00:00"/>
    <d v="2024-08-01T00:00:00"/>
    <d v="2024-08-08T00:00:00"/>
    <d v="2024-08-16T00:00:00"/>
    <d v="2024-08-16T00:00:00"/>
    <s v="NÃO PRECISA"/>
    <m/>
    <x v="0"/>
    <x v="0"/>
    <s v="AG. MEDIÇÃO"/>
    <n v="11"/>
    <x v="1"/>
    <n v="8"/>
  </r>
  <r>
    <s v="RSCLER0174"/>
    <s v="RBRAA"/>
    <m/>
    <m/>
    <s v="PORTO ALEGRE"/>
    <s v="Cond. Edifício Santa Cecília "/>
    <s v="R Santa Cecília 2043"/>
    <m/>
    <d v="2023-11-01T00:00:00"/>
    <x v="0"/>
    <s v="MAICON"/>
    <s v="PAULO GOMES"/>
    <s v="100% - OK"/>
    <s v="OK"/>
    <m/>
    <n v="320"/>
    <s v="320 METROS DE CABO DE 12FO, 3 ABERTURA E FECHAMENTO, 3 FUSÃO, 1 DERIVAÇÃO, 1 CX NOVA, 1 TESTE"/>
    <d v="2023-12-13T00:00:00"/>
    <d v="2023-11-24T00:00:00"/>
    <d v="2023-11-30T00:00:00"/>
    <d v="2023-12-04T00:00:00"/>
    <d v="2023-12-02T00:00:00"/>
    <s v="NÃO PRECISA"/>
    <m/>
    <x v="0"/>
    <x v="0"/>
    <s v="AG. MEDIÇÃO"/>
    <n v="5"/>
    <x v="1"/>
    <n v="2"/>
  </r>
  <r>
    <s v="RSCLER0395"/>
    <s v="RBRAA"/>
    <s v="RBRAO"/>
    <s v="RSPLE08"/>
    <s v="PORTO ALEGRE"/>
    <s v="ARCOVERDE"/>
    <s v="R SANTA CECILIA 2118"/>
    <s v="RBRAA.125.M050"/>
    <d v="2024-08-01T00:00:00"/>
    <x v="0"/>
    <s v="THIAGO LAMBRETA"/>
    <s v="LUCAS HOBERT"/>
    <s v="100% - OK"/>
    <s v="OK"/>
    <m/>
    <n v="240"/>
    <s v="FOI LANÇADO 240 METROS DE CABO DE 12FO, 4 ABERTURA E FECHAMENTO, 8 FUSÃO, 1 DERIVAÇÃO, 1 CX NOVA , 2 TESTE"/>
    <d v="2024-09-10T00:00:00"/>
    <d v="2024-08-26T00:00:00"/>
    <d v="2024-08-27T00:00:00"/>
    <d v="2024-08-27T00:00:00"/>
    <d v="2024-08-27T00:00:00"/>
    <s v="NÃO PRECISA"/>
    <m/>
    <x v="0"/>
    <x v="0"/>
    <s v="AG. MEDIÇÃO"/>
    <n v="1"/>
    <x v="0"/>
    <n v="-2"/>
  </r>
  <r>
    <s v="RSCLER0172"/>
    <s v="RBRAA"/>
    <m/>
    <m/>
    <s v="PORTO ALEGRE"/>
    <s v="Cond. Hillside"/>
    <s v="R Santa Cecilia 2230 "/>
    <m/>
    <d v="2023-11-01T00:00:00"/>
    <x v="0"/>
    <m/>
    <s v="PAULO GOMES"/>
    <s v="100% - OK"/>
    <s v="OK"/>
    <s v="SEM LANÇAMENTO"/>
    <s v="SEM LANÇAMENTO"/>
    <s v="3 ABERTURA E FECHAMNETO, 11 FUSÃO, 5 TESTE "/>
    <d v="2023-12-13T00:00:00"/>
    <d v="2023-11-24T00:00:00"/>
    <d v="2023-11-28T00:00:00"/>
    <d v="2023-12-04T00:00:00"/>
    <d v="2023-12-02T00:00:00"/>
    <s v="NÃO PRECISA"/>
    <m/>
    <x v="0"/>
    <x v="0"/>
    <s v="AG. MEDIÇÃO"/>
    <n v="5"/>
    <x v="1"/>
    <n v="2"/>
  </r>
  <r>
    <s v="RSCLER0215"/>
    <s v="RBRAA"/>
    <m/>
    <m/>
    <s v="PORTO ALEGRE"/>
    <s v="R Santa Cecilia, 2149"/>
    <s v="R Santa Cecilia, 2149"/>
    <m/>
    <d v="2024-02-01T00:00:00"/>
    <x v="0"/>
    <s v="JEFERSON"/>
    <s v="JEFERSON"/>
    <s v="100% - OK"/>
    <s v="OK"/>
    <m/>
    <n v="669"/>
    <s v="FOI LANÇADO 669 METROS DE CABO 8FO, 2 ABERTURA E FECHAMENTO, 4 FUSÃO, 1 DERIVAÇÃO, 2 TESTE, FAZER AS BUILTS"/>
    <d v="2024-02-28T00:00:00"/>
    <d v="2024-02-23T00:00:00"/>
    <d v="2024-02-24T00:00:00"/>
    <d v="2024-02-26T00:00:00"/>
    <d v="2024-02-26T00:00:00"/>
    <s v="NÃO PRECISA"/>
    <m/>
    <x v="0"/>
    <x v="0"/>
    <s v="AG. MEDIÇÃO"/>
    <n v="1"/>
    <x v="0"/>
    <n v="-2"/>
  </r>
  <r>
    <s v="RSCLER0828"/>
    <s v="TRZAA"/>
    <s v="TRZAF"/>
    <s v="RSPSU11"/>
    <s v="PORTO ALEGRE"/>
    <s v="ED VILLEMONT-"/>
    <s v="R SANTA VITÓRIA ,40"/>
    <s v="TRZAA.052.M060"/>
    <d v="2026-04-01T00:00:00"/>
    <x v="0"/>
    <s v="AUGUSTO"/>
    <s v="AUGUSTO"/>
    <m/>
    <m/>
    <n v="300"/>
    <n v="174"/>
    <s v="FOI LANÇADO 174 METROS DE CABO DE 24FO, 2 ABERTURA E FECHAMENTO, 3 FUSÕES, 2 DERIVAÇÕES, 3 TESTES"/>
    <d v="2026-06-29T00:00:00"/>
    <d v="2026-04-17T00:00:00"/>
    <m/>
    <m/>
    <d v="2026-04-20T00:00:00"/>
    <d v="2026-06-29T00:00:00"/>
    <m/>
    <x v="0"/>
    <x v="0"/>
    <s v="AG. MEDIÇÃO"/>
    <n v="1"/>
    <x v="0"/>
    <n v="-2"/>
  </r>
  <r>
    <s v="RSCLER0909"/>
    <s v="BFMAA"/>
    <s v="FLOAKA"/>
    <s v="RSPLE78"/>
    <s v="PORTO ALEGRE"/>
    <s v="Edificio Ocre"/>
    <s v="R SANTO ANTONIO 288"/>
    <s v="BFMAA.103.M020"/>
    <d v="2026-06-01T00:00:00"/>
    <x v="0"/>
    <m/>
    <s v="ANDERSON"/>
    <m/>
    <s v="OK"/>
    <s v="SEM LANÇAMENTO"/>
    <s v="SEM LANÇAMENTO"/>
    <s v="4 ABERTURA E FECHAMENTO, 6 FUSÕES, 2 TESTES."/>
    <d v="2026-06-11T00:00:00"/>
    <d v="2026-06-09T00:00:00"/>
    <m/>
    <m/>
    <d v="2026-06-10T00:00:00"/>
    <d v="2026-06-10T00:00:00"/>
    <m/>
    <x v="0"/>
    <x v="0"/>
    <s v="AG. MEDIÇÃO"/>
    <n v="1"/>
    <x v="0"/>
    <n v="-2"/>
  </r>
  <r>
    <s v="RSCLER1005"/>
    <s v="BFMAA"/>
    <m/>
    <s v="RSPLE78"/>
    <s v="PORTO ALEGRE"/>
    <s v=" RAMIRO BARCELOS 1215"/>
    <s v=" RAMIRO BARCELOS 1215"/>
    <s v="BFMAA.071.M010"/>
    <d v="2026-07-01T00:00:00"/>
    <x v="0"/>
    <m/>
    <s v="CATIA"/>
    <m/>
    <m/>
    <s v="SEM LANÇAMENTO"/>
    <s v="SEM LANÇAMENTO"/>
    <s v="4 ABERTURA E FECHAMENTO, 5 FUSÕES, 3 TESTES, 2 TESTES OTDR."/>
    <m/>
    <d v="2026-07-29T00:00:00"/>
    <m/>
    <d v="2026-07-30T00:00:00"/>
    <d v="2026-07-30T00:00:00"/>
    <m/>
    <m/>
    <x v="2"/>
    <x v="2"/>
    <s v="AG. RELATÓRIO"/>
    <n v="1"/>
    <x v="0"/>
    <n v="-2"/>
  </r>
  <r>
    <s v="RSCLER1031"/>
    <s v="BFMAA"/>
    <s v="FLOAKA"/>
    <s v="PAE IND"/>
    <s v="PORTO ALEGRE"/>
    <s v="Edifício Professor Lucchesi"/>
    <s v="R SANTO ANTONIO 325"/>
    <s v="BFMAA.103.M010"/>
    <d v="2026-08-01T00:00:00"/>
    <x v="0"/>
    <m/>
    <s v="CATIA"/>
    <m/>
    <s v="OK"/>
    <s v="SEM LANÇAMENTO"/>
    <s v="SEM LANÇAMENTO"/>
    <s v="2 ABERTURA E FECHAMENTO, 4 FUSÕES, 2 TESTES, 2 TESTES OTDR."/>
    <d v="2026-08-25T00:00:00"/>
    <d v="2026-08-14T00:00:00"/>
    <m/>
    <m/>
    <d v="2026-08-14T00:00:00"/>
    <d v="2026-08-25T00:00:00"/>
    <m/>
    <x v="0"/>
    <x v="0"/>
    <s v="AG. MEDIÇÃO"/>
    <n v="0"/>
    <x v="0"/>
    <n v="-3"/>
  </r>
  <r>
    <s v="RSCLER0937"/>
    <s v="BFMAA"/>
    <m/>
    <s v="PAE IND"/>
    <s v="PORTO ALEGRE"/>
    <s v="Cond Ed Polaris"/>
    <s v="R SANTO ANTONIO 581"/>
    <s v="BFMAA.021.M030"/>
    <d v="2026-06-01T00:00:00"/>
    <x v="0"/>
    <m/>
    <s v="AFONSO"/>
    <m/>
    <s v="OK"/>
    <s v="SEM LANÇAMENTO"/>
    <s v="SEM LANÇAMENTO"/>
    <s v="5 ABERTURA E FECHAMENTO, 11 FUSÕES, 3 TESTES"/>
    <d v="2026-07-08T00:00:00"/>
    <d v="2026-06-18T00:00:00"/>
    <m/>
    <m/>
    <d v="2026-06-25T00:00:00"/>
    <d v="2026-07-08T00:00:00"/>
    <m/>
    <x v="0"/>
    <x v="0"/>
    <s v="AG. MEDIÇÃO"/>
    <n v="5"/>
    <x v="1"/>
    <n v="2"/>
  </r>
  <r>
    <s v="RSCLER1025"/>
    <s v="BFMAA"/>
    <s v="BFMADA"/>
    <s v="PAE IND"/>
    <s v="PORTO ALEGRE"/>
    <s v="Cond. Edifício Astarte"/>
    <s v="R SANTO ANTONIO 638"/>
    <s v="BFMAA.021.M030"/>
    <d v="2026-08-01T00:00:00"/>
    <x v="0"/>
    <s v=" "/>
    <s v="CATIA"/>
    <m/>
    <s v="OK"/>
    <s v="SEM LANÇAMENTO"/>
    <s v="SEM LANÇAMENTO"/>
    <s v="5 ABERTURA E FECHAMENTO, 16 FUSÕES, 4 TESTES."/>
    <d v="2026-08-24T00:00:00"/>
    <d v="2026-08-11T00:00:00"/>
    <m/>
    <m/>
    <d v="2026-08-14T00:00:00"/>
    <d v="2026-08-24T00:00:00"/>
    <m/>
    <x v="0"/>
    <x v="0"/>
    <s v="AG. MEDIÇÃO"/>
    <n v="3"/>
    <x v="0"/>
    <n v="0"/>
  </r>
  <r>
    <s v="RSCLER0190"/>
    <s v="PETAA"/>
    <m/>
    <m/>
    <s v="PORTO ALEGRE"/>
    <s v="Residencial Giotto"/>
    <s v="R Santos Netto 98"/>
    <m/>
    <d v="2023-12-01T00:00:00"/>
    <x v="0"/>
    <m/>
    <s v="LUCAS HOBERT"/>
    <s v="100% - OK"/>
    <s v="OK"/>
    <s v="SEM LANÇAMENTO"/>
    <s v="SEM LANÇAMENTO"/>
    <s v="2 ABERUTA E FECHAMENTO, 9 FUSÃO, 3 TESTE"/>
    <d v="2024-01-09T00:00:00"/>
    <d v="2023-12-22T00:00:00"/>
    <m/>
    <d v="2023-12-23T00:00:00"/>
    <d v="2023-12-25T00:00:00"/>
    <s v="NÃO PRECISA"/>
    <m/>
    <x v="0"/>
    <x v="0"/>
    <s v="AG. MEDIÇÃO"/>
    <n v="1"/>
    <x v="0"/>
    <n v="-2"/>
  </r>
  <r>
    <s v="RSCLER0973"/>
    <s v="CNT"/>
    <m/>
    <s v="GUBPP"/>
    <s v="GUAÍBA"/>
    <m/>
    <s v="R SÃO JOSE 435"/>
    <s v="CNT04.M060"/>
    <d v="2026-07-01T00:00:00"/>
    <x v="0"/>
    <s v="CLEVERSON"/>
    <s v="CLEVERSON"/>
    <m/>
    <s v="OK"/>
    <n v="375"/>
    <n v="697"/>
    <s v="FOI LANÇADO 697 METROS DE CABO DE 12FO, 3 ABERTURA E FECHAMENTO, 6 FUSÕES, 3 DERIVAÇÕES, 1 CX NOVA, 2 TESTES."/>
    <d v="2026-07-17T00:00:00"/>
    <d v="2026-07-13T00:00:00"/>
    <m/>
    <m/>
    <d v="2026-07-16T00:00:00"/>
    <d v="2026-07-17T00:00:00"/>
    <m/>
    <x v="0"/>
    <x v="0"/>
    <s v="AG. MEDIÇÃO"/>
    <n v="3"/>
    <x v="0"/>
    <n v="0"/>
  </r>
  <r>
    <s v="RSCLER1028"/>
    <s v="GRIAA"/>
    <s v="GRIAAA"/>
    <s v="RSNHO01"/>
    <s v="NOVO HAMBURGO"/>
    <s v="Edifício Hamburgo Living"/>
    <s v="R SÃO LUIS GONZAGA 140, 150"/>
    <s v="GRIAA.053.M040"/>
    <d v="2026-08-01T00:00:00"/>
    <x v="0"/>
    <s v="CLEVERSON"/>
    <s v="CLEVERSON"/>
    <m/>
    <s v="OK"/>
    <n v="260"/>
    <n v="261"/>
    <s v="FOI LANÇADO 261 METROS DE CABO, 3 ABERTURA E FECHAMENTO, 1 CX NOVA, 1 DERIVAÇÃO, 16 FUSÕES,12 TESTES."/>
    <d v="2026-08-25T00:00:00"/>
    <d v="2026-08-13T00:00:00"/>
    <m/>
    <m/>
    <d v="2026-08-14T00:00:00"/>
    <d v="2026-08-25T00:00:00"/>
    <m/>
    <x v="0"/>
    <x v="0"/>
    <s v="AG. MEDIÇÃO"/>
    <n v="1"/>
    <x v="0"/>
    <n v="-2"/>
  </r>
  <r>
    <s v="RSCLER0260"/>
    <s v="BVSAB"/>
    <m/>
    <m/>
    <s v="PORTO ALEGRE"/>
    <s v=" Life.Co - Infinita "/>
    <s v="R São Mateus 611"/>
    <m/>
    <d v="2024-04-01T00:00:00"/>
    <x v="0"/>
    <s v="RICARDO"/>
    <s v="RICARDO"/>
    <s v="100% - OK"/>
    <s v="OK"/>
    <m/>
    <n v="19"/>
    <s v="FOI LANÇADO 19 METROS DE CABO, 4 ABERTURA E FECHAMENTO, 1 DERIVAÇÃO, 4 FUSÃO, 1 CX NOVA, 2 TESTE"/>
    <d v="2024-05-27T00:00:00"/>
    <d v="2024-04-11T00:00:00"/>
    <d v="2024-04-17T00:00:00"/>
    <d v="2024-05-20T00:00:00"/>
    <d v="2024-05-20T00:00:00"/>
    <s v="NÃO PRECISA"/>
    <m/>
    <x v="0"/>
    <x v="0"/>
    <s v="AG. MEDIÇÃO"/>
    <n v="27"/>
    <x v="1"/>
    <n v="24"/>
  </r>
  <r>
    <s v="RSCLER1040"/>
    <s v="TRLAA"/>
    <s v="STZAC"/>
    <s v="PAE HZS"/>
    <s v="PORTO ALEGRE"/>
    <s v="Cond. Edifício Santorini Santa Tereza"/>
    <s v="R SEPÉ TIARAJÚ, 488"/>
    <s v="TRLAA.094.M010"/>
    <d v="2026-08-01T00:00:00"/>
    <x v="0"/>
    <m/>
    <s v="CATIA"/>
    <m/>
    <s v="OK"/>
    <s v="SEM LANÇAMENTO"/>
    <s v="SEM LANÇAMENTO"/>
    <s v="4 ABERTURA E FECHAMENTO, 16 FUSÕES, 1 DERIVAÇÃO, 4 TESTES."/>
    <d v="2026-08-25T00:00:00"/>
    <d v="2026-08-19T00:00:00"/>
    <m/>
    <m/>
    <d v="2026-08-20T00:00:00"/>
    <d v="2026-08-25T00:00:00"/>
    <m/>
    <x v="0"/>
    <x v="0"/>
    <s v="AG. MEDIÇÃO"/>
    <n v="1"/>
    <x v="0"/>
    <n v="-2"/>
  </r>
  <r>
    <s v="RSCLER1038"/>
    <s v="MTSAA"/>
    <s v="MTSAJ"/>
    <s v="PAE BV"/>
    <s v="PORTO ALEGRE"/>
    <m/>
    <s v="R SILVA JARDIM 749"/>
    <s v="MTSAA.295.M010"/>
    <d v="2026-08-01T00:00:00"/>
    <x v="0"/>
    <m/>
    <s v="CATIA"/>
    <m/>
    <s v="OK"/>
    <s v="SEM LANÇAMENTO"/>
    <s v="SEM LANÇAMENTO"/>
    <s v="2 ABERTURA E FECHAMENTO, 2 FUSÕES, 1 TESTE OTDR, 1 TESTE."/>
    <d v="2026-08-25T00:00:00"/>
    <d v="2026-08-19T00:00:00"/>
    <m/>
    <m/>
    <d v="2026-08-19T00:00:00"/>
    <d v="2026-08-25T00:00:00"/>
    <m/>
    <x v="0"/>
    <x v="0"/>
    <s v="AG. MEDIÇÃO"/>
    <n v="0"/>
    <x v="0"/>
    <n v="-3"/>
  </r>
  <r>
    <s v="RSCLER0199"/>
    <s v="CMQAA"/>
    <m/>
    <m/>
    <s v="PORTO ALEGRE"/>
    <s v="Oxy Home Resort "/>
    <s v="R Silvio Silveira Soares 2589"/>
    <m/>
    <d v="2023-12-01T00:00:00"/>
    <x v="0"/>
    <s v="THIAGO"/>
    <s v="MARCOS EMILIANO / LUCAS HOBERT"/>
    <s v="100% - OK"/>
    <s v="OK"/>
    <m/>
    <n v="270"/>
    <s v="FOI LANÇADO 270 METROS DE CABO DE 12FO, 8 ABERTURA E FECHAMENTO, 8 FUSÃO , 1 CX NOVA, 1 DERIVAÇÃO, 1 TESTE"/>
    <d v="2024-02-23T00:00:00"/>
    <d v="2023-12-28T00:00:00"/>
    <d v="2024-01-02T00:00:00"/>
    <d v="2024-01-09T00:00:00"/>
    <d v="2024-01-09T00:00:00"/>
    <s v="NÃO PRECISA"/>
    <m/>
    <x v="0"/>
    <x v="0"/>
    <s v="AG. MEDIÇÃO"/>
    <n v="8"/>
    <x v="1"/>
    <n v="5"/>
  </r>
  <r>
    <s v="RSCLER0669"/>
    <s v="CNTAB"/>
    <m/>
    <s v="RSPCE14"/>
    <s v="PORTO ALEGRE"/>
    <m/>
    <s v="R SIQUEIRA CAMPOS 644"/>
    <s v="CNTAB.401.M010"/>
    <d v="2025-07-01T00:00:00"/>
    <x v="0"/>
    <s v="UBIRAJARA"/>
    <s v="DIOGO"/>
    <s v="100% - OK"/>
    <m/>
    <m/>
    <n v="1077"/>
    <s v="FOI LANÇADO 1077 METROS DE CABO DE 12FO, 1 ABERTURA E FECHAMENTO, 6 FUSÕES, 1 DERIVAÇÃO, 1 TESTE OTDR, 2 CXS NOVAS, 4 TESTES."/>
    <d v="2025-07-22T00:00:00"/>
    <d v="2025-07-14T00:00:00"/>
    <m/>
    <m/>
    <d v="2025-07-21T00:00:00"/>
    <s v="NÃO PRECISA"/>
    <m/>
    <x v="0"/>
    <x v="0"/>
    <s v="AG. MEDIÇÃO"/>
    <n v="5"/>
    <x v="1"/>
    <n v="2"/>
  </r>
  <r>
    <s v="RSCLER0952"/>
    <s v="PRIAA"/>
    <m/>
    <s v="RSNHO06"/>
    <s v="NOVO HAMBURGO"/>
    <m/>
    <s v="R STA ROSA 101"/>
    <s v="PRIAA.401.M010"/>
    <d v="2026-06-01T00:00:00"/>
    <x v="0"/>
    <m/>
    <s v="CATIA"/>
    <m/>
    <s v="OK"/>
    <s v="SEM LANÇAMENTO"/>
    <s v="SEM LANÇAMENTO"/>
    <s v="6 ABERTURA E FECHAMENTO, 12 FUSÕES, 2 TESTES OTDR, 2 TESTES."/>
    <d v="2026-07-09T00:00:00"/>
    <d v="2026-06-24T00:00:00"/>
    <m/>
    <m/>
    <d v="2026-06-30T00:00:00"/>
    <d v="2026-07-09T00:00:00"/>
    <m/>
    <x v="0"/>
    <x v="0"/>
    <s v="AG. MEDIÇÃO"/>
    <n v="4"/>
    <x v="1"/>
    <n v="1"/>
  </r>
  <r>
    <s v="RSCLER0951"/>
    <s v="PRIAA"/>
    <m/>
    <s v="RSNHO06"/>
    <s v="NOVO HAMBURGO"/>
    <m/>
    <s v="R STA ROSA 31"/>
    <s v="PRIAA.401.04.01"/>
    <d v="2026-06-01T00:00:00"/>
    <x v="0"/>
    <s v="GRILO"/>
    <s v="KAUÊ"/>
    <m/>
    <m/>
    <n v="133"/>
    <n v="133"/>
    <s v="NÃO COBRAR É A BASE JLE DE NOVO HAMBURGO."/>
    <s v="NÃO COBRAR"/>
    <d v="2026-06-22T00:00:00"/>
    <m/>
    <m/>
    <d v="2026-06-25T00:00:00"/>
    <s v="NÃO PRECISA"/>
    <m/>
    <x v="0"/>
    <x v="0"/>
    <s v="AG. MEDIÇÃO"/>
    <n v="3"/>
    <x v="0"/>
    <n v="0"/>
  </r>
  <r>
    <s v="RSCLER0931"/>
    <s v="BFMAA"/>
    <s v="BFMACA"/>
    <s v="PAE IND"/>
    <s v="PORTO ALEGRE"/>
    <s v="Cond. GARDEN"/>
    <s v="R STO ANTONIO 629"/>
    <s v="BFMAA.144.M010"/>
    <d v="2026-06-01T00:00:00"/>
    <x v="0"/>
    <m/>
    <s v="AFONSO"/>
    <m/>
    <s v="OK"/>
    <s v="SEM LANÇAMENTO"/>
    <s v="SEM LANÇAMENTO"/>
    <s v="10 ABERTURA E FECHAMENTO, 11 FUSÕES, 1 TESTE, 1 TESTE OTDR"/>
    <d v="2026-06-23T00:00:00"/>
    <d v="2026-06-16T00:00:00"/>
    <m/>
    <m/>
    <d v="2026-06-17T00:00:00"/>
    <d v="2026-06-23T00:00:00"/>
    <m/>
    <x v="0"/>
    <x v="0"/>
    <s v="AG. MEDIÇÃO"/>
    <n v="1"/>
    <x v="0"/>
    <n v="-2"/>
  </r>
  <r>
    <s v="RSCLER0964"/>
    <s v="SPEAA"/>
    <s v="PDRACB"/>
    <s v="PAE DAM"/>
    <s v="PORTO ALEGRE"/>
    <m/>
    <s v="R TAPIAÇU 171,185,199,213,227,241"/>
    <s v="SPEAA.032.M050/SPEAA.032.M020"/>
    <d v="2026-07-01T00:00:00"/>
    <x v="0"/>
    <m/>
    <s v="CATIA"/>
    <m/>
    <s v="OK"/>
    <s v="SEM LANÇAMENTO"/>
    <s v="SEM LANÇAMENTO"/>
    <s v="25 ABERTURA E FECHAMENTO, 54 FUSÕES, 26 TESTES OTDR, 6 TESTES."/>
    <d v="2026-08-17T00:00:00"/>
    <d v="2026-07-03T00:00:00"/>
    <m/>
    <m/>
    <d v="2026-07-07T00:00:00"/>
    <d v="2026-08-17T00:00:00"/>
    <m/>
    <x v="0"/>
    <x v="0"/>
    <s v="AG. MEDIÇÃO"/>
    <n v="2"/>
    <x v="0"/>
    <n v="-1"/>
  </r>
  <r>
    <s v="RSCLER0969"/>
    <s v="BFMAA"/>
    <s v="FLOALA"/>
    <s v="PAE IND"/>
    <s v="PORTO ALEGRE"/>
    <m/>
    <s v="R TIRADENTES 68"/>
    <s v="BFMAA.052.M010"/>
    <d v="2026-07-01T00:00:00"/>
    <x v="0"/>
    <m/>
    <s v="CATIA"/>
    <m/>
    <s v="OK"/>
    <s v="SEM LANÇAMENTO"/>
    <s v="SEM LANÇAMENTO"/>
    <s v="4 ABERTURA E FECHAMENTO, 4 FUSÕES, 2 TESTES OTDR, 2 TESTE."/>
    <d v="2026-07-20T00:00:00"/>
    <d v="2026-07-08T00:00:00"/>
    <m/>
    <m/>
    <d v="2026-07-09T00:00:00"/>
    <d v="2026-07-20T00:00:00"/>
    <m/>
    <x v="0"/>
    <x v="0"/>
    <s v="AG. MEDIÇÃO"/>
    <n v="1"/>
    <x v="0"/>
    <n v="-2"/>
  </r>
  <r>
    <s v="RSCLER1018"/>
    <s v="BFMAA"/>
    <s v="BFMACA"/>
    <s v="PAE IND"/>
    <s v="PORTO ALEGRE"/>
    <s v="TOM 219"/>
    <s v="R TOMAZ FLORES 219"/>
    <s v="BFMAA.143.M040"/>
    <d v="2026-08-01T00:00:00"/>
    <x v="0"/>
    <m/>
    <s v="CATIA"/>
    <m/>
    <s v="OK"/>
    <s v="SEM LANÇAMENTO"/>
    <s v="SEM LANÇAMENTO"/>
    <s v="9 ABERTURA E FECHAMENTO, 14 FUSÕES, 1 TESTES, 9 TESTES OTDR."/>
    <d v="2026-08-20T00:00:00"/>
    <d v="2026-08-08T00:00:00"/>
    <m/>
    <m/>
    <d v="2026-08-14T00:00:00"/>
    <d v="2026-08-20T00:00:00"/>
    <m/>
    <x v="0"/>
    <x v="0"/>
    <s v="AG. MEDIÇÃO"/>
    <n v="4"/>
    <x v="1"/>
    <n v="1"/>
  </r>
  <r>
    <s v="RSCLER0957"/>
    <s v="VIPAA"/>
    <s v="VIPAJ"/>
    <s v="RSPNO19"/>
    <s v="PORTO ALEGRE"/>
    <s v="ED MARTENS"/>
    <s v="R TUNISIA 85"/>
    <s v="VIPAA.003.M010"/>
    <d v="2026-06-01T00:00:00"/>
    <x v="0"/>
    <m/>
    <s v="CATIA"/>
    <m/>
    <s v="OK"/>
    <s v="SEM LANÇAMENTO"/>
    <s v="SEM LANÇAMENTO"/>
    <s v="2 ABERTURA E FECHAMENTO, 1 FUSÃO, 1 TESTE, 1 TESTE OTDR"/>
    <d v="2026-07-09T00:00:00"/>
    <d v="2026-06-03T00:00:00"/>
    <m/>
    <m/>
    <d v="2026-06-04T00:00:00"/>
    <d v="2026-07-09T00:00:00"/>
    <m/>
    <x v="0"/>
    <x v="0"/>
    <s v="AG. MEDIÇÃO"/>
    <n v="1"/>
    <x v="0"/>
    <n v="-2"/>
  </r>
  <r>
    <s v="RSCLER0584"/>
    <s v="CTO"/>
    <m/>
    <m/>
    <s v="OSORIO"/>
    <m/>
    <s v="R VIANA MOOG - 577"/>
    <s v="CTO.031.M010"/>
    <d v="2025-04-01T00:00:00"/>
    <x v="0"/>
    <m/>
    <s v="FABIO AMARILIO"/>
    <s v="100% - OK"/>
    <s v="OK - ENVIADO"/>
    <s v="SEM LANÇAMENTO"/>
    <s v="SEM LANÇAMENTO"/>
    <s v="4 ABERTURA E FECHAMENTO, 7 FUSÕES, 1 DERIVVAÇÃO, 2 TESTES"/>
    <d v="2025-06-18T00:00:00"/>
    <d v="2025-04-25T00:00:00"/>
    <m/>
    <m/>
    <d v="2025-05-15T00:00:00"/>
    <s v="NÃO PRECISA"/>
    <m/>
    <x v="0"/>
    <x v="0"/>
    <s v="AG. MEDIÇÃO"/>
    <n v="14"/>
    <x v="1"/>
    <n v="11"/>
  </r>
  <r>
    <s v="RSCLER0950"/>
    <s v="GRIAA"/>
    <s v="GRIAAA"/>
    <s v="RSNHO01"/>
    <s v="NOVO HAMBURGO"/>
    <m/>
    <s v="R VINTE E QUATRO DE MAIO 1263"/>
    <s v="GRIAA.035.M030"/>
    <d v="2026-06-01T00:00:00"/>
    <x v="0"/>
    <m/>
    <s v="CATIA"/>
    <m/>
    <s v="OK"/>
    <s v="SEM LANÇAMENTO"/>
    <s v="SEM LANÇAMENTO"/>
    <s v="4 ABERTURA E FECHAMENTO, 4 FUSÕES, 1 TESTE."/>
    <d v="2026-07-09T00:00:00"/>
    <d v="2026-06-24T00:00:00"/>
    <m/>
    <m/>
    <d v="2026-06-26T00:00:00"/>
    <d v="2026-07-09T00:00:00"/>
    <m/>
    <x v="0"/>
    <x v="0"/>
    <s v="AG. MEDIÇÃO"/>
    <n v="2"/>
    <x v="0"/>
    <n v="-1"/>
  </r>
  <r>
    <s v="RSCLER0736"/>
    <s v="TRA"/>
    <m/>
    <m/>
    <s v="TRAMANDAI"/>
    <m/>
    <s v="R VINTE E QUATRO DE SETEMBRO, 1030"/>
    <s v="TRA.031.M030"/>
    <d v="2025-10-01T00:00:00"/>
    <x v="0"/>
    <m/>
    <s v="FABIO AMARILHO"/>
    <m/>
    <m/>
    <s v="SEM LANÇAMENTO"/>
    <s v="SEM LANÇAMENTO"/>
    <s v="3 ABERTURA E FECHAMENTO, 6 FUSÕES, 4 TESTES, 3 TESTES OTDR"/>
    <d v="2025-12-20T00:00:00"/>
    <d v="2025-10-01T00:00:00"/>
    <m/>
    <m/>
    <d v="2025-10-27T00:00:00"/>
    <d v="2025-12-20T00:00:00"/>
    <m/>
    <x v="0"/>
    <x v="0"/>
    <s v="AG. MEDIÇÃO"/>
    <n v="18"/>
    <x v="1"/>
    <n v="15"/>
  </r>
  <r>
    <s v="RSCLER0962"/>
    <s v="BFMAA"/>
    <s v="FLOAA"/>
    <s v="PAE IND"/>
    <s v="PORTO ALEGRE"/>
    <s v="Shopping Atacadista Mercado da Moda"/>
    <s v="R VOLUNTARIOS DA PATRIA 1140"/>
    <s v="BFMAA.276.M020"/>
    <d v="2026-06-01T00:00:00"/>
    <x v="0"/>
    <m/>
    <s v="RICARDO JLE"/>
    <m/>
    <s v="OK"/>
    <s v="SEM LANÇAMENTO"/>
    <s v="SEM LANÇAMENTO"/>
    <s v="2 ABERTURA E FECHAMENTO, 4 FUSÕES, 2 TESTES"/>
    <d v="2026-08-13T00:00:00"/>
    <d v="2026-07-01T00:00:00"/>
    <m/>
    <m/>
    <d v="2026-07-01T00:00:00"/>
    <d v="2026-08-13T00:00:00"/>
    <m/>
    <x v="0"/>
    <x v="0"/>
    <s v="AG. MEDIÇÃO"/>
    <n v="0"/>
    <x v="0"/>
    <n v="-3"/>
  </r>
  <r>
    <s v="RSCLER1045"/>
    <s v="IDLAA"/>
    <s v="IDLAG"/>
    <s v="RSNHO11"/>
    <s v="NOVO HAMBURGO"/>
    <s v="Cond. Residencial Jardim Flamboyant"/>
    <s v="R Voluntários da Pátria,795"/>
    <s v="IDLAA.053.M050"/>
    <d v="2026-08-01T00:00:00"/>
    <x v="0"/>
    <s v="TIAGO FERREIRA"/>
    <s v="CATIA"/>
    <m/>
    <s v="OK"/>
    <n v="290"/>
    <n v="298"/>
    <s v="FOI LANÇADO 298 METROS DE CABO DE 24FO, 5 ABERTURA E FECHAMENTO, 20 FUSÕES, 3 DERIVAÇÕES, 4 TESTES."/>
    <d v="2026-08-26T00:00:00"/>
    <d v="2026-08-19T00:00:00"/>
    <m/>
    <m/>
    <d v="2026-08-24T00:00:00"/>
    <d v="2026-08-26T00:00:00"/>
    <m/>
    <x v="0"/>
    <x v="0"/>
    <s v="AG. MEDIÇÃO"/>
    <n v="3"/>
    <x v="0"/>
    <n v="0"/>
  </r>
  <r>
    <s v="RSCLER0427"/>
    <s v="CNTAA"/>
    <s v="CNT13A"/>
    <s v="RSCAN27"/>
    <s v="CANOAS "/>
    <s v="Condomínio Residencial Vivace"/>
    <s v="R. Afonso Charlier, 70"/>
    <s v="CNTAA.131.M050"/>
    <d v="2024-09-01T00:00:00"/>
    <x v="0"/>
    <s v="JUNIOR"/>
    <s v="MARCOS EMILIANO / ADRIANO"/>
    <s v="100% - OK"/>
    <s v="OK - ENVIADO"/>
    <n v="450"/>
    <n v="755"/>
    <s v="FOI LANÇADO 755 METROS DE CABO DE 12FO, 5 ABERTURA E FECHAMENTO,14 FUSÃO, 3 DERIVAÇÃO, 1 CX NOVA, 4 TESTE"/>
    <d v="2024-10-10T00:00:00"/>
    <d v="2024-09-12T00:00:00"/>
    <d v="2024-09-13T00:00:00"/>
    <d v="2024-09-18T00:00:00"/>
    <d v="2024-10-04T00:00:00"/>
    <s v="NÃO PRECISA"/>
    <m/>
    <x v="0"/>
    <x v="0"/>
    <s v="AG. MEDIÇÃO"/>
    <n v="16"/>
    <x v="1"/>
    <n v="13"/>
  </r>
  <r>
    <s v="RSCLER0454"/>
    <s v="VIPAA"/>
    <s v="SPEADB"/>
    <s v="RSPNO19"/>
    <s v="PORTO ALEGRE"/>
    <s v="Cond do Edifício The Ambassador"/>
    <s v="R. Alberto Silva, 355"/>
    <s v="VIPAA.007.M010"/>
    <d v="2024-10-01T00:00:00"/>
    <x v="0"/>
    <m/>
    <s v="ANDERSON"/>
    <s v="100% - OK"/>
    <s v="OK - ENVIADO"/>
    <s v="SEM LANÇAMENTO"/>
    <s v="SEM LANÇAMENTO"/>
    <s v="2 ABERTURA E FECHAMENTO, 2 FUSÃO, 2 TESTE "/>
    <d v="2024-11-12T00:00:00"/>
    <d v="2024-10-25T00:00:00"/>
    <m/>
    <m/>
    <d v="2024-11-04T00:00:00"/>
    <s v="NÃO PRECISA"/>
    <m/>
    <x v="0"/>
    <x v="0"/>
    <s v="AG. MEDIÇÃO"/>
    <n v="6"/>
    <x v="1"/>
    <n v="3"/>
  </r>
  <r>
    <s v="RSCLER0436"/>
    <s v="CNTAA"/>
    <s v="CBXAIA"/>
    <s v="PAE MF"/>
    <s v="PORTO ALEGRE"/>
    <s v="Cond Ed Miraggio Finamore"/>
    <s v="R. Alberto Torres, 58"/>
    <s v="CNTAA.367.M010"/>
    <d v="2024-09-01T00:00:00"/>
    <x v="0"/>
    <m/>
    <s v="MARCOS EMILIANO"/>
    <s v="100% - OK"/>
    <s v="OK"/>
    <s v="SEM LANÇAMENTO"/>
    <s v="SEM LANÇAMENTO"/>
    <s v="2 ABERTURA E FECHAMENTO, 3 FUSÃO, 3 TESTE "/>
    <d v="2024-09-20T00:00:00"/>
    <d v="2024-09-13T00:00:00"/>
    <d v="2024-09-16T00:00:00"/>
    <d v="2024-09-19T00:00:00"/>
    <d v="2024-09-18T00:00:00"/>
    <s v="NÃO PRECISA"/>
    <m/>
    <x v="0"/>
    <x v="0"/>
    <s v="AG. MEDIÇÃO"/>
    <n v="3"/>
    <x v="0"/>
    <n v="0"/>
  </r>
  <r>
    <s v="RSCLER0622"/>
    <s v="TRLAA"/>
    <m/>
    <s v="HZS"/>
    <s v="PORTO ALEGRE"/>
    <s v="Tom Menino Deus"/>
    <s v="R. Alm. Gonçalves, 214"/>
    <s v="TRLAA.011.M040"/>
    <d v="2025-06-01T00:00:00"/>
    <x v="0"/>
    <m/>
    <s v="CATIA"/>
    <m/>
    <m/>
    <s v="SEM LANÇAMENTO"/>
    <s v="SEM LANÇAMENTO"/>
    <s v="5 ABERTURA E FECHAMENTO, 5 FUSÕES, 3 TESTE OTDR, 1 TESTE"/>
    <d v="2025-07-07T00:00:00"/>
    <d v="2025-06-05T00:00:00"/>
    <m/>
    <m/>
    <d v="2025-06-09T00:00:00"/>
    <s v="NÃO PRECISA"/>
    <m/>
    <x v="0"/>
    <x v="0"/>
    <s v="AG. MEDIÇÃO"/>
    <n v="2"/>
    <x v="0"/>
    <n v="-1"/>
  </r>
  <r>
    <s v="RSCLER0581"/>
    <s v="TRLAA"/>
    <s v="MNDAR"/>
    <s v="PAE HZS"/>
    <s v="PORTO ALEGRE"/>
    <s v="Cond. DIMAK"/>
    <s v="R. ALMIRANTE GONÇALVES 122"/>
    <s v="TRLAA.013.M040"/>
    <d v="2025-04-01T00:00:00"/>
    <x v="0"/>
    <m/>
    <s v="AUGUSTO"/>
    <m/>
    <m/>
    <s v="SEM LANÇAMENTO"/>
    <s v="SEM LANÇAMENTO"/>
    <s v="8 ABERTURA E FECHAMENTO, 6 FUSÕES, 1 TESTE"/>
    <d v="2025-05-08T00:00:00"/>
    <d v="2025-04-23T00:00:00"/>
    <d v="2025-04-25T00:00:00"/>
    <d v="2025-04-25T00:00:00"/>
    <d v="2025-04-25T00:00:00"/>
    <s v="NÃO PRECISA"/>
    <m/>
    <x v="0"/>
    <x v="0"/>
    <s v="AG. MEDIÇÃO"/>
    <n v="2"/>
    <x v="0"/>
    <n v="-1"/>
  </r>
  <r>
    <s v="RSCLER0413"/>
    <s v="BVSAB"/>
    <s v="BVSALA"/>
    <s v="PAE NR"/>
    <s v="PORTO ALEGRE"/>
    <s v="Cond Las Piedras"/>
    <s v="R. Ana Maltz Knijnik, 101 - DIRETORIA"/>
    <s v="BVSAB.221.M050"/>
    <d v="2024-09-01T00:00:00"/>
    <x v="0"/>
    <s v="GIOVANE"/>
    <s v="MARCOS EMILIANO"/>
    <s v="100% - OK"/>
    <s v="OK"/>
    <n v="750"/>
    <n v="734"/>
    <s v="FOI LANÇADO 734 METROS DE CABO DE 12FO, 2 ABERTURA E FECHAMENTO, 1 CX NOVA, 1 DERIVAÇÃO, 6 FUSÃO,3 TESTE"/>
    <d v="2024-09-14T00:00:00"/>
    <d v="2024-09-03T00:00:00"/>
    <d v="2024-09-06T00:00:00"/>
    <d v="2024-09-11T00:00:00"/>
    <d v="2024-09-12T00:00:00"/>
    <s v="NÃO PRECISA"/>
    <m/>
    <x v="0"/>
    <x v="0"/>
    <s v="AG. MEDIÇÃO"/>
    <n v="7"/>
    <x v="1"/>
    <n v="4"/>
  </r>
  <r>
    <s v="RSCLER0176"/>
    <s v="MTSAA"/>
    <m/>
    <m/>
    <s v="PORTO ALEGRE"/>
    <s v="Tribeca Residences"/>
    <s v="R. Artur Rocha 530 "/>
    <m/>
    <d v="2023-11-01T00:00:00"/>
    <x v="0"/>
    <m/>
    <s v="MARCOS EMILIANO"/>
    <s v="100% - OK"/>
    <s v="OK"/>
    <s v="SEM LANÇAMENTO"/>
    <s v="SEM LANÇAMENTO"/>
    <s v="TEVE MUDANÇA DE FIBRA, 2 ABERTURA E FECHAMENTO, 3 FUSÃO, FAZER AS BUILTS DAS FIBRAS"/>
    <d v="2023-12-13T00:00:00"/>
    <d v="2023-11-24T00:00:00"/>
    <d v="2023-11-27T00:00:00"/>
    <d v="2023-11-28T00:00:00"/>
    <d v="2023-11-30T00:00:00"/>
    <s v="NÃO PRECISA"/>
    <m/>
    <x v="0"/>
    <x v="0"/>
    <s v="AG. MEDIÇÃO"/>
    <n v="4"/>
    <x v="1"/>
    <n v="1"/>
  </r>
  <r>
    <s v="RSCLER0674"/>
    <s v="SPEAA"/>
    <m/>
    <s v="PAE DAM"/>
    <s v="PORTO ALEGRE"/>
    <s v="Cond Barao De Tramandai"/>
    <s v="R. Barão de Tramandaí, 291"/>
    <s v="SPEAA.025.M040"/>
    <d v="2025-07-01T00:00:00"/>
    <x v="0"/>
    <m/>
    <s v="CATIA"/>
    <m/>
    <m/>
    <s v="SEM LANÇAMENTO"/>
    <s v="SEM LANÇAMENTO"/>
    <s v="6 ABERTURA E FECHAMENTO, 7 FUSÕES, 2 TESTES, 5 TESTES OTDR"/>
    <d v="2025-08-12T00:00:00"/>
    <d v="2025-07-16T00:00:00"/>
    <d v="2025-07-20T00:00:00"/>
    <d v="2025-07-23T00:00:00"/>
    <d v="2025-07-23T00:00:00"/>
    <d v="2025-08-12T00:00:00"/>
    <m/>
    <x v="0"/>
    <x v="0"/>
    <s v="AG. MEDIÇÃO"/>
    <n v="5"/>
    <x v="1"/>
    <n v="2"/>
  </r>
  <r>
    <s v="RSCLER0178"/>
    <s v="PRTAB"/>
    <m/>
    <m/>
    <s v="PORTO ALEGRE"/>
    <s v="Condomínio Edificio Azalea"/>
    <s v="R. Barão do Amazonas, 1559"/>
    <m/>
    <d v="2023-12-01T00:00:00"/>
    <x v="0"/>
    <m/>
    <s v="LUCAS HOBERT"/>
    <s v="100% - OK"/>
    <s v="OK"/>
    <s v="SEM LANÇAMENTO"/>
    <s v="SEM LANÇAMENTO"/>
    <s v="2 ABERTURA E FECHAMENTO, 2 FUSÃO, 2 TESTE"/>
    <d v="2023-12-13T00:00:00"/>
    <d v="2023-12-04T00:00:00"/>
    <m/>
    <d v="2023-12-06T00:00:00"/>
    <d v="2023-12-06T00:00:00"/>
    <s v="NÃO PRECISA"/>
    <m/>
    <x v="0"/>
    <x v="0"/>
    <s v="AG. MEDIÇÃO"/>
    <n v="2"/>
    <x v="0"/>
    <n v="-1"/>
  </r>
  <r>
    <s v="RSCLER0415"/>
    <s v="VIPAA"/>
    <s v="VIPAJ"/>
    <s v="RSPNO19"/>
    <s v="PORTO ALEGRE"/>
    <s v="Cond Edificio Ponaim"/>
    <s v="R. Bogotá, 22 - DIRETORIA"/>
    <s v="VIPAA.002.M050"/>
    <d v="2024-09-01T00:00:00"/>
    <x v="0"/>
    <s v="GIOVANE"/>
    <s v="LUCAS HOBERT"/>
    <s v="100% - OK"/>
    <s v="OK"/>
    <n v="150"/>
    <n v="160"/>
    <s v="FOI LANÇADO 160 METROS DE CABO DE 12FO, 4 ABERTURA E FECHAMENTO, 1 CX NOVA, 1 DERIVAÇÃO, 17 FUSÃO, 5 TESTE "/>
    <d v="2024-09-14T00:00:00"/>
    <d v="2024-09-06T00:00:00"/>
    <d v="2024-09-10T00:00:00"/>
    <d v="2024-09-12T00:00:00"/>
    <d v="2024-09-11T00:00:00"/>
    <s v="NÃO PRECISA"/>
    <m/>
    <x v="0"/>
    <x v="0"/>
    <s v="AG. MEDIÇÃO"/>
    <n v="3"/>
    <x v="0"/>
    <n v="0"/>
  </r>
  <r>
    <s v="RSCLER0915"/>
    <s v="RNDAA"/>
    <s v="RNDAH"/>
    <s v="RSNHO12"/>
    <s v="NOVO HAMBURGO"/>
    <s v="Cond Alto Paraíso"/>
    <s v="R. Boleslau Casemiro Konarzewski, 651"/>
    <s v="RNDAA.061.M040"/>
    <d v="2026-06-01T00:00:00"/>
    <x v="0"/>
    <s v="TIAGO FERREIRA"/>
    <s v="AFONSO / CATIA"/>
    <m/>
    <s v="OK"/>
    <n v="1688"/>
    <n v="1535"/>
    <s v="FOI LANÇADO 1535 METROS DE CABO DE 12FO, 8 ABERTURA E FECHAMENTO, 56 FUSÕES, 2 DERIVAÇÃO, 2 CX NOVA, 1 TESTE OTDR, 7 TESTES."/>
    <d v="2026-08-06T00:00:00"/>
    <d v="2026-06-15T00:00:00"/>
    <m/>
    <m/>
    <d v="2026-06-20T00:00:00"/>
    <d v="2026-08-06T00:00:00"/>
    <m/>
    <x v="0"/>
    <x v="0"/>
    <s v="AG. MEDIÇÃO"/>
    <n v="4"/>
    <x v="1"/>
    <n v="1"/>
  </r>
  <r>
    <s v="RSCLER0349"/>
    <s v="MTSAA"/>
    <s v="MTSAOA"/>
    <s v="PAE BV"/>
    <s v="PORTO ALEGRE"/>
    <s v=" Condomínio Edificio New England"/>
    <s v="R. Carlos Von Koseritz, 700"/>
    <s v="MTSAA.216.M070"/>
    <d v="2024-07-01T00:00:00"/>
    <x v="0"/>
    <s v="UBIRATAN"/>
    <s v="ANDERSON"/>
    <s v="100% - OK"/>
    <s v="OK"/>
    <m/>
    <n v="409"/>
    <s v="FOI LANÇADO 409 METROS DE CABO DE 12FO, 4 ABERTURA E FECHAMENTO, 12 FUSÃO, 1 DERIVAÇÃO, 1 CX NOVA, 3 TESTE"/>
    <d v="2024-07-24T00:00:00"/>
    <d v="2024-07-15T00:00:00"/>
    <d v="2024-07-18T00:00:00"/>
    <d v="2024-07-22T00:00:00"/>
    <d v="2024-07-22T00:00:00"/>
    <s v="NÃO PRECISA"/>
    <m/>
    <x v="0"/>
    <x v="0"/>
    <s v="AG. MEDIÇÃO"/>
    <n v="5"/>
    <x v="1"/>
    <n v="2"/>
  </r>
  <r>
    <s v="RSCLER0356"/>
    <s v="RBRAA"/>
    <s v="RBRAGA"/>
    <s v="RSPLE08"/>
    <s v="PORTO ALEGRE"/>
    <s v="Residencial Palmares "/>
    <s v="R. Castro Alves, 530"/>
    <s v="RBRAA.013.M090"/>
    <d v="2024-07-01T00:00:00"/>
    <x v="0"/>
    <s v="ALAN"/>
    <s v="MARCOS EMILIANO"/>
    <s v="100% - OK"/>
    <s v="OK"/>
    <m/>
    <n v="204"/>
    <s v="FOI LANÇADO 204 METROS DE CABO DE 12FO, 2 ABERTURA E FECHAMENTO, 2 FUSÃO, 1 DERIVAÇÃO, 1 CX NOVA, 1 TESTE "/>
    <d v="2024-08-28T00:00:00"/>
    <d v="2024-07-24T00:00:00"/>
    <d v="2024-07-26T00:00:00"/>
    <d v="2024-08-07T00:00:00"/>
    <d v="2024-08-07T00:00:00"/>
    <s v="NÃO PRECISA"/>
    <m/>
    <x v="0"/>
    <x v="0"/>
    <s v="AG. MEDIÇÃO"/>
    <n v="10"/>
    <x v="1"/>
    <n v="7"/>
  </r>
  <r>
    <s v="RSCLER0580"/>
    <s v="MTSAA"/>
    <s v="FLOAG"/>
    <s v="PAE BV"/>
    <s v="PORTO ALEGRE"/>
    <s v="COND. CORA"/>
    <s v="R. CEL. BORDINI, 555"/>
    <s v="MTSAA.102.M040"/>
    <d v="2025-04-01T00:00:00"/>
    <x v="0"/>
    <s v="TIAGO FERREIRA"/>
    <s v="AUGUSTO"/>
    <m/>
    <m/>
    <n v="432"/>
    <n v="495"/>
    <s v="FOI LANÇADO 495 METROS DE CABO DE 12FO, 1 ABERTURA E FECHAMENTO, 1 CAIXA NOVA, 2 FUSÃO, 1 DERIVAÇÃO E 2 TESTE"/>
    <d v="2025-05-08T00:00:00"/>
    <d v="2025-04-23T00:00:00"/>
    <d v="2025-04-24T00:00:00"/>
    <d v="2025-04-25T00:00:00"/>
    <d v="2025-04-28T00:00:00"/>
    <s v="NÃO PRECISA"/>
    <m/>
    <x v="0"/>
    <x v="0"/>
    <s v="AG. MEDIÇÃO"/>
    <n v="3"/>
    <x v="0"/>
    <n v="0"/>
  </r>
  <r>
    <s v="RSCLER0339"/>
    <s v="MTSAA"/>
    <s v="MTSAE"/>
    <s v="PAE BV"/>
    <s v="PORTO ALEGRE"/>
    <s v="Cond. Kristal"/>
    <s v="R. Cel. Bordini, 980 "/>
    <s v="MTSAA.092.M050"/>
    <d v="2024-07-01T00:00:00"/>
    <x v="0"/>
    <m/>
    <s v="FABIO AMARILHO"/>
    <s v="100% - OK"/>
    <s v="OK"/>
    <s v="SEM LANÇAMENTO"/>
    <s v="SEM LANÇAMENTO"/>
    <s v="4 ABERTURA E FECHAMENTO, 4 FUSÃO, 1 TESTE"/>
    <d v="2024-07-24T00:00:00"/>
    <d v="2024-07-09T00:00:00"/>
    <d v="2024-07-11T00:00:00"/>
    <d v="2024-07-15T00:00:00"/>
    <d v="2024-07-15T00:00:00"/>
    <s v="NÃO PRECISA"/>
    <m/>
    <x v="0"/>
    <x v="0"/>
    <s v="AG. MEDIÇÃO"/>
    <n v="4"/>
    <x v="1"/>
    <n v="1"/>
  </r>
  <r>
    <s v="RSCLER0422"/>
    <s v="CNTAA"/>
    <s v="CNTAEA"/>
    <s v="PAE MF"/>
    <s v="PORTO ALEGRE"/>
    <s v="Cond Edf Ana Terra"/>
    <s v="R. Cel. Fernando Machado, 561"/>
    <s v="CNTAA.171.M030"/>
    <d v="2024-09-01T00:00:00"/>
    <x v="0"/>
    <s v="MARCOS EMILIANO"/>
    <s v="MARCOS EMILIANO"/>
    <s v="100% - OK"/>
    <s v="OK"/>
    <n v="80"/>
    <n v="260"/>
    <s v="FOI LANÇADO 260 METROS DE CABO DE 12FO, 3 ABERTURA E FECHAMENTO,3 DERIVAÇÃO, 6 FUSÃO, 1 CX NOVA, 2 TESTE"/>
    <d v="2024-09-14T00:00:00"/>
    <d v="2024-09-10T00:00:00"/>
    <d v="2024-09-11T00:00:00"/>
    <d v="2024-09-14T00:00:00"/>
    <d v="2024-09-12T00:00:00"/>
    <s v="NÃO PRECISA"/>
    <m/>
    <x v="0"/>
    <x v="0"/>
    <s v="AG. MEDIÇÃO"/>
    <n v="2"/>
    <x v="0"/>
    <n v="-1"/>
  </r>
  <r>
    <s v="RSCLER0596"/>
    <s v="VIPAA"/>
    <s v="VIPAE"/>
    <s v="RSPNO19"/>
    <s v="PORTO ALEGRE"/>
    <m/>
    <s v="R. Cipó, 275 "/>
    <s v="VIPAA.071.M020"/>
    <d v="2025-05-01T00:00:00"/>
    <x v="0"/>
    <m/>
    <s v="CESAR LEANDRO"/>
    <m/>
    <m/>
    <s v="SEM LANÇAMENTO"/>
    <s v="SEM LANÇAMENTO"/>
    <s v="3 ABERTURA E FECHAMENTO, 6 FUSÕES, 3 TESTES"/>
    <d v="2025-06-18T00:00:00"/>
    <d v="2025-05-19T00:00:00"/>
    <m/>
    <m/>
    <d v="2025-05-19T00:00:00"/>
    <s v="NÃO PRECISA"/>
    <m/>
    <x v="0"/>
    <x v="0"/>
    <s v="AG. MEDIÇÃO"/>
    <n v="0"/>
    <x v="0"/>
    <n v="-3"/>
  </r>
  <r>
    <s v="RSCLER0833"/>
    <s v="HPCAA"/>
    <m/>
    <s v="RSPSU90"/>
    <s v="PORTO ALEGRE"/>
    <s v="Cond Res Das Espatódeas"/>
    <s v="R. das Espatódeas, 170"/>
    <s v="HPCAA.212"/>
    <d v="2026-04-01T00:00:00"/>
    <x v="0"/>
    <s v="ADRIANO"/>
    <s v="AFONSO"/>
    <m/>
    <s v="OK"/>
    <n v="1900"/>
    <n v="1804"/>
    <s v="FOI LANÇADO 1705 METROS DE CABO DE 12FO E 99 METROS DE CABO DE 24FO, 600 METROS DE CORDOALHA, 4 ABERTURA E FECHAMENTO, 1 CX NOVA, 12 NAP NOVA, 2 DERIVAÇÃO, 59 FUSÕES, 54 TESTES."/>
    <d v="2026-08-12T00:00:00"/>
    <d v="2026-04-15T00:00:00"/>
    <m/>
    <m/>
    <d v="2026-04-18T00:00:00"/>
    <d v="2026-08-12T00:00:00"/>
    <m/>
    <x v="0"/>
    <x v="0"/>
    <s v="AG. MEDIÇÃO"/>
    <n v="2"/>
    <x v="0"/>
    <n v="-1"/>
  </r>
  <r>
    <s v="RSCLER0445"/>
    <s v="CNTAA"/>
    <s v="CNTAG"/>
    <s v="NHO LO"/>
    <s v="NOVO HAMBURGO"/>
    <m/>
    <s v="R. Davi Canabarro 37, 112"/>
    <s v="CNTAA.115.M020"/>
    <d v="2024-10-01T00:00:00"/>
    <x v="0"/>
    <m/>
    <s v="MARCOS EMILIANO"/>
    <s v="100% - OK"/>
    <s v="OK - ENVIADO"/>
    <s v="SEM LANÇAMENTO"/>
    <s v="SEM LANÇAMENTO"/>
    <s v="4 ABERTURA E FECHAMENTO, 11 FUSÃO, 7 TESTE "/>
    <d v="2024-11-12T00:00:00"/>
    <d v="2024-10-15T00:00:00"/>
    <d v="2024-10-16T00:00:00"/>
    <d v="2024-10-21T00:00:00"/>
    <d v="2024-10-28T00:00:00"/>
    <s v="NÃO PRECISA"/>
    <m/>
    <x v="0"/>
    <x v="0"/>
    <s v="AG. MEDIÇÃO"/>
    <n v="9"/>
    <x v="1"/>
    <n v="6"/>
  </r>
  <r>
    <s v="RSCLER0460"/>
    <s v="TRZAB"/>
    <s v="TRZAR"/>
    <s v="RSPSU22"/>
    <s v="PORTO ALEGRE"/>
    <s v="Condomínio Residencical Vivere Ipanema"/>
    <s v="R. Déa Coufal, 1201"/>
    <s v="TRZAB.081.M020"/>
    <d v="2024-11-01T00:00:00"/>
    <x v="0"/>
    <m/>
    <s v="ANDERSON"/>
    <s v="100% - OK"/>
    <s v="OK - ENVIADO"/>
    <s v="SEM LANÇAMENTO"/>
    <s v="SEM LANÇAMENTO"/>
    <s v="6 ABERTURA E FECHAMENTO, 6 FUSÃO, 1 TESTE"/>
    <d v="2024-11-25T00:00:00"/>
    <d v="2024-11-07T00:00:00"/>
    <d v="2024-11-08T00:00:00"/>
    <d v="2024-11-11T00:00:00"/>
    <d v="2024-11-11T00:00:00"/>
    <s v="NÃO PRECISA"/>
    <m/>
    <x v="0"/>
    <x v="0"/>
    <s v="AG. MEDIÇÃO"/>
    <n v="2"/>
    <x v="0"/>
    <n v="-1"/>
  </r>
  <r>
    <s v="RSCLER0406"/>
    <s v="MTSAA"/>
    <s v="MTSAOB"/>
    <s v="PAE BV"/>
    <s v="PORTO ALEGRE"/>
    <s v="Condomínio Residencial Bellagio"/>
    <s v="R. Des. Alves Nogueira, 150 - DIRETORIA"/>
    <s v="MTSAA.152.M0100"/>
    <d v="2024-08-01T00:00:00"/>
    <x v="0"/>
    <s v="GIOVANE"/>
    <s v="ANDERSON"/>
    <s v="100% - OK"/>
    <s v="OK"/>
    <m/>
    <n v="444"/>
    <s v="FOI LANÇADO 444 METROS DE CABO DE 12FO, 6 ABERTURA E FECHAMENTO,6 FUSÃO, 1 CX NOVA, 1 DERIVAÇÃO, 1 TESTE"/>
    <d v="2024-09-10T00:00:00"/>
    <d v="2024-08-29T00:00:00"/>
    <d v="2024-09-03T00:00:00"/>
    <d v="2024-09-06T00:00:00"/>
    <d v="2024-09-05T00:00:00"/>
    <s v="NÃO PRECISA"/>
    <m/>
    <x v="0"/>
    <x v="0"/>
    <s v="AG. MEDIÇÃO"/>
    <n v="5"/>
    <x v="1"/>
    <n v="2"/>
  </r>
  <r>
    <s v="RSCLER0365"/>
    <s v="NAVAA"/>
    <s v="BVSAE"/>
    <s v="RSPNO05"/>
    <s v="PORTO ALEGRE"/>
    <s v="Royal Center"/>
    <s v="R. Dom Pedro II, 1240"/>
    <s v="NAVAA.132.M030"/>
    <d v="2024-08-01T00:00:00"/>
    <x v="0"/>
    <m/>
    <s v="FABIO AMARILIO"/>
    <s v="100% - OK"/>
    <s v="OK"/>
    <s v="SEM LANÇAMENTO"/>
    <s v="SEM LANÇAMENTO"/>
    <s v="5 ABERTURA E FECHAMENTO, 5 FUSÃO, 1 TESTE"/>
    <d v="2024-08-28T00:00:00"/>
    <d v="2024-08-01T00:00:00"/>
    <s v="14/082024"/>
    <d v="2024-08-14T00:00:00"/>
    <d v="2024-08-14T00:00:00"/>
    <s v="NÃO PRECISA"/>
    <m/>
    <x v="0"/>
    <x v="0"/>
    <s v="AG. MEDIÇÃO"/>
    <n v="9"/>
    <x v="1"/>
    <n v="6"/>
  </r>
  <r>
    <s v="RSCLER0374"/>
    <s v="MNDAC"/>
    <s v="MNDAK"/>
    <s v="RSPSU02"/>
    <s v="PORTO ALEGRE"/>
    <s v="Condomínio Edificio Dona Izar"/>
    <s v="R. Dona Augusta, 188"/>
    <s v="MNDAC.053.M020"/>
    <d v="2024-08-01T00:00:00"/>
    <x v="0"/>
    <m/>
    <s v="ANDERSON"/>
    <s v="100% - OK"/>
    <s v="OK"/>
    <s v="SEM LANÇAMENTO"/>
    <s v="SEM LANÇAMENTO"/>
    <s v="2 ABERTURA E FECHAMENTO, 4 FUSÃO, 2 TESTES."/>
    <d v="2024-08-28T00:00:00"/>
    <d v="2024-08-12T00:00:00"/>
    <d v="2024-08-13T00:00:00"/>
    <d v="2024-08-19T00:00:00"/>
    <d v="2024-08-19T00:00:00"/>
    <s v="NÃO PRECISA"/>
    <m/>
    <x v="0"/>
    <x v="0"/>
    <s v="AG. MEDIÇÃO"/>
    <n v="5"/>
    <x v="1"/>
    <n v="2"/>
  </r>
  <r>
    <s v="RSCLER0577"/>
    <s v="MTSAA"/>
    <s v="MTSARA"/>
    <s v="PAE BV"/>
    <s v="PORTO ALEGRE"/>
    <s v=" Ed. freire"/>
    <s v="R. Dr. Freire Alemão, 342"/>
    <s v="MTSAA.111.M010"/>
    <d v="2025-04-01T00:00:00"/>
    <x v="0"/>
    <m/>
    <s v="CATIA"/>
    <s v="100% - OK"/>
    <s v="OK - ENVIADO"/>
    <s v="SEM LANÇAMENTO"/>
    <s v="SEM LANÇAMENTO"/>
    <s v="4 ABERTURA E FECHAMENTO, 7 FUSÕES, 3 TESTES"/>
    <d v="2025-05-08T00:00:00"/>
    <d v="2025-04-07T00:00:00"/>
    <d v="2025-04-24T00:00:00"/>
    <d v="2025-04-24T00:00:00"/>
    <d v="2025-04-24T00:00:00"/>
    <s v="NÃO PRECISA"/>
    <m/>
    <x v="0"/>
    <x v="0"/>
    <s v="AG. MEDIÇÃO"/>
    <n v="13"/>
    <x v="1"/>
    <n v="10"/>
  </r>
  <r>
    <s v="RSCLER0698"/>
    <s v="MTSAA"/>
    <s v="MTSARA"/>
    <s v="PAE BV"/>
    <s v="PORTO ALEGRE"/>
    <s v="Ed. freire 342"/>
    <s v="R. Dr. Freire Alemão, 342 (NOVA ATUALIZAÇÃO)"/>
    <s v="MTSAA.111.M010."/>
    <d v="2025-08-01T00:00:00"/>
    <x v="0"/>
    <s v="DIOGO"/>
    <s v="DIOGO"/>
    <s v="100% - OK"/>
    <m/>
    <n v="30"/>
    <n v="15"/>
    <s v="FOI LANÇADO 15 METROS DE CABO DE 12FO, 3 ABERTURA E FECHAMENTO, 3 FUSÕES, 1 TESTE"/>
    <d v="2025-08-12T00:00:00"/>
    <d v="2025-08-05T00:00:00"/>
    <d v="2025-08-06T00:00:00"/>
    <d v="2025-08-07T00:00:00"/>
    <d v="2025-08-06T00:00:00"/>
    <d v="2025-08-12T00:00:00"/>
    <m/>
    <x v="0"/>
    <x v="0"/>
    <s v="AG. MEDIÇÃO"/>
    <n v="1"/>
    <x v="0"/>
    <n v="-2"/>
  </r>
  <r>
    <s v="RSCLER0469"/>
    <s v="VIPAA"/>
    <s v="VIPAOA"/>
    <s v="RSPNO19"/>
    <s v="PORTO ALEGRE"/>
    <s v=" Condomínio Edificio Oslo"/>
    <s v="R. Dr. João Satt, 25 "/>
    <s v="VIPAA.041.M070"/>
    <d v="2024-11-01T00:00:00"/>
    <x v="0"/>
    <s v="AUGUSTO"/>
    <s v="AUGUSTO"/>
    <s v="100% - OK"/>
    <s v="OK - ENVIADO"/>
    <n v="150"/>
    <n v="192"/>
    <s v="FOI LANÇADO 192 METROS DE CABO DE 12FO, 2 ABERTURA E FECHAMENTO, 4 FUSÃO, 1 DERIVAÇÃO, 1 CX NOVA, 2 TESTE"/>
    <d v="2024-11-25T00:00:00"/>
    <d v="2024-11-19T00:00:00"/>
    <m/>
    <m/>
    <d v="2024-11-23T00:00:00"/>
    <s v="NÃO PRECISA"/>
    <m/>
    <x v="0"/>
    <x v="0"/>
    <s v="AG. MEDIÇÃO"/>
    <n v="3"/>
    <x v="0"/>
    <n v="0"/>
  </r>
  <r>
    <s v="RSCLER0208"/>
    <s v="RBRAA"/>
    <m/>
    <m/>
    <s v="PORTO ALEGRE"/>
    <s v="Cond Ed Resid Hundred"/>
    <s v="R. Dr. Lauro de Oliveira, 100"/>
    <m/>
    <d v="2024-01-01T00:00:00"/>
    <x v="0"/>
    <s v="MAICON"/>
    <s v="PAULO GOMES"/>
    <s v="100% - OK"/>
    <s v="OK"/>
    <m/>
    <n v="311"/>
    <s v="311 METROS DE CABO LANÇADO , 2 ABERTURA E FECHAMENTO, 8 FUSÃO, 2 DERIVAÇÃO, 1 CAIXA NOVA, 4 TESTE"/>
    <d v="2024-02-23T00:00:00"/>
    <d v="2024-01-16T00:00:00"/>
    <d v="2024-01-17T00:00:00"/>
    <d v="2024-01-22T00:00:00"/>
    <d v="2024-01-25T00:00:00"/>
    <s v="NÃO PRECISA"/>
    <m/>
    <x v="0"/>
    <x v="0"/>
    <s v="AG. MEDIÇÃO"/>
    <n v="7"/>
    <x v="1"/>
    <n v="4"/>
  </r>
  <r>
    <s v="RSCLER0901"/>
    <s v="TRZAA"/>
    <s v="TRZAF"/>
    <s v="RSPSU11"/>
    <s v="PORTO ALEGRE"/>
    <s v="Cond Res Dr Mario Totta"/>
    <s v="R. Dr. Mário Totta, 1191"/>
    <s v="TRZAA.052.M030"/>
    <d v="2026-06-01T00:00:00"/>
    <x v="0"/>
    <m/>
    <s v="ANDERSON"/>
    <m/>
    <s v="OK"/>
    <s v="SEM LANÇAMENTO"/>
    <s v="SEM LANÇAMENTO"/>
    <s v="6 ABERTURA E FECHAMENTO, 9 FUSÕES, 2 TESTES"/>
    <d v="2026-07-06T00:00:00"/>
    <d v="2026-06-06T00:00:00"/>
    <m/>
    <m/>
    <d v="2026-06-09T00:00:00"/>
    <d v="2026-07-06T00:00:00"/>
    <m/>
    <x v="0"/>
    <x v="0"/>
    <s v="AG. MEDIÇÃO"/>
    <n v="1"/>
    <x v="0"/>
    <n v="-2"/>
  </r>
  <r>
    <s v="RSCLER0494"/>
    <s v="JVCAA"/>
    <s v="VJDAFA"/>
    <s v="RSPNO24"/>
    <s v="PORTO ALEGRE"/>
    <s v="Cond Res Jardim das Palmeiras"/>
    <s v="R. Dr. Otávio Santos, 570"/>
    <s v="JCVAA.012.M040"/>
    <d v="2025-01-01T00:00:00"/>
    <x v="0"/>
    <s v="UBIRATAN"/>
    <s v="AUGUSTO"/>
    <s v="100% - OK"/>
    <s v="OK - ENVIADO"/>
    <n v="200"/>
    <n v="238"/>
    <s v="FOI LANÇADO 238 METROS DE CABO DE 12FO, 2 ABERTURA E FECHAMENTO, 2 FUSÃO, 1 DERIVAÇÃO, 1 CX NOVA, 2 TESTES"/>
    <d v="2025-02-10T00:00:00"/>
    <d v="2025-01-23T00:00:00"/>
    <d v="2025-01-27T00:00:00"/>
    <d v="2025-02-03T00:00:00"/>
    <d v="2025-02-04T00:00:00"/>
    <s v="NÃO PRECISA"/>
    <m/>
    <x v="0"/>
    <x v="0"/>
    <s v="AG. MEDIÇÃO"/>
    <n v="8"/>
    <x v="1"/>
    <n v="5"/>
  </r>
  <r>
    <s v="RSCLER0592"/>
    <s v="TRZAA"/>
    <s v="TRZAF"/>
    <s v="RSPSU11"/>
    <s v="PORTO ALEGRE"/>
    <s v="Cond. ESO144"/>
    <s v="R. Dr. Pereira Neto, 144"/>
    <s v="TRZAA.051.M010"/>
    <d v="2025-05-01T00:00:00"/>
    <x v="0"/>
    <m/>
    <s v="RODRIGO NUNES"/>
    <m/>
    <m/>
    <s v="SEM LANÇAMENTO"/>
    <s v="SEM LANÇAMENTO"/>
    <s v="2 ABERTURA E FECHAMENTO, 2 FUSÕES, 2 TESTES"/>
    <d v="2025-06-18T00:00:00"/>
    <d v="2025-05-12T00:00:00"/>
    <m/>
    <m/>
    <d v="2025-05-13T00:00:00"/>
    <s v="NÃO PRECISA"/>
    <m/>
    <x v="0"/>
    <x v="0"/>
    <s v="AG. MEDIÇÃO"/>
    <n v="1"/>
    <x v="0"/>
    <n v="-2"/>
  </r>
  <r>
    <s v="RSCLER0844"/>
    <s v="MTSAA"/>
    <s v="MTSAA"/>
    <s v="PAE BV"/>
    <s v="PORTO ALEGRE"/>
    <s v="Condomínio Edifício Leticia "/>
    <s v="R. Felicissimo de Azevedo, 1225"/>
    <s v="MTSAA.004.M020"/>
    <d v="2026-04-01T00:00:00"/>
    <x v="0"/>
    <m/>
    <s v="AFONSO"/>
    <m/>
    <m/>
    <s v="SEM LANÇAMENTO"/>
    <s v="SEM LANÇAMENTO"/>
    <s v="3 ABERTURA E FECHAMENTO, 2 FUSÕES, 1 TESTE"/>
    <d v="2026-05-05T00:00:00"/>
    <d v="2026-04-29T00:00:00"/>
    <m/>
    <m/>
    <d v="2026-04-30T00:00:00"/>
    <d v="2026-05-05T00:00:00"/>
    <m/>
    <x v="0"/>
    <x v="0"/>
    <s v="AG. MEDIÇÃO"/>
    <n v="1"/>
    <x v="0"/>
    <n v="-2"/>
  </r>
  <r>
    <s v="RSCLER0378"/>
    <s v="RBRAA"/>
    <s v="RBRAB"/>
    <s v="RSPLE08"/>
    <s v="PORTO ALEGRE"/>
    <s v="Cond. Two"/>
    <s v="R. Felipe de Oliveira, 390"/>
    <s v="RBRAA.075.M020"/>
    <d v="2024-08-01T00:00:00"/>
    <x v="0"/>
    <m/>
    <s v="MARCOS EMILIANO"/>
    <s v="100% - OK"/>
    <s v="OK"/>
    <s v="SEM LANÇAMENTO"/>
    <s v="SEM LANÇAMENTO"/>
    <s v="3 ABERTURA E FECHAMENTO, 4 FUSÃO, 2 TESTE"/>
    <d v="2024-08-28T00:00:00"/>
    <d v="2024-08-12T00:00:00"/>
    <d v="2024-08-15T00:00:00"/>
    <d v="2024-08-15T00:00:00"/>
    <d v="2024-08-15T00:00:00"/>
    <s v="NÃO PRECISA"/>
    <m/>
    <x v="0"/>
    <x v="0"/>
    <s v="AG. MEDIÇÃO"/>
    <n v="3"/>
    <x v="0"/>
    <n v="0"/>
  </r>
  <r>
    <s v="RSCLER0578"/>
    <s v="BVSAB"/>
    <s v="PAE NR"/>
    <s v="PETAA"/>
    <s v="PORTO ALEGRE"/>
    <s v="Cond. Felizardo"/>
    <s v="R. Felizardo Furtado, 515"/>
    <s v="BVSAB.111.M010"/>
    <d v="2025-04-04T00:00:00"/>
    <x v="0"/>
    <s v="UBIRATAN"/>
    <s v="CATIA"/>
    <m/>
    <m/>
    <m/>
    <n v="601"/>
    <s v="FOI LANÇADO 601 METROS DE CABO DE 12FO, 5 ABERTURA E FECHAMENTO, 58 FUSÕES, 4 DERIVAÇÃO, 8 TESTES"/>
    <d v="2025-05-08T00:00:00"/>
    <d v="2025-04-09T00:00:00"/>
    <d v="2025-04-11T00:00:00"/>
    <m/>
    <d v="2025-04-24T00:00:00"/>
    <s v="NÃO PRECISA"/>
    <m/>
    <x v="0"/>
    <x v="0"/>
    <s v="AG. MEDIÇÃO"/>
    <n v="11"/>
    <x v="1"/>
    <n v="8"/>
  </r>
  <r>
    <s v="RSCLER0583"/>
    <s v="MTSAA"/>
    <s v="SJOADA"/>
    <s v="PAE BV"/>
    <s v="PORTO ALEGRE"/>
    <m/>
    <s v="R. Gen. Couto de Magalhães, 736"/>
    <s v="MTSAA.214.M070"/>
    <d v="2025-04-01T00:00:00"/>
    <x v="0"/>
    <m/>
    <s v="CATIA"/>
    <s v="100% - OK"/>
    <s v="OK - ENVIADO"/>
    <s v="SEM LANÇAMENTO"/>
    <s v="SEM LANÇAMENTO"/>
    <s v="2 ABERTURA E FECHAMENTO, 4 FUSÕES, 4 TESTES"/>
    <d v="2025-05-08T00:00:00"/>
    <d v="2025-04-23T00:00:00"/>
    <d v="2025-04-25T00:00:00"/>
    <d v="2025-04-25T00:00:00"/>
    <d v="2025-04-25T00:00:00"/>
    <s v="NÃO PRECISA"/>
    <m/>
    <x v="0"/>
    <x v="0"/>
    <s v="AG. MEDIÇÃO"/>
    <n v="2"/>
    <x v="0"/>
    <n v="-1"/>
  </r>
  <r>
    <s v="RSCLER0423"/>
    <s v="BVSAA"/>
    <s v="VJDAKA"/>
    <s v="RSPLE07"/>
    <s v="PORTO ALEGRE"/>
    <s v="Condomínio Villa Inglesa"/>
    <s v="R. Germano Gundlach, 127"/>
    <s v="BVSAA.121.M050"/>
    <d v="2024-09-01T00:00:00"/>
    <x v="0"/>
    <s v="JUNIOR"/>
    <s v="MARCOS EMILIANO"/>
    <s v="100% - OK"/>
    <s v="OK"/>
    <n v="230"/>
    <n v="273"/>
    <s v="FOI LANÇADO 273 METROS DE CABO DE 12FO, 2 ABERTURA E FECHAMENTO, 1 DERIVAÇÃO, 1CX NOVA, 3 FUSÃO, 3 TESTE"/>
    <d v="2024-09-14T00:00:00"/>
    <d v="2024-09-10T00:00:00"/>
    <d v="2024-09-11T00:00:00"/>
    <d v="2024-09-14T00:00:00"/>
    <d v="2024-09-12T00:00:00"/>
    <s v="NÃO PRECISA"/>
    <m/>
    <x v="0"/>
    <x v="0"/>
    <s v="AG. MEDIÇÃO"/>
    <n v="2"/>
    <x v="0"/>
    <n v="-1"/>
  </r>
  <r>
    <s v="RSCLER0457"/>
    <s v="BVSAA"/>
    <s v="VJDAKA"/>
    <s v="RSPLE07"/>
    <s v="PORTO ALEGRE"/>
    <s v="Condomínio Villa Inglesa"/>
    <s v="R. Germano Gundlach, 127"/>
    <s v="BVSAA.121.M050."/>
    <d v="2024-10-01T00:00:00"/>
    <x v="0"/>
    <m/>
    <s v="ANDERSON"/>
    <s v="100% - OK"/>
    <s v="OK"/>
    <s v="SEM LANÇAMENTO"/>
    <s v="SEM LANÇAMENTO"/>
    <s v="FOMOS ACIONADOS PARA TRATAR DEFEITO, POREM ERA DEFEITO NO DROP DO CLIENTE"/>
    <d v="2024-11-12T00:00:00"/>
    <m/>
    <m/>
    <m/>
    <m/>
    <s v="NÃO PRECISA"/>
    <m/>
    <x v="0"/>
    <x v="0"/>
    <s v="AG. MEDIÇÃO"/>
    <s v="DATA ENTRADA"/>
    <x v="1"/>
    <s v="DATA ENTRADA"/>
  </r>
  <r>
    <s v="RSCLER0812"/>
    <s v="RBTAB"/>
    <s v="RBTAE"/>
    <s v="RSPNO22"/>
    <s v="PORTO ALEGRE"/>
    <s v="Cond.Aruanã "/>
    <s v="R. GOLDA MEIR 33"/>
    <s v="RBTAB.014.M010"/>
    <d v="2026-03-01T00:00:00"/>
    <x v="0"/>
    <s v="AUGUSTO"/>
    <s v="AUGUSTO"/>
    <m/>
    <m/>
    <n v="250"/>
    <n v="167"/>
    <s v="FOI LANÇADO 167 METROS DE CABO DE 12FO, 8 ABERTURA E FECHAMENTO, 14 FUSÕES, 3 DERIVAÇÕES, 3 TESTES."/>
    <d v="2026-04-01T00:00:00"/>
    <d v="2026-03-27T00:00:00"/>
    <d v="2026-03-28T00:00:00"/>
    <d v="2026-03-31T00:00:00"/>
    <d v="2026-03-31T00:00:00"/>
    <d v="2026-04-01T00:00:00"/>
    <m/>
    <x v="0"/>
    <x v="0"/>
    <s v="AG. MEDIÇÃO"/>
    <n v="2"/>
    <x v="0"/>
    <n v="-1"/>
  </r>
  <r>
    <s v="RSCLER0813"/>
    <s v="RBTAB"/>
    <s v="RBTAE"/>
    <s v="RSPNO22"/>
    <s v="PORTO ALEGRE"/>
    <s v="Cond."/>
    <s v="R. GOLDA MEIR 41"/>
    <s v="RBTAB.014.M010"/>
    <d v="2026-03-01T00:00:00"/>
    <x v="0"/>
    <m/>
    <s v="AUGUSTO"/>
    <m/>
    <m/>
    <s v="SEM LANÇAMENTO"/>
    <s v="SEM LANÇAMENTO"/>
    <s v="4 ABERTURA E FECHAMENTO, 9 FUSÃO, 3 TESTE"/>
    <d v="2026-04-02T00:00:00"/>
    <d v="2026-03-27T00:00:00"/>
    <d v="2026-03-28T00:00:00"/>
    <d v="2026-03-31T00:00:00"/>
    <d v="2026-03-31T00:00:00"/>
    <d v="2026-04-01T00:00:00"/>
    <m/>
    <x v="0"/>
    <x v="0"/>
    <s v="AG. MEDIÇÃO"/>
    <n v="2"/>
    <x v="0"/>
    <n v="-1"/>
  </r>
  <r>
    <s v="RSCLER0814"/>
    <s v="RBTAB"/>
    <s v="RBTAE"/>
    <s v="RSPNO22"/>
    <s v="PORTO ALEGRE"/>
    <s v="Cond."/>
    <s v="R. GOLDA MEIR 71"/>
    <s v="RBTAB.014.M010"/>
    <d v="2026-03-01T00:00:00"/>
    <x v="0"/>
    <m/>
    <s v="AUGUSTO"/>
    <m/>
    <m/>
    <s v="SEM LANÇAMENTO"/>
    <s v="SEM LANÇAMENTO"/>
    <s v="4 ABERTURA E FECHAMENTO, 9 FUSÃO, 3 TESTE"/>
    <d v="2026-04-20T00:00:00"/>
    <d v="2026-03-27T00:00:00"/>
    <d v="2026-03-28T00:00:00"/>
    <d v="2026-03-31T00:00:00"/>
    <d v="2026-03-31T00:00:00"/>
    <d v="2026-04-01T00:00:00"/>
    <m/>
    <x v="0"/>
    <x v="0"/>
    <s v="AG. MEDIÇÃO"/>
    <n v="2"/>
    <x v="0"/>
    <n v="-1"/>
  </r>
  <r>
    <s v="RSCLER0815"/>
    <s v="RBTAB"/>
    <s v="RBTAE"/>
    <s v="RSPNO22"/>
    <s v="PORTO ALEGRE"/>
    <s v="Cond."/>
    <s v="R. GOLDA MEIR 83"/>
    <s v="RBTAB.014.M010"/>
    <d v="2026-03-01T00:00:00"/>
    <x v="0"/>
    <m/>
    <s v="AUGUSTO"/>
    <m/>
    <m/>
    <s v="SEM LANÇAMENTO"/>
    <s v="SEM LANÇAMENTO"/>
    <s v="4 ABERTURA E FECHAMENTO, 9 FUSÃO, 3 TESTE"/>
    <d v="2026-05-04T00:00:00"/>
    <d v="2026-03-27T00:00:00"/>
    <d v="2026-03-28T00:00:00"/>
    <d v="2026-03-31T00:00:00"/>
    <d v="2026-03-31T00:00:00"/>
    <d v="2026-04-01T00:00:00"/>
    <m/>
    <x v="0"/>
    <x v="0"/>
    <s v="AG. MEDIÇÃO"/>
    <n v="2"/>
    <x v="0"/>
    <n v="-1"/>
  </r>
  <r>
    <s v="RSCLER0379"/>
    <s v="SANAB"/>
    <s v="PRTAB"/>
    <s v="RSPCE27"/>
    <s v="PORTO ALEGRE"/>
    <m/>
    <s v="R. Gomes Jardim, 1188"/>
    <s v="SANAB.013.M040"/>
    <d v="2024-08-01T00:00:00"/>
    <x v="0"/>
    <s v="THIAGO LAMBRETA"/>
    <s v="MARCOS EMILIANO"/>
    <s v="100% - OK"/>
    <s v="OK"/>
    <m/>
    <n v="216"/>
    <s v="FOI LANÇADO 216 METROS DE CABO DE 12FO, 5 ABERTURA E FECHAMENTO, 1 DERIVAÇÃO, 1 CX NOVA, 4 FUSÃO, 3 TESTE"/>
    <d v="2024-08-28T00:00:00"/>
    <d v="2024-08-10T00:00:00"/>
    <d v="2024-08-12T00:00:00"/>
    <d v="2024-08-12T00:00:00"/>
    <d v="2024-08-12T00:00:00"/>
    <s v="NÃO PRECISA"/>
    <m/>
    <x v="0"/>
    <x v="0"/>
    <s v="AG. MEDIÇÃO"/>
    <n v="0"/>
    <x v="0"/>
    <n v="-3"/>
  </r>
  <r>
    <s v="RSCLER0412"/>
    <s v="MNDAA"/>
    <s v="MNDAQB"/>
    <s v="PAE MAD"/>
    <s v="PORTO ALEGRE"/>
    <s v="Edf Quality"/>
    <s v="R. Gonçalves Dias 1075 - DIRETORIA"/>
    <s v="MNDAA.141.M060"/>
    <d v="2024-09-01T00:00:00"/>
    <x v="0"/>
    <s v="UBIRATAN"/>
    <s v="ANDERSON"/>
    <s v="100% - OK"/>
    <s v="OK"/>
    <n v="300"/>
    <n v="350"/>
    <s v="FOI LANÇADO 350 METROS DE CABO DE 12FO, 8 ABERTURA E FECHAMENTO, 7 FUSÃO, 1 DERIVAÇÃO, 1 CX NOVA, 1 TESTE"/>
    <d v="2024-09-14T00:00:00"/>
    <d v="2024-09-03T00:00:00"/>
    <d v="2024-09-07T00:00:00"/>
    <d v="2024-09-07T00:00:00"/>
    <d v="2024-09-11T00:00:00"/>
    <s v="NÃO PRECISA"/>
    <m/>
    <x v="0"/>
    <x v="0"/>
    <s v="AG. MEDIÇÃO"/>
    <n v="6"/>
    <x v="1"/>
    <n v="3"/>
  </r>
  <r>
    <s v="RSCLER0429"/>
    <s v="MNDAA"/>
    <s v="MNDAS"/>
    <s v="PAE MAD"/>
    <s v="PORTO ALEGRE"/>
    <s v="Cond Ed Vivienda Del Arvoredo"/>
    <s v="R. Gonçalves Dias, 170"/>
    <s v="MNDAA.131.M040"/>
    <d v="2024-09-01T00:00:00"/>
    <x v="0"/>
    <s v="UBIRATAN"/>
    <s v="ANDERSON"/>
    <s v="100% - OK"/>
    <s v="OK - ENVIADO"/>
    <n v="200"/>
    <n v="335"/>
    <s v="FOI LANÇADO 335 METROS DE CABO DE 12FO, 8 ABERTURA E FECHAMENTO, 18 FUSÃO, 1 CX NOVA, 1 DERIVAÇÃO, 2 TESTE"/>
    <d v="2024-10-10T00:00:00"/>
    <d v="2024-09-12T00:00:00"/>
    <d v="2024-09-13T00:00:00"/>
    <d v="2024-09-18T00:00:00"/>
    <d v="2024-09-23T00:00:00"/>
    <s v="NÃO PRECISA"/>
    <m/>
    <x v="0"/>
    <x v="0"/>
    <s v="AG. MEDIÇÃO"/>
    <n v="7"/>
    <x v="1"/>
    <n v="4"/>
  </r>
  <r>
    <s v="RSCLER0439"/>
    <s v="MNDAA"/>
    <s v="MNDAS"/>
    <s v="PAE MAD"/>
    <s v="PORTO ALEGRE"/>
    <s v=" Cond do Ed Boulevard Saint Michel"/>
    <s v="R. Gonçalves Dias, 185"/>
    <s v="MNDAA.132.M040"/>
    <d v="2024-09-01T00:00:00"/>
    <x v="0"/>
    <m/>
    <s v="MARCOS EMILIANO"/>
    <s v="100% - OK"/>
    <s v="OK - ENVIADO"/>
    <s v="SEM LANÇAMENTO"/>
    <s v="SEM LANÇAMENTO"/>
    <s v="4 ABERTURA E FECHAMENTO, 10 FUSÃO, 3 TESTE"/>
    <d v="2024-10-10T00:00:00"/>
    <d v="2024-09-26T00:00:00"/>
    <d v="2024-09-27T00:00:00"/>
    <d v="2024-09-30T00:00:00"/>
    <d v="2024-10-04T00:00:00"/>
    <s v="NÃO PRECISA"/>
    <m/>
    <x v="0"/>
    <x v="0"/>
    <s v="AG. MEDIÇÃO"/>
    <n v="6"/>
    <x v="1"/>
    <n v="3"/>
  </r>
  <r>
    <s v="RSCLER0433"/>
    <s v="MNDAB"/>
    <s v="MNDAD"/>
    <s v="RSPCE20"/>
    <s v="PORTO ALEGRE"/>
    <s v="Cond Ed Marcelo"/>
    <s v="R. Gonçalves Dias, 68"/>
    <s v="MNDAB.051.M090"/>
    <d v="2024-09-01T00:00:00"/>
    <x v="0"/>
    <s v="DAVI"/>
    <s v="MARCOS EMILIANO/LUCAS HOBERT"/>
    <s v="100% - OK"/>
    <s v="OK - ENVIADA"/>
    <n v="150"/>
    <n v="135"/>
    <s v="FOI LANÇADO 135 METROS DE CABO DE 12FO, 2 ABERTURA E FECHAMENTO, 9 FUSÃO, 1 CX NOVA, 1 DERIVAÇÃO, 4 TESTES"/>
    <d v="2024-10-10T00:00:00"/>
    <d v="2024-09-12T00:00:00"/>
    <d v="2024-09-13T00:00:00"/>
    <d v="2024-09-18T00:00:00"/>
    <d v="2024-09-24T00:00:00"/>
    <s v="NÃO PRECISA"/>
    <m/>
    <x v="0"/>
    <x v="0"/>
    <s v="AG. MEDIÇÃO"/>
    <n v="8"/>
    <x v="1"/>
    <n v="5"/>
  </r>
  <r>
    <s v="RSCLER0417"/>
    <s v="FLOAA"/>
    <m/>
    <s v="RSPNO11"/>
    <s v="PORTO ALEGRE"/>
    <s v="Cond Ed Trocadero "/>
    <s v="R. Hilário Ribeiro, 354 - DIRETORIA"/>
    <s v="FLOAA.112.M040"/>
    <d v="2024-09-01T00:00:00"/>
    <x v="0"/>
    <s v="UBIRATAN / VICTOR / LAMBRETA"/>
    <s v="MARCOS EMILIANO"/>
    <s v="100% - OK"/>
    <s v="OK"/>
    <n v="550"/>
    <n v="532"/>
    <s v="FOI LANÇADO 532 METROS DE CABO DE 12FO, 4 ABERTURA E FECHAMENTO, 4 DERIVAÇÃO, 1 CX NOVA, 8 FUSÃO, 2 TESTE "/>
    <d v="2024-09-20T00:00:00"/>
    <d v="2024-09-06T00:00:00"/>
    <d v="2024-09-09T00:00:00"/>
    <d v="2024-09-12T00:00:00"/>
    <d v="2024-09-17T00:00:00"/>
    <s v="NÃO PRECISA"/>
    <m/>
    <x v="0"/>
    <x v="0"/>
    <s v="AG. MEDIÇÃO"/>
    <n v="7"/>
    <x v="1"/>
    <n v="4"/>
  </r>
  <r>
    <s v="RSCLER0327"/>
    <s v="JCVAA"/>
    <s v="JCVAB"/>
    <s v="RSPNO24"/>
    <s v="PORTO ALEGRE"/>
    <s v="AMERICA RESIDENCE"/>
    <s v="R. Irmão Norberto Francisco Rauch 101"/>
    <s v="JCVAA.121.M060"/>
    <d v="2024-06-01T00:00:00"/>
    <x v="0"/>
    <s v="ALAN VASCONCELOS"/>
    <s v="FABIO AMARILIO"/>
    <s v="100% - OK"/>
    <s v="OK"/>
    <m/>
    <n v="228"/>
    <s v="FOI LANÇADO 228 METROS DE CABO DE 12FO, 4 ABERTURA E FECHAMENTO, 1 DERIVAÇÃO, 8 FUSÃO, 1 CX NOVA 2 TESTE"/>
    <d v="2024-07-24T00:00:00"/>
    <d v="2024-06-26T00:00:00"/>
    <d v="2024-06-27T00:00:00"/>
    <d v="2024-07-01T00:00:00"/>
    <d v="2024-07-01T00:00:00"/>
    <s v="NÃO PRECISA"/>
    <m/>
    <x v="0"/>
    <x v="0"/>
    <s v="AG. MEDIÇÃO"/>
    <n v="3"/>
    <x v="0"/>
    <n v="0"/>
  </r>
  <r>
    <s v="RSCLER0333"/>
    <s v="JCVAA"/>
    <s v="JCVAB"/>
    <s v="RSPNO24"/>
    <s v="PORTO ALEGRE"/>
    <s v="Cond. Porto Bahamas."/>
    <s v="R. Irmão Norberto Francisco Rauch, 575 BL 02"/>
    <s v="JCVAA.121.M050"/>
    <d v="2024-07-01T00:00:00"/>
    <x v="0"/>
    <s v="VICTOR"/>
    <s v="FABIO AMARILIO"/>
    <s v="100% - OK"/>
    <s v="OK"/>
    <m/>
    <n v="206"/>
    <s v="FOI LANÇADO 206 METROS DE CABO DE 12FO, 3 ABERTURA E FECHAMENTO, 4 FUSÃO, 2 DERIVAÇÃO, 2 TESTE"/>
    <d v="2024-07-24T00:00:00"/>
    <d v="2024-07-01T00:00:00"/>
    <d v="2024-07-02T00:00:00"/>
    <d v="2024-07-08T00:00:00"/>
    <d v="2024-07-08T00:00:00"/>
    <s v="NÃO PRECISA"/>
    <m/>
    <x v="0"/>
    <x v="0"/>
    <s v="AG. MEDIÇÃO"/>
    <n v="5"/>
    <x v="1"/>
    <n v="2"/>
  </r>
  <r>
    <s v="RSCLER0317"/>
    <s v="RBTAA"/>
    <s v="RBTAJA"/>
    <m/>
    <s v="PORTO ALEGRE"/>
    <s v="Costa E Silva - RBTAA"/>
    <s v="R. Jaíro Gondin da Silva, 255"/>
    <s v="RBTAA.164.M040"/>
    <d v="2024-06-01T00:00:00"/>
    <x v="0"/>
    <s v="GIOVANE"/>
    <s v="ANDERSON"/>
    <s v="100% - OK"/>
    <s v="OK"/>
    <m/>
    <n v="383"/>
    <s v="FOI LANÇADO 383 METROS DE CABO DE 12FO, REPUXOU 230 METROS DE CABO, 45 METROS DE CORDOALHA, 45 ESPINADO, 5 ABERTURA E FECHAMENTO, 4 FUSÃO, 1 DERIVAÇÃO, 1 CX NOVA, 2 TESTE"/>
    <d v="2024-06-26T00:00:00"/>
    <d v="2024-06-10T00:00:00"/>
    <d v="2024-06-12T00:00:00"/>
    <d v="2024-06-23T00:00:00"/>
    <d v="2024-06-23T00:00:00"/>
    <s v="NÃO PRECISA"/>
    <m/>
    <x v="0"/>
    <x v="0"/>
    <s v="AG. MEDIÇÃO"/>
    <n v="9"/>
    <x v="1"/>
    <n v="6"/>
  </r>
  <r>
    <s v="RSCLER0450"/>
    <s v="JITAB"/>
    <s v="JITAIA"/>
    <s v="RSPNO75"/>
    <s v="PORTO ALEGRE"/>
    <m/>
    <s v="R. Jalmar Azambuja Diniz, 82"/>
    <s v="JITAB.151.M010"/>
    <d v="2024-10-01T00:00:00"/>
    <x v="0"/>
    <m/>
    <s v="MARCOS EMILIANO / SINOS"/>
    <s v="-"/>
    <s v="-"/>
    <s v="SEM LANÇAMENTO"/>
    <s v="SEM LANÇAMENTO"/>
    <s v="1 ABERTURA E FECHAMENTO"/>
    <d v="2024-10-23T00:00:00"/>
    <d v="2024-10-21T00:00:00"/>
    <m/>
    <m/>
    <d v="2024-10-23T00:00:00"/>
    <s v="NÃO PRECISA"/>
    <m/>
    <x v="0"/>
    <x v="0"/>
    <s v="AG. MEDIÇÃO"/>
    <n v="2"/>
    <x v="0"/>
    <n v="-1"/>
  </r>
  <r>
    <s v="RSCLER0155"/>
    <s v="MTSAA"/>
    <m/>
    <m/>
    <s v="PORTO ALEGRE"/>
    <s v="Cond. Ed. Aspen "/>
    <s v="R. Jaraguá, 192"/>
    <m/>
    <d v="2023-11-01T00:00:00"/>
    <x v="0"/>
    <m/>
    <s v="LUCAS HOBERT"/>
    <s v="100% - OK"/>
    <s v="-"/>
    <s v="SEM LANÇAMENTO"/>
    <s v="SEM LANÇAMENTO"/>
    <s v="2 ABERTURA E FECHAMENTO, 3 FUSÃO, 1 TESTE"/>
    <d v="2023-11-20T00:00:00"/>
    <d v="2023-11-01T00:00:00"/>
    <m/>
    <d v="2023-11-04T00:00:00"/>
    <d v="2023-11-04T00:00:00"/>
    <s v="NÃO PRECISA"/>
    <m/>
    <x v="0"/>
    <x v="0"/>
    <s v="AG. MEDIÇÃO"/>
    <n v="2"/>
    <x v="0"/>
    <n v="-1"/>
  </r>
  <r>
    <s v="RSCLER0180"/>
    <s v="VJDAB"/>
    <m/>
    <m/>
    <s v="PORTO ALEGRE"/>
    <s v="Reserva San Mateo"/>
    <s v="R. João Francisco Martin 80"/>
    <m/>
    <d v="2023-12-01T00:00:00"/>
    <x v="0"/>
    <m/>
    <s v="LUCAS HOBERT"/>
    <s v="100% - OK"/>
    <s v="OK"/>
    <s v="SEM LANÇAMENTO"/>
    <s v="SEM LANÇAMENTO"/>
    <s v="2 ABERTURA E FECHAMENTO, 6 FUSÕES, 5 TESTE"/>
    <d v="2023-12-13T00:00:00"/>
    <d v="2023-12-11T00:00:00"/>
    <m/>
    <d v="2023-12-11T00:00:00"/>
    <d v="2023-12-11T00:00:00"/>
    <s v="NÃO PRECISA"/>
    <m/>
    <x v="0"/>
    <x v="0"/>
    <s v="AG. MEDIÇÃO"/>
    <n v="0"/>
    <x v="0"/>
    <n v="-3"/>
  </r>
  <r>
    <s v="RSCLER0405"/>
    <s v="BVSAB"/>
    <s v="BVSALA"/>
    <s v="PAE NR"/>
    <s v="PORTO ALEGRE"/>
    <s v="Cond Resid Manhattan"/>
    <s v="R. João Paetzel, 964 - DIRETORIA"/>
    <s v="BVSAB.221.M040"/>
    <d v="2024-08-01T00:00:00"/>
    <x v="0"/>
    <s v="GIOVANE"/>
    <s v="MARCOS EMILIANO"/>
    <s v="100% - OK"/>
    <s v="OK"/>
    <m/>
    <n v="993"/>
    <s v="FOI LANÇADO 993 METROS DE CABO DE 12FO, 3 ABERTURA E FECHAMENTO, 6 FUSÃO, 1 CX NOVA, 1 DERIVAÇÃO, 2 TESTE"/>
    <d v="2024-09-10T00:00:00"/>
    <d v="2024-08-29T00:00:00"/>
    <d v="2024-09-03T00:00:00"/>
    <d v="2024-09-06T00:00:00"/>
    <d v="2024-09-06T00:00:00"/>
    <s v="NÃO PRECISA"/>
    <m/>
    <x v="0"/>
    <x v="0"/>
    <s v="AG. MEDIÇÃO"/>
    <n v="6"/>
    <x v="1"/>
    <n v="3"/>
  </r>
  <r>
    <s v="RSCLER0594"/>
    <s v="RNDAA"/>
    <s v="RNDAH"/>
    <s v="RSNHO12"/>
    <s v="NOVO HAMBURGO"/>
    <s v=" RESIDENCIAL TERRAS ALTAS"/>
    <s v="R. João Pedro Schmitt, 700"/>
    <s v="RNDAA.061.M030"/>
    <d v="2025-05-01T00:00:00"/>
    <x v="0"/>
    <s v="JOÃO FELIPE"/>
    <s v="CESAR LEANDRO"/>
    <s v="100% - OK"/>
    <s v="OK - ENVIADO"/>
    <n v="258"/>
    <n v="210"/>
    <s v="FOI LANÇADO 210 METROS DE CABO DE 12FO, 3 ABERTURA E FECHAMENTO, 3 TESTE, 9 FUSÃO, 1 CX NOVA"/>
    <d v="2025-06-18T00:00:00"/>
    <d v="2025-05-16T00:00:00"/>
    <m/>
    <m/>
    <d v="2025-05-23T00:00:00"/>
    <s v="NÃO PRECISA"/>
    <m/>
    <x v="0"/>
    <x v="0"/>
    <s v="AG. MEDIÇÃO"/>
    <n v="5"/>
    <x v="1"/>
    <n v="2"/>
  </r>
  <r>
    <s v="RSCLER0918"/>
    <s v="IDLAA"/>
    <s v="CNTAI"/>
    <s v="RSNHO11"/>
    <s v="NOVO HAMBURGO"/>
    <s v="Cond Ed Galeria Quadra Shopping"/>
    <s v="R. Joaquim Nabuco, 111"/>
    <s v="IDLAA.012.M010"/>
    <d v="2026-06-01T00:00:00"/>
    <x v="0"/>
    <s v="TIAGO FERREIRA"/>
    <s v="CATIA / AFONSO"/>
    <m/>
    <s v="OK"/>
    <n v="192"/>
    <n v="155"/>
    <s v="FOI LANÇADO 155 METROS DE CABO DE 12FO, 5 ABERTURA E FECHAMENTO, 21 FUSÕES, 5 TESTES."/>
    <d v="2026-08-10T00:00:00"/>
    <d v="2026-06-15T00:00:00"/>
    <m/>
    <m/>
    <d v="2026-06-24T00:00:00"/>
    <d v="2026-08-10T00:00:00"/>
    <m/>
    <x v="0"/>
    <x v="0"/>
    <s v="AG. MEDIÇÃO"/>
    <n v="7"/>
    <x v="1"/>
    <n v="4"/>
  </r>
  <r>
    <s v="RSCLER0511"/>
    <s v="CLC"/>
    <m/>
    <m/>
    <s v="TORRES"/>
    <m/>
    <s v="R. JOAQUIM PORTO, 141"/>
    <s v="CLC013-M2."/>
    <d v="2025-02-01T00:00:00"/>
    <x v="0"/>
    <m/>
    <s v="MAQUENZE"/>
    <m/>
    <m/>
    <s v="SEM LANÇAMENTO"/>
    <s v="SEM LANÇAMENTO"/>
    <s v="5 ABERTURA E FECHAMENTO, 5 FUSÕES, 1 TESTE"/>
    <d v="2025-03-18T00:00:00"/>
    <d v="2025-02-11T00:00:00"/>
    <d v="2025-02-12T00:00:00"/>
    <m/>
    <d v="2025-02-26T00:00:00"/>
    <s v="NÃO PRECISA"/>
    <m/>
    <x v="0"/>
    <x v="0"/>
    <s v="AG. MEDIÇÃO"/>
    <n v="11"/>
    <x v="1"/>
    <n v="8"/>
  </r>
  <r>
    <s v="RSCLER0535"/>
    <s v="CNTAB"/>
    <s v="CNTAG"/>
    <s v="RSPCE14"/>
    <s v="PORTO ALEGRE"/>
    <m/>
    <s v="R. José do Patrocínio, 527 "/>
    <s v="CNTAB.072.M030."/>
    <d v="2025-03-01T00:00:00"/>
    <x v="0"/>
    <s v="TIAGO FERREIRA"/>
    <s v="ANDERSON"/>
    <s v="100% - OK"/>
    <s v="OK - ENVIADO"/>
    <n v="1100"/>
    <n v="1115"/>
    <s v="FOI LANÇADO 1115 METROS DE CABO DE 12FO, 3 ABERTURA E FECHAMENTO, 10 FUSÕES, 1 DERIVAÇÃO, 5 TESTES"/>
    <d v="2025-03-18T00:00:00"/>
    <d v="2025-03-12T00:00:00"/>
    <d v="2025-03-13T00:00:00"/>
    <d v="2025-03-14T00:00:00"/>
    <d v="2025-03-14T00:00:00"/>
    <s v="NÃO PRECISA"/>
    <m/>
    <x v="0"/>
    <x v="0"/>
    <s v="AG. MEDIÇÃO"/>
    <n v="2"/>
    <x v="0"/>
    <n v="-1"/>
  </r>
  <r>
    <s v="RSCLER0371"/>
    <s v="RBTAA"/>
    <s v="RBTAN"/>
    <s v="PAE ARY"/>
    <s v="PORTO ALEGRE"/>
    <s v="Condomínio Piazza Felicita"/>
    <s v="R. Lindolfo Henke N° 230"/>
    <s v="RBTAA.111.M010"/>
    <d v="2024-08-01T00:00:00"/>
    <x v="0"/>
    <s v="UBIRATAN"/>
    <s v="MARCOS EMILIANO"/>
    <s v="100% - OK"/>
    <s v="OK"/>
    <m/>
    <n v="396"/>
    <s v="FOI LANÇADO 396 METROS DE CABO DE 12FO, 4 ABERTURA E FECHAMENTO, 2 DERIVAÇÃO, 1 CX NOVA, 15 FUSÃO, 9 TESTE"/>
    <d v="2024-08-28T00:00:00"/>
    <d v="2024-08-01T00:00:00"/>
    <d v="2024-08-12T00:00:00"/>
    <d v="2024-08-21T00:00:00"/>
    <d v="2024-08-21T00:00:00"/>
    <s v="NÃO PRECISA"/>
    <m/>
    <x v="0"/>
    <x v="0"/>
    <s v="AG. MEDIÇÃO"/>
    <n v="14"/>
    <x v="1"/>
    <n v="11"/>
  </r>
  <r>
    <s v="RSCLER0169"/>
    <s v="JCVAA"/>
    <m/>
    <m/>
    <s v="PORTO ALEGRE"/>
    <s v="Cond. Pituba"/>
    <s v="R. Luís Lederman, 360"/>
    <m/>
    <d v="2023-11-01T00:00:00"/>
    <x v="0"/>
    <m/>
    <s v="DIOGO/GABRIEL/ MARCOS EMILIANO"/>
    <s v="100% - OK"/>
    <s v="OK"/>
    <s v="SEM LANÇAMENTO"/>
    <s v="SEM LANÇAMENTO"/>
    <s v="2 ABERTURA E FECHAMENTO, 3 FUSÃO, 3 TESTE "/>
    <d v="2023-11-30T00:00:00"/>
    <d v="2023-11-23T00:00:00"/>
    <m/>
    <d v="2023-11-24T00:00:00"/>
    <d v="2023-11-24T00:00:00"/>
    <s v="NÃO PRECISA"/>
    <m/>
    <x v="0"/>
    <x v="0"/>
    <s v="AG. MEDIÇÃO"/>
    <n v="1"/>
    <x v="0"/>
    <n v="-2"/>
  </r>
  <r>
    <s v="RSCLER0430"/>
    <s v="CNTAA"/>
    <s v="CBXAE"/>
    <s v="PAE MF"/>
    <s v="PORTO ALEGRE"/>
    <s v="Cond Jaciara"/>
    <s v="R. Luiz Afonso, 470"/>
    <s v="CNTAA.352.M060"/>
    <d v="2024-09-01T00:00:00"/>
    <x v="0"/>
    <s v="JUNIOR"/>
    <s v="ANDERSON"/>
    <s v="100% - OK"/>
    <s v="OK"/>
    <n v="100"/>
    <n v="167"/>
    <s v="FOI LANÇADO 167 METROS DE CABO DE 12FO, 6 ABERTURA E FECHAMENTO, 6 FUSÃO, 2 DERICAÇÃO, 1 CX NOVA, 1 TESTE "/>
    <d v="2024-09-20T00:00:00"/>
    <d v="2024-09-12T00:00:00"/>
    <d v="2024-09-17T00:00:00"/>
    <d v="2024-09-18T00:00:00"/>
    <d v="2024-09-18T00:00:00"/>
    <s v="NÃO PRECISA"/>
    <m/>
    <x v="0"/>
    <x v="0"/>
    <s v="AG. MEDIÇÃO"/>
    <n v="4"/>
    <x v="1"/>
    <n v="1"/>
  </r>
  <r>
    <s v="RSCLER0549"/>
    <s v="TRZAB"/>
    <s v="TRZANB"/>
    <s v="RSPSU22"/>
    <s v="PORTO ALEGRE"/>
    <s v=" CONDOMINIO RESIDENCIAL PORTAL DO GUAIBA"/>
    <s v="R. Manoel Leão, 95"/>
    <s v="TRZAB.109.M030"/>
    <d v="2025-03-01T00:00:00"/>
    <x v="0"/>
    <s v="AUGUSTO"/>
    <s v="AUGUSTO"/>
    <s v="100% - OK"/>
    <s v="OK - ENVIADO"/>
    <n v="300"/>
    <n v="300"/>
    <s v="FOI LANÇADO 300 METROS DE CABO DE 12FO, 4 ABERTURA E FECHAMENTO, 9 FUSÕES, 1 CX NOVA, 1 DERIVAÇÃO, 2 TESTES"/>
    <d v="2025-03-26T00:00:00"/>
    <d v="2025-03-17T00:00:00"/>
    <d v="2025-03-19T00:00:00"/>
    <d v="2025-03-21T00:00:00"/>
    <d v="2025-03-25T00:00:00"/>
    <s v="NÃO PRECISA"/>
    <m/>
    <x v="0"/>
    <x v="0"/>
    <s v="AG. MEDIÇÃO"/>
    <n v="6"/>
    <x v="1"/>
    <n v="3"/>
  </r>
  <r>
    <s v="RSCLER0432"/>
    <s v="MNDAB"/>
    <s v="MNDAD"/>
    <s v="RSPCE20"/>
    <s v="PORTO ALEGRE"/>
    <s v=" Le Chaim"/>
    <s v="R. Marcílio Dias, 1031"/>
    <s v="MNDAB.051.M010"/>
    <d v="2024-09-01T00:00:00"/>
    <x v="0"/>
    <m/>
    <s v="LUCAS HOBERT"/>
    <s v="100% - OK"/>
    <s v="OK - ENVIADO"/>
    <s v="SEM LANÇAMENTO"/>
    <s v="SEM LANÇAMENTO"/>
    <s v="3 ABERTURA E FECHAMENTO, 6 FUSÃO, 3 TESTE"/>
    <d v="2024-10-10T00:00:00"/>
    <d v="2024-09-12T00:00:00"/>
    <d v="2024-09-13T00:00:00"/>
    <d v="2024-09-18T00:00:00"/>
    <d v="2024-09-24T00:00:00"/>
    <s v="NÃO PRECISA"/>
    <m/>
    <x v="0"/>
    <x v="0"/>
    <s v="AG. MEDIÇÃO"/>
    <n v="8"/>
    <x v="1"/>
    <n v="5"/>
  </r>
  <r>
    <s v="RSCLER0502"/>
    <s v="MNDAB"/>
    <s v="MNDAD"/>
    <s v="RSPCE20"/>
    <s v="PORTO ALEGRE"/>
    <s v="Cond Ed Dom Ricardo "/>
    <s v="R. Marcílio Dias, 710"/>
    <s v="MNDAB.051.M080."/>
    <d v="2025-02-01T00:00:00"/>
    <x v="0"/>
    <m/>
    <s v="AUGUSTO"/>
    <s v="100% - OK"/>
    <s v="OK - ENVIADO"/>
    <s v="SEM LANÇAMENTO"/>
    <s v="SEM LANÇAMENTO"/>
    <s v="3 ABERTURA E FECHAMENTO"/>
    <d v="2025-02-12T00:00:00"/>
    <d v="2025-02-06T00:00:00"/>
    <d v="2025-02-12T00:00:00"/>
    <d v="2025-02-12T00:00:00"/>
    <d v="2025-02-12T00:00:00"/>
    <s v="NÃO PRECISA"/>
    <m/>
    <x v="0"/>
    <x v="0"/>
    <s v="AG. MEDIÇÃO"/>
    <n v="4"/>
    <x v="1"/>
    <n v="1"/>
  </r>
  <r>
    <s v="RSCLER0175"/>
    <s v="PRTAA"/>
    <m/>
    <m/>
    <s v="PORTO ALEGRE"/>
    <s v="Condomínio Conjunto Jardim Guanabara"/>
    <s v="R. Marcone, 470"/>
    <m/>
    <d v="2023-11-01T00:00:00"/>
    <x v="0"/>
    <m/>
    <s v="PAULO GOMES"/>
    <s v="100% - OK"/>
    <s v="-"/>
    <s v="SEM LANÇAMENTO"/>
    <s v="SEM LANÇAMENTO"/>
    <s v="2 ABERTURA E FECHAMENTO, 2 FUSÃO, 1 TESTE"/>
    <d v="2023-12-13T00:00:00"/>
    <d v="2023-11-29T00:00:00"/>
    <m/>
    <d v="2023-11-30T00:00:00"/>
    <d v="2023-11-30T00:00:00"/>
    <s v="NÃO PRECISA"/>
    <m/>
    <x v="0"/>
    <x v="0"/>
    <s v="AG. MEDIÇÃO"/>
    <n v="1"/>
    <x v="0"/>
    <n v="-2"/>
  </r>
  <r>
    <s v="RSCLER0873"/>
    <s v="IDLAA"/>
    <m/>
    <s v="RSNHO11"/>
    <s v="NOVO HAMBURGO"/>
    <s v="Condomínio Dom Pedro II "/>
    <s v="R. Marquês de Sapucaí, 100"/>
    <s v="IDLAA.035.M040"/>
    <d v="2026-05-01T00:00:00"/>
    <x v="0"/>
    <m/>
    <s v="AFONSO"/>
    <m/>
    <s v="OK"/>
    <s v="SEM LANÇAMENTO"/>
    <s v="SEM LANÇAMENTO"/>
    <s v="4 ABERTURA E FECHAMENTO, 4 FUSÕES, 2 TESTES."/>
    <d v="2026-08-20T00:00:00"/>
    <d v="2026-05-25T00:00:00"/>
    <m/>
    <m/>
    <d v="2026-05-26T00:00:00"/>
    <d v="2026-07-02T00:00:00"/>
    <m/>
    <x v="0"/>
    <x v="0"/>
    <s v="AG. MEDIÇÃO"/>
    <n v="1"/>
    <x v="0"/>
    <n v="-2"/>
  </r>
  <r>
    <s v="RSCLER0869"/>
    <s v="IDLAA"/>
    <s v="IDLAH"/>
    <s v="RSNHO11"/>
    <s v="NOVO HAMBURGO"/>
    <s v=" Residencial Império"/>
    <s v="R. Marquês de Sapucaí, 50"/>
    <s v="IDLAA.091.M010"/>
    <d v="2026-05-01T00:00:00"/>
    <x v="0"/>
    <m/>
    <s v="AFONSO"/>
    <m/>
    <s v="OK"/>
    <s v="SEM LANÇAMENTO"/>
    <s v="SEM LANÇAMENTO"/>
    <s v="4 ABERTURA E FECHAMENTO, 3 FUSÕES, 1 TESTE."/>
    <d v="2026-06-23T00:00:00"/>
    <d v="2026-05-25T00:00:00"/>
    <m/>
    <m/>
    <d v="2026-05-25T00:00:00"/>
    <d v="2026-06-23T00:00:00"/>
    <m/>
    <x v="0"/>
    <x v="0"/>
    <s v="AG. MEDIÇÃO"/>
    <n v="0"/>
    <x v="0"/>
    <n v="-3"/>
  </r>
  <r>
    <s v="RSCLER0202"/>
    <s v="SSOAA"/>
    <m/>
    <m/>
    <s v="PORTO ALEGRE"/>
    <s v=" Cond. Fit Jardins"/>
    <s v="R. Monsenhor Antonio Guilherme Grings, 51"/>
    <m/>
    <d v="2024-01-01T00:00:00"/>
    <x v="0"/>
    <s v="MAICON"/>
    <s v="PAULO GOMES"/>
    <s v="100% - OK"/>
    <s v="OK"/>
    <m/>
    <n v="288"/>
    <s v="288 METROS DE CABO 12FO, 5 ABERTURA E FECHAMENTO, 7 FUSÃO, 1 DERIVAÇÃO, 3 TESTE, 1 CX NOVA"/>
    <d v="2024-02-23T00:00:00"/>
    <d v="2024-01-05T00:00:00"/>
    <d v="2024-01-05T00:00:00"/>
    <d v="2024-01-08T00:00:00"/>
    <d v="2024-01-11T00:00:00"/>
    <s v="NÃO PRECISA"/>
    <m/>
    <x v="0"/>
    <x v="0"/>
    <s v="AG. MEDIÇÃO"/>
    <n v="4"/>
    <x v="1"/>
    <n v="1"/>
  </r>
  <r>
    <s v="RSCLER1001"/>
    <s v="PETAA"/>
    <m/>
    <s v="RSPLE11"/>
    <s v="PORTO ALEGRE"/>
    <s v="ED MONTENEGRO"/>
    <s v="AV PROTASIO ALVES 3020"/>
    <s v="PETAA.153.M041"/>
    <d v="2026-07-01T00:00:00"/>
    <x v="0"/>
    <m/>
    <s v="CATIA"/>
    <m/>
    <m/>
    <s v="SEM LANÇAMENTO"/>
    <s v="SEM LANÇAMENTO"/>
    <m/>
    <m/>
    <d v="2026-07-31T00:00:00"/>
    <m/>
    <d v="2026-08-04T00:00:00"/>
    <d v="2026-08-04T00:00:00"/>
    <m/>
    <m/>
    <x v="2"/>
    <x v="2"/>
    <s v="AG. RELATÓRIO"/>
    <n v="2"/>
    <x v="0"/>
    <n v="-1"/>
  </r>
  <r>
    <s v="RSCLER0385"/>
    <s v="TRZAA"/>
    <s v="TRZABB"/>
    <s v="RSPSU11"/>
    <s v="PORTO ALEGRE"/>
    <s v="Varanda Zona Sul"/>
    <s v="R. Nossa Sra. de Lourdes, 230"/>
    <s v="TRZAA.061.M020"/>
    <d v="2024-08-01T00:00:00"/>
    <x v="0"/>
    <m/>
    <s v="ANDERSON"/>
    <s v="100% - OK"/>
    <s v="OK"/>
    <s v="SEM LANÇAMENTO"/>
    <s v="SEM LANÇAMENTO"/>
    <s v="2 ABERTURA E FECHAMENTO, 2 FUSÃO, 1 TESTE"/>
    <d v="2024-09-10T00:00:00"/>
    <d v="2024-08-20T00:00:00"/>
    <d v="2024-08-21T00:00:00"/>
    <d v="2024-08-21T00:00:00"/>
    <d v="2024-08-21T00:00:00"/>
    <s v="NÃO PRECISA"/>
    <m/>
    <x v="0"/>
    <x v="0"/>
    <s v="AG. MEDIÇÃO"/>
    <n v="1"/>
    <x v="0"/>
    <n v="-2"/>
  </r>
  <r>
    <s v="RSCLER0440"/>
    <s v="MTSAA"/>
    <s v="PETALB"/>
    <s v="PAE BV"/>
    <s v="PORTO ALEGRE"/>
    <s v="Cond. Terrá "/>
    <s v="R. Passo da Pátria, 637"/>
    <s v="MTSAA.332.M050"/>
    <d v="2024-10-01T00:00:00"/>
    <x v="0"/>
    <m/>
    <s v="ANDERSON"/>
    <s v="100% - OK"/>
    <s v="OK - ENVIADO"/>
    <s v="SEM LANÇAMENTO"/>
    <s v="SEM LANÇAMENTO"/>
    <s v="2 ABERTURA E FECHAMENTO, 3 FUSÃO, 3 TESTE "/>
    <d v="2024-10-10T00:00:00"/>
    <d v="2024-10-01T00:00:00"/>
    <d v="2024-10-02T00:00:00"/>
    <d v="2024-10-02T00:00:00"/>
    <d v="2024-10-02T00:00:00"/>
    <s v="NÃO PRECISA"/>
    <m/>
    <x v="0"/>
    <x v="0"/>
    <s v="AG. MEDIÇÃO"/>
    <n v="1"/>
    <x v="0"/>
    <n v="-2"/>
  </r>
  <r>
    <s v="RSCLER0541"/>
    <s v="PDRAA"/>
    <s v="PDRAHA"/>
    <s v="RSPNO17"/>
    <s v="PORTO ALEGRE"/>
    <s v="Condomínio University Place"/>
    <s v="R. Paulo Setúbal, 134"/>
    <s v="PDRAA.062.M100."/>
    <d v="2025-03-01T00:00:00"/>
    <x v="0"/>
    <m/>
    <s v="ANDERSON"/>
    <s v="100% - OK"/>
    <s v="OK - ENVIADO"/>
    <s v="SEM LANÇAMENTO"/>
    <s v="SEM LANÇAMENTO"/>
    <s v="3 ABERTURAS E FECHAMENTO, 3 FUSÕES, 1 DERIVAÇÃO E 1 TESTE"/>
    <d v="2025-03-23T00:00:00"/>
    <d v="2025-03-14T00:00:00"/>
    <d v="2025-03-17T00:00:00"/>
    <d v="2025-03-18T00:00:00"/>
    <d v="2025-03-18T00:00:00"/>
    <s v="NÃO PRECISA"/>
    <m/>
    <x v="0"/>
    <x v="0"/>
    <s v="AG. MEDIÇÃO"/>
    <n v="2"/>
    <x v="0"/>
    <n v="-1"/>
  </r>
  <r>
    <s v="RSCLER0474"/>
    <s v="MTSAA"/>
    <s v="MTSAOB"/>
    <s v="PAE BV"/>
    <s v="PORTO ALEGRE"/>
    <s v="Condomínio Edifício Resid. Topazio"/>
    <s v="R. Pedro Chaves Barcelos, 961"/>
    <s v="MTSAA.152.M050"/>
    <d v="2024-11-01T00:00:00"/>
    <x v="0"/>
    <m/>
    <s v="ANDERSON"/>
    <s v="100% - OK"/>
    <s v="OK - ENVIADO"/>
    <m/>
    <m/>
    <s v="4 ABERTURA E FECHAMENTO, 7 FUSÕES, 2 TESTES"/>
    <d v="2024-12-06T00:00:00"/>
    <d v="2024-11-28T00:00:00"/>
    <m/>
    <m/>
    <d v="2024-12-03T00:00:00"/>
    <s v="NÃO PRECISA"/>
    <m/>
    <x v="0"/>
    <x v="0"/>
    <s v="AG. MEDIÇÃO"/>
    <n v="3"/>
    <x v="0"/>
    <n v="0"/>
  </r>
  <r>
    <s v="RSCLER0375"/>
    <s v="HMTAA"/>
    <s v="HMTAG"/>
    <s v="RSPNO02"/>
    <s v="PORTO ALEGRE"/>
    <s v="Condomínio Edifício Ventimiglia"/>
    <s v="R. Prof. João de Souza Ribeiro, 711"/>
    <s v="HMTAA.107.M010"/>
    <d v="2024-08-01T00:00:00"/>
    <x v="0"/>
    <m/>
    <s v="ANDERSON"/>
    <s v="100% - OK"/>
    <s v="OK"/>
    <s v="SEM LANÇAMENTO"/>
    <s v="SEM LANÇAMENTO"/>
    <s v="2 ABERTURA E FECHAMENTO, 5 FUSÃO, 1 SPLITTER, 4 TESTE"/>
    <d v="2024-08-28T00:00:00"/>
    <d v="2024-08-12T00:00:00"/>
    <d v="2024-08-19T00:00:00"/>
    <d v="2024-08-19T00:00:00"/>
    <d v="2024-08-19T00:00:00"/>
    <s v="NÃO PRECISA"/>
    <m/>
    <x v="0"/>
    <x v="0"/>
    <s v="AG. MEDIÇÃO"/>
    <n v="5"/>
    <x v="1"/>
    <n v="2"/>
  </r>
  <r>
    <s v="RSCLER0380"/>
    <s v="BVSAB"/>
    <s v="PETAAA"/>
    <s v="PAENR"/>
    <s v="PORTO ALEGRE"/>
    <s v="Condomínio Edifício Toulouse"/>
    <s v="R. Prof. Langendonck, 47"/>
    <s v="BVSAB.111M090"/>
    <d v="2024-08-01T00:00:00"/>
    <x v="0"/>
    <s v="UBIRATAN"/>
    <s v="ANDERSON"/>
    <s v="100% - OK"/>
    <s v="OK"/>
    <m/>
    <n v="768"/>
    <s v="FOI LANÇADO 768 METROS DE CABO DE 12FO, 4 ABERTURA E FECHAMENTO,1 CX NOVA, 2 TESTE, 1 DERIVAÇÃO, 7 FUSÃO"/>
    <d v="2024-08-28T00:00:00"/>
    <d v="2024-08-14T00:00:00"/>
    <d v="2024-08-15T00:00:00"/>
    <d v="2024-08-16T00:00:00"/>
    <d v="2024-08-16T00:00:00"/>
    <s v="NÃO PRECISA"/>
    <m/>
    <x v="0"/>
    <x v="0"/>
    <s v="AG. MEDIÇÃO"/>
    <n v="2"/>
    <x v="0"/>
    <n v="-1"/>
  </r>
  <r>
    <s v="RSCLER0377"/>
    <s v="BFMAA"/>
    <s v="RBRAR"/>
    <s v="PAE IND"/>
    <s v="PORTO ALEGRE"/>
    <s v="Cond. Montecarlo"/>
    <s v="R. Quintino Bocaiúva, 1320"/>
    <s v="BFMAA.013.M070"/>
    <d v="2024-08-01T00:00:00"/>
    <x v="0"/>
    <s v="UBIRATAN"/>
    <s v="MARCOS EMILIANO"/>
    <s v="100% - OK"/>
    <s v="OK"/>
    <m/>
    <n v="199"/>
    <s v="FOI LANÇADO 199 METROS DE CABO DE 12FO, 2 ABERTURA E FECHAMENTO, 4 FUSÃO, 1 CX NOVA, 1 DERIVAÇÃO, 2 TESTE"/>
    <d v="2024-08-28T00:00:00"/>
    <d v="2024-08-12T00:00:00"/>
    <d v="2024-08-15T00:00:00"/>
    <d v="2024-08-15T00:00:00"/>
    <d v="2024-08-15T00:00:00"/>
    <s v="NÃO PRECISA"/>
    <m/>
    <x v="0"/>
    <x v="0"/>
    <s v="AG. MEDIÇÃO"/>
    <n v="3"/>
    <x v="0"/>
    <n v="0"/>
  </r>
  <r>
    <s v="RSCLER0922"/>
    <s v="RBRAA"/>
    <s v="RBRAGA"/>
    <s v="RSPLE08"/>
    <s v="PORTO ALEGRE"/>
    <s v="Condomínio Edificio Piemonte"/>
    <s v="R. Ramiro Barcelos, 1323"/>
    <s v="RBRAA.013.M060"/>
    <d v="2026-06-01T00:00:00"/>
    <x v="0"/>
    <m/>
    <s v="CATIA"/>
    <m/>
    <s v="OK"/>
    <s v="SEM LANÇAMENTO"/>
    <s v="SEM LANÇAMENTO"/>
    <s v="3 ABERTURA E FECHAMENTO, 8 FUSÕES, 4 TESTES."/>
    <d v="2026-07-02T00:00:00"/>
    <d v="2026-06-05T00:00:00"/>
    <m/>
    <m/>
    <d v="2026-06-13T00:00:00"/>
    <d v="2026-07-02T00:00:00"/>
    <m/>
    <x v="0"/>
    <x v="0"/>
    <s v="AG. MEDIÇÃO"/>
    <n v="5"/>
    <x v="1"/>
    <n v="2"/>
  </r>
  <r>
    <s v="RSCLER0896"/>
    <s v="RBRAA"/>
    <s v="RBRAGA"/>
    <s v="RSPLE08"/>
    <s v="PORTO ALEGRE"/>
    <s v="Cond Edificio Aspen Suites"/>
    <s v="R. Ramiro Barcelos, 1393"/>
    <s v="RBRAA.013.M060"/>
    <d v="2026-06-01T00:00:00"/>
    <x v="0"/>
    <m/>
    <s v="CATIA"/>
    <m/>
    <s v="OK"/>
    <n v="87"/>
    <n v="91"/>
    <s v="FOI LANÇADO 90 METROS DE CABO DE 12FO, 7 ABERTURA E FECHAMENTO, 11 FUSÕES, 2 DERIVAÇÕES, 3 TESTES"/>
    <d v="2026-08-12T00:00:00"/>
    <d v="2026-06-05T00:00:00"/>
    <m/>
    <m/>
    <d v="2026-06-13T00:00:00"/>
    <d v="2026-08-12T00:00:00"/>
    <m/>
    <x v="0"/>
    <x v="0"/>
    <s v="AG. MEDIÇÃO"/>
    <n v="5"/>
    <x v="1"/>
    <n v="2"/>
  </r>
  <r>
    <s v="RSCLER0928"/>
    <s v="RBRAA"/>
    <s v="RBRAGA"/>
    <s v="RSPLE08"/>
    <s v="PORTO ALEGRE"/>
    <s v="Cond Edificio Aspen Suites / Condomínio Edificio Piemonte"/>
    <s v="R. Ramiro Barcelos, 1393 1323"/>
    <s v="RBRAA.013.M070"/>
    <d v="2026-06-01T00:00:00"/>
    <x v="0"/>
    <s v="TIAGO FERREIRA"/>
    <s v="AFONSO"/>
    <m/>
    <s v="OK"/>
    <n v="210"/>
    <n v="309"/>
    <s v="FOI LANÇADO 309 METROS DE CABO DE 24FO, 2 ABERTURA E FECHAMENTO, 14 FUSÕES, 2 DERIVAÇÕES, 7 TESTES."/>
    <d v="2026-07-02T00:00:00"/>
    <d v="2026-06-16T00:00:00"/>
    <d v="2026-06-17T00:00:00"/>
    <d v="2026-06-18T00:00:00"/>
    <d v="2026-06-18T00:00:00"/>
    <d v="2026-07-02T00:00:00"/>
    <m/>
    <x v="0"/>
    <x v="0"/>
    <s v="AG. MEDIÇÃO"/>
    <n v="2"/>
    <x v="0"/>
    <n v="-1"/>
  </r>
  <r>
    <s v="RSCLER0343"/>
    <s v="RBRAA"/>
    <s v="RBRAGA"/>
    <s v="RSPLE08"/>
    <s v="PORTO ALEGRE"/>
    <s v="Ed. Wolfgang Amadeus Mozart"/>
    <s v="R. Ramiro Barcelos, 1515"/>
    <s v="RBRAA.013.M080"/>
    <d v="2024-07-01T00:00:00"/>
    <x v="0"/>
    <s v="TIAGO FERREIRA"/>
    <s v="MARCOS EMILIANO"/>
    <s v="100% - OK"/>
    <s v="OK"/>
    <m/>
    <n v="155"/>
    <s v="FOI LANÇADO 155 METROS DE CABO DE 12FO, 2 ABERTURA E FECHAMENTO, 1 CX NOVA, 8 FUSÃO, 4 TESTE"/>
    <d v="2024-07-24T00:00:00"/>
    <d v="2024-07-09T00:00:00"/>
    <d v="2024-07-11T00:00:00"/>
    <d v="2024-07-19T00:00:00"/>
    <d v="2024-07-19T00:00:00"/>
    <s v="NÃO PRECISA"/>
    <m/>
    <x v="0"/>
    <x v="0"/>
    <s v="AG. MEDIÇÃO"/>
    <n v="8"/>
    <x v="1"/>
    <n v="5"/>
  </r>
  <r>
    <s v="RSCLER0878"/>
    <s v="BFMAA"/>
    <s v="FLOAJ"/>
    <s v="PAE IND"/>
    <s v="PORTO ALEGRE"/>
    <s v="Condomínio Edificio Dona Olga"/>
    <s v="R. Ramiro Barcelos, 488"/>
    <s v="BFMAA.041.M020"/>
    <d v="2026-05-01T00:00:00"/>
    <x v="0"/>
    <m/>
    <s v="AFONSO"/>
    <m/>
    <s v="OK"/>
    <s v="SEM LANÇAMENTO"/>
    <s v="SEM LANÇAMENTO"/>
    <s v="2 ABERTURA E FECHAMENTO, 1 FUSÃO, 1 TESTE."/>
    <d v="2026-06-18T00:00:00"/>
    <d v="2026-05-19T00:00:00"/>
    <m/>
    <m/>
    <d v="2026-05-19T00:00:00"/>
    <d v="2026-06-18T00:00:00"/>
    <m/>
    <x v="0"/>
    <x v="0"/>
    <s v="AG. MEDIÇÃO"/>
    <n v="0"/>
    <x v="0"/>
    <n v="-3"/>
  </r>
  <r>
    <s v="RSCLER0387"/>
    <s v="MTSAA"/>
    <s v="MTSAOB"/>
    <s v="PAE BV"/>
    <s v="PORTO ALEGRE"/>
    <s v="Condomínio Edifício Bellevue Platz"/>
    <s v="R. Regente, 248"/>
    <s v="MTSAA.151.M090"/>
    <d v="2024-08-01T00:00:00"/>
    <x v="0"/>
    <s v="GIOVANE"/>
    <s v="ANDERSON"/>
    <s v="100% - OK"/>
    <s v="OK"/>
    <m/>
    <n v="369"/>
    <s v="FOI LANÇADO 369 METROS DE CABO DE 12FO, 3 ABERTURA E FECHAMENTO, 9 FUSÃO, 3 DERIVAÇÃO, 3 TESTE, 1 CX NOVA"/>
    <d v="2024-09-10T00:00:00"/>
    <d v="2024-08-20T00:00:00"/>
    <d v="2024-09-02T00:00:00"/>
    <d v="2024-09-02T00:00:00"/>
    <d v="2024-09-02T00:00:00"/>
    <s v="NÃO PRECISA"/>
    <m/>
    <x v="0"/>
    <x v="0"/>
    <s v="AG. MEDIÇÃO"/>
    <n v="9"/>
    <x v="1"/>
    <n v="6"/>
  </r>
  <r>
    <s v="RSCLER0856"/>
    <s v="CNTAB"/>
    <m/>
    <s v="RSCAN03"/>
    <s v="CANOAS "/>
    <s v="Residencial Santo Antonio "/>
    <s v="R. República, 2708"/>
    <s v="CNTAB.401 "/>
    <d v="2026-05-01T00:00:00"/>
    <x v="0"/>
    <s v="TIAGO FERREIRA"/>
    <s v="AFONSO"/>
    <m/>
    <s v="OK"/>
    <n v="1600"/>
    <n v="1726"/>
    <s v="FOI LANÇADO 1726 METROS DE CABO DE 12FO, 2 ABERTURA E FECHAMENTO, 3 CX NOVA, 7 FUSÕES, 1 DERIVAÇÃO."/>
    <d v="2026-08-12T00:00:00"/>
    <d v="2026-05-11T00:00:00"/>
    <m/>
    <m/>
    <d v="2026-05-16T00:00:00"/>
    <d v="2026-08-12T00:00:00"/>
    <m/>
    <x v="0"/>
    <x v="0"/>
    <s v="AG. MEDIÇÃO"/>
    <n v="4"/>
    <x v="1"/>
    <n v="1"/>
  </r>
  <r>
    <s v="RSCLER0381"/>
    <s v="MNDAC"/>
    <s v="MNDAK"/>
    <s v="RSPSU02"/>
    <s v="PORTO ALEGRE"/>
    <s v="Condomínio Edificio Residencial Torre de Vincennes "/>
    <s v="R. Ribeiro Cancela, 55"/>
    <s v="MNDAC.054.M070"/>
    <d v="2024-08-01T00:00:00"/>
    <x v="0"/>
    <s v="VICTOR"/>
    <s v="ANDERSON"/>
    <s v="100% - OK"/>
    <s v="OK"/>
    <m/>
    <n v="362"/>
    <s v="FOI LANÇADO 362 METROS DE CABO DE 12FO, 8 ABERTURA E FECHAMENTO, 10 FUSÃO, 2 DERIVAÇÃO, 1 CX NOVA, 2 TESTE"/>
    <d v="2024-08-28T00:00:00"/>
    <d v="2024-08-14T00:00:00"/>
    <d v="2024-08-15T00:00:00"/>
    <d v="2024-08-16T00:00:00"/>
    <d v="2024-08-16T00:00:00"/>
    <s v="NÃO PRECISA"/>
    <m/>
    <x v="0"/>
    <x v="0"/>
    <s v="AG. MEDIÇÃO"/>
    <n v="2"/>
    <x v="0"/>
    <n v="-1"/>
  </r>
  <r>
    <s v="RSCLER1002"/>
    <s v="PETAA"/>
    <m/>
    <s v="RSPLE11"/>
    <s v="PORTO ALEGRE"/>
    <s v="ED MONTENEGRO"/>
    <s v="AV PROTASIO ALVES 3032"/>
    <s v="PETAA.153.M042"/>
    <d v="2026-07-01T00:00:00"/>
    <x v="0"/>
    <m/>
    <s v="CATIA"/>
    <m/>
    <m/>
    <s v="SEM LANÇAMENTO"/>
    <s v="SEM LANÇAMENTO"/>
    <m/>
    <m/>
    <d v="2026-07-31T00:00:00"/>
    <m/>
    <d v="2026-08-04T00:00:00"/>
    <d v="2026-08-04T00:00:00"/>
    <m/>
    <m/>
    <x v="2"/>
    <x v="2"/>
    <s v="AG. RELATÓRIO"/>
    <n v="2"/>
    <x v="0"/>
    <n v="-1"/>
  </r>
  <r>
    <s v="RSCLER0394"/>
    <s v="PDRAA"/>
    <s v="VIPAF"/>
    <s v="RSPNO17"/>
    <s v="PORTO ALEGRE"/>
    <s v="Condomínio Edificio Greenview"/>
    <s v="R. Roque Calage, 870 - DIRETORIA"/>
    <s v="PDRAA.125.M040"/>
    <d v="2024-08-01T00:00:00"/>
    <x v="0"/>
    <s v="GIOVANE"/>
    <s v="ANDERSON"/>
    <s v="100% - OK"/>
    <s v="OK"/>
    <m/>
    <n v="451"/>
    <s v="FOI LANÇADO 451 METROS DE CABO DE 12FO, 1 ABERTURA E FECHAMENTO, 1 CX NOVA, 1 FUSÃO, 1 TESTE"/>
    <d v="2024-09-10T00:00:00"/>
    <d v="2024-08-26T00:00:00"/>
    <d v="2024-09-04T00:00:00"/>
    <d v="2024-09-06T00:00:00"/>
    <d v="2024-09-05T00:00:00"/>
    <s v="NÃO PRECISA"/>
    <m/>
    <x v="0"/>
    <x v="0"/>
    <s v="AG. MEDIÇÃO"/>
    <n v="8"/>
    <x v="1"/>
    <n v="5"/>
  </r>
  <r>
    <s v="RSCLER0495"/>
    <s v="BFMAA"/>
    <s v="BFMADA"/>
    <s v="PAE IND"/>
    <s v="PORTO ALEGRE"/>
    <s v="Cond Ed San Remo II"/>
    <s v="R. Santo Antônio, 555 "/>
    <s v="BFMAA.021.M010"/>
    <d v="2025-01-01T00:00:00"/>
    <x v="0"/>
    <m/>
    <s v="FABIO AMARILHO"/>
    <s v="100% - OK"/>
    <s v="OK - ENVIADO"/>
    <s v="SEM LANÇAMENTO"/>
    <s v="SEM LANÇAMENTO"/>
    <s v="2 ABERTURA E FECHAMENTO, 1 FUSÃO, 1 TESTE "/>
    <d v="2025-02-10T00:00:00"/>
    <d v="2025-01-23T00:00:00"/>
    <d v="2025-01-27T00:00:00"/>
    <d v="2025-01-29T00:00:00"/>
    <d v="2025-01-29T00:00:00"/>
    <s v="NÃO PRECISA"/>
    <m/>
    <x v="0"/>
    <x v="0"/>
    <s v="AG. MEDIÇÃO"/>
    <n v="4"/>
    <x v="1"/>
    <n v="1"/>
  </r>
  <r>
    <s v="RSCLER0418"/>
    <s v="BVSAB"/>
    <s v="BVSALA"/>
    <s v="PAE NR"/>
    <s v="PORTO ALEGRE"/>
    <s v="São Marcos Cond Res"/>
    <s v="R. São Marcos, 210 - DIRETORIA"/>
    <s v="BVSAB.223.M040."/>
    <d v="2024-09-01T00:00:00"/>
    <x v="0"/>
    <m/>
    <s v="ALANO"/>
    <s v="100% - OK"/>
    <s v="OK"/>
    <n v="150"/>
    <m/>
    <s v="COBRAR JUNTO COM A OS RSCLER0400"/>
    <d v="2024-09-14T00:00:00"/>
    <d v="2024-09-06T00:00:00"/>
    <d v="2024-09-09T00:00:00"/>
    <d v="2024-09-12T00:00:00"/>
    <d v="2024-09-11T00:00:00"/>
    <s v="NÃO PRECISA"/>
    <m/>
    <x v="0"/>
    <x v="0"/>
    <s v="AG. MEDIÇÃO"/>
    <n v="3"/>
    <x v="0"/>
    <n v="0"/>
  </r>
  <r>
    <s v="RSCLER0480"/>
    <s v="BVSAB"/>
    <s v="BVSALA"/>
    <s v="PAE NR"/>
    <s v="PORTO ALEGRE"/>
    <s v="HOSPITAL HPS"/>
    <s v="R. São Mateus 193"/>
    <s v="BVSAB.223.M010"/>
    <d v="2024-12-01T00:00:00"/>
    <x v="0"/>
    <m/>
    <s v="PAULO GOMES"/>
    <s v="100% - OK"/>
    <s v="OK - ENVIADO"/>
    <m/>
    <m/>
    <s v="3 ABERTURA E FECHAMENTO, 4 FUSÕES, 2 TESTES"/>
    <d v="2024-12-23T00:00:00"/>
    <d v="2024-12-18T00:00:00"/>
    <d v="2024-12-19T00:00:00"/>
    <m/>
    <d v="2024-12-19T00:00:00"/>
    <s v="NÃO PRECISA"/>
    <m/>
    <x v="0"/>
    <x v="0"/>
    <s v="AG. MEDIÇÃO"/>
    <n v="1"/>
    <x v="0"/>
    <n v="-2"/>
  </r>
  <r>
    <s v="RSCLER0998"/>
    <s v="PDRAA"/>
    <s v="SRDAI"/>
    <s v="RSPLE11"/>
    <s v="PORTO ALEGRE"/>
    <s v="Villa Parisi"/>
    <s v="R. Sapé, 900"/>
    <s v="PDRAA.111.M020"/>
    <d v="2026-07-01T00:00:00"/>
    <x v="0"/>
    <m/>
    <s v="GUILHERME"/>
    <m/>
    <s v="OK"/>
    <s v="SEM LANÇAMENTO"/>
    <s v="SEM LANÇAMENTO"/>
    <s v="2 ABERTURA E FECHAMENTO, 4 FUSÕES, 2 TESTES."/>
    <d v="2026-08-19T00:00:00"/>
    <d v="2026-07-24T00:00:00"/>
    <m/>
    <m/>
    <d v="2026-07-24T00:00:00"/>
    <d v="2026-08-19T00:00:00"/>
    <m/>
    <x v="0"/>
    <x v="0"/>
    <s v="AG. MEDIÇÃO"/>
    <n v="0"/>
    <x v="0"/>
    <n v="-3"/>
  </r>
  <r>
    <s v="RSCLER0424"/>
    <s v="FLOAA"/>
    <s v="FLOAB"/>
    <s v="RSPNO11"/>
    <s v="PORTO ALEGRE"/>
    <s v="Condomínio Edificio Plaza San Carlos"/>
    <s v="R. Sete de Abril, 285"/>
    <s v="FLOAA.104.M030"/>
    <d v="2024-09-01T00:00:00"/>
    <x v="0"/>
    <s v="JUNIOR "/>
    <s v="ALANO"/>
    <s v="100% - OK"/>
    <s v="OK"/>
    <n v="1080"/>
    <n v="1114"/>
    <s v="FOI LANÇADO 1114 METROS DE CABO DE 12FO, 3 ABERTURA E FECHAMENTO, 2 CX NOVAS, 1 DERIVAÇÃO, 17 FUSÃO, 5 TESTE "/>
    <d v="2024-09-20T00:00:00"/>
    <d v="2024-09-11T00:00:00"/>
    <d v="2024-09-12T00:00:00"/>
    <d v="2024-09-15T00:00:00"/>
    <d v="2024-09-17T00:00:00"/>
    <s v="NÃO PRECISA"/>
    <m/>
    <x v="0"/>
    <x v="0"/>
    <s v="AG. MEDIÇÃO"/>
    <n v="4"/>
    <x v="1"/>
    <n v="1"/>
  </r>
  <r>
    <s v="RSCLER0448"/>
    <s v="MTSAA"/>
    <s v="MTSARA"/>
    <s v="PAE BV"/>
    <s v="PORTO ALEGRE"/>
    <m/>
    <s v="R. Silva Jardim, 475"/>
    <s v="MTSAA.113.M010"/>
    <d v="2024-10-01T00:00:00"/>
    <x v="0"/>
    <m/>
    <s v="ANDERSON"/>
    <s v="100% - OK"/>
    <s v="OK - ENVIADO"/>
    <s v="SEM LANÇAMENTO"/>
    <s v="SEM LANÇAMENTO"/>
    <s v="3 ABERTURA E FECHAMENTO, 2 FUSÃO, 1 TESTE"/>
    <d v="2024-10-23T00:00:00"/>
    <d v="2024-10-17T00:00:00"/>
    <d v="2024-10-18T00:00:00"/>
    <m/>
    <d v="2024-10-18T00:00:00"/>
    <s v="NÃO PRECISA"/>
    <m/>
    <x v="0"/>
    <x v="0"/>
    <s v="AG. MEDIÇÃO"/>
    <n v="1"/>
    <x v="0"/>
    <n v="-2"/>
  </r>
  <r>
    <s v="RSCLER0567"/>
    <s v="CNTAB"/>
    <s v="CNTAG"/>
    <s v="RSPCE14"/>
    <s v="PORTO ALEGRE"/>
    <s v="EDIFICIO Sunare"/>
    <s v="R. Sofia Veloso, 120"/>
    <s v="CNTAB.072.M050"/>
    <d v="2025-03-01T00:00:00"/>
    <x v="0"/>
    <s v="CATIA"/>
    <s v="CATIA"/>
    <s v="100% - OK"/>
    <s v="OK"/>
    <m/>
    <n v="280"/>
    <s v="FOI LANÇADO 280 METROS DE CABO DE 12FO, 4 ABERTURA E FECHAMENTO, 2 CX NOVA, 3 DERIVAÇÃO, 30 FUSÕES, 1 TESTES"/>
    <d v="2025-05-08T00:00:00"/>
    <d v="2025-03-27T00:00:00"/>
    <d v="2025-03-28T00:00:00"/>
    <d v="2025-03-29T00:00:00"/>
    <d v="2025-04-04T00:00:00"/>
    <s v="NÃO PRECISA"/>
    <m/>
    <x v="0"/>
    <x v="0"/>
    <s v="AG. MEDIÇÃO"/>
    <n v="6"/>
    <x v="1"/>
    <n v="3"/>
  </r>
  <r>
    <s v="RSCLER0526"/>
    <s v="TRA"/>
    <m/>
    <s v="RSTRI01"/>
    <s v="TRAMANDAI"/>
    <m/>
    <s v="R. UBATUBA DE FARIAS, 616"/>
    <s v="TRA.037.M010"/>
    <d v="2025-02-01T00:00:00"/>
    <x v="0"/>
    <m/>
    <s v="FABIO AMARILIO"/>
    <s v="100% - OK"/>
    <s v="OK - ENVIADO"/>
    <s v="SEM LANÇAMENTO"/>
    <s v="SEM LANÇAMENTO"/>
    <s v="6 ABERTURA E FECHAMENTO, 5 FUSÕES, 1 TESTE"/>
    <d v="2025-05-08T00:00:00"/>
    <d v="2025-02-26T00:00:00"/>
    <d v="2025-03-11T00:00:00"/>
    <d v="2025-03-14T00:00:00"/>
    <d v="2025-04-21T00:00:00"/>
    <s v="NÃO PRECISA"/>
    <m/>
    <x v="0"/>
    <x v="0"/>
    <s v="AG. MEDIÇÃO"/>
    <n v="38"/>
    <x v="1"/>
    <n v="35"/>
  </r>
  <r>
    <s v="RSCLER0925"/>
    <s v="CNTAA"/>
    <s v="CNTAL"/>
    <s v="NHOLO"/>
    <s v="NOVO HAMBURGO"/>
    <s v="Cond Giacomo Leopard"/>
    <s v="R. Ubatuba, 70"/>
    <s v="CNTAA.081.M040"/>
    <d v="2026-06-01T00:00:00"/>
    <x v="0"/>
    <m/>
    <s v="AFONSO"/>
    <m/>
    <s v="OK"/>
    <s v="SEM LANÇAMENTO"/>
    <s v="SEM LANÇAMENTO"/>
    <s v="3 ABERTURA E FECHAMENTO, 2 FUÕES, 1 TESTES"/>
    <d v="2026-06-23T00:00:00"/>
    <d v="2026-06-15T00:00:00"/>
    <m/>
    <m/>
    <d v="2026-06-16T00:00:00"/>
    <d v="2026-06-23T00:00:00"/>
    <m/>
    <x v="0"/>
    <x v="0"/>
    <s v="AG. MEDIÇÃO"/>
    <n v="1"/>
    <x v="0"/>
    <n v="-2"/>
  </r>
  <r>
    <s v="RSCLER0880"/>
    <s v="PDRAA"/>
    <m/>
    <m/>
    <s v="PORTO ALEGRE"/>
    <s v="Condomínio Plaza de Umbu"/>
    <s v="R. Umbú, 45"/>
    <s v="PDRAA.051.M010"/>
    <d v="2026-05-01T00:00:00"/>
    <x v="0"/>
    <m/>
    <s v="CATIA"/>
    <m/>
    <m/>
    <s v="SEM LANÇAMENTO"/>
    <s v="SEM LANÇAMENTO"/>
    <s v="3 ABERTURA E FECHAMENTO, 6 FUSÕES, 3 TESTES"/>
    <d v="2026-06-05T00:00:00"/>
    <d v="2026-05-26T00:00:00"/>
    <m/>
    <m/>
    <d v="2026-05-27T00:00:00"/>
    <d v="2026-06-05T00:00:00"/>
    <m/>
    <x v="0"/>
    <x v="0"/>
    <s v="AG. MEDIÇÃO"/>
    <n v="1"/>
    <x v="0"/>
    <n v="-2"/>
  </r>
  <r>
    <s v="RSCLER0561"/>
    <s v="SANAB"/>
    <s v="SANAH"/>
    <s v="RSPCE27"/>
    <s v="PORTO ALEGRE"/>
    <s v=" Ed. Vincent Van Gogh"/>
    <s v="R. Vicente da Fontoura, 909"/>
    <s v="SANAB.062.M090"/>
    <d v="2025-03-01T00:00:00"/>
    <x v="0"/>
    <m/>
    <s v="ALANO / AUGUSTO"/>
    <s v="100% - OK"/>
    <s v="OK - ENVIADO"/>
    <s v="SEM LANÇAMENTO"/>
    <s v="SEM LANÇAMENTO"/>
    <s v="4 ABERTURA E FECHAMENTO, 10 FUSÕES, 5 TESTES"/>
    <d v="2025-05-08T00:00:00"/>
    <d v="2025-03-25T00:00:00"/>
    <d v="2025-03-26T00:00:00"/>
    <d v="2025-03-27T00:00:00"/>
    <d v="2025-03-27T00:00:00"/>
    <s v="NÃO PRECISA"/>
    <m/>
    <x v="0"/>
    <x v="0"/>
    <s v="AG. MEDIÇÃO"/>
    <n v="2"/>
    <x v="0"/>
    <n v="-1"/>
  </r>
  <r>
    <s v="RSCLER0411"/>
    <s v="MNDAA"/>
    <s v="MNDAS"/>
    <s v="PAE MAD"/>
    <s v="PORTO ALEGRE"/>
    <s v="Cond Ed Liberty Plaza"/>
    <s v="R. Visc. do Herval, 850 - DIRETORIA"/>
    <s v="MNDAA.131.M030"/>
    <d v="2024-09-01T00:00:00"/>
    <x v="0"/>
    <m/>
    <s v="ANDERSON"/>
    <s v="100% - OK"/>
    <s v="OK - ENVIADO"/>
    <s v="SEM LANÇAMENTO"/>
    <s v="SEM LANÇAMENTO"/>
    <s v="7 ABERTURA E FECHAMENTO, 6 FUSÃO, 1 TESTE"/>
    <d v="2024-09-10T00:00:00"/>
    <d v="2024-09-03T00:00:00"/>
    <d v="2024-09-05T00:00:00"/>
    <d v="2024-09-05T00:00:00"/>
    <d v="2024-09-05T00:00:00"/>
    <s v="NÃO PRECISA"/>
    <m/>
    <x v="0"/>
    <x v="0"/>
    <s v="AG. MEDIÇÃO"/>
    <n v="2"/>
    <x v="0"/>
    <n v="-1"/>
  </r>
  <r>
    <s v="RSCLER0512"/>
    <s v="CTO"/>
    <m/>
    <s v="RSOSR01"/>
    <s v="OSORIO"/>
    <m/>
    <s v="R. VOLUNTÁRIOS DA PÁTRIA, 171 - OSÓRIO"/>
    <s v="CTO.027.M030"/>
    <d v="2025-02-01T00:00:00"/>
    <x v="0"/>
    <m/>
    <s v="FABIO AMARILIO"/>
    <s v="100% - OK"/>
    <s v="OK - ENVIADO"/>
    <s v="SEM LANÇAMENTO"/>
    <s v="SEM LANÇAMENTO"/>
    <s v="5 ABERTURA E FECHAMENTO, 8 FUSÕES, 4 TESTES"/>
    <d v="2025-05-08T00:00:00"/>
    <d v="2025-02-11T00:00:00"/>
    <d v="2025-02-19T00:00:00"/>
    <m/>
    <d v="2025-04-21T00:00:00"/>
    <s v="NÃO PRECISA"/>
    <m/>
    <x v="0"/>
    <x v="0"/>
    <s v="AG. MEDIÇÃO"/>
    <n v="49"/>
    <x v="1"/>
    <n v="46"/>
  </r>
  <r>
    <s v="RSCLER0949"/>
    <s v="IDLAA"/>
    <s v="IDLAE"/>
    <s v="RSNHO11"/>
    <s v="NOVO HAMBURGO"/>
    <s v="Condomínio Edifício Erna"/>
    <s v="R. Voluntários da Pátria, 53"/>
    <s v="IDLAA.071.M020"/>
    <d v="2026-06-01T00:00:00"/>
    <x v="0"/>
    <m/>
    <s v="AFONSO"/>
    <m/>
    <s v="OK"/>
    <s v="SEM LANÇAMENTO"/>
    <s v="SEM LANÇAMENTO"/>
    <s v="2 ABERTURA E FECHAMENTO, 3 FUSÕES, 3 TESTES."/>
    <d v="2026-06-23T00:00:00"/>
    <d v="2026-06-15T00:00:00"/>
    <m/>
    <m/>
    <d v="2026-06-16T00:00:00"/>
    <d v="2026-06-23T00:00:00"/>
    <m/>
    <x v="0"/>
    <x v="0"/>
    <s v="AG. MEDIÇÃO"/>
    <n v="1"/>
    <x v="0"/>
    <n v="-2"/>
  </r>
  <r>
    <s v="RSCLER0714"/>
    <s v="LPRAB"/>
    <s v="LPRAB"/>
    <s v="RSPSU98"/>
    <s v="PORTO ALEGRE"/>
    <s v="Condomínio Reserva da Figueira"/>
    <s v="R.João de Oliveira Remião 5400"/>
    <s v="LPRAB.021"/>
    <d v="2025-08-01T00:00:00"/>
    <x v="0"/>
    <s v="AUGUSTO"/>
    <s v="AUGUSTO"/>
    <m/>
    <m/>
    <m/>
    <m/>
    <s v="COBRAR DENTRO DO NODE LPRAB"/>
    <s v="LPRAB"/>
    <d v="2025-08-22T00:00:00"/>
    <m/>
    <m/>
    <m/>
    <s v="NÃO PRECISA"/>
    <m/>
    <x v="0"/>
    <x v="0"/>
    <s v="AG. MEDIÇÃO"/>
    <n v="264"/>
    <x v="1"/>
    <n v="261"/>
  </r>
  <r>
    <s v="RSCLER0655"/>
    <s v="PRIAA"/>
    <s v="PRIAD"/>
    <s v="RSNHO06"/>
    <s v="NOVO HAMBURGO"/>
    <m/>
    <s v="R_Arroio do Meio 108"/>
    <s v="PRIAA.051.04.08"/>
    <d v="2025-07-01T00:00:00"/>
    <x v="0"/>
    <s v="LUIS FELIPE"/>
    <s v="DIOGO"/>
    <m/>
    <m/>
    <n v="520"/>
    <n v="690"/>
    <s v="FOI LANÇADO 690 METROS DE CABO DE 12FO, 3 ABERTURA E FECHAMENTO, 3 FUSÕES, 1 NAP NOVA, 3 TESTES, 1 TESTE OTDR"/>
    <d v="2025-07-07T00:00:00"/>
    <d v="2025-07-02T00:00:00"/>
    <d v="2025-07-04T00:00:00"/>
    <d v="2025-07-07T00:00:00"/>
    <d v="2025-07-07T00:00:00"/>
    <s v="NÃO PRECISA"/>
    <m/>
    <x v="0"/>
    <x v="0"/>
    <s v="AG. MEDIÇÃO"/>
    <n v="3"/>
    <x v="0"/>
    <n v="0"/>
  </r>
  <r>
    <s v="RSCLER0673"/>
    <s v="CNTAB"/>
    <s v="CNTAI"/>
    <s v="PAE MF"/>
    <s v="PORTO ALEGRE"/>
    <s v="Cond Edifício Sereno"/>
    <s v="Rua 24 de Maio, 211"/>
    <s v="CNTAB.173.M040."/>
    <d v="2025-07-01T00:00:00"/>
    <x v="0"/>
    <s v="UBIRAJARA"/>
    <s v="DIOGO"/>
    <s v="100% - OK"/>
    <m/>
    <n v="622"/>
    <n v="622"/>
    <s v="FOI LANÇADO 622 METROS DE CABO DE 12FO, 5 ABERTURA E FECHAMENTO, 2 DERIVAÇÕES, 8 FUSÕES, 1 TESTE, 3 TESTES OTDR"/>
    <d v="2025-08-11T00:00:00"/>
    <d v="2025-07-15T00:00:00"/>
    <m/>
    <m/>
    <d v="2025-07-29T00:00:00"/>
    <d v="2025-08-11T00:00:00"/>
    <m/>
    <x v="0"/>
    <x v="0"/>
    <s v="AG. MEDIÇÃO"/>
    <n v="10"/>
    <x v="1"/>
    <n v="7"/>
  </r>
  <r>
    <s v="RSCLER0065"/>
    <s v="RBTAC"/>
    <m/>
    <m/>
    <s v="PORTO ALEGRE"/>
    <s v="FABIANO - COOP MATALÚRGICOS"/>
    <s v="RUA 3112, LOT COOMETAL 36"/>
    <m/>
    <d v="2023-04-01T00:00:00"/>
    <x v="0"/>
    <s v="WILLIAN ALVES"/>
    <s v="FÁBIO AMARILHO"/>
    <s v="100% - OK"/>
    <m/>
    <m/>
    <n v="350"/>
    <s v="1 ABERTURA E FECHAMENTO, 2 FUSÕES, 1 TESTE, 1 DERIVAÇÃO, 1 CTO, 350M 12FO"/>
    <d v="2023-06-06T00:00:00"/>
    <d v="2023-04-04T00:00:00"/>
    <d v="2023-04-04T00:00:00"/>
    <d v="2023-04-12T00:00:00"/>
    <d v="2023-04-28T00:00:00"/>
    <s v="NÃO PRECISA"/>
    <m/>
    <x v="0"/>
    <x v="0"/>
    <s v="AG. MEDIÇÃO"/>
    <n v="18"/>
    <x v="1"/>
    <n v="15"/>
  </r>
  <r>
    <s v="RSCLER0724"/>
    <s v="SPEAA"/>
    <s v="SJOAAA"/>
    <s v="PAE DAM"/>
    <s v="PORTO ALEGRE"/>
    <m/>
    <s v="RUA AÇORES 106"/>
    <s v="SPEAA.021.M010"/>
    <d v="2025-09-01T00:00:00"/>
    <x v="0"/>
    <s v="VICTOR"/>
    <s v="DIOGO"/>
    <m/>
    <m/>
    <m/>
    <m/>
    <s v="COBRAR DENTRO DO NODE SJOAA FASE 3"/>
    <s v="SJOAA F3"/>
    <d v="2025-09-09T00:00:00"/>
    <m/>
    <m/>
    <d v="2025-09-11T00:00:00"/>
    <s v="NÃO PRECISA"/>
    <m/>
    <x v="0"/>
    <x v="0"/>
    <s v="AG. MEDIÇÃO"/>
    <n v="2"/>
    <x v="0"/>
    <n v="-1"/>
  </r>
  <r>
    <s v="RSCLER0553"/>
    <s v="SPEAA"/>
    <s v="SPEAB"/>
    <s v="PAE DAM"/>
    <s v="PORTO ALEGRE"/>
    <m/>
    <s v="Rua Açores, 57"/>
    <s v="SPEAA.016.M050."/>
    <d v="2025-03-01T00:00:00"/>
    <x v="0"/>
    <s v="AUGUSTO"/>
    <s v="AUGUSTO"/>
    <s v="100% - OK"/>
    <s v="OK - ENVIADO"/>
    <m/>
    <n v="600"/>
    <s v="FOI LANÇADO 600 METROS DE CABO DE 12 FO, 2 ABERTURA E FECHAMENTO, 12 FUSÕES, 1 CX NOVA, 3 TESTES, 1 DERIVAÇÃO."/>
    <d v="2025-03-23T00:00:00"/>
    <d v="2025-03-19T00:00:00"/>
    <d v="2025-03-20T00:00:00"/>
    <d v="2025-03-24T00:00:00"/>
    <d v="2025-03-22T00:00:00"/>
    <s v="NÃO PRECISA"/>
    <m/>
    <x v="0"/>
    <x v="0"/>
    <s v="AG. MEDIÇÃO"/>
    <n v="2"/>
    <x v="0"/>
    <n v="-1"/>
  </r>
  <r>
    <s v="RSCLER0543"/>
    <s v="SPEAA"/>
    <s v="SPEAB"/>
    <s v="PAE DAM"/>
    <s v="PORTO ALEGRE"/>
    <m/>
    <s v="Rua Açores, 68"/>
    <s v="SPEAA.016.M050"/>
    <d v="2025-03-01T00:00:00"/>
    <x v="0"/>
    <m/>
    <s v="AUGUSTO / ANDERSON"/>
    <s v="100% - OK"/>
    <s v="OK - ENVIADO"/>
    <s v="SEM LANÇAMENTO"/>
    <s v="SEM LANÇAMENTO"/>
    <s v="3 ABERTURA E FECHAMENTO, 8 FUSÕES, 2 TESTES"/>
    <d v="2025-03-23T00:00:00"/>
    <d v="2025-03-17T00:00:00"/>
    <d v="2025-03-18T00:00:00"/>
    <d v="2025-03-20T00:00:00"/>
    <d v="2025-03-22T00:00:00"/>
    <s v="NÃO PRECISA"/>
    <m/>
    <x v="0"/>
    <x v="0"/>
    <s v="AG. MEDIÇÃO"/>
    <n v="4"/>
    <x v="1"/>
    <n v="1"/>
  </r>
  <r>
    <s v="RSCLER0232"/>
    <s v="RBTAB"/>
    <m/>
    <m/>
    <s v="PORTO ALEGRE"/>
    <s v=" RESIDENCIAL PORTO LAÇADOR "/>
    <s v="RUA ADA VAZ CABEDA, 340"/>
    <m/>
    <d v="2024-03-01T00:00:00"/>
    <x v="0"/>
    <s v="THIAGO"/>
    <s v="MARCOS EMILIANO"/>
    <s v="100% - OK"/>
    <s v="OK"/>
    <m/>
    <n v="430"/>
    <s v="FOI LANÇADO 430 METROS DE CABO DE 12FO, 1 ABERTURA E FECHAMENTO, 1 CX NOVA, 2 DERIVAÇÃO, 8 FUSÕES, 4 TESTES"/>
    <d v="2024-03-26T00:00:00"/>
    <d v="2024-03-18T00:00:00"/>
    <d v="2024-03-19T00:00:00"/>
    <d v="2024-03-19T00:00:00"/>
    <d v="2024-03-19T00:00:00"/>
    <s v="NÃO PRECISA"/>
    <m/>
    <x v="0"/>
    <x v="0"/>
    <s v="AG. MEDIÇÃO"/>
    <n v="1"/>
    <x v="0"/>
    <n v="-2"/>
  </r>
  <r>
    <s v="RSCLER0231"/>
    <s v="RBTAB"/>
    <m/>
    <m/>
    <s v="PORTO ALEGRE"/>
    <s v="RESIDENCIAL PORTO SINAI"/>
    <s v="RUA ADA VAZ CABEDA, 400"/>
    <m/>
    <d v="2024-03-01T00:00:00"/>
    <x v="0"/>
    <m/>
    <s v="MARCOS EMILIANO"/>
    <s v="100% - OK"/>
    <s v="OK"/>
    <s v="SEM LANÇAMENTO"/>
    <s v="SEM LANÇAMENTO"/>
    <s v="2 ABERTURA E FECHAMENTO, 1 DERIVAÇÃO, 4 FUSÃO, 2 TESTE"/>
    <d v="2024-03-26T00:00:00"/>
    <d v="2024-03-18T00:00:00"/>
    <m/>
    <d v="2024-03-19T00:00:00"/>
    <d v="2024-03-19T00:00:00"/>
    <s v="NÃO PRECISA"/>
    <m/>
    <x v="0"/>
    <x v="0"/>
    <s v="AG. MEDIÇÃO"/>
    <n v="1"/>
    <x v="0"/>
    <n v="-2"/>
  </r>
  <r>
    <s v="RSCLER0611"/>
    <s v="NOV"/>
    <m/>
    <m/>
    <s v="TRAMANDAÍ"/>
    <s v="NAP LOTADA"/>
    <s v="RUA AFONSO PENA"/>
    <s v="NOV.067.05.03"/>
    <d v="2025-05-01T00:00:00"/>
    <x v="0"/>
    <m/>
    <s v="FABIO AMARILHO"/>
    <m/>
    <m/>
    <s v="SEM LANÇAMENTO"/>
    <s v="SEM LANÇAMENTO"/>
    <s v="3 ABERTURA E FECHAMENTO, 3 FUSÕES, 1 TESTES , 1 TESTE DE OTDR."/>
    <d v="2025-10-21T00:00:00"/>
    <d v="2025-05-30T00:00:00"/>
    <m/>
    <m/>
    <d v="2025-10-20T00:00:00"/>
    <d v="2025-10-21T00:00:00"/>
    <m/>
    <x v="0"/>
    <x v="0"/>
    <s v="AG. MEDIÇÃO"/>
    <n v="101"/>
    <x v="1"/>
    <n v="98"/>
  </r>
  <r>
    <s v="RSCLER0262"/>
    <s v="CNTAA"/>
    <m/>
    <m/>
    <s v="CANOAS "/>
    <s v="PARQUE VENTURA II "/>
    <s v="RUA AFONSO PENA 380"/>
    <m/>
    <d v="2024-04-01T00:00:00"/>
    <x v="0"/>
    <m/>
    <s v="MARCOS EMILIANO"/>
    <s v="100% - OK"/>
    <s v="OK"/>
    <s v="SEM LANÇAMENTO"/>
    <s v="SEM LANÇAMENTO"/>
    <s v="2 ABERTURA E FECHAMENTO, 8 FUSÃO, 4 TESTE"/>
    <d v="2024-04-23T00:00:00"/>
    <d v="2024-04-11T00:00:00"/>
    <m/>
    <m/>
    <d v="2024-04-20T00:00:00"/>
    <s v="NÃO PRECISA"/>
    <m/>
    <x v="0"/>
    <x v="0"/>
    <s v="AG. MEDIÇÃO"/>
    <n v="6"/>
    <x v="1"/>
    <n v="3"/>
  </r>
  <r>
    <s v="RSCLER0273"/>
    <s v="BVSAA"/>
    <m/>
    <m/>
    <s v="PORTO ALEGRE"/>
    <s v="DIRETORIA"/>
    <s v="Rua Afonso Taunay, 180"/>
    <m/>
    <d v="2024-04-01T00:00:00"/>
    <x v="0"/>
    <s v="UBIRATAN"/>
    <s v="ANDERSON"/>
    <s v="100% - OK"/>
    <s v="OK"/>
    <m/>
    <n v="211"/>
    <s v="FOI LANÇADO 211 METROS DE CABO DE 12 FO,  3 ABERTURA E FECHAMENTO, 9 FUSÃO, 1 DERIVAÇÃO, 1 CX NOVA, 3 TESTE"/>
    <d v="2024-05-27T00:00:00"/>
    <d v="2024-04-18T00:00:00"/>
    <m/>
    <d v="2024-04-24T00:00:00"/>
    <d v="2024-05-08T00:00:00"/>
    <s v="NÃO PRECISA"/>
    <m/>
    <x v="0"/>
    <x v="0"/>
    <s v="AG. MEDIÇÃO"/>
    <n v="14"/>
    <x v="1"/>
    <n v="11"/>
  </r>
  <r>
    <s v="RSCLER0458"/>
    <s v="BVSAB"/>
    <s v="BVSAR"/>
    <s v="PAE NR"/>
    <s v="PORTO ALEGRE"/>
    <s v="Cond. Melnick Even"/>
    <s v="Rua Alameda Alceu Wamosy 91"/>
    <s v="BVSAB.041.M010."/>
    <d v="2024-11-01T00:00:00"/>
    <x v="0"/>
    <m/>
    <s v="ANDERSON"/>
    <s v="100% - OK"/>
    <s v="OK - ENVIADO"/>
    <s v="SEM LANÇAMENTO"/>
    <s v="SEM LANÇAMENTO"/>
    <s v="6 ABERTURA E FECHAMENTO, 5 FUSÃO, 1 TESTE "/>
    <d v="2024-11-12T00:00:00"/>
    <d v="2024-11-07T00:00:00"/>
    <d v="2024-11-08T00:00:00"/>
    <d v="2024-11-09T00:00:00"/>
    <d v="2024-11-08T00:00:00"/>
    <s v="NÃO PRECISA"/>
    <m/>
    <x v="0"/>
    <x v="0"/>
    <s v="AG. MEDIÇÃO"/>
    <n v="1"/>
    <x v="0"/>
    <n v="-2"/>
  </r>
  <r>
    <s v="RSCLER0250"/>
    <s v="VIPAA"/>
    <m/>
    <m/>
    <s v="PORTO ALEGRE"/>
    <s v="Condomínio Guarapari "/>
    <s v="Rua Alberto Silva, 397"/>
    <m/>
    <d v="2024-04-01T00:00:00"/>
    <x v="0"/>
    <m/>
    <s v="VINICIUS / FELIPE"/>
    <s v="100% - OK"/>
    <s v="OK"/>
    <s v="SEM LANÇAMENTO"/>
    <s v="SEM LANÇAMENTO"/>
    <s v="2 ABERTURA E FECHAMENTO, 6 FUSÃO, 1 SPLITTER , 5 TESTE "/>
    <d v="2024-04-23T00:00:00"/>
    <d v="2024-04-02T00:00:00"/>
    <m/>
    <d v="2024-04-05T00:00:00"/>
    <d v="2024-04-05T00:00:00"/>
    <s v="NÃO PRECISA"/>
    <m/>
    <x v="0"/>
    <x v="0"/>
    <s v="AG. MEDIÇÃO"/>
    <n v="3"/>
    <x v="0"/>
    <n v="0"/>
  </r>
  <r>
    <s v="RSCLER0707"/>
    <s v="VIPAA"/>
    <s v="SPEADB"/>
    <s v="RSPNO19"/>
    <s v="PORTO ALEGRE"/>
    <m/>
    <s v="Rua Alberto Silva, 500"/>
    <s v="VIPAA.007.M040"/>
    <d v="2025-08-01T00:00:00"/>
    <x v="0"/>
    <s v="UBIRAJARA"/>
    <s v="ANDERSON"/>
    <m/>
    <m/>
    <n v="250"/>
    <n v="307"/>
    <s v="FOI LANÇADO 307 METROS DE CABO DE 12FO, 10 ABERTURA E FECHAMENTO, 21 FUSÕES, 2 DERIVAÇÕES, 1 CX NOVA, 5 TESTES"/>
    <d v="2025-09-04T00:00:00"/>
    <d v="2025-08-20T00:00:00"/>
    <m/>
    <m/>
    <d v="2025-08-27T00:00:00"/>
    <s v="NÃO PRECISA"/>
    <m/>
    <x v="0"/>
    <x v="0"/>
    <s v="AG. MEDIÇÃO"/>
    <n v="5"/>
    <x v="1"/>
    <n v="2"/>
  </r>
  <r>
    <s v="RSCLER0647"/>
    <s v="NNIAA"/>
    <s v="NNIAGA"/>
    <s v="RSPSU08"/>
    <s v="PORTO ALEGRE"/>
    <s v="Cond. dos Montes"/>
    <s v="Rua Alcebiades Antonio dos Santos, 356"/>
    <s v="NNIAA.101"/>
    <d v="2025-06-01T00:00:00"/>
    <x v="0"/>
    <s v="VICTOR"/>
    <s v="GILSON"/>
    <m/>
    <m/>
    <n v="2900"/>
    <n v="3054"/>
    <s v="FOI LANÇADO 1895 METROS DE CABO DE 24FO, E 1159 METROS DE CABO DE 12FO, 1 ABERTURA E FECHAMENTO, 1 CX NOVA, 14 NAP NOVA, 4 DERIVAÇÃO, 32 FUSÕES, 42 TESTES"/>
    <d v="2025-07-10T00:00:00"/>
    <d v="2025-06-24T00:00:00"/>
    <m/>
    <m/>
    <d v="2025-07-02T00:00:00"/>
    <s v="NÃO PRECISA"/>
    <m/>
    <x v="0"/>
    <x v="0"/>
    <s v="AG. MEDIÇÃO"/>
    <n v="6"/>
    <x v="1"/>
    <n v="3"/>
  </r>
  <r>
    <s v="RSCLER0670"/>
    <s v="SPEAA"/>
    <s v="SPEAAA"/>
    <s v="PAE DAM"/>
    <s v="PORTO ALEGRE"/>
    <m/>
    <s v="Rua Amoroso Costa, 100"/>
    <s v="SPEAA.011.M040"/>
    <d v="2025-07-01T00:00:00"/>
    <x v="0"/>
    <m/>
    <s v="CATIA"/>
    <m/>
    <m/>
    <m/>
    <m/>
    <s v="COBRAR NO NODE SPEAAA"/>
    <s v="SPEAAA"/>
    <d v="2025-07-14T00:00:00"/>
    <m/>
    <m/>
    <d v="2025-07-17T00:00:00"/>
    <s v="NÃO PRECISA"/>
    <m/>
    <x v="0"/>
    <x v="0"/>
    <s v="AG. MEDIÇÃO"/>
    <n v="3"/>
    <x v="0"/>
    <n v="0"/>
  </r>
  <r>
    <s v="RSCLER1003"/>
    <s v="PETAA"/>
    <m/>
    <s v="RSPLE11"/>
    <s v="PORTO ALEGRE"/>
    <s v="ED MONTENEGRO"/>
    <s v="AV PROTASIO ALVES 3062"/>
    <s v="PETAA.153.M043"/>
    <d v="2026-07-01T00:00:00"/>
    <x v="0"/>
    <m/>
    <s v="CATIA"/>
    <m/>
    <m/>
    <s v="SEM LANÇAMENTO"/>
    <s v="SEM LANÇAMENTO"/>
    <m/>
    <m/>
    <d v="2026-07-31T00:00:00"/>
    <m/>
    <d v="2026-08-04T00:00:00"/>
    <d v="2026-08-04T00:00:00"/>
    <m/>
    <m/>
    <x v="2"/>
    <x v="2"/>
    <s v="AG. RELATÓRIO"/>
    <n v="2"/>
    <x v="0"/>
    <n v="-1"/>
  </r>
  <r>
    <s v="RSCLER0270"/>
    <s v="BFMAA"/>
    <m/>
    <m/>
    <s v="PORTO ALEGRE"/>
    <s v="DIRETORIA"/>
    <s v="Rua André Puente, 344"/>
    <s v="BFMAA.023.M060"/>
    <d v="2024-04-01T00:00:00"/>
    <x v="0"/>
    <s v="UBIRATAN"/>
    <s v="FABIO AMARILIO"/>
    <s v="100% - OK"/>
    <s v="OK"/>
    <m/>
    <n v="170"/>
    <s v="FOI LANÇADO 170 METROS DE CABO DE 12FO, 4 ABERTURA E FECHAMENTO, 12 FUSÃO, 2 CX NOVA, 2 DERIVAÇÃO, 2 TESTE "/>
    <d v="2024-04-23T00:00:00"/>
    <d v="2024-04-17T00:00:00"/>
    <d v="2024-04-18T00:00:00"/>
    <m/>
    <d v="2024-04-18T00:00:00"/>
    <s v="NÃO PRECISA"/>
    <m/>
    <x v="0"/>
    <x v="0"/>
    <s v="AG. MEDIÇÃO"/>
    <n v="1"/>
    <x v="0"/>
    <n v="-2"/>
  </r>
  <r>
    <s v="RSCLER0733"/>
    <s v="BJMAA"/>
    <s v="JSOAAA"/>
    <s v="RSPLE20"/>
    <s v="PORTO ALEGRE"/>
    <m/>
    <s v="RUA ANGELO CRIVELARO, 645,665,650"/>
    <s v="BJMAA.073.M020"/>
    <d v="2025-09-01T00:00:00"/>
    <x v="0"/>
    <s v="ADRIANO"/>
    <s v="AUGUSTO"/>
    <m/>
    <m/>
    <m/>
    <m/>
    <s v="COBRAR DENTRO DO NODE JSOAAA"/>
    <s v="JSOAAA"/>
    <m/>
    <m/>
    <m/>
    <d v="2025-10-10T00:00:00"/>
    <s v="NÃO PRECISA"/>
    <m/>
    <x v="0"/>
    <x v="0"/>
    <s v="AG. MEDIÇÃO"/>
    <s v="DATA ENTRADA"/>
    <x v="1"/>
    <s v="DATA ENTRADA"/>
  </r>
  <r>
    <s v="RSCLER0735"/>
    <s v="BJMAA"/>
    <s v="JSOAAA"/>
    <s v="RSPLE20"/>
    <s v="PORTO ALEGRE"/>
    <m/>
    <s v="RUA ANGELO CRIVELARO,680"/>
    <s v="BJMAA.073.M040"/>
    <d v="2025-09-01T00:00:00"/>
    <x v="0"/>
    <s v="ADRIANO"/>
    <s v="AUGUSTO"/>
    <m/>
    <m/>
    <m/>
    <m/>
    <s v="COBRAR DENTRO DO NODE JSOAAA"/>
    <s v="JSOAAA"/>
    <m/>
    <m/>
    <m/>
    <d v="2025-10-10T00:00:00"/>
    <s v="NÃO PRECISA"/>
    <m/>
    <x v="0"/>
    <x v="0"/>
    <s v="AG. MEDIÇÃO"/>
    <s v="DATA ENTRADA"/>
    <x v="1"/>
    <s v="DATA ENTRADA"/>
  </r>
  <r>
    <s v="RSCLER0734"/>
    <s v="BJMAA"/>
    <s v="JSOAAA"/>
    <s v="RSPLE20"/>
    <s v="PORTO ALEGRE"/>
    <m/>
    <s v="RUA ANGELO CRIVELARO,700,720,725"/>
    <s v="BJMAA.073.M030"/>
    <d v="2025-09-01T00:00:00"/>
    <x v="0"/>
    <s v="ADRIANO"/>
    <s v="AUGUSTO"/>
    <m/>
    <m/>
    <m/>
    <m/>
    <s v="COBRAR DENTRO DO NODE JSOAAA"/>
    <s v="JSOAAA"/>
    <m/>
    <m/>
    <m/>
    <d v="2025-10-10T00:00:00"/>
    <s v="NÃO PRECISA"/>
    <m/>
    <x v="0"/>
    <x v="0"/>
    <s v="AG. MEDIÇÃO"/>
    <s v="DATA ENTRADA"/>
    <x v="1"/>
    <s v="DATA ENTRADA"/>
  </r>
  <r>
    <s v="RSCLER0465"/>
    <s v="BVSAB"/>
    <s v="BVSAHA"/>
    <s v="PAE NR"/>
    <s v="PORTO ALEGRE"/>
    <s v="REMANEJAMENTO"/>
    <s v="RUA ANITA GARIBALDI, 1325"/>
    <s v="BVSAB.031.M050."/>
    <d v="2024-11-01T00:00:00"/>
    <x v="0"/>
    <s v="VICTOR"/>
    <s v="ANDERSON"/>
    <s v="100% - OK"/>
    <s v="OK"/>
    <m/>
    <n v="133"/>
    <s v="FOI LANÇADO 133 METROS DE CABO DE 12FO, 3 ABERTURA E FECHAMENTO, 4 FUSÃO, 2 DERIVAÇÃO, 1 CX NOVA 2 TESTE"/>
    <d v="2024-11-25T00:00:00"/>
    <d v="2024-11-12T00:00:00"/>
    <d v="2024-11-15T00:00:00"/>
    <m/>
    <d v="2024-11-18T00:00:00"/>
    <s v="NÃO PRECISA"/>
    <m/>
    <x v="0"/>
    <x v="0"/>
    <s v="AG. MEDIÇÃO"/>
    <n v="4"/>
    <x v="1"/>
    <n v="1"/>
  </r>
  <r>
    <s v="RSCLER0038"/>
    <s v="MNDAA"/>
    <m/>
    <m/>
    <s v="PORTO ALEGRE"/>
    <s v="COND. AUGUSTO MEIRELES DE CARVALHO"/>
    <s v="RUA ANITA GARIBALDI, 2541"/>
    <m/>
    <d v="2023-03-01T00:00:00"/>
    <x v="0"/>
    <s v="IVANIR  DE OLIVEIRA"/>
    <s v="PAULO GOMES"/>
    <s v="100% - OK"/>
    <m/>
    <m/>
    <n v="220"/>
    <s v="LANÇAMENTO DE 220m (12FO)  E FUSÕES EM CAIXAS EXISTENTES"/>
    <d v="2023-05-20T00:00:00"/>
    <d v="2023-02-17T00:00:00"/>
    <d v="2023-03-10T00:00:00"/>
    <d v="2023-03-14T00:00:00"/>
    <d v="2023-03-20T00:00:00"/>
    <s v="NÃO PRECISA"/>
    <m/>
    <x v="0"/>
    <x v="0"/>
    <s v="AG. MEDIÇÃO"/>
    <n v="21"/>
    <x v="1"/>
    <n v="18"/>
  </r>
  <r>
    <s v="RSCLER0003"/>
    <s v="MTSAE"/>
    <m/>
    <m/>
    <s v="PORTO ALEGRE"/>
    <s v="COND. VENEZA"/>
    <s v="RUA ANITA GARIBALDI, 520 "/>
    <m/>
    <d v="2023-01-01T00:00:00"/>
    <x v="0"/>
    <m/>
    <s v="DIOGO"/>
    <s v="100% - OK"/>
    <s v="-"/>
    <s v="SEM LANÇAMENTO"/>
    <s v="SEM LANÇAMENTO"/>
    <s v="ALINHAMENTO DE FIBRA"/>
    <s v="SIM"/>
    <d v="2023-01-02T00:00:00"/>
    <d v="2023-01-02T00:00:00"/>
    <d v="2023-01-16T00:00:00"/>
    <d v="2023-01-16T00:00:00"/>
    <s v="NÃO PRECISA"/>
    <m/>
    <x v="0"/>
    <x v="0"/>
    <s v="AG. MEDIÇÃO"/>
    <n v="10"/>
    <x v="1"/>
    <n v="7"/>
  </r>
  <r>
    <s v="RSCLER0528"/>
    <s v="PRTAB"/>
    <s v="PRTAE"/>
    <s v="RSPLE21"/>
    <s v="PORTO ALEGRE"/>
    <s v="Condomínio"/>
    <s v="Rua Antonio Ribeiro, 186"/>
    <s v="PRTAB.021.M040"/>
    <d v="2025-02-01T00:00:00"/>
    <x v="0"/>
    <m/>
    <s v="AUGUSTO"/>
    <s v="100% - OK"/>
    <s v="OK - ENVIADO"/>
    <s v="SEM LANÇAMENTO"/>
    <s v="SEM LANÇAMENTO"/>
    <s v="4 ABERTURA E FECHAMENTO, 6 SUÕES, 2 TESTES"/>
    <d v="2025-03-18T00:00:00"/>
    <d v="2025-02-27T00:00:00"/>
    <d v="2025-02-28T00:00:00"/>
    <m/>
    <d v="2025-02-28T00:00:00"/>
    <s v="NÃO PRECISA"/>
    <m/>
    <x v="0"/>
    <x v="0"/>
    <s v="AG. MEDIÇÃO"/>
    <n v="1"/>
    <x v="0"/>
    <n v="-2"/>
  </r>
  <r>
    <s v="RSCLER0515"/>
    <s v="CNTAA"/>
    <s v="CNTAGB"/>
    <s v="NHO LO"/>
    <s v="NOVO HAMBURGO"/>
    <m/>
    <s v="Rua Aracaju 390"/>
    <s v="CNTAA.111.M050"/>
    <d v="2025-02-01T00:00:00"/>
    <x v="0"/>
    <s v="TIAGO FERREIRA"/>
    <s v="LUIS SCHUCH"/>
    <m/>
    <m/>
    <n v="400"/>
    <n v="605"/>
    <s v="FOI LANÇADO 605 METROS DE CABO DE 12FO, 3 ABERTURA E FECHAMENTO, 1 CX NOVA, 1 DERIVAÇÃO, 4 FUSÕES, 2 TESTES"/>
    <d v="2025-03-18T00:00:00"/>
    <d v="2025-02-10T00:00:00"/>
    <d v="2025-02-15T00:00:00"/>
    <d v="2025-02-17T00:00:00"/>
    <d v="2025-02-18T00:00:00"/>
    <s v="NÃO PRECISA"/>
    <m/>
    <x v="0"/>
    <x v="0"/>
    <s v="AG. MEDIÇÃO"/>
    <n v="6"/>
    <x v="1"/>
    <n v="3"/>
  </r>
  <r>
    <s v="RSCLER0739"/>
    <s v="BVSAB "/>
    <s v="VJDAEA"/>
    <s v="PAE NR"/>
    <s v="PORTO ALEGRE"/>
    <m/>
    <s v="RUA ARARUAMA, 805"/>
    <s v="BVSAB.301.M010"/>
    <d v="2025-10-01T00:00:00"/>
    <x v="0"/>
    <s v="CLEVERSON"/>
    <s v="AUGUSTO"/>
    <m/>
    <m/>
    <m/>
    <m/>
    <s v="COBRAR DENTRO DO NODE VJDAEA"/>
    <s v="VJDAEA"/>
    <d v="2025-10-14T00:00:00"/>
    <m/>
    <m/>
    <d v="2025-11-25T00:00:00"/>
    <s v="NÃO PRECISA"/>
    <m/>
    <x v="0"/>
    <x v="0"/>
    <s v="AG. MEDIÇÃO"/>
    <n v="30"/>
    <x v="1"/>
    <n v="27"/>
  </r>
  <r>
    <s v="RSCLER0811"/>
    <s v="RBTAA"/>
    <s v="RBTALB"/>
    <s v="RSPNOA8"/>
    <s v="PORTO ALEGRE"/>
    <s v="Cond.Edifício Residencial Mansões do Norte"/>
    <s v="Rua Ari Barroso, 109"/>
    <s v="RBTAA.021.M020"/>
    <d v="2026-04-01T00:00:00"/>
    <x v="0"/>
    <s v="AUGUSTO"/>
    <s v="AUGUSTO"/>
    <m/>
    <m/>
    <n v="362"/>
    <n v="358"/>
    <s v="FOI LANÇADO 291 METROS DE CABO DE 12FO, 67 MENTRO DE CABO DE 24FO, 1 ABERTURA E FECHAMENTO, 1 DERIVAÇÃO, 2 CX NOVA, 22 FUSÕES, 8 TESTES.COBRAR JUNTO COM A OS RSCLER0809"/>
    <d v="2026-04-20T00:00:00"/>
    <d v="2026-04-01T00:00:00"/>
    <m/>
    <m/>
    <d v="2026-04-14T00:00:00"/>
    <d v="2026-04-20T00:00:00"/>
    <m/>
    <x v="0"/>
    <x v="0"/>
    <s v="AG. MEDIÇÃO"/>
    <n v="9"/>
    <x v="1"/>
    <n v="6"/>
  </r>
  <r>
    <s v="RSCLER0935"/>
    <s v="SJOAA"/>
    <s v="SJO04"/>
    <s v="CAN NET"/>
    <s v="CANOAS "/>
    <s v="Cond. Viver"/>
    <s v="RUA ARMANDO FAJARDO 763"/>
    <s v="SJOAA.131.M030"/>
    <d v="2026-06-01T00:00:00"/>
    <x v="0"/>
    <s v="TIAGO FERREIRA"/>
    <s v="AFONSO"/>
    <m/>
    <s v="OK"/>
    <n v="700"/>
    <n v="708"/>
    <s v="3 ABERTURA E FECHAMENTO, 1 CX NOVA, 30 FUSÕES, 10 TESTES, 1 DERIVAÇÃO."/>
    <d v="2026-08-11T00:00:00"/>
    <d v="2026-06-16T00:00:00"/>
    <m/>
    <m/>
    <d v="2026-06-26T00:00:00"/>
    <d v="2026-08-11T00:00:00"/>
    <m/>
    <x v="0"/>
    <x v="0"/>
    <s v="AG. MEDIÇÃO"/>
    <n v="8"/>
    <x v="1"/>
    <n v="5"/>
  </r>
  <r>
    <s v="RSCLER0334"/>
    <s v="MTSAA"/>
    <s v="MTSAK"/>
    <s v="RSPNO24"/>
    <s v="PORTO ALEGRE"/>
    <s v="Le Pierre "/>
    <s v="RUA ARTHUR ROCHA, 1111"/>
    <s v="MTSAA.302.M090"/>
    <d v="2024-07-01T00:00:00"/>
    <x v="0"/>
    <s v="TIAGO FERREIRA"/>
    <s v="MARCOS EMILIANO"/>
    <s v="100% - OK"/>
    <s v="OK"/>
    <m/>
    <n v="305"/>
    <s v="FOI LANÇADO 305 METROS DE CABO DE 12FO, 4 ABERTURA E FECHAMENTO, 1 DERIVAÇÃO, 1 CX NOVA, 8 FUSÃO, 2 TESTE"/>
    <d v="2024-07-24T00:00:00"/>
    <d v="2024-07-02T00:00:00"/>
    <d v="2024-07-09T00:00:00"/>
    <d v="2024-07-12T00:00:00"/>
    <d v="2024-07-12T00:00:00"/>
    <s v="NÃO PRECISA"/>
    <m/>
    <x v="0"/>
    <x v="0"/>
    <s v="AG. MEDIÇÃO"/>
    <n v="8"/>
    <x v="1"/>
    <n v="5"/>
  </r>
  <r>
    <s v="RSCLER0278"/>
    <s v="NAVAA"/>
    <m/>
    <m/>
    <s v="PORTO ALEGRE"/>
    <s v="DIRETORIA"/>
    <s v="Rua Ary Marinho, 11"/>
    <m/>
    <d v="2024-04-01T00:00:00"/>
    <x v="0"/>
    <s v="THIAGO "/>
    <s v="MARCIO"/>
    <s v="100% - OK"/>
    <s v="OK"/>
    <m/>
    <n v="382"/>
    <s v="FOI LANÇADO 382 METROS DE CABO DE 12FO, 1 CX NOVA, 1 TESTE, 1 DERIVAÇÃO,13 ABERTURA E FECHAMENTO, 20 FUSÃO"/>
    <d v="2024-06-26T00:00:00"/>
    <d v="2024-04-18T00:00:00"/>
    <d v="2024-05-15T00:00:00"/>
    <d v="2024-05-16T00:00:00"/>
    <d v="2024-05-25T00:00:00"/>
    <s v="NÃO PRECISA"/>
    <m/>
    <x v="0"/>
    <x v="0"/>
    <s v="AG. MEDIÇÃO"/>
    <n v="26"/>
    <x v="1"/>
    <n v="23"/>
  </r>
  <r>
    <s v="RSCLER0281"/>
    <s v="NAVAA"/>
    <m/>
    <m/>
    <s v="PORTO ALEGRE"/>
    <s v="DIRETORIA"/>
    <s v="Rua Ary Marinho, 14"/>
    <m/>
    <d v="2024-04-01T00:00:00"/>
    <x v="0"/>
    <m/>
    <s v="MARCIO"/>
    <s v="100% - OK"/>
    <s v="OK"/>
    <m/>
    <n v="278"/>
    <s v="ESSA OS É JUNTO COM A RSCLER0278"/>
    <d v="2024-07-24T00:00:00"/>
    <d v="2024-04-22T00:00:00"/>
    <m/>
    <s v="16/05/024"/>
    <d v="2024-05-25T00:00:00"/>
    <s v="NÃO PRECISA"/>
    <m/>
    <x v="0"/>
    <x v="0"/>
    <s v="AG. MEDIÇÃO"/>
    <n v="24"/>
    <x v="1"/>
    <n v="21"/>
  </r>
  <r>
    <s v="RSCLER0784"/>
    <s v="BVSAA"/>
    <m/>
    <m/>
    <s v="PORTO ALEGRE"/>
    <m/>
    <s v="RUA ATANASIO BELMONTE 51"/>
    <s v="BVSAA.061.M020"/>
    <d v="2025-12-01T00:00:00"/>
    <x v="0"/>
    <m/>
    <s v="DERIK"/>
    <m/>
    <m/>
    <s v="SEM LANÇAMENTO"/>
    <s v="SEM LANÇAMENTO"/>
    <s v="9 ABERTURA E FECHAMENTO, 8 FUSÕES, 4 TESTES OTDR"/>
    <d v="2026-01-30T00:00:00"/>
    <d v="2025-12-29T00:00:00"/>
    <m/>
    <m/>
    <m/>
    <d v="2026-01-31T00:00:00"/>
    <m/>
    <x v="0"/>
    <x v="0"/>
    <s v="AG. MEDIÇÃO"/>
    <n v="173"/>
    <x v="1"/>
    <n v="170"/>
  </r>
  <r>
    <s v="RSCLER0240"/>
    <s v="CNTAA"/>
    <m/>
    <m/>
    <s v="NOVO HAMBURGO"/>
    <s v="Allegro Residencial"/>
    <s v="Rua Augusto Jung, 65"/>
    <m/>
    <d v="2024-03-01T00:00:00"/>
    <x v="0"/>
    <m/>
    <s v=" LUCAS HOBERT"/>
    <s v="100% - OK"/>
    <s v="OK"/>
    <s v="SEM LANÇAMENTO"/>
    <s v="SEM LANÇAMENTO"/>
    <s v="3 ABERTURA E FECHAMENTO, 6 FUSÃO, 2 TESTE "/>
    <d v="2024-03-23T00:00:00"/>
    <d v="2024-03-28T00:00:00"/>
    <m/>
    <d v="2024-04-22T00:00:00"/>
    <d v="2024-04-22T00:00:00"/>
    <s v="NÃO PRECISA"/>
    <m/>
    <x v="0"/>
    <x v="0"/>
    <s v="AG. MEDIÇÃO"/>
    <n v="17"/>
    <x v="1"/>
    <n v="14"/>
  </r>
  <r>
    <s v="RSCLER0239"/>
    <s v="CNTAA"/>
    <m/>
    <m/>
    <s v="NOVO HAMBURGO"/>
    <s v=" Edifício "/>
    <s v="Rua Augusto Jung, 70"/>
    <m/>
    <d v="2024-03-01T00:00:00"/>
    <x v="0"/>
    <m/>
    <s v="LUCAS HOBERT"/>
    <s v="100% - OK"/>
    <s v="OK"/>
    <s v="SEM LANÇAMENTO"/>
    <s v="SEM LANÇAMENTO"/>
    <s v="3 ABERTURA E FECHAMENTO, 1 SPLITTER NOVO, 7 FUSÃO, 2 TESTE "/>
    <d v="2024-03-23T00:00:00"/>
    <d v="2024-03-28T00:00:00"/>
    <m/>
    <d v="2024-04-22T00:00:00"/>
    <d v="2024-04-22T00:00:00"/>
    <s v="NÃO PRECISA"/>
    <m/>
    <x v="0"/>
    <x v="0"/>
    <s v="AG. MEDIÇÃO"/>
    <n v="17"/>
    <x v="1"/>
    <n v="14"/>
  </r>
  <r>
    <s v="RSCLER0238"/>
    <s v="CNTAA"/>
    <m/>
    <m/>
    <s v="NOVO HAMBURGO"/>
    <s v="Edifício Verona"/>
    <s v="Rua Augusto Jung, 80"/>
    <m/>
    <d v="2024-03-01T00:00:00"/>
    <x v="0"/>
    <s v="GIOVANE"/>
    <s v="MARCOS EMILIANO"/>
    <s v="100% - OK"/>
    <s v="OK"/>
    <m/>
    <n v="153"/>
    <s v="FOI LANÇADO 153 METROS DE CABO DE 12FO ,2 ABERTURA E FECHAMENTO, 1 DERIVAÇÃO, 1 CX NOVA, 3FUSÃO, 1 TESTE"/>
    <d v="2024-04-23T00:00:00"/>
    <d v="2024-03-28T00:00:00"/>
    <d v="2024-03-28T00:00:00"/>
    <d v="2024-03-30T00:00:00"/>
    <d v="2024-03-30T00:00:00"/>
    <s v="NÃO PRECISA"/>
    <m/>
    <x v="0"/>
    <x v="0"/>
    <s v="AG. MEDIÇÃO"/>
    <n v="1"/>
    <x v="0"/>
    <n v="-2"/>
  </r>
  <r>
    <s v="RSCLER0004"/>
    <s v="CNTABB"/>
    <m/>
    <m/>
    <s v="NOVO HAMBURGO"/>
    <s v="ED. DOM ALBERTO"/>
    <s v="RUA AVAI, 241"/>
    <m/>
    <d v="2023-01-01T00:00:00"/>
    <x v="0"/>
    <s v="MARCOS"/>
    <s v="ALEX DUTRA"/>
    <s v="100% - OK"/>
    <s v="-"/>
    <m/>
    <n v="546"/>
    <s v="LANÇAMENTO DE 546m (12FO)  E INSTALAÇÃO DE CAIXA NOVA"/>
    <s v="SIM"/>
    <d v="2023-01-02T00:00:00"/>
    <d v="2023-01-02T00:00:00"/>
    <d v="2023-01-10T00:00:00"/>
    <d v="2023-01-10T00:00:00"/>
    <s v="NÃO PRECISA"/>
    <m/>
    <x v="0"/>
    <x v="0"/>
    <s v="AG. MEDIÇÃO"/>
    <n v="6"/>
    <x v="1"/>
    <n v="3"/>
  </r>
  <r>
    <s v="RSCLER0005"/>
    <s v="CNTABB"/>
    <m/>
    <m/>
    <s v="NOVO HAMBURGO"/>
    <s v="RES. SOLAR MERIDIEN "/>
    <s v="RUA AVAI, 250"/>
    <m/>
    <d v="2023-01-01T00:00:00"/>
    <x v="0"/>
    <s v="MARCOS"/>
    <s v="ALEX DUTRA"/>
    <s v="100% - OK"/>
    <s v="-"/>
    <m/>
    <n v="142"/>
    <s v="LANÇAMENTO DE 142m (12FO) E FUSÕES EM CAIXAS EXISTENTES"/>
    <s v="SIM"/>
    <d v="2023-01-02T00:00:00"/>
    <d v="2023-01-02T00:00:00"/>
    <d v="2023-01-10T00:00:00"/>
    <d v="2023-01-10T00:00:00"/>
    <s v="NÃO PRECISA"/>
    <m/>
    <x v="0"/>
    <x v="0"/>
    <s v="AG. MEDIÇÃO"/>
    <n v="6"/>
    <x v="1"/>
    <n v="3"/>
  </r>
  <r>
    <s v="RSCLER0039"/>
    <s v="CNTAG"/>
    <m/>
    <m/>
    <s v="NOVO HAMBURGO"/>
    <s v="BAGÉ"/>
    <s v="RUA BAGÉ, 81"/>
    <m/>
    <d v="2023-03-01T00:00:00"/>
    <x v="0"/>
    <m/>
    <s v="LUCAS HOBERT"/>
    <s v="100% - OK"/>
    <s v="OK"/>
    <s v="SEM LANÇAMENTO"/>
    <s v="SEM LANÇAMENTO"/>
    <s v="2 ABERTURA E FECHAMENTO, 6 FUSÕES, 3 TESTES, 1 TESTE COM OTDR"/>
    <d v="2023-06-06T00:00:00"/>
    <d v="2023-06-06T00:00:00"/>
    <m/>
    <m/>
    <m/>
    <s v="NÃO PRECISA"/>
    <m/>
    <x v="0"/>
    <x v="0"/>
    <s v="AG. MEDIÇÃO"/>
    <n v="842"/>
    <x v="1"/>
    <n v="839"/>
  </r>
  <r>
    <s v="RSCLER0246"/>
    <s v="CNUAB"/>
    <m/>
    <m/>
    <s v="NOVO HAMBURGO"/>
    <s v="CNUAB.013.M020"/>
    <s v="Rua Barão de Guaíba 211"/>
    <s v="CNUAB.013.M020"/>
    <d v="2024-04-01T00:00:00"/>
    <x v="0"/>
    <s v="MALCOLN"/>
    <s v="VINICIUS / TAYLLER"/>
    <s v="100% - OK"/>
    <s v="OK"/>
    <m/>
    <n v="260"/>
    <s v="FOI LANÇADO 260 METROS DE CABO DE 12FO, 3 ABERTURA E FECHAMENTO, 1 SPLITTER, 13 FUSÃO, 1 DERIVAÇÃO, 4 TESTE "/>
    <d v="2024-04-23T00:00:00"/>
    <d v="2024-04-02T00:00:00"/>
    <d v="2024-04-08T00:00:00"/>
    <d v="2024-04-10T00:00:00"/>
    <d v="2024-04-10T00:00:00"/>
    <s v="NÃO PRECISA"/>
    <m/>
    <x v="0"/>
    <x v="0"/>
    <s v="AG. MEDIÇÃO"/>
    <n v="6"/>
    <x v="1"/>
    <n v="3"/>
  </r>
  <r>
    <s v="RSCLER0498"/>
    <s v="MTSAA"/>
    <s v="MTSAK"/>
    <s v="PAE BV"/>
    <s v="PORTO ALEGRE"/>
    <s v=" Cond. Aston"/>
    <s v="Rua Barão de Ubá, 621"/>
    <s v="MTSAA.301.M040"/>
    <d v="2025-02-01T00:00:00"/>
    <x v="0"/>
    <m/>
    <s v="ANDERSON"/>
    <s v="100% - OK"/>
    <s v="OK - ENVIADO"/>
    <s v="SEM LANÇAMENTO"/>
    <s v="SEM LANÇAMENTO"/>
    <s v="6 ABERTURA E FECHAMENTO,8 FUSÕES, 3 TESTES."/>
    <d v="2025-02-12T00:00:00"/>
    <d v="2025-02-06T00:00:00"/>
    <d v="2025-02-09T00:00:00"/>
    <d v="2025-02-10T00:00:00"/>
    <d v="2025-02-10T00:00:00"/>
    <s v="NÃO PRECISA"/>
    <m/>
    <x v="0"/>
    <x v="0"/>
    <s v="AG. MEDIÇÃO"/>
    <n v="2"/>
    <x v="0"/>
    <n v="-1"/>
  </r>
  <r>
    <s v="RSCLER0524"/>
    <s v="MNDAA"/>
    <s v="MNDAS"/>
    <s v="PAE MAD"/>
    <s v="PORTO ALEGRE"/>
    <s v="Cond. Pallazio Di Milano"/>
    <s v="Rua Barão do Triunfo, 261"/>
    <s v="MNDAA.131.M060"/>
    <d v="2025-02-01T00:00:00"/>
    <x v="0"/>
    <s v="AUGUSTO"/>
    <s v="AUGUSTO"/>
    <m/>
    <m/>
    <n v="151"/>
    <n v="179"/>
    <s v="FOI LANÇADO 179 METROS DE CABO DE 12FO, 9 ABERTURA E FECHAMENTO, 1 CX NOVA, 24 FUSÕES, 1 DERIVAÇÃO, 5 TESTES"/>
    <d v="2025-03-18T00:00:00"/>
    <d v="2025-02-26T00:00:00"/>
    <d v="2025-02-27T00:00:00"/>
    <m/>
    <d v="2025-02-27T00:00:00"/>
    <s v="NÃO PRECISA"/>
    <m/>
    <x v="0"/>
    <x v="0"/>
    <s v="AG. MEDIÇÃO"/>
    <n v="1"/>
    <x v="0"/>
    <n v="-2"/>
  </r>
  <r>
    <s v="RSCLER0245"/>
    <s v="CNUAB"/>
    <m/>
    <m/>
    <s v="NOVO HAMBURGO"/>
    <s v="CNUAB.012.M030"/>
    <s v="Rua Bartolomeu de Gusmão 230 e 240"/>
    <s v="CNUAB.012.M030"/>
    <d v="2024-04-01T00:00:00"/>
    <x v="0"/>
    <m/>
    <s v="VINICIUS / RODRIGO"/>
    <s v="100% - OK"/>
    <s v="OK"/>
    <m/>
    <s v="ESTAVA CONSTRU"/>
    <s v="JÁ ESTAVA CONSTRUÍDO"/>
    <d v="2024-04-23T00:00:00"/>
    <d v="2024-04-02T00:00:00"/>
    <m/>
    <d v="2024-04-04T00:00:00"/>
    <d v="2024-04-04T00:00:00"/>
    <s v="NÃO PRECISA"/>
    <m/>
    <x v="0"/>
    <x v="0"/>
    <s v="AG. MEDIÇÃO"/>
    <n v="2"/>
    <x v="0"/>
    <n v="-1"/>
  </r>
  <r>
    <s v="RSCLER0131"/>
    <s v="CNTAA"/>
    <m/>
    <m/>
    <s v="ESTEIO"/>
    <s v="MDU RAFAEL KOLORASH"/>
    <s v="RUA BOM JESUS "/>
    <m/>
    <d v="2023-09-01T00:00:00"/>
    <x v="0"/>
    <s v="NEIMAR"/>
    <m/>
    <s v="100% - OK"/>
    <s v="-"/>
    <m/>
    <n v="174"/>
    <s v="FOI LANÇADO 174 METROS DE CABO DE 12FO, FOI REPUXADO 50 METROS DE CABO, 1 NAP NOVA, 5 ABERTURA E FECHAMENTO, 3 DERIVAÇÃO, 5 FUSÃO E 1 TESTE. "/>
    <d v="2023-10-04T00:00:00"/>
    <d v="2023-09-25T00:00:00"/>
    <d v="2023-09-25T00:00:00"/>
    <d v="2023-09-25T00:00:00"/>
    <d v="2023-09-25T00:00:00"/>
    <s v="NÃO PRECISA"/>
    <m/>
    <x v="0"/>
    <x v="0"/>
    <s v="AG. MEDIÇÃO"/>
    <n v="0"/>
    <x v="0"/>
    <n v="-3"/>
  </r>
  <r>
    <s v="RSCLER1000"/>
    <s v="PETAA"/>
    <m/>
    <s v="RSPLE11"/>
    <s v="PORTO ALEGRE"/>
    <s v="Cond. Edifício Dora"/>
    <s v="AV PROTASIO ALVES 3210"/>
    <s v="PETAA.153.M040"/>
    <d v="2026-07-01T00:00:00"/>
    <x v="0"/>
    <s v="TIAGO FERREIRA"/>
    <s v="CATIA"/>
    <m/>
    <m/>
    <n v="400"/>
    <n v="458"/>
    <s v="5 ABERTURA E FECHAMENTO, 17 FUSÕES, 1 CX NOVA, 1 DERIVAÇÃO, 4 TESTES OTDR, 8 TESTES."/>
    <m/>
    <d v="2026-07-31T00:00:00"/>
    <m/>
    <d v="2026-08-04T00:00:00"/>
    <d v="2026-08-04T00:00:00"/>
    <m/>
    <m/>
    <x v="2"/>
    <x v="2"/>
    <s v="AG. RELATÓRIO"/>
    <n v="2"/>
    <x v="0"/>
    <n v="-1"/>
  </r>
  <r>
    <s v="RSCLER0257"/>
    <s v="RBRAA"/>
    <m/>
    <m/>
    <s v="PORTO ALEGRE"/>
    <s v="NAP lotada"/>
    <s v="Rua Cabral, 201"/>
    <m/>
    <d v="2024-04-01T00:00:00"/>
    <x v="0"/>
    <m/>
    <s v="LUCAS HOBERT"/>
    <s v="100% - OK"/>
    <s v="OK"/>
    <s v="SEM LANÇAMENTO"/>
    <s v="SEM LANÇAMENTO"/>
    <s v="1 ABERTURA E FECHAMENTO, 1 SPLITTER NOVO, 2 FUSÃO, 1 TESTE"/>
    <d v="2024-03-23T00:00:00"/>
    <d v="2024-04-10T00:00:00"/>
    <d v="2024-04-11T00:00:00"/>
    <d v="2024-04-12T00:00:00"/>
    <d v="2024-04-11T00:00:00"/>
    <s v="NÃO PRECISA"/>
    <m/>
    <x v="0"/>
    <x v="0"/>
    <s v="AG. MEDIÇÃO"/>
    <n v="1"/>
    <x v="0"/>
    <n v="-2"/>
  </r>
  <r>
    <s v="RSCLER0066"/>
    <s v="MTSAA"/>
    <m/>
    <m/>
    <s v="PORTO ALEGRE"/>
    <s v="COND. LIVILE"/>
    <s v="RUA CAEMIRO DE ABREU, 1655"/>
    <m/>
    <d v="2023-04-01T00:00:00"/>
    <x v="0"/>
    <s v="FÁBIO AMARILHO"/>
    <s v="FÁBIO AMARILHO"/>
    <s v="100% - OK"/>
    <m/>
    <m/>
    <n v="145"/>
    <s v="2 ABERTURA E FECHAMENTO, 8 FUSÕES, 1 DERIVAÇÃO, 1 CEO, 4 TESTES, 145M DE 12FO, 2 TESTES COM OTDR. ( FIBRA ESTAVA PARADA NO CAMINHO)"/>
    <d v="2023-06-07T00:00:00"/>
    <d v="2023-04-03T00:00:00"/>
    <d v="2023-04-04T00:00:00"/>
    <d v="2023-04-11T00:00:00"/>
    <d v="2023-04-13T00:00:00"/>
    <s v="NÃO PRECISA"/>
    <m/>
    <x v="0"/>
    <x v="0"/>
    <s v="AG. MEDIÇÃO"/>
    <n v="8"/>
    <x v="1"/>
    <n v="5"/>
  </r>
  <r>
    <s v="RSCLER0441"/>
    <s v="CTLAA"/>
    <s v="CTLAG"/>
    <s v="RSPSU07"/>
    <s v="PORTO ALEGRE"/>
    <m/>
    <s v="RUA CAMPOS VELHO, 519, 521, 523, 525"/>
    <s v="CTLAA.064.M510"/>
    <d v="2024-09-01T00:00:00"/>
    <x v="0"/>
    <s v="MALCOLM"/>
    <s v="MARCOS EMILIANO"/>
    <s v="100% - OK"/>
    <s v="OK - ENVIADO"/>
    <n v="100"/>
    <n v="100"/>
    <s v="FOI LANÇADO 100 METROS DE CABO DE 12FO, 1 ABERTURA E FECHAMENTO, 1 CX NOVA, 1 DERIVAÇÃO, 11 FUSÃO, 11 TESTE "/>
    <d v="2024-10-10T00:00:00"/>
    <m/>
    <m/>
    <m/>
    <m/>
    <s v="NÃO PRECISA"/>
    <m/>
    <x v="0"/>
    <x v="0"/>
    <s v="AG. MEDIÇÃO"/>
    <s v="DATA ENTRADA"/>
    <x v="1"/>
    <s v="DATA ENTRADA"/>
  </r>
  <r>
    <s v="RSCLER0233"/>
    <s v="CNTAA"/>
    <m/>
    <m/>
    <s v="CANOAS "/>
    <s v="CONDOMÍNIO SENSE  CANOAS"/>
    <s v="Rua Carlos Drumond de Andrade, 188"/>
    <m/>
    <d v="2024-03-01T00:00:00"/>
    <x v="0"/>
    <s v="THIAGO"/>
    <s v="MARCOS EMILIANO"/>
    <s v="100% - OK"/>
    <s v="OK"/>
    <m/>
    <n v="115"/>
    <s v="FOI LANÇADO 115 METROS DE CABO DE 24FO DA 111 ATÉ A 111.M020, FOI LANÇADO 270 METROS DE CABO DE 8 VIAS, 3 ABERTURA E FECHAMENTO, 3 DERIVAÇÃO, 9 FUSÕES,  1 CX NOVA, 3 TESTE."/>
    <d v="2024-04-23T00:00:00"/>
    <d v="2024-03-22T00:00:00"/>
    <d v="2024-03-25T00:00:00"/>
    <d v="2024-03-27T00:00:00"/>
    <d v="2024-03-27T00:00:00"/>
    <s v="NÃO PRECISA"/>
    <m/>
    <x v="0"/>
    <x v="0"/>
    <s v="AG. MEDIÇÃO"/>
    <n v="3"/>
    <x v="0"/>
    <n v="0"/>
  </r>
  <r>
    <s v="RSCLER0877"/>
    <s v="RBTAB"/>
    <s v="RBTAC"/>
    <s v="RSPNO22"/>
    <s v="PORTO ALEGRE"/>
    <m/>
    <s v="Rua Carlos Estevão 710"/>
    <s v="RBTAB.041.M020"/>
    <d v="2026-05-01T00:00:00"/>
    <x v="0"/>
    <s v="AFONSO"/>
    <s v="AFONSO"/>
    <m/>
    <m/>
    <s v="SEM LANÇAMENTO"/>
    <s v="SEM LANÇAMENTO"/>
    <s v="2 ABERTURA E FECHAMENTO, 1 DERIVAÇÃO, 10 FUSÕES, 5 TESTES."/>
    <d v="2026-07-23T00:00:00"/>
    <d v="2026-05-01T00:00:00"/>
    <m/>
    <m/>
    <d v="2026-05-05T00:00:00"/>
    <d v="2026-07-23T00:00:00"/>
    <m/>
    <x v="0"/>
    <x v="0"/>
    <s v="AG. MEDIÇÃO"/>
    <n v="2"/>
    <x v="0"/>
    <n v="-1"/>
  </r>
  <r>
    <s v="RSCLER0151"/>
    <s v="BVSAB"/>
    <m/>
    <m/>
    <s v="PORTO ALEGRE"/>
    <s v="Cap. 1 Três Figueiras"/>
    <s v="RUA CARLOS HUBER 200"/>
    <m/>
    <d v="2023-10-01T00:00:00"/>
    <x v="0"/>
    <s v="ADRIANO"/>
    <s v="PAULO GOMES"/>
    <s v="100% - OK"/>
    <s v="OK"/>
    <m/>
    <n v="278"/>
    <s v="FOI LANÇADO 278 METROS DE CABO DE 12FO, 3 ABERTURA E FECHAMENTO, 6 FUSÃO, 1 DERIVAÇÃO, 2 TESTE, 1 CX NOVA"/>
    <d v="2023-10-30T00:00:00"/>
    <d v="2023-10-26T00:00:00"/>
    <m/>
    <d v="2023-10-27T00:00:00"/>
    <d v="2023-10-27T00:00:00"/>
    <s v="NÃO PRECISA"/>
    <m/>
    <x v="0"/>
    <x v="0"/>
    <s v="AG. MEDIÇÃO"/>
    <n v="1"/>
    <x v="0"/>
    <n v="-2"/>
  </r>
  <r>
    <s v="RSCLER0400"/>
    <s v="NAVAA"/>
    <s v="BVSAE"/>
    <s v="RSPNO05"/>
    <s v="PORTO ALEGRE"/>
    <s v="RESID SONNEN"/>
    <s v="Rua Carlos Von Koseritz 1322 - DIRETORIA"/>
    <s v="NAVAA.132.M090"/>
    <d v="2024-08-01T00:00:00"/>
    <x v="0"/>
    <s v="UBIRATAN"/>
    <s v="LUCAS HOBERT"/>
    <s v="100% - OK"/>
    <s v="OK"/>
    <m/>
    <n v="430"/>
    <s v="FOI LANÇADO 430 METROS DE CABO DE 12FO, 2 ABERTURA E FECHAMENTO, 1 CX NOVA, 1 DERIVAÇÃO, 8 FUSÃO, 2 TESTE"/>
    <d v="2024-09-10T00:00:00"/>
    <d v="2024-08-27T00:00:00"/>
    <d v="2024-08-29T00:00:00"/>
    <d v="2024-09-03T00:00:00"/>
    <d v="2024-09-06T00:00:00"/>
    <s v="NÃO PRECISA"/>
    <m/>
    <x v="0"/>
    <x v="0"/>
    <s v="AG. MEDIÇÃO"/>
    <n v="8"/>
    <x v="1"/>
    <n v="5"/>
  </r>
  <r>
    <s v="RSCLER0475"/>
    <s v="MTSAA"/>
    <s v="MTSAA"/>
    <s v="RSPLE35"/>
    <s v="PORTO ALEGRE"/>
    <s v="Cond. Autoral"/>
    <s v="Rua Carlos Von Koseritz, 1528 "/>
    <s v="MTSAA.002.M020"/>
    <d v="2024-12-01T00:00:00"/>
    <x v="0"/>
    <m/>
    <s v="ANDERSON"/>
    <s v="100% - OK"/>
    <s v="OK - ENVIADO"/>
    <m/>
    <m/>
    <s v="4 ABERTURA E FECHAMENTO, 5 FUSÕES, 2 TESTES"/>
    <d v="2024-12-06T00:00:00"/>
    <d v="2024-12-02T00:00:00"/>
    <m/>
    <m/>
    <d v="2024-12-03T00:00:00"/>
    <s v="NÃO PRECISA"/>
    <m/>
    <x v="0"/>
    <x v="0"/>
    <s v="AG. MEDIÇÃO"/>
    <n v="1"/>
    <x v="0"/>
    <n v="-2"/>
  </r>
  <r>
    <s v="RSCLER0694"/>
    <s v="PETAA"/>
    <s v="MTSAU"/>
    <s v="RSPLE11"/>
    <s v="PORTO ALEGRE"/>
    <m/>
    <s v="RUA CARVALHO MONTEIRO, 68"/>
    <s v="PETAA.014.M020"/>
    <d v="2025-07-01T00:00:00"/>
    <x v="0"/>
    <m/>
    <s v="DIOGO"/>
    <s v="100% - OK"/>
    <m/>
    <m/>
    <m/>
    <s v="COBRAR DENTRO DO NODE MTSAU"/>
    <s v="MTSAU"/>
    <m/>
    <m/>
    <m/>
    <d v="2025-08-05T00:00:00"/>
    <s v="NÃO PRECISA"/>
    <m/>
    <x v="0"/>
    <x v="0"/>
    <s v="AG. MEDIÇÃO"/>
    <s v="DATA ENTRADA"/>
    <x v="1"/>
    <s v="DATA ENTRADA"/>
  </r>
  <r>
    <s v="RSCLER0067"/>
    <s v="MTSAA"/>
    <m/>
    <m/>
    <s v="PORTO ALEGRE"/>
    <s v="ED. SOLAR BÉLDEVERE "/>
    <s v="RUA CASEMIRO DE ABREU, 1668"/>
    <m/>
    <d v="2023-04-01T00:00:00"/>
    <x v="0"/>
    <s v="FÁBIO AMARILHO"/>
    <s v="FÁBIO AMARILHO"/>
    <s v="100% - OK"/>
    <m/>
    <s v="SEM LANÇAMENTO"/>
    <s v="SEM LANÇAMENTO"/>
    <s v="1 ABERTURA E FECHAMENTO, 8 FUSÕES, 4 TETES. ( ALINHAMENTO DE FIBRA)"/>
    <d v="2023-06-07T00:00:00"/>
    <d v="2023-03-24T00:00:00"/>
    <d v="2023-04-04T00:00:00"/>
    <d v="2023-04-12T00:00:00"/>
    <d v="2023-04-13T00:00:00"/>
    <s v="NÃO PRECISA"/>
    <m/>
    <x v="0"/>
    <x v="0"/>
    <s v="AG. MEDIÇÃO"/>
    <n v="14"/>
    <x v="1"/>
    <n v="11"/>
  </r>
  <r>
    <s v="RSCLER0691"/>
    <s v="BFMAA"/>
    <s v="RBRAI"/>
    <s v="PAE IND"/>
    <s v="PORTO ALEGRE"/>
    <m/>
    <s v="RUA CASTRO ALVES, 312"/>
    <s v="BFMAA.183.M010"/>
    <d v="2025-07-01T00:00:00"/>
    <x v="0"/>
    <m/>
    <s v="MARCOS EMILIANO"/>
    <m/>
    <m/>
    <m/>
    <m/>
    <s v="COBRAR DENTRO DO NODE RBRAI"/>
    <s v="RBRAI"/>
    <d v="2025-07-30T00:00:00"/>
    <m/>
    <d v="2025-08-09T00:00:00"/>
    <d v="2025-08-10T00:00:00"/>
    <d v="2025-08-14T00:00:00"/>
    <m/>
    <x v="0"/>
    <x v="0"/>
    <s v="AG. MEDIÇÃO"/>
    <n v="7"/>
    <x v="1"/>
    <n v="4"/>
  </r>
  <r>
    <s v="RSCLER0932"/>
    <s v="FLOAA"/>
    <s v="FLOAEA"/>
    <s v="RSPNO11"/>
    <s v="PORTO ALEGRE"/>
    <m/>
    <s v="RUA CEL BORDINI 313"/>
    <s v="FLOAA.043.M040"/>
    <d v="2026-06-01T00:00:00"/>
    <x v="0"/>
    <m/>
    <s v="PAULO MAURICIO"/>
    <m/>
    <s v="OK"/>
    <s v="SEM LANÇAMENTO"/>
    <s v="SEM LANÇAMENTO"/>
    <s v="2 ABERTURA E FECHAMENTO, 1 FUSÃO, 1 TESTE."/>
    <d v="2026-07-07T00:00:00"/>
    <d v="2026-06-16T00:00:00"/>
    <m/>
    <m/>
    <d v="2026-06-19T00:00:00"/>
    <d v="2026-07-07T00:00:00"/>
    <m/>
    <x v="0"/>
    <x v="0"/>
    <s v="AG. MEDIÇÃO"/>
    <n v="3"/>
    <x v="0"/>
    <n v="0"/>
  </r>
  <r>
    <s v="RSCLER0777"/>
    <s v="MTSAA"/>
    <s v="SJOADB"/>
    <s v="PAE BV"/>
    <s v="PORTO ALEGRE"/>
    <m/>
    <s v="Rua Cel Manoel Py, 204"/>
    <s v="MTSAA.231.M020"/>
    <d v="2025-12-01T00:00:00"/>
    <x v="0"/>
    <m/>
    <s v="DERIK"/>
    <m/>
    <m/>
    <s v="SEM LANÇAMENTO"/>
    <s v="SEM LANÇAMENTO"/>
    <s v="2 ABERTURA E FECHAMENTO, 3 FUSÕES, 3 TESTES"/>
    <d v="2025-12-23T00:00:00"/>
    <d v="2025-12-22T00:00:00"/>
    <d v="2025-12-23T00:00:00"/>
    <d v="2025-12-24T00:00:00"/>
    <d v="2025-12-23T00:00:00"/>
    <d v="2025-12-23T00:00:00"/>
    <m/>
    <x v="0"/>
    <x v="0"/>
    <s v="AG. MEDIÇÃO"/>
    <n v="1"/>
    <x v="0"/>
    <n v="-2"/>
  </r>
  <r>
    <s v="RSCLER0767"/>
    <s v="MTSAA"/>
    <s v="SJOADB"/>
    <s v="PAE BV"/>
    <s v="PORTO ALEGRE"/>
    <m/>
    <s v="RUA CEL MANOEL PY, 222"/>
    <m/>
    <d v="2025-12-02T00:00:00"/>
    <x v="0"/>
    <m/>
    <s v="MARCOS EMILIANO"/>
    <m/>
    <m/>
    <m/>
    <m/>
    <s v="COBRAR DENTRO DO NODE SJOADB"/>
    <s v="SJOADB"/>
    <m/>
    <m/>
    <m/>
    <d v="2025-12-06T00:00:00"/>
    <s v="NÃO PRECISA"/>
    <m/>
    <x v="0"/>
    <x v="0"/>
    <s v="AG. MEDIÇÃO"/>
    <s v="DATA ENTRADA"/>
    <x v="1"/>
    <s v="DATA ENTRADA"/>
  </r>
  <r>
    <s v="RSCLER0219"/>
    <s v="CTLAA"/>
    <s v="CMQAN"/>
    <s v="RSPSU07"/>
    <s v="PORTO ALEGRE"/>
    <s v="Edifício Jardins De Provence"/>
    <s v="Rua Cel Massot 214/228"/>
    <s v="CTLAA.107.M050"/>
    <d v="2024-03-01T00:00:00"/>
    <x v="0"/>
    <s v="JEFERSON"/>
    <s v="JEFERSON / NATANIEL"/>
    <s v="100% - OK"/>
    <s v="OK"/>
    <m/>
    <n v="150"/>
    <s v="FOI LANÇADO 150 METROS DE CABO DE 12FO, 10 ABERTURA E FECHAMENTO,33 FUSÃO, 1 CX NOVA, 1 DERIVAÇÃO, 3 TESTE."/>
    <d v="2024-03-26T00:00:00"/>
    <d v="2024-03-05T00:00:00"/>
    <d v="2024-03-06T00:00:00"/>
    <d v="2024-03-06T00:00:00"/>
    <d v="2024-03-09T00:00:00"/>
    <s v="NÃO PRECISA"/>
    <m/>
    <x v="0"/>
    <x v="0"/>
    <s v="AG. MEDIÇÃO"/>
    <n v="3"/>
    <x v="0"/>
    <n v="0"/>
  </r>
  <r>
    <s v="RSCLER0259"/>
    <s v="TRLAA"/>
    <s v="MDRAA"/>
    <m/>
    <s v="PORTO ALEGRE"/>
    <s v="Cond Edifício Residencial Porto Pacífico "/>
    <s v="Rua Cel. Aparício Borges, 910"/>
    <s v="TRLAA.261.M060"/>
    <d v="2024-04-01T00:00:00"/>
    <x v="0"/>
    <s v="THIAGO LAMBRETA"/>
    <s v="ADRIANO"/>
    <s v="100% - OK"/>
    <s v="OK"/>
    <m/>
    <n v="195"/>
    <s v="FOI LANÇANDO 195 METROS DE CABO DE 12FO, 2 ABERRTURA E FECHAMENTO, 2 DERIVAÇÃO, 4 FUSÃO, 1 CX NOVA, 2 TESTE"/>
    <d v="2024-06-26T00:00:00"/>
    <d v="2024-04-11T00:00:00"/>
    <d v="2024-06-07T00:00:00"/>
    <d v="2024-06-17T00:00:00"/>
    <d v="2024-06-17T00:00:00"/>
    <s v="NÃO PRECISA"/>
    <m/>
    <x v="0"/>
    <x v="0"/>
    <s v="AG. MEDIÇÃO"/>
    <n v="47"/>
    <x v="1"/>
    <n v="44"/>
  </r>
  <r>
    <s v="RSCLER0521"/>
    <s v="MNDAB"/>
    <s v="MNDAB"/>
    <s v="RSPCE20"/>
    <s v="PORTO ALEGRE"/>
    <m/>
    <s v="Rua Cel. Belo, 370"/>
    <s v="MNDAB.061.M040"/>
    <d v="2025-02-01T00:00:00"/>
    <x v="0"/>
    <m/>
    <s v="AUGUSTO"/>
    <s v="100% - OK"/>
    <s v="OK - ENVIADO"/>
    <s v="SEM LANÇAMENTO"/>
    <s v="SEM LANÇAMENTO"/>
    <s v="2 ABERTURA E FECHAMENTO, 1 FUSÃO, 1 TESTE"/>
    <d v="2025-03-18T00:00:00"/>
    <d v="2025-02-19T00:00:00"/>
    <d v="2025-02-24T00:00:00"/>
    <d v="2025-02-24T00:00:00"/>
    <d v="2025-02-24T00:00:00"/>
    <s v="NÃO PRECISA"/>
    <m/>
    <x v="0"/>
    <x v="0"/>
    <s v="AG. MEDIÇÃO"/>
    <n v="3"/>
    <x v="0"/>
    <n v="0"/>
  </r>
  <r>
    <s v="RSCLER0503"/>
    <s v="CMQAA"/>
    <s v="CMQAG"/>
    <s v="RSPSU87"/>
    <s v="PORTO ALEGRE"/>
    <s v="Cond. Terra Bella"/>
    <s v="Rua Cel. Massot, 1229"/>
    <s v="CMQAA.093.M080"/>
    <d v="2025-02-01T00:00:00"/>
    <x v="0"/>
    <s v="AUGUSTO"/>
    <s v="AUGUSTO"/>
    <s v="100% - OK"/>
    <s v="OK - ENVIADO"/>
    <n v="490"/>
    <n v="550"/>
    <s v="FOI LANÇADO 550 METROS DE CABO DE 12FO, 6 ABERTURA E FECHAMENTO, 20 FUSÃO, 1 DERIVAÇÃO, 1 CX NOVA, 5 TESTES"/>
    <d v="2025-03-18T00:00:00"/>
    <d v="2025-02-06T00:00:00"/>
    <d v="2025-02-13T00:00:00"/>
    <d v="2025-02-15T00:00:00"/>
    <d v="2025-02-15T00:00:00"/>
    <s v="NÃO PRECISA"/>
    <m/>
    <x v="0"/>
    <x v="0"/>
    <s v="AG. MEDIÇÃO"/>
    <n v="6"/>
    <x v="1"/>
    <n v="3"/>
  </r>
  <r>
    <s v="RSCLER0040"/>
    <s v="CMQAN"/>
    <m/>
    <m/>
    <s v="PORTO ALEGRE"/>
    <s v="COND. CRISTAL DA LAGOA"/>
    <s v="RUA CEL. MASSOT, 520"/>
    <m/>
    <d v="2023-03-01T00:00:00"/>
    <x v="0"/>
    <s v="IVANIR  DE OLIVEIRA"/>
    <s v="FÁBIO AMARILIO"/>
    <s v="100% - OK"/>
    <m/>
    <m/>
    <n v="600"/>
    <s v="LANÇAMENTO DE 600m (12FO) E INSTALAÇÃO DE CAIXA NOVA"/>
    <d v="2023-05-20T00:00:00"/>
    <d v="2023-02-17T00:00:00"/>
    <d v="2023-03-10T00:00:00"/>
    <d v="2023-03-14T00:00:00"/>
    <d v="2023-03-14T00:00:00"/>
    <s v="NÃO PRECISA"/>
    <m/>
    <x v="0"/>
    <x v="0"/>
    <s v="AG. MEDIÇÃO"/>
    <n v="17"/>
    <x v="1"/>
    <n v="14"/>
  </r>
  <r>
    <s v="RSCLER0217"/>
    <s v="CTLAA"/>
    <s v="CMQAN"/>
    <s v="RSPSU07"/>
    <s v="PORTO ALEGRE"/>
    <s v="RESIDENCIAL COHAJUDA"/>
    <s v="RUA CEL. MASSOT, 685/691"/>
    <s v="CTLAA.107.M020"/>
    <d v="2024-03-01T00:00:00"/>
    <x v="0"/>
    <m/>
    <s v="JEFERSON / PAULO GOMES"/>
    <s v="100% - OK"/>
    <s v="OK"/>
    <s v="SEM LANÇAMENTO"/>
    <s v="SEM LANÇAMENTO"/>
    <s v="3 ABERTURA E FECHAMENTO , 15 FUSÃO, 3 TESTE"/>
    <d v="2024-03-26T00:00:00"/>
    <d v="2024-03-04T00:00:00"/>
    <m/>
    <d v="2024-03-04T00:00:00"/>
    <d v="2024-03-13T00:00:00"/>
    <s v="NÃO PRECISA"/>
    <m/>
    <x v="0"/>
    <x v="0"/>
    <s v="AG. MEDIÇÃO"/>
    <n v="7"/>
    <x v="1"/>
    <n v="4"/>
  </r>
  <r>
    <s v="RSCLER0505"/>
    <s v="CNTAB"/>
    <s v="EIO27A"/>
    <s v="RSEIO01"/>
    <s v="ESTEIO"/>
    <s v="Hannover Residencial Clube"/>
    <s v="Rua Charrua N°114"/>
    <s v="CNTAB.171.M010"/>
    <d v="2025-02-01T00:00:00"/>
    <x v="0"/>
    <s v="LUIS SCHUCH"/>
    <s v="LUIS SCHUCH"/>
    <s v="100% - OK"/>
    <s v="OK - ENVIADO"/>
    <n v="2500"/>
    <n v="2309"/>
    <s v="FOI LANÇADO 2309 METROS DE CABO DE 12FO, 110 METROS DE CORDOALHA, 2 CX NOVAS, 1 DERIVÇÃO, 1 ABERTURA E FECHAMENTO, 6 FUSÃO, COBRAR 5 ADEQUAÇÃO DE POSTES."/>
    <d v="2025-03-18T00:00:00"/>
    <d v="2025-02-06T00:00:00"/>
    <d v="2025-02-10T00:00:00"/>
    <d v="2025-02-13T00:00:00"/>
    <d v="2025-02-13T00:00:00"/>
    <s v="NÃO PRECISA"/>
    <m/>
    <x v="0"/>
    <x v="0"/>
    <s v="AG. MEDIÇÃO"/>
    <n v="5"/>
    <x v="1"/>
    <n v="2"/>
  </r>
  <r>
    <s v="RSCLER0760"/>
    <s v="JBOAA"/>
    <s v="PETAB"/>
    <s v="RSPLE18"/>
    <s v="PORTO ALEGRE"/>
    <m/>
    <s v="RUA CHILE, 827"/>
    <s v="JBOAA.081.M040"/>
    <d v="2025-12-01T00:00:00"/>
    <x v="0"/>
    <m/>
    <s v="DERIK"/>
    <m/>
    <s v="OK"/>
    <m/>
    <m/>
    <s v="4 ABERTURA E FECHAMENTO, 6 FUSÕES, 2 TESTES"/>
    <d v="2025-12-04T00:00:00"/>
    <d v="2025-12-03T00:00:00"/>
    <m/>
    <m/>
    <d v="2025-12-04T00:00:00"/>
    <d v="2025-12-04T00:00:00"/>
    <m/>
    <x v="0"/>
    <x v="0"/>
    <s v="AG. MEDIÇÃO"/>
    <n v="1"/>
    <x v="0"/>
    <n v="-2"/>
  </r>
  <r>
    <s v="RSCLER0773"/>
    <s v="JBOAA"/>
    <s v="PETAB"/>
    <s v="RSPLE18"/>
    <s v="PORTO ALEGRE"/>
    <m/>
    <s v="RUA CHILE, 889"/>
    <s v="JBOAA.081.M040"/>
    <d v="2025-12-01T00:00:00"/>
    <x v="0"/>
    <m/>
    <s v="DERIK"/>
    <m/>
    <m/>
    <s v="SEM LANÇAMENTO"/>
    <s v="SEM LANÇAMENTO"/>
    <s v="4 ABERTURA E FECHAMENTO, 3 FUSÕES, 1 TESTE"/>
    <d v="2026-01-30T00:00:00"/>
    <d v="2025-12-12T00:00:00"/>
    <m/>
    <m/>
    <d v="2025-12-15T00:00:00"/>
    <d v="2026-01-30T00:00:00"/>
    <m/>
    <x v="0"/>
    <x v="0"/>
    <s v="AG. MEDIÇÃO"/>
    <n v="1"/>
    <x v="0"/>
    <n v="-2"/>
  </r>
  <r>
    <s v="RSCLER0679"/>
    <s v="SPEAA"/>
    <s v="SPEAAA"/>
    <s v="PAE DAM"/>
    <s v="PORTO ALEGRE"/>
    <m/>
    <s v="RUA COMENDADOR ALBINO CUNHA, 53, 97"/>
    <s v="SPEAA.009.M010"/>
    <d v="2025-07-01T00:00:00"/>
    <x v="0"/>
    <m/>
    <s v="CATIA"/>
    <m/>
    <m/>
    <m/>
    <m/>
    <s v="COBRAR DENTRO DO NODE SPEAAA"/>
    <s v="SPEAAA"/>
    <m/>
    <m/>
    <m/>
    <d v="2025-07-22T00:00:00"/>
    <s v="NÃO PRECISA"/>
    <m/>
    <x v="0"/>
    <x v="0"/>
    <s v="AG. MEDIÇÃO"/>
    <s v="DATA ENTRADA"/>
    <x v="1"/>
    <s v="DATA ENTRADA"/>
  </r>
  <r>
    <s v="RSCLER0682"/>
    <s v="NAVAB"/>
    <s v="NAVAD"/>
    <s v="PAE FAR"/>
    <s v="PORTO ALEGRE"/>
    <m/>
    <s v="Rua Conde de Porto Alegre, 71"/>
    <s v="NAVAB.122.01.07"/>
    <d v="2025-07-01T00:00:00"/>
    <x v="0"/>
    <m/>
    <s v="ANDERSON"/>
    <m/>
    <m/>
    <m/>
    <m/>
    <s v="COBRAR DENTRO DO NODE NAVAD FASE 2"/>
    <s v="NAVAD F2"/>
    <d v="2025-07-23T00:00:00"/>
    <m/>
    <m/>
    <d v="2025-07-24T00:00:00"/>
    <s v="NÃO PRECISA"/>
    <m/>
    <x v="0"/>
    <x v="0"/>
    <s v="AG. MEDIÇÃO"/>
    <n v="1"/>
    <x v="0"/>
    <n v="-2"/>
  </r>
  <r>
    <s v="RSCLER0402"/>
    <s v="RBRAA"/>
    <s v="RBRAK"/>
    <s v="RSPLE08"/>
    <s v="PORTO ALEGRE"/>
    <s v="Villagio"/>
    <s v="Rua Cônego Viana, 240 - DIRETORIA"/>
    <s v="RBRAA.042.M050"/>
    <d v="2024-08-01T00:00:00"/>
    <x v="0"/>
    <s v="GIOVANE / LUCAS HOBERT"/>
    <s v="LUCAS HOBERT"/>
    <s v="100% - OK"/>
    <s v="OK"/>
    <m/>
    <n v="298"/>
    <s v="FOI LANÇADO 298 METROS DE CABO DE 12FO, 4 ABERTURA E FECHAMENTO, 1 CX NOVA, 3 DERIVAÇÃO, 10 FUSÃO, 2 TESTE"/>
    <d v="2024-09-10T00:00:00"/>
    <d v="2024-08-27T00:00:00"/>
    <d v="2024-09-03T00:00:00"/>
    <d v="2024-09-05T00:00:00"/>
    <d v="2024-09-05T00:00:00"/>
    <s v="NÃO PRECISA"/>
    <m/>
    <x v="0"/>
    <x v="0"/>
    <s v="AG. MEDIÇÃO"/>
    <n v="7"/>
    <x v="1"/>
    <n v="4"/>
  </r>
  <r>
    <s v="RSCLER0775"/>
    <s v="MTSAA"/>
    <m/>
    <m/>
    <s v="PORTO ALEGRE"/>
    <m/>
    <s v="RUA CORONEL BORDINI 1644"/>
    <s v="MTSAA.271.M040"/>
    <d v="2025-12-01T00:00:00"/>
    <x v="0"/>
    <m/>
    <s v="CATIA"/>
    <m/>
    <m/>
    <s v="SEM LANÇAMENTO"/>
    <s v="SEM LANÇAMENTO"/>
    <s v="6 ABERTURA E FECHAMENTO, 14 FUSÕES, 7 TESTE OTDR, "/>
    <d v="2026-02-11T00:00:00"/>
    <d v="2025-12-16T00:00:00"/>
    <m/>
    <m/>
    <d v="2025-12-17T00:00:00"/>
    <d v="2026-02-11T00:00:00"/>
    <m/>
    <x v="0"/>
    <x v="0"/>
    <s v="AG. MEDIÇÃO"/>
    <n v="1"/>
    <x v="0"/>
    <n v="-2"/>
  </r>
  <r>
    <s v="RSCLER0552"/>
    <s v="RBRAA"/>
    <s v="RBRAA"/>
    <s v="RSPLE08"/>
    <s v="PORTO ALEGRE"/>
    <s v="Cond. Edf. Res. Marais"/>
    <s v="Rua Coronel Corte Real, 257"/>
    <s v="RBRAA.094.M050"/>
    <d v="2025-03-01T00:00:00"/>
    <x v="0"/>
    <s v="CATIA"/>
    <s v="CATIA"/>
    <s v="100% - OK"/>
    <s v="OK"/>
    <n v="160"/>
    <n v="160"/>
    <s v="FOI LANÇADO 160 METROS DE CABO DE 12FO, 1 CX NOVA, 1 DERIVAÇÃO, 8 ABERTURA E FECHAMENTO, 15 FUSÕES, 4 TESTES"/>
    <d v="2025-05-08T00:00:00"/>
    <d v="2025-03-19T00:00:00"/>
    <d v="2025-03-20T00:00:00"/>
    <d v="2025-03-24T00:00:00"/>
    <d v="2025-04-02T00:00:00"/>
    <s v="NÃO PRECISA"/>
    <m/>
    <x v="0"/>
    <x v="0"/>
    <s v="AG. MEDIÇÃO"/>
    <n v="10"/>
    <x v="1"/>
    <n v="7"/>
  </r>
  <r>
    <s v="RSCLER0803"/>
    <s v="PGO"/>
    <m/>
    <s v="MGO CEN"/>
    <s v="MONTENEGRO"/>
    <m/>
    <s v="Rua Coronel Nicolau Kroef, 455"/>
    <s v="PGO016-M1"/>
    <d v="2026-03-01T00:00:00"/>
    <x v="0"/>
    <s v="CLEVERSON"/>
    <s v="CLEVERSON"/>
    <m/>
    <m/>
    <n v="154"/>
    <n v="473"/>
    <s v="FOI LANÇADO 473 METROS DE CABO DE 12FO, 5 ABERTURA E FECHAMENTO, 11 FUSÕES, 1 CX NOVA, 1 DERIVAÇÃO, 3 TESTES.3 TESTES DE OTDR"/>
    <d v="2026-03-12T00:00:00"/>
    <d v="2026-03-03T00:00:00"/>
    <d v="2026-03-04T00:00:00"/>
    <m/>
    <d v="2026-03-13T00:00:00"/>
    <d v="2026-03-12T00:00:00"/>
    <m/>
    <x v="0"/>
    <x v="0"/>
    <s v="AG. MEDIÇÃO"/>
    <n v="8"/>
    <x v="1"/>
    <n v="5"/>
  </r>
  <r>
    <s v="RSCLER0988"/>
    <s v="UMBAA"/>
    <m/>
    <m/>
    <s v="VIAMÃO"/>
    <s v="Condomínio Residencial VIVER COOMETAL "/>
    <s v="Estr. Caminho do Meio, 4772"/>
    <s v="UMBAA.401/UMBAA.402"/>
    <d v="2026-07-01T00:00:00"/>
    <x v="0"/>
    <s v="CLEVERSON- FALTA 300 METROS PARA ESPINAR "/>
    <s v="CLEVERSON"/>
    <m/>
    <m/>
    <n v="3500"/>
    <n v="4330"/>
    <s v="FOI LANÇADO 520 METROS DE CABO AS, E 3810 METROS DE CABO DDS, COBRAR 2400 METROS DE CORDOALHA. 1 ABERTURA E FECHAMENTO, 3 CX NOVAS, 19 NAPS NOVAS, 4 DERIVAÇÕES, 122 FUSÕES, "/>
    <m/>
    <d v="2026-07-20T00:00:00"/>
    <m/>
    <d v="2026-07-24T00:00:00"/>
    <d v="2026-07-31T00:00:00"/>
    <m/>
    <m/>
    <x v="2"/>
    <x v="2"/>
    <s v="AG. RELATÓRIO"/>
    <n v="9"/>
    <x v="1"/>
    <n v="6"/>
  </r>
  <r>
    <s v="RSCLER0258"/>
    <s v="MNDAC"/>
    <m/>
    <m/>
    <s v="PORTO ALEGRE"/>
    <s v="Cond Edifício Boulevard Saint James I"/>
    <s v="Rua Costa, 361"/>
    <m/>
    <d v="2024-04-01T00:00:00"/>
    <x v="0"/>
    <m/>
    <s v="TAYLLER / VINICIUS"/>
    <s v="100% - OK"/>
    <s v="OK"/>
    <s v="SEM LANÇAMENTO"/>
    <s v="SEM LANÇAMENTO"/>
    <s v="2 ABERTURA E FECHAMENTO, 6 FUSÃO, 1 DERIVAÇÃO, 3 TESTE "/>
    <d v="2024-04-23T00:00:00"/>
    <d v="2024-04-05T00:00:00"/>
    <m/>
    <d v="2024-04-10T00:00:00"/>
    <d v="2024-04-10T00:00:00"/>
    <s v="NÃO PRECISA"/>
    <m/>
    <x v="0"/>
    <x v="0"/>
    <s v="AG. MEDIÇÃO"/>
    <n v="3"/>
    <x v="0"/>
    <n v="0"/>
  </r>
  <r>
    <s v="RSCLER0041"/>
    <s v="BVSAB"/>
    <m/>
    <m/>
    <s v="PORTO ALEGRE"/>
    <s v="COND. YELLOW RESIDENCE"/>
    <s v="RUA CRISTIANO FISCHER, 1362"/>
    <m/>
    <d v="2023-03-01T00:00:00"/>
    <x v="0"/>
    <s v="NEIMAR LUCERO - VANIR DE OLIVEIRA"/>
    <s v="PAULO GOMES "/>
    <s v="100% - OK"/>
    <m/>
    <m/>
    <n v="200"/>
    <s v="LANÇAMENTO DE 200m (12FO)  E INSTALAÇÃO DE CAIXA NOVA"/>
    <d v="2023-05-20T00:00:00"/>
    <d v="2023-03-15T00:00:00"/>
    <d v="2023-03-16T00:00:00"/>
    <d v="2023-03-31T00:00:00"/>
    <d v="2023-03-31T00:00:00"/>
    <s v="NÃO PRECISA"/>
    <m/>
    <x v="0"/>
    <x v="0"/>
    <s v="AG. MEDIÇÃO"/>
    <n v="12"/>
    <x v="1"/>
    <n v="9"/>
  </r>
  <r>
    <s v="RSCLER0864"/>
    <s v="BFMAA"/>
    <m/>
    <s v="PAE IND"/>
    <s v="PORTO ALEGRE"/>
    <m/>
    <s v="RUA CRISTOVÃO COLOMBO, 260"/>
    <s v="BFMAA.192.M030"/>
    <d v="2026-04-01T00:00:00"/>
    <x v="0"/>
    <m/>
    <s v="CATIA"/>
    <m/>
    <m/>
    <s v="SEM LANÇAMENTO"/>
    <s v="SEM LANÇAMENTO"/>
    <s v="1 ABERTURA E FECHAMENTO, 1 DERIVAÇÃO, 2 FUSÕES"/>
    <d v="2026-05-22T00:00:00"/>
    <d v="2026-04-29T00:00:00"/>
    <m/>
    <m/>
    <d v="2026-04-29T00:00:00"/>
    <d v="2026-05-22T00:00:00"/>
    <m/>
    <x v="0"/>
    <x v="0"/>
    <s v="AG. MEDIÇÃO"/>
    <n v="0"/>
    <x v="0"/>
    <n v="-3"/>
  </r>
  <r>
    <s v="RSCLER0006"/>
    <s v="CNTADBB"/>
    <m/>
    <m/>
    <s v="NOVO HAMBURGO"/>
    <s v="ED. IMPERADOR "/>
    <s v="RUA CRISTOVÃO COLOMBO, 516 "/>
    <m/>
    <d v="2023-01-01T00:00:00"/>
    <x v="0"/>
    <m/>
    <s v="DIOGO"/>
    <s v="100% - OK"/>
    <s v="-"/>
    <m/>
    <n v="340"/>
    <s v="LANÇAMENTO DE 340m (12FO) "/>
    <s v="COBRADO"/>
    <d v="2023-01-02T00:00:00"/>
    <d v="2023-01-02T00:00:00"/>
    <d v="2023-01-23T00:00:00"/>
    <d v="2023-01-23T00:00:00"/>
    <s v="NÃO PRECISA"/>
    <m/>
    <x v="0"/>
    <x v="0"/>
    <s v="AG. MEDIÇÃO"/>
    <n v="15"/>
    <x v="1"/>
    <n v="12"/>
  </r>
  <r>
    <s v="RSCLER0662"/>
    <s v="SPEAA"/>
    <s v="SJOAA"/>
    <s v="PAE DAM"/>
    <s v="PORTO ALEGRE"/>
    <m/>
    <s v="RUA CRISTOVÃO PEREIRA, 45"/>
    <s v="SPEAA.020.M040"/>
    <d v="2025-07-01T00:00:00"/>
    <x v="0"/>
    <m/>
    <s v="CATIA"/>
    <m/>
    <m/>
    <m/>
    <m/>
    <s v="COBRAR DENTRO DO NODE SJOAA"/>
    <s v="SJOAA"/>
    <d v="2025-07-08T00:00:00"/>
    <m/>
    <m/>
    <d v="2025-07-23T00:00:00"/>
    <s v="NÃO PRECISA"/>
    <m/>
    <x v="0"/>
    <x v="0"/>
    <s v="AG. MEDIÇÃO"/>
    <n v="11"/>
    <x v="1"/>
    <n v="8"/>
  </r>
  <r>
    <s v="RSCLER0619"/>
    <s v="TRLAA"/>
    <m/>
    <s v="HZS"/>
    <s v="PORTO ALEGRE"/>
    <m/>
    <s v="RUA CRUZEIRO DO SUL, 2077"/>
    <s v="TRLAA.141.M020"/>
    <d v="2025-06-01T00:00:00"/>
    <x v="0"/>
    <m/>
    <s v="CATIA"/>
    <m/>
    <m/>
    <n v="1700"/>
    <n v="1300"/>
    <s v="FOI LANÇADO 1300 METROS DE CABO DE 12FO AS, 4 ABERTURA E FECHAMENTO, 12 FUSÕES, 1 CX NOVA 1 DERIVAÇÃO. FOI LANÇADO 65 METROS DE CORDOALHA"/>
    <d v="2025-07-07T00:00:00"/>
    <d v="2025-06-03T00:00:00"/>
    <m/>
    <m/>
    <d v="2025-06-06T00:00:00"/>
    <d v="2025-08-08T00:00:00"/>
    <m/>
    <x v="0"/>
    <x v="0"/>
    <s v="AG. MEDIÇÃO"/>
    <n v="3"/>
    <x v="0"/>
    <n v="0"/>
  </r>
  <r>
    <s v="RSCLER0408"/>
    <s v="BVSAB"/>
    <s v="PETAU"/>
    <s v="PAE NR"/>
    <s v="PORTO ALEGRE"/>
    <s v="DIRETORIA"/>
    <s v="Rua Curvelo 100"/>
    <s v="BVSAB.081.M070"/>
    <d v="2024-08-01T00:00:00"/>
    <x v="0"/>
    <s v="UBIRATAN"/>
    <s v="LUCAS HOBERT"/>
    <s v="100% - OK"/>
    <s v="OK"/>
    <m/>
    <n v="293"/>
    <s v="FOI LANÇADO 293 METROS DE CABO DE 12FO, 3 ABERTURA E FECHAMENTO, 2 CX NOVA, 2 DERIVAÇÃO, 12 FUSÃO, 6 TESTE "/>
    <d v="2024-09-14T00:00:00"/>
    <d v="2024-08-29T00:00:00"/>
    <d v="2024-09-02T00:00:00"/>
    <d v="2024-09-05T00:00:00"/>
    <d v="2024-09-09T00:00:00"/>
    <s v="NÃO PRECISA"/>
    <m/>
    <x v="0"/>
    <x v="0"/>
    <s v="AG. MEDIÇÃO"/>
    <n v="7"/>
    <x v="1"/>
    <n v="4"/>
  </r>
  <r>
    <s v="RSCLER0409"/>
    <s v="BVSAB"/>
    <s v="PETAU"/>
    <s v="PAE NR"/>
    <s v="PORTO ALEGRE"/>
    <s v="DIRETORIA"/>
    <s v="Rua Curvelo 130, 200"/>
    <s v="BVSAB.081.M080"/>
    <d v="2024-08-01T00:00:00"/>
    <x v="0"/>
    <s v="UBIRATAN"/>
    <s v="LUCAS HOBERT"/>
    <s v="100% - OK"/>
    <s v="OK"/>
    <m/>
    <n v="263"/>
    <s v="FOI LANÇADO 263 METROS DE CABO DE 12FO, COBRAR JUNTO COM A RSCLER0404"/>
    <d v="2024-09-14T00:00:00"/>
    <d v="2024-08-29T00:00:00"/>
    <d v="2024-09-02T00:00:00"/>
    <d v="2024-09-05T00:00:00"/>
    <d v="2024-09-06T00:00:00"/>
    <s v="NÃO PRECISA"/>
    <m/>
    <x v="0"/>
    <x v="0"/>
    <s v="AG. MEDIÇÃO"/>
    <n v="6"/>
    <x v="1"/>
    <n v="3"/>
  </r>
  <r>
    <s v="RSCLER0442"/>
    <s v="BVSAB"/>
    <s v="PETAU"/>
    <s v="PAE NR"/>
    <s v="PORTO ALEGRE"/>
    <s v="DIRETORIA"/>
    <s v="RUA CURVELO, 130 ,200 - REMANEJAMENTO"/>
    <s v="BVSAB.081.M080."/>
    <d v="2024-10-01T00:00:00"/>
    <x v="0"/>
    <s v="UBIRATAN"/>
    <s v="ANDERSON"/>
    <s v="100% - OK"/>
    <m/>
    <m/>
    <n v="425"/>
    <s v="FOI LANÇADO 425 METROS DE CABO DE 12FO, 2 ABERTURA E FECHAMENTO, 8 FUSÃO, 1 CX NOVA, 3 DERIVAÇÃO."/>
    <d v="2024-10-23T00:00:00"/>
    <d v="2024-10-08T00:00:00"/>
    <d v="2024-10-09T00:00:00"/>
    <d v="2024-10-10T00:00:00"/>
    <d v="2024-10-11T00:00:00"/>
    <s v="NÃO PRECISA"/>
    <m/>
    <x v="0"/>
    <x v="0"/>
    <s v="AG. MEDIÇÃO"/>
    <n v="3"/>
    <x v="0"/>
    <n v="0"/>
  </r>
  <r>
    <s v="RSCLER0701"/>
    <s v="CNTAB"/>
    <s v="CNTAE"/>
    <s v="RSPCE14"/>
    <s v="PORTO ALEGRE"/>
    <s v="Cond. Edifício Ravena"/>
    <s v="Rua Demétrio Ribeiro, 900"/>
    <s v="CNTAB.171.M030"/>
    <d v="2025-08-01T00:00:00"/>
    <x v="0"/>
    <m/>
    <s v="DIOGO"/>
    <s v="100% - OK"/>
    <m/>
    <s v="SEM LANÇAMENTO"/>
    <s v="SEM LANÇAMENTO"/>
    <s v="5 ABERTURA E FECHAMENTO, 4 FUSÕES, 1 TESTE E 2 TESTE OTDR."/>
    <d v="2025-08-20T00:00:00"/>
    <d v="2025-08-12T00:00:00"/>
    <m/>
    <m/>
    <d v="2025-08-20T00:00:00"/>
    <d v="2025-08-20T00:00:00"/>
    <m/>
    <x v="0"/>
    <x v="0"/>
    <s v="AG. MEDIÇÃO"/>
    <n v="6"/>
    <x v="1"/>
    <n v="3"/>
  </r>
  <r>
    <s v="RSCLER0485"/>
    <s v="JITAA"/>
    <s v="JITAE"/>
    <s v="RSPNO75"/>
    <s v="PORTO ALEGRE"/>
    <s v="CASAS 30, 50"/>
    <s v="RUA DEP. HUGO MARDINI, 1780"/>
    <s v="JITAA.161.01.02"/>
    <d v="2025-01-01T00:00:00"/>
    <x v="0"/>
    <s v="AUGUSTO"/>
    <s v="AUGUSTO"/>
    <s v="100% - OK"/>
    <s v="OK - ENVIADO"/>
    <n v="299"/>
    <n v="299"/>
    <s v="FOI LANÇADO 299 METROS DE CABO DE 12FO, 4 NAP NOVA, 4 FUSÃO, 12 TESTE"/>
    <d v="2025-01-14T00:00:00"/>
    <d v="2025-01-07T00:00:00"/>
    <d v="2025-01-13T00:00:00"/>
    <d v="2024-01-15T00:00:00"/>
    <d v="2025-01-14T00:00:00"/>
    <s v="NÃO PRECISA"/>
    <m/>
    <x v="0"/>
    <x v="0"/>
    <s v="AG. MEDIÇÃO"/>
    <n v="5"/>
    <x v="1"/>
    <n v="2"/>
  </r>
  <r>
    <s v="RSCLER0253"/>
    <s v="CTLAA"/>
    <s v="CMQAN"/>
    <s v="RSPSU07"/>
    <s v="PORTO ALEGRE"/>
    <s v="Condomínio Edifício Garden Place Cristal"/>
    <s v="Rua Diário de Notícias, 1625 "/>
    <s v="CTLAA.107.M060."/>
    <d v="2024-04-01T00:00:00"/>
    <x v="0"/>
    <m/>
    <s v="DIOGO / MARCOS EMILIANO"/>
    <s v="100% - OK"/>
    <s v="OK - ENVIADO"/>
    <s v="SEM LANÇAMENTO"/>
    <s v="SEM LANÇAMENTO"/>
    <s v="3 ABERTURA E FECHAMENTO, 2 FUSÃO , 1 TESTE"/>
    <d v="2024-04-23T00:00:00"/>
    <d v="2024-04-09T00:00:00"/>
    <m/>
    <d v="2024-04-12T00:00:00"/>
    <d v="2024-04-20T00:00:00"/>
    <s v="NÃO PRECISA"/>
    <m/>
    <x v="0"/>
    <x v="0"/>
    <s v="AG. MEDIÇÃO"/>
    <n v="8"/>
    <x v="1"/>
    <n v="5"/>
  </r>
  <r>
    <s v="RSCLER0068"/>
    <s v="VIPAA"/>
    <m/>
    <m/>
    <s v="PORTO ALEGRE"/>
    <s v="GERIATRIA"/>
    <s v="RUA DOM DIOGO DE SOUZA, 680"/>
    <m/>
    <d v="2023-04-01T00:00:00"/>
    <x v="0"/>
    <m/>
    <s v="PAULO GOMES"/>
    <s v="100% - OK"/>
    <m/>
    <s v="SEM LANÇAMENTO"/>
    <s v="SEM LANÇAMENTO"/>
    <s v="4 ABERTURA E FECHAMENTO, 5 FUSÕES, 3 TESTE COM OTDR. ( FIBRA PARADA EM 2 CAIXA E 1 FIBRA NO SITE)"/>
    <d v="2023-06-05T00:00:00"/>
    <d v="2023-04-03T00:00:00"/>
    <d v="2023-04-04T00:00:00"/>
    <d v="2023-04-10T00:00:00"/>
    <d v="2023-04-10T00:00:00"/>
    <s v="NÃO PRECISA"/>
    <m/>
    <x v="0"/>
    <x v="0"/>
    <s v="AG. MEDIÇÃO"/>
    <n v="5"/>
    <x v="1"/>
    <n v="2"/>
  </r>
  <r>
    <s v="RSCLER0007"/>
    <s v="MNDAA"/>
    <m/>
    <m/>
    <s v="CANOAS "/>
    <s v="COND. SÃO JOSÉ"/>
    <s v="RUA DOM JOÃO BECKER, 1852"/>
    <m/>
    <d v="2023-01-01T00:00:00"/>
    <x v="0"/>
    <s v="NEIMAR LUCERO"/>
    <s v="PAULO GOMES"/>
    <s v="100% - OK"/>
    <s v="-"/>
    <m/>
    <n v="1663"/>
    <s v="LANÇAMENTO DE 1663m (12FO)  E  INSTALAÇÃO DE CAIXA NOVA"/>
    <s v="SIM"/>
    <d v="2023-01-02T00:00:00"/>
    <d v="2023-01-02T00:00:00"/>
    <d v="2023-01-20T00:00:00"/>
    <d v="2023-01-20T00:00:00"/>
    <s v="NÃO PRECISA"/>
    <m/>
    <x v="0"/>
    <x v="0"/>
    <s v="AG. MEDIÇÃO"/>
    <n v="14"/>
    <x v="1"/>
    <n v="11"/>
  </r>
  <r>
    <s v="RSCLER0663"/>
    <s v="SPEAA"/>
    <s v="SPEAAA"/>
    <s v="PAE DAM"/>
    <s v="PORTO ALEGRE"/>
    <m/>
    <s v="RUA DOMINGO MARTINS, 846"/>
    <s v="SPEAA.011.M060"/>
    <d v="2025-07-01T00:00:00"/>
    <x v="0"/>
    <m/>
    <s v="CATIA"/>
    <m/>
    <m/>
    <m/>
    <m/>
    <s v="COBRAR NO NODE SPEAAA"/>
    <s v="SPEAAA"/>
    <d v="2025-07-08T00:00:00"/>
    <m/>
    <m/>
    <d v="2025-07-17T00:00:00"/>
    <s v="NÃO PRECISA"/>
    <m/>
    <x v="0"/>
    <x v="0"/>
    <s v="AG. MEDIÇÃO"/>
    <n v="7"/>
    <x v="1"/>
    <n v="4"/>
  </r>
  <r>
    <s v="RSCLER0723"/>
    <s v="SPEAA"/>
    <s v="SPEAAA"/>
    <s v="PAE DAM"/>
    <s v="PORTO ALEGRE"/>
    <m/>
    <s v="RUA Domingos Martins 560"/>
    <s v="SPEAA.012.M040"/>
    <d v="2025-09-01T00:00:00"/>
    <x v="0"/>
    <s v="CLEVERSON"/>
    <s v="DIOGO"/>
    <m/>
    <m/>
    <m/>
    <m/>
    <s v="DENTRO DO NODE SPEAAA"/>
    <s v="SPEAAA"/>
    <d v="2025-09-10T00:00:00"/>
    <m/>
    <m/>
    <d v="2025-09-10T00:00:00"/>
    <s v="NÃO PRECISA"/>
    <m/>
    <x v="0"/>
    <x v="0"/>
    <s v="AG. MEDIÇÃO"/>
    <n v="0"/>
    <x v="0"/>
    <n v="-3"/>
  </r>
  <r>
    <s v="RSCLER0796"/>
    <s v="RBTAA"/>
    <s v="RBTAKA"/>
    <s v="RSPNO8A"/>
    <s v="PORTO ALEGRE"/>
    <m/>
    <s v="Rua Dona Alzira, 257"/>
    <s v="RBTAA.031.M060"/>
    <d v="2026-01-01T00:00:00"/>
    <x v="0"/>
    <s v="CLEVERSON"/>
    <s v="CLEVERSON"/>
    <m/>
    <m/>
    <n v="400"/>
    <n v="291"/>
    <s v="FOI LANÇADO 291 METROS DE CABO DE 12FO, 4 ABERTURA E FECHAMENTO, 6 FUSÕES, 2 DERIVAÇÕES, 2 TESTES"/>
    <d v="2026-02-05T00:00:00"/>
    <d v="2026-01-30T00:00:00"/>
    <m/>
    <m/>
    <d v="2026-01-31T00:00:00"/>
    <d v="2026-02-05T00:00:00"/>
    <m/>
    <x v="0"/>
    <x v="0"/>
    <s v="AG. MEDIÇÃO"/>
    <n v="0"/>
    <x v="0"/>
    <n v="-3"/>
  </r>
  <r>
    <s v="RSCLER0648"/>
    <s v="CNT"/>
    <m/>
    <m/>
    <s v="GUAÍBA"/>
    <m/>
    <s v="RUA DONA FRUTUOSA,969"/>
    <s v="CNT013.M010"/>
    <d v="2025-06-01T00:00:00"/>
    <x v="0"/>
    <s v="UBIRATAN"/>
    <s v="CATIA"/>
    <m/>
    <m/>
    <m/>
    <n v="309"/>
    <s v="FOI LANÇADO 309 METROS DE CABO DE 12FO.1 ABERTURA E FECHAMENTO, 5 FUSÕES, 1 DERIVAÇÃO, 1 CX NOVA"/>
    <d v="2025-09-04T00:00:00"/>
    <d v="2025-06-24T00:00:00"/>
    <m/>
    <m/>
    <d v="2025-06-26T00:00:00"/>
    <d v="2025-09-04T00:00:00"/>
    <m/>
    <x v="0"/>
    <x v="0"/>
    <s v="AG. MEDIÇÃO"/>
    <n v="2"/>
    <x v="0"/>
    <n v="-1"/>
  </r>
  <r>
    <s v="RSCLER0722"/>
    <s v="JBOAA"/>
    <s v="PETAA"/>
    <s v="RSPLE18"/>
    <s v="PORTO ALEGRE"/>
    <s v="Res. Torino"/>
    <s v="RUA DONA OTI, 208"/>
    <s v="JBOAA.063.M020"/>
    <d v="2025-09-01T00:00:00"/>
    <x v="0"/>
    <s v="CLEVERSON"/>
    <s v="DIOGO"/>
    <m/>
    <s v="OK"/>
    <m/>
    <n v="457"/>
    <s v="FOI LANÇADO 457 METROS DE CABO DE 12FO, 1 ABERTURA E FECHAMENTO, 9 FUSÕES, 1 CX NOVA, 1 DERIVAÇÃO, 7 TESTES, 1 TESTE OTDR"/>
    <s v="ok"/>
    <m/>
    <m/>
    <m/>
    <d v="2025-09-12T00:00:00"/>
    <d v="2025-12-08T00:00:00"/>
    <m/>
    <x v="0"/>
    <x v="0"/>
    <s v="AG. MEDIÇÃO"/>
    <s v="DATA ENTRADA"/>
    <x v="1"/>
    <s v="DATA ENTRADA"/>
  </r>
  <r>
    <s v="RSCLER0104"/>
    <s v="TRLAA"/>
    <m/>
    <m/>
    <s v="PORTO ALEGRE"/>
    <s v=" APÓSTOLOS, 403 PARTE 1"/>
    <s v="Rua dos Apóstolos 403 PARTE 1"/>
    <m/>
    <d v="2023-05-01T00:00:00"/>
    <x v="0"/>
    <m/>
    <s v="JEFERSON"/>
    <s v="100% - OK"/>
    <s v="OK"/>
    <m/>
    <n v="902"/>
    <s v="LANÇADO 902 METROS DE CABO DE 12FO ESPINADO, 6 ABERTURA E FECHAMENTO, 3 DERIVAÇÃO, 6 FUSÃO , 1 CX NOVA E 1 TESTE"/>
    <d v="2023-09-15T00:00:00"/>
    <m/>
    <d v="2023-09-09T00:00:00"/>
    <d v="2023-09-09T00:00:00"/>
    <d v="2023-09-09T00:00:00"/>
    <s v="NÃO PRECISA"/>
    <m/>
    <x v="0"/>
    <x v="0"/>
    <s v="AG. MEDIÇÃO"/>
    <s v="DATA ENTRADA"/>
    <x v="1"/>
    <s v="DATA ENTRADA"/>
  </r>
  <r>
    <s v="RSCLER0388"/>
    <s v="PRTAA"/>
    <s v="PRTANA"/>
    <s v="RSPLE26"/>
    <s v="PORTO ALEGRE"/>
    <s v="Reserva Piatelli "/>
    <s v="Rua dos Burgueses 295 - DIRETORIA"/>
    <s v="PRTAA.001.M120"/>
    <d v="2024-08-01T00:00:00"/>
    <x v="0"/>
    <s v="THIAGO LAMBRETA"/>
    <s v="ANDERSON"/>
    <s v="100% - OK"/>
    <s v="OK"/>
    <m/>
    <n v="211"/>
    <s v="FOI LANÇADO 211  METROS DE CABO DE 12 FO, 4 ABERTURA E FECHAMENTO, 10 FUSÃO, 1 DERIVAÇÃO, 1 CX NOVA, 2 TESTE"/>
    <d v="2024-09-14T00:00:00"/>
    <d v="2024-08-20T00:00:00"/>
    <d v="2024-09-07T00:00:00"/>
    <d v="2024-09-07T00:00:00"/>
    <d v="2024-09-09T00:00:00"/>
    <s v="NÃO PRECISA"/>
    <m/>
    <x v="0"/>
    <x v="0"/>
    <s v="AG. MEDIÇÃO"/>
    <n v="14"/>
    <x v="1"/>
    <n v="11"/>
  </r>
  <r>
    <s v="RSCLER0810"/>
    <s v="RBTAC"/>
    <s v="SRDAF FASE 2"/>
    <s v="RSPNO17"/>
    <s v="PORTO ALEGRE"/>
    <m/>
    <s v="RUA DOS MAIAS, 965"/>
    <s v="RBTAC.024"/>
    <d v="2026-03-01T00:00:00"/>
    <x v="0"/>
    <s v="AUGUSTO"/>
    <m/>
    <m/>
    <m/>
    <n v="900"/>
    <n v="763"/>
    <s v="FOI LANÇADO 763 METROS DE CABO DE 24FO DDS E 582 METROS DE CORDOALHA DE AÇO."/>
    <d v="2026-05-04T00:00:00"/>
    <d v="2026-03-08T00:00:00"/>
    <m/>
    <m/>
    <d v="2026-03-10T00:00:00"/>
    <d v="2026-05-04T00:00:00"/>
    <m/>
    <x v="0"/>
    <x v="0"/>
    <s v="AG. MEDIÇÃO"/>
    <n v="1"/>
    <x v="0"/>
    <n v="-2"/>
  </r>
  <r>
    <s v="RSCLER0078"/>
    <s v="MRDAA"/>
    <m/>
    <m/>
    <s v="CANOAS "/>
    <s v="BASE CANOAS"/>
    <s v="RUA DOUTOR SEZEFREDO AZAMBUZA VIEIRA"/>
    <m/>
    <d v="2023-05-12T00:00:00"/>
    <x v="0"/>
    <m/>
    <s v="LUCAS HOBERT"/>
    <s v="100% - OK"/>
    <s v="OK"/>
    <s v="SEM LANÇAMENTO"/>
    <s v="SEM LANÇAMENTO"/>
    <s v="1 ABERTURA E FECHAMENTO, 2 FUSÕES, 1 CTO, 1 DERIVAÇÃO, 339M  DE 12FO"/>
    <d v="2023-06-19T00:00:00"/>
    <d v="2023-06-19T00:00:00"/>
    <m/>
    <m/>
    <m/>
    <s v="NÃO PRECISA"/>
    <m/>
    <x v="0"/>
    <x v="0"/>
    <s v="AG. MEDIÇÃO"/>
    <n v="833"/>
    <x v="1"/>
    <n v="830"/>
  </r>
  <r>
    <s v="RSCLER0266"/>
    <s v="NAVAA"/>
    <m/>
    <m/>
    <s v="PORTO ALEGRE"/>
    <s v="DIRETORIA"/>
    <s v="Rua Dr Eduardo Chartier, 190"/>
    <m/>
    <d v="2024-04-01T00:00:00"/>
    <x v="0"/>
    <s v="POMPEU"/>
    <s v="RODRIGO"/>
    <s v="100% - OK"/>
    <s v="OK"/>
    <m/>
    <n v="583"/>
    <s v="FOI LANÇADO 583 METROS DE CABO DE 12FO, 1 ABERTURA E FECHAMENTO, 5 FUSÃO, 5 TESTE 1 CX NOVA, 1 DERIVAÇÃO"/>
    <d v="2024-04-23T00:00:00"/>
    <d v="2024-04-17T00:00:00"/>
    <d v="2024-04-17T00:00:00"/>
    <d v="2024-04-18T00:00:00"/>
    <d v="2024-04-18T00:00:00"/>
    <s v="NÃO PRECISA"/>
    <m/>
    <x v="0"/>
    <x v="0"/>
    <s v="AG. MEDIÇÃO"/>
    <n v="1"/>
    <x v="0"/>
    <n v="-2"/>
  </r>
  <r>
    <s v="RSCLER0272"/>
    <s v="NAVAA"/>
    <m/>
    <m/>
    <s v="PORTO ALEGRE"/>
    <s v="DIRETORIA"/>
    <s v="Rua Dr Eduardo Chartier, 585"/>
    <m/>
    <d v="2024-06-01T00:00:00"/>
    <x v="0"/>
    <s v="UBIRATAN"/>
    <s v="MARCIO"/>
    <s v="100% - OK"/>
    <s v="OK"/>
    <m/>
    <n v="195"/>
    <s v="FOI LANÇADO 195 METROS DE CABO DE 12FO, 12 ABERTURA E FECHAMENTO, 1 CX NOVA, 21 FUSÃO, 2 DERIVAÇÃO"/>
    <d v="2024-05-27T00:00:00"/>
    <d v="2024-04-17T00:00:00"/>
    <m/>
    <d v="2024-04-22T00:00:00"/>
    <d v="2024-04-23T00:00:00"/>
    <s v="NÃO PRECISA"/>
    <m/>
    <x v="0"/>
    <x v="0"/>
    <s v="AG. MEDIÇÃO"/>
    <n v="4"/>
    <x v="1"/>
    <n v="1"/>
  </r>
  <r>
    <s v="RSCLER0271"/>
    <s v="NAVAA"/>
    <m/>
    <m/>
    <s v="PORTO ALEGRE"/>
    <s v="DIRETORIA"/>
    <s v="Rua Dr Eduardo Chartier,195"/>
    <m/>
    <d v="2024-05-01T00:00:00"/>
    <x v="0"/>
    <m/>
    <s v="RODRIGO"/>
    <s v="100% - OK"/>
    <s v="OK"/>
    <s v="SEM LANÇAMENTO"/>
    <s v="SEM LANÇAMENTO"/>
    <s v="2 ABERTURA E FECHAMENTO, 1 FUSÃO, 1 TESTE"/>
    <d v="2024-04-23T00:00:00"/>
    <d v="2024-04-17T00:00:00"/>
    <m/>
    <d v="2024-04-18T00:00:00"/>
    <d v="2024-04-18T00:00:00"/>
    <s v="NÃO PRECISA"/>
    <m/>
    <x v="0"/>
    <x v="0"/>
    <s v="AG. MEDIÇÃO"/>
    <n v="1"/>
    <x v="0"/>
    <n v="-2"/>
  </r>
  <r>
    <s v="RSCLER1013"/>
    <s v="BFMAA"/>
    <s v="FLOAPB"/>
    <s v="RSPLE78"/>
    <s v="PORTO ALEGRE"/>
    <s v="DOM CAMILO "/>
    <s v="R CDOR AZEVEDO 464"/>
    <s v="BFMAA.033.M030"/>
    <d v="2026-07-01T00:00:00"/>
    <x v="0"/>
    <m/>
    <s v="CATIA"/>
    <m/>
    <s v="OK"/>
    <s v="SEM LANÇAMENTO"/>
    <s v="SEM LANÇAMENTO"/>
    <s v="2 ABERTURA E FECHAMENTO, 6 FUSÕES, 3 TESTES, 3 TESTES OTDR."/>
    <d v="2026-08-27T00:00:00"/>
    <d v="2026-07-31T00:00:00"/>
    <m/>
    <d v="2026-07-31T00:00:00"/>
    <d v="2026-07-31T00:00:00"/>
    <d v="2026-08-27T00:00:00"/>
    <m/>
    <x v="0"/>
    <x v="0"/>
    <s v="AG. MEDIÇÃO"/>
    <n v="0"/>
    <x v="0"/>
    <n v="-3"/>
  </r>
  <r>
    <s v="RSCLER0545"/>
    <s v="TRZAA"/>
    <s v="TRZAM"/>
    <s v="RSPSU11"/>
    <s v="PORTO ALEGRE"/>
    <s v="Condomínio Village Neuchatel "/>
    <s v="Rua Dr. Armando Barbedo, 541"/>
    <s v="TRZAA.112.M030"/>
    <d v="2025-03-01T00:00:00"/>
    <x v="0"/>
    <m/>
    <s v="AUGUSTO"/>
    <s v="100% - OK"/>
    <s v="OK - ENVIADO"/>
    <s v="SEM LANÇAMENTO"/>
    <s v="SEM LANÇAMENTO"/>
    <s v="1 ABERTURA E FECHAMENTO, 3 TESTE"/>
    <d v="2025-03-24T00:00:00"/>
    <d v="2025-03-17T00:00:00"/>
    <d v="2025-03-18T00:00:00"/>
    <d v="2025-03-19T00:00:00"/>
    <d v="2025-03-22T00:00:00"/>
    <s v="NÃO PRECISA"/>
    <m/>
    <x v="0"/>
    <x v="0"/>
    <s v="AG. MEDIÇÃO"/>
    <n v="4"/>
    <x v="1"/>
    <n v="1"/>
  </r>
  <r>
    <s v="RSCLER0650"/>
    <s v="CTLAA"/>
    <m/>
    <s v="RSPSU07"/>
    <s v="PORTO ALEGRE"/>
    <s v="Cond. Santa Flora"/>
    <s v="Rua Dr. Campos Velho, 1245"/>
    <s v="CTLAA.073"/>
    <d v="2025-06-01T00:00:00"/>
    <x v="0"/>
    <s v="UBIRATAN"/>
    <s v="GILSON"/>
    <m/>
    <m/>
    <n v="1700"/>
    <n v="1615"/>
    <s v="FOI LANÇADO 1615 METROS DE CABO DE 12FO, 2 ABERTURA E FECHAMENTO, 2 CX NOVAS, 8 NAP NOVAS, 2 DERIVAÇÕES, 27 FUSÕES, 1 TESTE OTDR, 24 TESTES"/>
    <d v="2025-07-10T00:00:00"/>
    <d v="2025-06-27T00:00:00"/>
    <m/>
    <m/>
    <d v="2025-07-08T00:00:00"/>
    <s v="NÃO PRECISA"/>
    <m/>
    <x v="0"/>
    <x v="0"/>
    <s v="AG. MEDIÇÃO"/>
    <n v="7"/>
    <x v="1"/>
    <n v="4"/>
  </r>
  <r>
    <s v="RSCLER1004"/>
    <s v="BFMAB"/>
    <s v="RBRAH"/>
    <s v="RSPCE13"/>
    <s v="PORTO ALEGRE"/>
    <s v="Edificio Prado"/>
    <s v="R MOSTARDEIRO 539"/>
    <s v="BFMAB.164.M30"/>
    <d v="2026-07-01T00:00:00"/>
    <x v="0"/>
    <m/>
    <s v="CATIA"/>
    <m/>
    <s v="OK"/>
    <s v="SEM LANÇAMENTO"/>
    <s v="SEM LANÇAMENTO"/>
    <s v="2 ABERTURA E FECHAMENTO, 1 FUSÃO, 1 TESTE."/>
    <d v="2026-08-27T00:00:00"/>
    <d v="2026-07-31T00:00:00"/>
    <m/>
    <d v="2026-08-04T00:00:00"/>
    <d v="2026-07-03T00:00:00"/>
    <d v="2026-08-27T00:00:00"/>
    <m/>
    <x v="0"/>
    <x v="0"/>
    <s v="AG. MEDIÇÃO"/>
    <n v="-22"/>
    <x v="0"/>
    <n v="-25"/>
  </r>
  <r>
    <s v="RSCLER0820"/>
    <s v="CNTAB"/>
    <s v="CNTAG"/>
    <s v="RSPCE14"/>
    <s v="PORTO ALEGRE"/>
    <m/>
    <s v="rua Duque de Caxias 1464"/>
    <s v="CNTAB.071.M060"/>
    <d v="2026-04-01T00:00:00"/>
    <x v="0"/>
    <m/>
    <s v="JOSÉ"/>
    <m/>
    <m/>
    <s v="SEM LANÇAMENTO"/>
    <s v="SEM LANÇAMENTO"/>
    <s v="3 ABERTURA E FECHAMENTO, 3 FUSÕES, 1 TESTE, COBRAR AS BUILTS"/>
    <d v="2026-04-10T00:00:00"/>
    <d v="2026-04-09T00:00:00"/>
    <d v="2026-04-09T00:00:00"/>
    <d v="2026-04-09T00:00:00"/>
    <d v="2026-04-09T00:00:00"/>
    <d v="2026-04-10T00:00:00"/>
    <m/>
    <x v="0"/>
    <x v="0"/>
    <s v="AG. MEDIÇÃO"/>
    <n v="0"/>
    <x v="0"/>
    <n v="-3"/>
  </r>
  <r>
    <s v="RSCLER0649"/>
    <s v="CNTAB"/>
    <s v="CNTAE"/>
    <s v="RSPCE14"/>
    <s v="PORTO ALEGRE"/>
    <s v="LAFAYETE"/>
    <s v="RUA DUQUE DE CAXIAS, 925"/>
    <s v="CNTAB.171.M040"/>
    <d v="2025-06-01T00:00:00"/>
    <x v="0"/>
    <s v="UBIRAJARA"/>
    <s v="CATIA"/>
    <m/>
    <m/>
    <m/>
    <n v="485"/>
    <s v="FOI LANÇADO 102 METROS DE CABO DE 24FO, E 383 METROS DE CABO DE 12FO, 7 ABERTURA E FECHAMENTO, 13 FUSÕES, 4 DERIVAÇÕES, 2 TESTES"/>
    <d v="2025-08-08T00:00:00"/>
    <d v="2025-06-27T00:00:00"/>
    <m/>
    <m/>
    <m/>
    <s v="NÃO PRECISA"/>
    <m/>
    <x v="0"/>
    <x v="0"/>
    <s v="AG. MEDIÇÃO"/>
    <n v="304"/>
    <x v="1"/>
    <n v="301"/>
  </r>
  <r>
    <s v="RSCLER0407"/>
    <s v="RBRAA"/>
    <s v="RBRAA"/>
    <s v="RSPLE08"/>
    <s v="PORTO ALEGRE"/>
    <s v="DIRETORIA"/>
    <s v="Rua Eça de Queiroz, 194 - DIRETORIA"/>
    <s v="RBRAA.093.M010"/>
    <d v="2024-08-01T00:00:00"/>
    <x v="0"/>
    <s v="THIAGO LAMBRETA"/>
    <s v="MARCOS EMILIANO"/>
    <s v="100% - OK"/>
    <s v="OK"/>
    <n v="250"/>
    <n v="195"/>
    <s v="FOI LANÇADO 195 METROS DE CABO DE 12FO, 7 ABERTURA E FECHAMENTO, 1 CX NOVA, 1 DERIVAÇÃO, 7 FUSÃO, 1 TESTE"/>
    <d v="2024-09-20T00:00:00"/>
    <d v="2024-08-29T00:00:00"/>
    <d v="2024-09-02T00:00:00"/>
    <d v="2024-09-05T00:00:00"/>
    <d v="2024-09-09T00:00:00"/>
    <s v="NÃO PRECISA"/>
    <m/>
    <x v="0"/>
    <x v="0"/>
    <s v="AG. MEDIÇÃO"/>
    <n v="7"/>
    <x v="1"/>
    <n v="4"/>
  </r>
  <r>
    <s v="RSCLER0646"/>
    <s v="JBOAA"/>
    <s v="PETAE"/>
    <s v="RSPLE18"/>
    <s v="PORTO ALEGRE"/>
    <s v="Cond. Idea Eça de Queiroz"/>
    <s v="Rua Eça de Queiroz, 800"/>
    <s v="JBOAA.093.M102"/>
    <d v="2025-06-01T00:00:00"/>
    <x v="0"/>
    <s v="UBIRATAN"/>
    <s v="CATIA"/>
    <m/>
    <m/>
    <n v="220"/>
    <n v="229"/>
    <s v="FOI LANÇADO 229 METROS DE CABO DE 24FO, FOI LANÇADO 200 METROS DE CORDOALHA, 8 ABERTURA E FECHAMENTO, 5 DERIVAÇÃO, 3 TESTES OTDR, 19 FUSÕES"/>
    <d v="2025-07-14T00:00:00"/>
    <d v="2025-06-24T00:00:00"/>
    <m/>
    <m/>
    <m/>
    <s v="NÃO PRECISA"/>
    <m/>
    <x v="0"/>
    <x v="0"/>
    <s v="AG. MEDIÇÃO"/>
    <n v="307"/>
    <x v="1"/>
    <n v="304"/>
  </r>
  <r>
    <s v="RSCLER0651"/>
    <s v="SPEAA"/>
    <s v="SPEAAA"/>
    <s v="PAE DAM"/>
    <s v="PORTO ALEGRE"/>
    <m/>
    <s v="RUA EDMUNDO BASTIAN 452"/>
    <s v="SPEAA.012.M030"/>
    <d v="2025-06-01T00:00:00"/>
    <x v="0"/>
    <s v="UBIRATAN"/>
    <s v="CATIA"/>
    <m/>
    <m/>
    <m/>
    <n v="460"/>
    <s v="COBRAR DENTRO DO NODE SPEAAA"/>
    <s v="SPEAAA"/>
    <m/>
    <m/>
    <m/>
    <m/>
    <s v="NÃO PRECISA"/>
    <m/>
    <x v="0"/>
    <x v="0"/>
    <s v="AG. MEDIÇÃO"/>
    <s v="DATA ENTRADA"/>
    <x v="1"/>
    <s v="DATA ENTRADA"/>
  </r>
  <r>
    <s v="RSCLER0492"/>
    <s v="JITAA"/>
    <s v="JITAE"/>
    <s v="RSPNO75"/>
    <s v="PORTO ALEGRE"/>
    <m/>
    <s v="RUA EDMUNDO FIGUEIRA DA SILVA"/>
    <s v="JITAA.161.01.06"/>
    <d v="2025-01-01T00:00:00"/>
    <x v="0"/>
    <s v="AUGUSTO"/>
    <s v="AUGUSTO"/>
    <s v="100% - OK"/>
    <s v="OK - ENVIADO"/>
    <m/>
    <n v="229"/>
    <s v="FOI LANÇADO 229 METROS DE CABO DE 12FO, 4 NAP NOVA, 4 FUSÕES, 12 TESTES"/>
    <d v="2025-02-10T00:00:00"/>
    <d v="2025-01-07T00:00:00"/>
    <d v="2025-01-22T00:00:00"/>
    <d v="2025-01-02T00:00:00"/>
    <d v="2025-01-22T00:00:00"/>
    <s v="NÃO PRECISA"/>
    <m/>
    <x v="0"/>
    <x v="0"/>
    <s v="AG. MEDIÇÃO"/>
    <n v="11"/>
    <x v="1"/>
    <n v="8"/>
  </r>
  <r>
    <s v="RSCLER0744"/>
    <s v="JITAB"/>
    <s v="JITAIA"/>
    <s v="RSPNO75"/>
    <s v="PORTO ALEGRE"/>
    <s v="Cond.(Nome do Codominio)"/>
    <s v="Rua Elias Bothome, 160"/>
    <s v="JITAB.152.05.06"/>
    <d v="2025-10-01T00:00:00"/>
    <x v="0"/>
    <s v="UBIRAJARA"/>
    <s v="AUGUSTO"/>
    <m/>
    <m/>
    <n v="415"/>
    <n v="483"/>
    <s v="FOI LANÇADO 483 METROS DE CABO DE 12FO, 3 ABERTURA E FECHAMENTO, 1 DERIVAÇÃO, 1 NAP NOVA, 3 FUSÕES, 3 TESTES."/>
    <d v="2025-10-20T00:00:00"/>
    <d v="2025-10-18T00:00:00"/>
    <m/>
    <m/>
    <d v="2025-10-20T00:00:00"/>
    <d v="2025-10-20T00:00:00"/>
    <m/>
    <x v="0"/>
    <x v="0"/>
    <s v="AG. MEDIÇÃO"/>
    <n v="0"/>
    <x v="0"/>
    <n v="-3"/>
  </r>
  <r>
    <s v="RSCLER0318"/>
    <s v="SSOAA"/>
    <s v="SSOAFA"/>
    <m/>
    <s v="PORTO ALEGRE"/>
    <s v=" Yvy Lindóia Vanguard"/>
    <s v="Rua Emilio Muler N°55"/>
    <s v="SSOAA.091.M100"/>
    <d v="2024-05-01T00:00:00"/>
    <x v="0"/>
    <s v="ALAN / MALCOLN"/>
    <s v="MARCIO"/>
    <s v="100% - OK"/>
    <s v="OK"/>
    <m/>
    <n v="108"/>
    <s v="FOI LANÇADO 108 METROS DE CABO DE 12FO , 6 ABERTURA E FECHAMENTO, 16 FUSÃO, 1 CX NOVA, 4 DERIVAÇÃO,  2 TESTE"/>
    <d v="2024-06-26T00:00:00"/>
    <d v="2024-05-27T00:00:00"/>
    <d v="2024-05-28T00:00:00"/>
    <d v="2024-05-29T00:00:00"/>
    <d v="2024-05-29T00:00:00"/>
    <s v="NÃO PRECISA"/>
    <m/>
    <x v="0"/>
    <x v="0"/>
    <s v="AG. MEDIÇÃO"/>
    <n v="2"/>
    <x v="0"/>
    <n v="-1"/>
  </r>
  <r>
    <s v="RSCLER0872"/>
    <s v="AZNAA"/>
    <m/>
    <m/>
    <s v="PORTO ALEGRE"/>
    <s v="Cond. JD AMÉRICA"/>
    <s v="RUA ENG. FERNANDO MENDES RIBEIRO 30"/>
    <s v="AZNAA.051.M030"/>
    <d v="2026-05-01T00:00:00"/>
    <x v="0"/>
    <m/>
    <s v="CATIA"/>
    <m/>
    <m/>
    <s v="SEM LANÇAMENTO"/>
    <s v="SEM LANÇAMENTO"/>
    <s v="2 ABERTURA E FECHAMENTO, 4 FUSÕES, 1 TESTE OTDR, 3 TESTES"/>
    <d v="2026-05-20T00:00:00"/>
    <d v="2026-05-16T00:00:00"/>
    <m/>
    <m/>
    <d v="2026-05-17T00:00:00"/>
    <d v="2026-05-20T00:00:00"/>
    <m/>
    <x v="0"/>
    <x v="0"/>
    <s v="AG. MEDIÇÃO"/>
    <n v="-1"/>
    <x v="0"/>
    <n v="-4"/>
  </r>
  <r>
    <s v="RSCLER0069"/>
    <s v="BVSAB"/>
    <m/>
    <m/>
    <s v="PORTO ALEGRE"/>
    <s v="EDF. TEENÁ"/>
    <s v="RUA ENG. ILDEFONSO SIMÕES LOPES, 190"/>
    <m/>
    <d v="2023-04-01T00:00:00"/>
    <x v="0"/>
    <s v="JORGE MATHEUS"/>
    <m/>
    <s v="100% - OK"/>
    <s v="OK"/>
    <m/>
    <n v="600"/>
    <s v="LANÇAMENTO DE 600 METROS (12FO)  / 2 ABERTURA E FECHAMENTO / 6 FUSÃO / 3 TESTE / 1 CX NOVA."/>
    <d v="2023-07-11T00:00:00"/>
    <d v="2023-04-05T00:00:00"/>
    <d v="2023-04-04T00:00:00"/>
    <d v="2021-04-18T00:00:00"/>
    <d v="2023-04-18T00:00:00"/>
    <s v="NÃO PRECISA"/>
    <m/>
    <x v="0"/>
    <x v="0"/>
    <s v="AG. MEDIÇÃO"/>
    <n v="9"/>
    <x v="1"/>
    <n v="6"/>
  </r>
  <r>
    <s v="RSCLER0401"/>
    <s v="RBTAA"/>
    <s v="RBTAKB"/>
    <s v="PAE ARY"/>
    <s v="PORTO ALEGRE"/>
    <m/>
    <s v="Rua ENG. Ubatuba de faria, 295 "/>
    <s v="RBTAA.042.M010"/>
    <d v="2024-09-01T00:00:00"/>
    <x v="0"/>
    <s v="GIOVANE"/>
    <s v="PAULO GOMES"/>
    <s v="100% - OK"/>
    <s v="OK"/>
    <n v="250"/>
    <n v="276"/>
    <s v="FOI LANÇADO 276 METROS DE CABO DE 12FO, 5 ABERTURA E FECHAMENTO, 10 FUSÃO, 1 DERIVAÇÃO, 1 CX NOVA"/>
    <d v="2024-09-14T00:00:00"/>
    <d v="2024-08-27T00:00:00"/>
    <d v="2024-09-10T00:00:00"/>
    <d v="2024-09-11T00:00:00"/>
    <d v="2024-09-11T00:00:00"/>
    <s v="NÃO PRECISA"/>
    <m/>
    <x v="0"/>
    <x v="0"/>
    <s v="AG. MEDIÇÃO"/>
    <n v="11"/>
    <x v="1"/>
    <n v="8"/>
  </r>
  <r>
    <s v="RSCLER0362"/>
    <s v="RBTAA"/>
    <s v="RBTAQ"/>
    <s v="PAE ARY"/>
    <s v="PORTO ALEGRE"/>
    <m/>
    <s v="Rua Engenheiro Fernando Abreu Pereira, 144"/>
    <s v="RBTAA.122.M030."/>
    <d v="2024-07-01T00:00:00"/>
    <x v="0"/>
    <m/>
    <s v="MARCOS EMILIANO"/>
    <s v="100% - OK"/>
    <s v="OK"/>
    <m/>
    <m/>
    <s v="COBRAR JUNTO COM A OS RSCLER0358"/>
    <d v="2024-08-28T00:00:00"/>
    <d v="2024-07-26T00:00:00"/>
    <d v="2024-08-03T00:00:00"/>
    <d v="2024-08-03T00:00:00"/>
    <d v="2024-08-03T00:00:00"/>
    <s v="NÃO PRECISA"/>
    <m/>
    <x v="0"/>
    <x v="0"/>
    <s v="AG. MEDIÇÃO"/>
    <n v="5"/>
    <x v="1"/>
    <n v="2"/>
  </r>
  <r>
    <s v="RSCLER0633"/>
    <s v="HPCAA"/>
    <s v="HPCAE"/>
    <s v="RSPSU90"/>
    <s v="PORTO ALEGRE"/>
    <s v="Cond. Jardins do Lago II"/>
    <s v="Rua Eroni Soares Machado, 300"/>
    <s v="HPCAA.042"/>
    <d v="2025-06-01T00:00:00"/>
    <x v="0"/>
    <s v="VICTOR"/>
    <s v="ANDERSON"/>
    <m/>
    <m/>
    <m/>
    <m/>
    <s v="COBRAR JUNTO AO NODE HPCAE FASE 2"/>
    <s v="HPCAE F2"/>
    <d v="2025-06-12T00:00:00"/>
    <m/>
    <m/>
    <d v="2025-06-30T00:00:00"/>
    <s v="NÃO PRECISA"/>
    <m/>
    <x v="0"/>
    <x v="0"/>
    <s v="AG. MEDIÇÃO"/>
    <n v="12"/>
    <x v="1"/>
    <n v="9"/>
  </r>
  <r>
    <s v="RSCLER0753"/>
    <s v="JBQAA"/>
    <m/>
    <s v="RSCHN05"/>
    <s v="CACHOERINHA"/>
    <m/>
    <s v="Rua Eugenio Monteiro, 335"/>
    <s v="JBQAA.021.02.07"/>
    <d v="2025-11-01T00:00:00"/>
    <x v="0"/>
    <s v="DERIK"/>
    <s v="DERIK"/>
    <m/>
    <d v="2026-01-23T00:00:00"/>
    <n v="376"/>
    <n v="493"/>
    <s v="FOI LANÇADO 493 METROS DE CABO DE 12FO, 9 ABERTURA E FECHAMENTO, 11 FUSÕES, 1 DERIVAÇÃO, 2 CX NOVAS, 1 NAP NOVA, 3 TESTES"/>
    <d v="2026-05-14T00:00:00"/>
    <d v="2025-11-25T00:00:00"/>
    <m/>
    <m/>
    <d v="2025-12-06T00:00:00"/>
    <d v="2026-01-23T00:00:00"/>
    <m/>
    <x v="0"/>
    <x v="0"/>
    <s v="AG. MEDIÇÃO"/>
    <n v="8"/>
    <x v="1"/>
    <n v="5"/>
  </r>
  <r>
    <s v="RSCLER0314"/>
    <s v="BVSAB"/>
    <s v="BVSAHA"/>
    <m/>
    <s v="PORTO ALEGRE"/>
    <s v=" Condomínio Aris "/>
    <s v="Rua Evaldo Campos, 79"/>
    <s v="BVSAB.032.M050"/>
    <d v="2024-05-01T00:00:00"/>
    <x v="0"/>
    <s v="THIAGO"/>
    <s v="MARCOS EMILIANO"/>
    <s v="100% - OK"/>
    <s v="OK"/>
    <m/>
    <n v="1110"/>
    <s v="FOI LANÇADO 1110 METROS DE CABO DE 12FO, 4 ABERTURA E FECHAMENTO, 5 FUSÕES, 1 DERIVAÇÃO, 1 CX NOVA, 1 TESTE"/>
    <d v="2024-05-27T00:00:00"/>
    <d v="2024-05-17T00:00:00"/>
    <d v="2024-05-22T00:00:00"/>
    <d v="2024-05-22T00:00:00"/>
    <d v="2024-05-22T00:00:00"/>
    <s v="NÃO PRECISA"/>
    <m/>
    <x v="0"/>
    <x v="0"/>
    <s v="AG. MEDIÇÃO"/>
    <n v="3"/>
    <x v="0"/>
    <n v="0"/>
  </r>
  <r>
    <s v="RSCLER0008"/>
    <s v="AZNAA"/>
    <m/>
    <m/>
    <s v="PORTO ALEGRE"/>
    <s v="COND. LIFT RESIDENCE"/>
    <s v="RUA FAGUNDES VARELA, 200"/>
    <m/>
    <d v="2023-01-01T00:00:00"/>
    <x v="0"/>
    <m/>
    <m/>
    <s v="100% - OK"/>
    <s v="-"/>
    <s v="SEM LANÇAMENTO"/>
    <s v="SEM LANÇAMENTO"/>
    <m/>
    <d v="2023-07-11T00:00:00"/>
    <d v="2023-01-02T00:00:00"/>
    <d v="2023-01-02T00:00:00"/>
    <d v="2023-01-23T00:00:00"/>
    <d v="2023-01-23T00:00:00"/>
    <s v="NÃO PRECISA"/>
    <m/>
    <x v="0"/>
    <x v="0"/>
    <s v="AG. MEDIÇÃO"/>
    <n v="15"/>
    <x v="1"/>
    <n v="12"/>
  </r>
  <r>
    <s v="RSCLER0352"/>
    <s v="VNVAA"/>
    <s v="VNVAE"/>
    <s v="RSPSU13"/>
    <s v="PORTO ALEGRE"/>
    <s v="CAMPOS DO SUL"/>
    <s v="RUA FAMILIA GONÇALVES CARNEIRO 441"/>
    <s v="VNVAA.131.M030"/>
    <d v="2024-07-01T00:00:00"/>
    <x v="0"/>
    <s v="UBIRATAN / ALAN"/>
    <s v="FABIO AMARILIO"/>
    <s v="100% - OK"/>
    <s v="OK"/>
    <m/>
    <n v="635"/>
    <s v="FOI LANÇADO 411 METROS DE CABO DE 12FO, FOI LANÇADO 426 METROS DE CABO DE 12FO, 5 ABERTURA E FECHAMENTO, 3 DERIVAÇÃO, 28 FUSÃO, 1 CX NOVA, 7 TESTE "/>
    <d v="2024-08-28T00:00:00"/>
    <d v="2024-07-19T00:00:00"/>
    <d v="2024-07-15T00:00:00"/>
    <d v="2024-08-12T00:00:00"/>
    <d v="2024-08-12T00:00:00"/>
    <s v="NÃO PRECISA"/>
    <m/>
    <x v="0"/>
    <x v="0"/>
    <s v="AG. MEDIÇÃO"/>
    <n v="16"/>
    <x v="1"/>
    <n v="13"/>
  </r>
  <r>
    <s v="RSCLER0958"/>
    <s v="VNVAA"/>
    <s v="VNVAE"/>
    <s v="RSPSU13"/>
    <s v="PORTO ALEGRE"/>
    <s v="CAMPOS DO SUL"/>
    <s v="RUA FAMILIA GONÇALVES CARNEIRO 441"/>
    <s v="VNVAA.131.M030"/>
    <d v="2026-06-01T00:00:00"/>
    <x v="0"/>
    <s v="BRUNO"/>
    <s v="AFONSO"/>
    <m/>
    <s v="OK"/>
    <n v="415"/>
    <n v="399"/>
    <s v="FOI LANÇADO 399 METROS DE CABO DE 12FO, 6 ABERTURA E FECHAMENTO, 14 FUSÕES, 2 DERIVAÇÕES, 7 TESTES."/>
    <d v="2026-08-17T00:00:00"/>
    <d v="2026-06-01T00:00:00"/>
    <m/>
    <m/>
    <d v="2026-06-01T00:00:00"/>
    <d v="2026-08-17T00:00:00"/>
    <m/>
    <x v="0"/>
    <x v="0"/>
    <s v="AG. MEDIÇÃO"/>
    <n v="0"/>
    <x v="0"/>
    <n v="-3"/>
  </r>
  <r>
    <s v="RSCLER0481"/>
    <s v="MTSAA"/>
    <s v="MTSAS"/>
    <s v="PAE BV"/>
    <s v="PORTO ALEGRE"/>
    <s v="Cyrela by Pininfarina"/>
    <s v="Rua Farnese, 70"/>
    <s v="MTSAA.144.M060"/>
    <d v="2024-12-01T00:00:00"/>
    <x v="0"/>
    <s v="VITOR LOPES / MAICON"/>
    <s v="ANDERSON"/>
    <s v="100% - OK"/>
    <s v="OK - ENVIADO"/>
    <n v="270"/>
    <n v="893"/>
    <s v="FOI LANÇADO 893 METROS DE CABO DE 12FO, 9 ABERTURA E FECHAMENTO , 7 FUSÃO, 1 CX NOVA, 3 DERIVAÇÃO, 3 TESTE"/>
    <d v="2025-01-10T00:00:00"/>
    <d v="2024-12-26T00:00:00"/>
    <d v="2024-12-27T00:00:00"/>
    <m/>
    <d v="2025-01-06T00:00:00"/>
    <s v="NÃO PRECISA"/>
    <m/>
    <x v="0"/>
    <x v="0"/>
    <s v="AG. MEDIÇÃO"/>
    <n v="7"/>
    <x v="1"/>
    <n v="4"/>
  </r>
  <r>
    <s v="RSCLER0121"/>
    <s v="BVSAB "/>
    <m/>
    <m/>
    <s v="PORTO ALEGRE"/>
    <s v=" COND. ALLURE"/>
    <s v="RUA FELIZARDO, 491 •JARDIM BOTÂNICO "/>
    <m/>
    <d v="2023-09-01T00:00:00"/>
    <x v="0"/>
    <s v="ALAN GOMES"/>
    <s v="FABIO AMARILIO"/>
    <s v="100% - OK"/>
    <s v="-"/>
    <m/>
    <n v="285"/>
    <s v="FOI LANÇADO 285 METROS DE CABO 12FO,150 METROS DE CORDOALHA, 3 ABERTURA E FECHAMENTO, 1 DERIVAÇÃO, 1 CX NOVA, 9 FUSÃO, 3 TESTE"/>
    <d v="2023-10-04T00:00:00"/>
    <d v="2023-09-11T00:00:00"/>
    <d v="2023-09-29T00:00:00"/>
    <d v="2023-09-30T00:00:00"/>
    <d v="2023-09-30T00:00:00"/>
    <s v="NÃO PRECISA"/>
    <m/>
    <x v="0"/>
    <x v="0"/>
    <s v="AG. MEDIÇÃO"/>
    <n v="14"/>
    <x v="1"/>
    <n v="11"/>
  </r>
  <r>
    <s v="RSCLER0383"/>
    <s v="CNTAA"/>
    <s v="CNT10A"/>
    <s v="RSGTI08"/>
    <s v="GRAVATAI"/>
    <s v="Condomínio Solar da Figueira Gravataí"/>
    <s v="Rua Ferdinando Costa, 80"/>
    <s v="CNTAA.011.M040"/>
    <d v="2024-08-01T00:00:00"/>
    <x v="0"/>
    <s v="GIOVANE"/>
    <s v="FABIO AMARILIO / ANDERSON"/>
    <s v="100% - OK"/>
    <s v="OK"/>
    <m/>
    <n v="1475"/>
    <s v="FOI LANÇADO 1475 METROS DE CABO DE 36FO, FOI REPUXADO 220 METROS DE CABO DE 12FO, 1 CX NOVA, 5 DERIVAÇÃO, 2 TESTE, 10FUSÃO, 4 ABERTURA E FECHAMENTO"/>
    <d v="2024-09-10T00:00:00"/>
    <d v="2024-08-19T00:00:00"/>
    <d v="2024-08-20T00:00:00"/>
    <d v="2024-08-22T00:00:00"/>
    <d v="2024-08-25T00:00:00"/>
    <s v="NÃO PRECISA"/>
    <m/>
    <x v="0"/>
    <x v="0"/>
    <s v="AG. MEDIÇÃO"/>
    <n v="4"/>
    <x v="1"/>
    <n v="1"/>
  </r>
  <r>
    <s v="RSCLER0493"/>
    <s v="BFMAA"/>
    <s v="BFMAE"/>
    <s v="PAE IND"/>
    <s v="PORTO ALEGRE"/>
    <s v="Cond Edificio Izabel"/>
    <s v="Rua Fernandes Vieira, 608 "/>
    <s v="BFMAA.212.M040"/>
    <d v="2025-01-01T00:00:00"/>
    <x v="0"/>
    <m/>
    <s v="ANDERSON"/>
    <s v="100% - OK"/>
    <s v="OK - ENVIADO"/>
    <s v="SEM LANÇAMENTO"/>
    <s v="SEM LANÇAMENTO"/>
    <s v="3 ABERTURA E FECHAMENTO, 2 FUSÕES, 1 TESTE"/>
    <d v="2025-02-10T00:00:00"/>
    <d v="2025-01-23T00:00:00"/>
    <d v="2025-01-27T00:00:00"/>
    <d v="2025-02-07T00:00:00"/>
    <d v="2025-02-07T00:00:00"/>
    <s v="NÃO PRECISA"/>
    <m/>
    <x v="0"/>
    <x v="0"/>
    <s v="AG. MEDIÇÃO"/>
    <n v="11"/>
    <x v="1"/>
    <n v="8"/>
  </r>
  <r>
    <s v="RSCLER0414"/>
    <s v="RBRAA"/>
    <s v="RBRAGA"/>
    <s v="RSPLE08"/>
    <s v="PORTO ALEGRE"/>
    <s v="Cond Ed Cinco Estrelas "/>
    <s v="Rua Fernandes Vieira, 634 - DIRETORIA"/>
    <s v="RBRAA.017.M050"/>
    <d v="2024-09-01T00:00:00"/>
    <x v="0"/>
    <s v="TIAGO FERREIRA"/>
    <s v="ANDERSON"/>
    <s v="100% - OK"/>
    <s v="OK - ENVIADO"/>
    <m/>
    <n v="565"/>
    <s v="FOI LANÇADO 565 METROS DE CABO DE 12FO, 3 ABERTURA E FECHAMENTO, 7 FUSÃO, 1 DERIVAÇÃO,1 CX NOVA, 3 TESTE "/>
    <d v="2024-09-14T00:00:00"/>
    <d v="2024-09-03T00:00:00"/>
    <d v="2024-09-07T00:00:00"/>
    <d v="2024-09-11T00:00:00"/>
    <d v="2024-09-10T00:00:00"/>
    <s v="NÃO PRECISA"/>
    <m/>
    <x v="0"/>
    <x v="0"/>
    <s v="AG. MEDIÇÃO"/>
    <n v="5"/>
    <x v="1"/>
    <n v="2"/>
  </r>
  <r>
    <s v="RSCLER0676"/>
    <s v="SPEAA"/>
    <m/>
    <s v="PAE DAM"/>
    <s v="PORTO ALEGRE"/>
    <m/>
    <s v="RUA FERNANDO ABBOTT, 249"/>
    <s v="SPEAA.011.M030"/>
    <d v="2025-07-01T00:00:00"/>
    <x v="0"/>
    <m/>
    <m/>
    <m/>
    <m/>
    <m/>
    <m/>
    <s v="COBRAR DENTRO DO NODE SPEAAA"/>
    <s v="SPEAAA"/>
    <m/>
    <m/>
    <m/>
    <d v="2025-07-21T00:00:00"/>
    <s v="NÃO PRECISA"/>
    <m/>
    <x v="0"/>
    <x v="0"/>
    <s v="AG. MEDIÇÃO"/>
    <s v="DATA ENTRADA"/>
    <x v="1"/>
    <s v="DATA ENTRADA"/>
  </r>
  <r>
    <s v="RSCLER0678"/>
    <s v="SPEAA"/>
    <m/>
    <m/>
    <s v="PORTO ALEGRE"/>
    <m/>
    <s v="RUA FERNANDO ABBOTT, 29"/>
    <s v="SPEAA.011.M010"/>
    <d v="2025-07-01T00:00:00"/>
    <x v="0"/>
    <m/>
    <s v="CATIA"/>
    <m/>
    <m/>
    <m/>
    <m/>
    <s v="COBRAR DENTRO DO NODE SPEAAA"/>
    <s v="SPEAAA"/>
    <m/>
    <m/>
    <m/>
    <d v="2025-07-21T00:00:00"/>
    <s v="NÃO PRECISA"/>
    <m/>
    <x v="0"/>
    <x v="0"/>
    <s v="AG. MEDIÇÃO"/>
    <s v="DATA ENTRADA"/>
    <x v="1"/>
    <s v="DATA ENTRADA"/>
  </r>
  <r>
    <s v="RSCLER0680"/>
    <s v="SPEAA"/>
    <m/>
    <m/>
    <s v="PORTO ALEGRE"/>
    <m/>
    <s v="RUA FERNANDO ABBOTT, 91, 103, 154"/>
    <s v="SPEAA.011.M020"/>
    <d v="2025-07-01T00:00:00"/>
    <x v="0"/>
    <m/>
    <s v="CATIA"/>
    <m/>
    <m/>
    <m/>
    <m/>
    <s v="COBRAR DENTRO DO NODE SPEAAA"/>
    <s v="SPEAAA"/>
    <m/>
    <m/>
    <m/>
    <d v="2025-07-21T00:00:00"/>
    <s v="NÃO PRECISA"/>
    <m/>
    <x v="0"/>
    <x v="0"/>
    <s v="AG. MEDIÇÃO"/>
    <s v="DATA ENTRADA"/>
    <x v="1"/>
    <s v="DATA ENTRADA"/>
  </r>
  <r>
    <s v="RSCLER0182"/>
    <s v="VIPAA"/>
    <m/>
    <m/>
    <s v="PORTO ALEGRE"/>
    <s v="Cond. Riservatto"/>
    <s v="Rua Fernando Cortez 222"/>
    <m/>
    <d v="2023-12-01T00:00:00"/>
    <x v="0"/>
    <s v="THIAGO"/>
    <s v="ALEXANDRE/ MARCOS EMILIANO"/>
    <s v="100% - OK"/>
    <s v="OK"/>
    <m/>
    <n v="380"/>
    <s v="LANÇADO 380 METROS DE CABO DE 12FO, FAZER AS BUILTS, CABO EXISTENTE É 24FO E NÃO 36FO , 3 ABERTURA E FECHAMENTO, 12 FUSÃO, 1 CX NOVA, 1 DERIVAÇÃO,"/>
    <d v="2024-01-09T00:00:00"/>
    <d v="2023-12-12T00:00:00"/>
    <d v="2023-12-13T00:00:00"/>
    <d v="2023-12-15T00:00:00"/>
    <d v="2023-12-16T00:00:00"/>
    <s v="NÃO PRECISA"/>
    <m/>
    <x v="0"/>
    <x v="0"/>
    <s v="AG. MEDIÇÃO"/>
    <n v="3"/>
    <x v="0"/>
    <n v="0"/>
  </r>
  <r>
    <s v="RSCLER0538"/>
    <s v="VIPAA"/>
    <s v="VIPAA"/>
    <s v="RSPNO19"/>
    <s v="PORTO ALEGRE"/>
    <m/>
    <s v="Rua Fernando Cortez, 553"/>
    <s v="VIPAA.012.M050"/>
    <d v="2025-03-01T00:00:00"/>
    <x v="0"/>
    <s v="UBIRATAN"/>
    <s v="AUGUSTO"/>
    <s v="100% - OK"/>
    <s v="OK - ENVIADO"/>
    <n v="350"/>
    <n v="550"/>
    <s v="FOI LANÇADO 550 METROS DE CABO DE 12FO, 2 ABERTURA E FECHAMENTO, 8 FUSÕES, 1 CX NOVA, 1 DERIVAÇÃO, 6 TESTES"/>
    <d v="2025-03-18T00:00:00"/>
    <d v="2025-03-12T00:00:00"/>
    <d v="2025-03-14T00:00:00"/>
    <d v="2025-03-18T00:00:00"/>
    <d v="2025-03-18T00:00:00"/>
    <s v="NÃO PRECISA"/>
    <m/>
    <x v="0"/>
    <x v="0"/>
    <s v="AG. MEDIÇÃO"/>
    <n v="4"/>
    <x v="1"/>
    <n v="1"/>
  </r>
  <r>
    <s v="RSCLER0870"/>
    <s v="VIPAA"/>
    <s v="SPEAH"/>
    <s v="RSPNO19"/>
    <s v="PORTO ALEGRE"/>
    <s v=" Cond Res Fernando Cortez "/>
    <s v="Rua Fernando Cortez, 74 "/>
    <s v="VIPAA.021.M010"/>
    <d v="2026-05-01T00:00:00"/>
    <x v="0"/>
    <s v="TIAGO FERREIRA"/>
    <s v="AFONSO"/>
    <m/>
    <s v="OK"/>
    <n v="320"/>
    <n v="631"/>
    <s v="FOI LANÇADO 361 METROS DE CABO DE 12FO, 2 ABERTURA E FECHAMENTO, 4 FUSÕES, 2 DERIVAÇÃO, 2 TESTE."/>
    <d v="2026-07-15T00:00:00"/>
    <d v="2026-05-10T00:00:00"/>
    <m/>
    <m/>
    <d v="2026-05-11T00:00:00"/>
    <d v="2026-07-15T00:00:00"/>
    <m/>
    <x v="0"/>
    <x v="0"/>
    <s v="AG. MEDIÇÃO"/>
    <n v="0"/>
    <x v="0"/>
    <n v="-3"/>
  </r>
  <r>
    <s v="RSCLER0513"/>
    <s v="SSOAA"/>
    <s v="SSOAFA"/>
    <s v="RSPNO07"/>
    <s v="PORTO ALEGRE"/>
    <m/>
    <s v="Rua Filipinas, 80"/>
    <s v="SSOAA.091.15.01"/>
    <d v="2025-02-01T00:00:00"/>
    <x v="0"/>
    <s v="AUGUSTO"/>
    <s v="AUGUSTO"/>
    <s v="100% - OK"/>
    <s v="OK - ENVIADO"/>
    <n v="490"/>
    <n v="517"/>
    <s v="FOI LANÇADO 517 METROS DE CABO DE 12FO, 3 ABERTURA E FECHAMENTO, 1 DERIVAÇÃO 4 FUSÃO, 1 NAP NOVA, 3 TESTES"/>
    <d v="2025-03-18T00:00:00"/>
    <d v="2025-02-12T00:00:00"/>
    <d v="2025-02-13T00:00:00"/>
    <d v="2025-02-13T00:00:00"/>
    <d v="2025-02-13T00:00:00"/>
    <s v="NÃO PRECISA"/>
    <m/>
    <x v="0"/>
    <x v="0"/>
    <s v="AG. MEDIÇÃO"/>
    <n v="1"/>
    <x v="0"/>
    <n v="-2"/>
  </r>
  <r>
    <s v="RSCLER0569"/>
    <s v="PGO"/>
    <m/>
    <s v="MGO CEN"/>
    <s v="MONTENEGRO"/>
    <m/>
    <s v="Rua Flores da Cunha, 420"/>
    <s v="PGO019.M6"/>
    <d v="2025-03-01T00:00:00"/>
    <x v="0"/>
    <s v="BAIRON"/>
    <s v="BAIRON"/>
    <m/>
    <m/>
    <s v="SEM LANÇAMENTO"/>
    <s v="SEM LANÇAMENTO"/>
    <s v="3 ABERTURA E FECHAMENTO, 6 FUSÕES, 3 TESTES"/>
    <d v="2025-05-08T00:00:00"/>
    <d v="2025-03-28T00:00:00"/>
    <d v="2025-03-31T00:00:00"/>
    <d v="2025-04-02T00:00:00"/>
    <d v="2025-04-02T00:00:00"/>
    <s v="NÃO PRECISA"/>
    <m/>
    <x v="0"/>
    <x v="0"/>
    <s v="AG. MEDIÇÃO"/>
    <n v="3"/>
    <x v="0"/>
    <n v="0"/>
  </r>
  <r>
    <s v="RSCLER0510"/>
    <s v="PGO"/>
    <m/>
    <m/>
    <s v="MONTENEGRO"/>
    <m/>
    <s v="RUA FLORES DA CUNHA, 574"/>
    <s v="PGO.019.M010"/>
    <d v="2025-02-01T00:00:00"/>
    <x v="0"/>
    <m/>
    <s v="BAIRON"/>
    <s v="100% - OK"/>
    <m/>
    <s v="SEM LANÇAMENTO"/>
    <s v="SEM LANÇAMENTO"/>
    <s v="3 ABERTURA E FECHAMENTO, 4 FUSÕES, 2 TESTES"/>
    <d v="2025-02-12T00:00:00"/>
    <d v="2025-02-10T00:00:00"/>
    <d v="2025-02-10T00:00:00"/>
    <d v="2025-02-10T00:00:00"/>
    <d v="2025-02-10T00:00:00"/>
    <s v="NÃO PRECISA"/>
    <m/>
    <x v="0"/>
    <x v="0"/>
    <s v="AG. MEDIÇÃO"/>
    <n v="0"/>
    <x v="0"/>
    <n v="-3"/>
  </r>
  <r>
    <s v="RSCLER0708"/>
    <s v="SANAA"/>
    <s v="SANALA"/>
    <s v="RSPCE22"/>
    <s v="PORTO ALEGRE"/>
    <s v="Cond Edifício Residencial Freitas"/>
    <s v="Rua Freitas e Castro, 300"/>
    <s v="SANAA.083.M020"/>
    <d v="2025-08-01T00:00:00"/>
    <x v="0"/>
    <m/>
    <s v="DIOGO"/>
    <s v="100% - OK"/>
    <m/>
    <s v="SEM LANÇAMENTO"/>
    <s v="SEM LANÇAMENTO"/>
    <s v="2 ABERTURA E FECHAMENTO, 1 FUSÃO, 1 TESTE"/>
    <d v="2025-09-05T00:00:00"/>
    <d v="2025-08-20T00:00:00"/>
    <m/>
    <m/>
    <d v="2025-09-01T00:00:00"/>
    <d v="2025-09-05T00:00:00"/>
    <m/>
    <x v="0"/>
    <x v="0"/>
    <s v="AG. MEDIÇÃO"/>
    <n v="8"/>
    <x v="1"/>
    <n v="5"/>
  </r>
  <r>
    <s v="RSCLER0218"/>
    <s v="BVSAB"/>
    <m/>
    <m/>
    <s v="PORTO ALEGRE"/>
    <s v="Edifício Nova Era "/>
    <s v="Rua Furriel Luiz Antônio Vargas. 380"/>
    <m/>
    <d v="2024-03-01T00:00:00"/>
    <x v="0"/>
    <s v="JEFERSON"/>
    <s v="JEFERSON"/>
    <s v="100% - OK"/>
    <s v="OK"/>
    <m/>
    <n v="571"/>
    <s v="FOI LANÇADO 571 METROS DE CABO DE 8 VIAS, 2 ABERTURA E FECHAMENTO, 1 DERIVAÇÃO, 9 FUSÃO, 3 TESTE, 1 CX NOVA"/>
    <d v="2024-03-26T00:00:00"/>
    <d v="2024-03-04T00:00:00"/>
    <d v="2024-03-05T00:00:00"/>
    <d v="2024-03-05T00:00:00"/>
    <d v="2024-02-05T00:00:00"/>
    <s v="NÃO PRECISA"/>
    <m/>
    <x v="0"/>
    <x v="0"/>
    <s v="AG. MEDIÇÃO"/>
    <n v="-22"/>
    <x v="0"/>
    <n v="-25"/>
  </r>
  <r>
    <s v="RSCLER0539"/>
    <s v="BFMAA"/>
    <s v="BFMADB"/>
    <s v="PAE IND"/>
    <s v="PORTO ALEGRE"/>
    <m/>
    <s v="Rua Gal. João Telles, 324"/>
    <s v="BFMAA.083.M030"/>
    <d v="2025-03-01T00:00:00"/>
    <x v="0"/>
    <m/>
    <s v="ALEXANDRE (MARCOS EMILIANO) / LUIS SCHUCH"/>
    <s v="100% - OK"/>
    <s v="OK - ENVIADO"/>
    <s v="SEM LANÇAMENTO"/>
    <s v="SEM LANÇAMENTO"/>
    <s v="3 ABERTURA E FECHAMENTO, 19 FUSÕES, 6 TESTES"/>
    <d v="2025-03-24T00:00:00"/>
    <d v="2025-03-12T00:00:00"/>
    <d v="2025-03-13T00:00:00"/>
    <d v="2025-03-14T00:00:00"/>
    <d v="2025-03-13T00:00:00"/>
    <s v="NÃO PRECISA"/>
    <m/>
    <x v="0"/>
    <x v="0"/>
    <s v="AG. MEDIÇÃO"/>
    <n v="1"/>
    <x v="0"/>
    <n v="-2"/>
  </r>
  <r>
    <s v="RSCLER0263"/>
    <s v="CNTAA"/>
    <m/>
    <m/>
    <s v="PORTO ALEGRE"/>
    <s v=" Condomínio Edifício Braz de Faria "/>
    <s v="Rua Gal. Lima e Silva, 117 "/>
    <m/>
    <d v="2024-04-01T00:00:00"/>
    <x v="0"/>
    <m/>
    <s v="MARCIO"/>
    <s v="100% - OK"/>
    <s v="OK"/>
    <s v="SEM LANÇAMENTO"/>
    <s v="SEM LANÇAMENTO"/>
    <s v="4 ABERTURA E FECHAMENTO, 3 FUSÃO, 1 SPLITTER, 1 TESTE"/>
    <d v="2024-04-23T00:00:00"/>
    <d v="2024-04-16T00:00:00"/>
    <m/>
    <d v="2024-04-19T00:00:00"/>
    <d v="2024-04-19T00:00:00"/>
    <s v="NÃO PRECISA"/>
    <m/>
    <x v="0"/>
    <x v="0"/>
    <s v="AG. MEDIÇÃO"/>
    <n v="3"/>
    <x v="0"/>
    <n v="0"/>
  </r>
  <r>
    <s v="RSCLER0168"/>
    <s v="FLOAB"/>
    <m/>
    <m/>
    <s v="PORTO ALEGRE"/>
    <s v="Condomínio Edifício Alice "/>
    <s v="Rua Garibaldi, 867"/>
    <m/>
    <d v="2023-11-01T00:00:00"/>
    <x v="0"/>
    <m/>
    <s v="LUCAS HOBERT"/>
    <s v="100% - OK"/>
    <s v="OK"/>
    <s v="SEM LANÇAMENTO"/>
    <s v="SEM LANÇAMENTO"/>
    <s v="4 ABERTURA E FECHAMENTO, 6 FUSÃO, 2 TESTE , FOI INSTALADO UM SPLITTER"/>
    <d v="2023-12-13T00:00:00"/>
    <d v="2023-11-23T00:00:00"/>
    <m/>
    <d v="2023-11-28T00:00:00"/>
    <d v="2023-12-01T00:00:00"/>
    <s v="NÃO PRECISA"/>
    <m/>
    <x v="0"/>
    <x v="0"/>
    <s v="AG. MEDIÇÃO"/>
    <n v="6"/>
    <x v="1"/>
    <n v="3"/>
  </r>
  <r>
    <s v="RSCLER0138"/>
    <s v="FLOAB"/>
    <m/>
    <m/>
    <s v="PORTO ALEGRE"/>
    <s v="Cond Edifício Maira"/>
    <s v="Rua Garibaldi, 920 - Independência"/>
    <m/>
    <d v="2023-10-01T00:00:00"/>
    <x v="0"/>
    <m/>
    <s v="MARCOS EMILIANO"/>
    <s v="100% - OK"/>
    <s v="OK"/>
    <s v="SEM LANÇAMENTO"/>
    <s v="SEM LANÇAMENTO"/>
    <s v="3 ABERTURA E FECHAMENTO, 4 FUSÃO, 2 TESTE "/>
    <d v="2023-10-24T00:00:00"/>
    <d v="2023-10-06T00:00:00"/>
    <m/>
    <d v="2023-10-13T00:00:00"/>
    <d v="2023-10-14T00:00:00"/>
    <s v="NÃO PRECISA"/>
    <m/>
    <x v="0"/>
    <x v="0"/>
    <s v="AG. MEDIÇÃO"/>
    <n v="5"/>
    <x v="1"/>
    <n v="2"/>
  </r>
  <r>
    <s v="RSCLER0189"/>
    <s v="BFMAA"/>
    <m/>
    <m/>
    <s v="PORTO ALEGRE"/>
    <s v="Cond Due Fratelli"/>
    <s v="Rua General João Telles, 393"/>
    <m/>
    <d v="2023-12-01T00:00:00"/>
    <x v="0"/>
    <s v="THIAGO"/>
    <s v="RODRIGO RODRIGUES"/>
    <s v="100% - OK"/>
    <s v="OK"/>
    <m/>
    <n v="260"/>
    <s v="FOI LANÇADO 260 METROS DE CABO DE 12FO  ,  2 ABERTURA E FECHAMENTO, 1 CX NOVA, 1 DERIVAÇÃO, 1 TESTE , 3 FUSÃO"/>
    <d v="2024-01-09T00:00:00"/>
    <d v="2023-12-19T00:00:00"/>
    <d v="2023-12-20T00:00:00"/>
    <d v="2023-12-20T00:00:00"/>
    <d v="2023-12-20T00:00:00"/>
    <s v="NÃO PRECISA"/>
    <m/>
    <x v="0"/>
    <x v="0"/>
    <s v="AG. MEDIÇÃO"/>
    <n v="1"/>
    <x v="0"/>
    <n v="-2"/>
  </r>
  <r>
    <s v="RSCLER0547"/>
    <s v="CNTAB"/>
    <s v="CNTAG"/>
    <s v="RSPLE14"/>
    <s v="PORTO ALEGRE"/>
    <s v="Condomínio Guapuruvu "/>
    <s v="Rua General Lima e Silva, 331"/>
    <s v="CNTAB.072.M040"/>
    <d v="2025-03-01T00:00:00"/>
    <x v="0"/>
    <s v="UBIRATAN"/>
    <s v="AUGUSTO"/>
    <s v="100% - OK"/>
    <s v="OK - ENVIADO"/>
    <n v="405"/>
    <n v="572"/>
    <s v="FOI LANÇADO 572 METROS DE CABO DE 12FO, 2 ABERTURA E FECHAMENTO, 1 CAIXA NOVA, 10 FUSÕES, 1 DERIVAÇÃO E 5 TESTES."/>
    <d v="2025-03-23T00:00:00"/>
    <d v="2025-03-17T00:00:00"/>
    <s v="18/0/2025"/>
    <d v="2025-03-21T00:00:00"/>
    <d v="2025-03-20T00:00:00"/>
    <s v="NÃO PRECISA"/>
    <m/>
    <x v="0"/>
    <x v="0"/>
    <s v="AG. MEDIÇÃO"/>
    <n v="3"/>
    <x v="0"/>
    <n v="0"/>
  </r>
  <r>
    <s v="RSCLER0639"/>
    <s v="PDRAA"/>
    <s v="PDRAG"/>
    <s v="RSPNO17"/>
    <s v="PORTO ALEGRE"/>
    <s v="Cond. Edificio Country Paradise"/>
    <s v="Rua Geraldo Souza Moreira, 173"/>
    <s v="PDRAA.035.M020"/>
    <d v="2025-06-01T00:00:00"/>
    <x v="0"/>
    <m/>
    <s v="GILSON"/>
    <m/>
    <m/>
    <m/>
    <m/>
    <s v="DENTRO DO NODE PDRAG"/>
    <s v="COBRAR NO NODE"/>
    <d v="2025-06-16T00:00:00"/>
    <m/>
    <m/>
    <d v="2025-06-16T00:00:00"/>
    <s v="NÃO PRECISA"/>
    <m/>
    <x v="0"/>
    <x v="0"/>
    <s v="AG. MEDIÇÃO"/>
    <n v="0"/>
    <x v="0"/>
    <n v="-3"/>
  </r>
  <r>
    <s v="RSCLER0042"/>
    <s v="VIPAIA"/>
    <m/>
    <m/>
    <s v="PORTO ALEGRE"/>
    <s v="COND. GOMES DE FREITAS"/>
    <s v="RUA GOMES DE FREITAS, 315"/>
    <m/>
    <d v="2023-03-01T00:00:00"/>
    <x v="0"/>
    <s v="JORGE MATHEUS"/>
    <s v="PAULO GOMEES"/>
    <s v="100% - OK"/>
    <m/>
    <m/>
    <n v="118"/>
    <s v="1 ABERTURA E FECHAMENTO, 12 FUSÕES, 1 DERIVAÇÃO, 1 CEO, 6 TESTES, 118M DE 12FO, 2 TESTES COM OTDR. ( FIBRA ESTAVA PARADA NO SITE)"/>
    <d v="2023-06-07T00:00:00"/>
    <d v="2023-03-15T00:00:00"/>
    <d v="2023-03-16T00:00:00"/>
    <d v="2023-03-20T00:00:00"/>
    <d v="2023-03-20T00:00:00"/>
    <s v="NÃO PRECISA"/>
    <m/>
    <x v="0"/>
    <x v="0"/>
    <s v="AG. MEDIÇÃO"/>
    <n v="3"/>
    <x v="0"/>
    <n v="0"/>
  </r>
  <r>
    <s v="RSCLER0348"/>
    <s v="SANAA"/>
    <s v="SANABA"/>
    <s v="RSPCE22"/>
    <s v="PORTO ALEGRE"/>
    <s v="Medplex Torre A e B"/>
    <s v="Rua Gomes Jardim, 201 "/>
    <s v="SANAA.062.M050"/>
    <d v="2024-07-01T00:00:00"/>
    <x v="0"/>
    <s v="TIAGO FERREIRA / ALAN "/>
    <s v="FABIO AMARILIO"/>
    <s v="100% - OK"/>
    <s v="OK"/>
    <m/>
    <s v="440/195"/>
    <s v="FOI LANÇADO 440 METROS DE CABO DE 12FO, FOI LANÇADO 195 METROS DE CABO DE 12FO, 3 ABERTURA E FECHAMENTO, 3 DERIVAÇÃO, 18 FUSÃO, 1 CX NOVA, 8 TESTE"/>
    <d v="2024-08-28T00:00:00"/>
    <d v="2024-07-15T00:00:00"/>
    <d v="2024-07-18T00:00:00"/>
    <d v="2024-08-07T00:00:00"/>
    <d v="2024-08-07T00:00:00"/>
    <s v="NÃO PRECISA"/>
    <m/>
    <x v="0"/>
    <x v="0"/>
    <s v="AG. MEDIÇÃO"/>
    <n v="17"/>
    <x v="1"/>
    <n v="14"/>
  </r>
  <r>
    <s v="RSCLER0354"/>
    <s v="SANAA"/>
    <s v="SANABA"/>
    <s v="RSPCE22"/>
    <s v="PORTO ALEGRE"/>
    <s v="Medplex"/>
    <s v="Rua Gomes Jardim, 301 "/>
    <s v="SANAA.062.M050."/>
    <d v="2024-07-01T00:00:00"/>
    <x v="0"/>
    <m/>
    <s v="FABIO AMARILIO"/>
    <s v="100% - OK"/>
    <s v="OK"/>
    <m/>
    <m/>
    <s v="COBRAR JUNTO COM A OS RSCLER0344"/>
    <d v="2024-08-28T00:00:00"/>
    <d v="2024-07-19T00:00:00"/>
    <d v="2024-07-18T00:00:00"/>
    <d v="2024-08-07T00:00:00"/>
    <d v="2024-08-07T00:00:00"/>
    <s v="NÃO PRECISA"/>
    <m/>
    <x v="0"/>
    <x v="0"/>
    <s v="AG. MEDIÇÃO"/>
    <n v="13"/>
    <x v="1"/>
    <n v="10"/>
  </r>
  <r>
    <s v="RSCLER0009"/>
    <s v="CNTABB"/>
    <m/>
    <m/>
    <s v="NOVO HAMBURGO"/>
    <s v="MURANO RESIDENCE"/>
    <s v="RUA GOMES PORTINHO, 637"/>
    <m/>
    <d v="2023-01-01T00:00:00"/>
    <x v="0"/>
    <s v="GIOVANE"/>
    <s v="ALEX DUTRA"/>
    <s v="100% - OK"/>
    <s v="-"/>
    <m/>
    <n v="356"/>
    <s v="LANÇAMENTO DE 356m (12FO) E  E INSTALAÇÃO DE CAIXA NOVA"/>
    <s v="SIM"/>
    <d v="2023-01-02T00:00:00"/>
    <d v="2023-01-02T00:00:00"/>
    <d v="2023-01-10T00:00:00"/>
    <d v="2023-01-10T00:00:00"/>
    <s v="NÃO PRECISA"/>
    <m/>
    <x v="0"/>
    <x v="0"/>
    <s v="AG. MEDIÇÃO"/>
    <n v="6"/>
    <x v="1"/>
    <n v="3"/>
  </r>
  <r>
    <s v="RSCLER0618"/>
    <s v="MNDAA"/>
    <s v="MNDAQA"/>
    <s v="PAE MAD"/>
    <s v="PORTO ALEGRE"/>
    <s v="Cond. Edifício Madison Residence"/>
    <s v="Rua Gonçalves Dias, 319"/>
    <s v="MNDAA.041.M040"/>
    <d v="2025-06-01T00:00:00"/>
    <x v="0"/>
    <m/>
    <s v="CATIA"/>
    <m/>
    <m/>
    <s v="SEM LANÇAMENTO"/>
    <s v="SEM LANÇAMENTO"/>
    <s v="7 ABERTURA E FECHAMENTO, 6 FUSÕES, 2 TESTES OTDR, 1 TESTE"/>
    <d v="2025-07-07T00:00:00"/>
    <d v="2025-06-05T00:00:00"/>
    <m/>
    <m/>
    <d v="2025-06-09T00:00:00"/>
    <s v="NÃO PRECISA"/>
    <m/>
    <x v="0"/>
    <x v="0"/>
    <s v="AG. MEDIÇÃO"/>
    <n v="2"/>
    <x v="0"/>
    <n v="-1"/>
  </r>
  <r>
    <s v="RSCLER0117"/>
    <s v="BVSAB"/>
    <m/>
    <m/>
    <s v="PORTO ALEGRE"/>
    <s v=" COND. SUPREME "/>
    <s v="RUA GRACILIANO RAMOS, 501"/>
    <m/>
    <d v="2023-08-01T00:00:00"/>
    <x v="0"/>
    <s v="JORGE MATHEUS"/>
    <s v="VINICIUS/ JEFERSON"/>
    <s v="100% - OK"/>
    <s v="OK"/>
    <m/>
    <n v="466"/>
    <s v="OBS ESTAVA ERRADO O PROJETO  ,VEIO ATUALIZAÇAÕ DIA 04/09 316 MTS DE CABO 12FO ESPINADO, 6 FUSÃO , 3 ABERTURA E FECHAMENTO/ 150 METROS DE CABO DE 12FO ESPINADO /8 ABERTURA E FECHAMENTO / 27 FUSÃO / 1 DERIVAÇÃO / 2 CX NOVA, FOI REPULXADO 312 METROS DE CABO DE 12FO"/>
    <d v="2023-09-15T00:00:00"/>
    <d v="2023-08-29T00:00:00"/>
    <d v="2023-08-31T00:00:00"/>
    <d v="2023-09-14T00:00:00"/>
    <d v="2023-09-14T00:00:00"/>
    <s v="NÃO PRECISA"/>
    <m/>
    <x v="0"/>
    <x v="0"/>
    <s v="AG. MEDIÇÃO"/>
    <n v="12"/>
    <x v="1"/>
    <n v="9"/>
  </r>
  <r>
    <s v="RSCLER0749"/>
    <s v="PAR"/>
    <m/>
    <m/>
    <s v="PAROBÉ"/>
    <m/>
    <s v="RUA GRÉCIA 52"/>
    <s v="PAR.019.M040"/>
    <d v="2025-10-01T00:00:00"/>
    <x v="0"/>
    <s v="RODRIGO (MIZA)"/>
    <s v="RODRIGO (MIZA)"/>
    <m/>
    <m/>
    <n v="20"/>
    <n v="20"/>
    <s v="FOI LANÇADO 20 METROS DE CABO DE 24FO, 4 ABERTURA E FECHAMENTO, 1 CX NOVA, 12 FUSÕES, "/>
    <d v="2025-12-03T00:00:00"/>
    <d v="2025-10-29T00:00:00"/>
    <m/>
    <m/>
    <d v="2025-11-02T00:00:00"/>
    <d v="2025-12-03T00:00:00"/>
    <m/>
    <x v="0"/>
    <x v="0"/>
    <s v="AG. MEDIÇÃO"/>
    <n v="2"/>
    <x v="0"/>
    <n v="-1"/>
  </r>
  <r>
    <s v="RSCLER0604"/>
    <s v="SJOAA"/>
    <s v="SJO16"/>
    <s v="CAN NET"/>
    <s v="CANOAS "/>
    <s v="PORTO AGATA"/>
    <s v="RUA GUARUJA, 200"/>
    <s v="SJOAA.521.M510"/>
    <d v="2025-05-01T00:00:00"/>
    <x v="0"/>
    <s v="TIAGO FERREIRA"/>
    <s v="ALANO / CESAR"/>
    <m/>
    <m/>
    <n v="1826"/>
    <n v="2280"/>
    <s v="FOI LANÇADO 1690 MTEROS DE CABO DE 24FO E 590 METROS DE CABO DE 12 FO, 3 ABERTURA E FECHAMENTO, 51 FUSÕES, 1 DERIVAÇÃO, 6 CX NOVAS, 4 TESTES, 1 TESTE OTDR, COBRAR 2 REFORMAS DE TAMPAS. "/>
    <d v="2025-07-14T00:00:00"/>
    <d v="2025-05-29T00:00:00"/>
    <m/>
    <m/>
    <d v="2025-06-10T00:00:00"/>
    <s v="NÃO PRECISA"/>
    <m/>
    <x v="0"/>
    <x v="0"/>
    <s v="AG. MEDIÇÃO"/>
    <n v="8"/>
    <x v="1"/>
    <n v="5"/>
  </r>
  <r>
    <s v="RSCLER0236"/>
    <s v="CNTAA"/>
    <m/>
    <m/>
    <s v="CANOAS "/>
    <s v="Residencial Hemingway"/>
    <s v="Rua Guilherme Morsh, 111 "/>
    <m/>
    <d v="2024-03-01T00:00:00"/>
    <x v="0"/>
    <s v="THIAGO"/>
    <s v="MARCOS EMILIANO"/>
    <s v="100% - OK"/>
    <s v="OK"/>
    <m/>
    <n v="260"/>
    <s v="FOI LANÇADO 260 METROS DE CABO DE 8 VIAS, 2 ABERTURA E FECHAMENTO, 1 DERIVAÇÃO, 8 FUSÕES, 4 TESTE "/>
    <d v="2024-04-23T00:00:00"/>
    <d v="2024-03-25T00:00:00"/>
    <d v="2024-03-25T00:00:00"/>
    <d v="2024-03-26T00:00:00"/>
    <d v="2024-03-27T00:00:00"/>
    <s v="NÃO PRECISA"/>
    <m/>
    <x v="0"/>
    <x v="0"/>
    <s v="AG. MEDIÇÃO"/>
    <n v="2"/>
    <x v="0"/>
    <n v="-1"/>
  </r>
  <r>
    <s v="RSCLER0593"/>
    <s v="CNTAA"/>
    <s v="CNTABB"/>
    <s v="NHO LO"/>
    <s v="NOVO HAMBURGO"/>
    <s v="RESIDENCIAL IBIZA"/>
    <s v="RUA HENRI DURANT, 801"/>
    <s v="CNTAA.051.M120"/>
    <d v="2025-05-01T00:00:00"/>
    <x v="0"/>
    <s v="TIAGO FERREIRA / JOÃO FELIPE/ CESAR LEANDRO"/>
    <s v="CESAR LEANDRO"/>
    <m/>
    <m/>
    <m/>
    <n v="1195"/>
    <s v="FOI LANÇADO 505 METROS DE CABO DE 24FO, FOI LANÇADO 690 METROS DE CABO DE 12FO,  6 ABERTURA E FECHAMENTO, 28 FUSÕES, 6 DERIVAÇÕES, 2 CX NOVA 4 TESTES, COBRAR 130 METROS DE CORDOALHA"/>
    <d v="2025-06-18T00:00:00"/>
    <d v="2025-05-14T00:00:00"/>
    <m/>
    <m/>
    <d v="2025-05-30T00:00:00"/>
    <s v="NÃO PRECISA"/>
    <m/>
    <x v="0"/>
    <x v="0"/>
    <s v="AG. MEDIÇÃO"/>
    <n v="12"/>
    <x v="1"/>
    <n v="9"/>
  </r>
  <r>
    <s v="RSCLER0043"/>
    <s v="PRTAEA"/>
    <m/>
    <m/>
    <s v="PORTO ALEGRE"/>
    <s v="HUMBERTO DE CAMPOS"/>
    <s v="RUA HUMBERTO DE CAMPOS, 601"/>
    <m/>
    <d v="2023-03-01T00:00:00"/>
    <x v="0"/>
    <s v="NEIMAR LUCERO"/>
    <s v="JORGE MATHEUS"/>
    <s v="100% - OK"/>
    <m/>
    <m/>
    <n v="629"/>
    <s v="LANÇAMENTO DE 629m (12FO) E INSTALAÇÃO DE CAIXA NOVA"/>
    <d v="2023-05-20T00:00:00"/>
    <d v="2023-03-13T00:00:00"/>
    <d v="2023-03-16T00:00:00"/>
    <d v="2023-03-20T00:00:00"/>
    <d v="2023-03-20T00:00:00"/>
    <s v="NÃO PRECISA"/>
    <m/>
    <x v="0"/>
    <x v="0"/>
    <s v="AG. MEDIÇÃO"/>
    <n v="5"/>
    <x v="1"/>
    <n v="2"/>
  </r>
  <r>
    <s v="RSCLER0616"/>
    <s v="SPEAA"/>
    <s v="SPEAAA"/>
    <s v="PAE DAM"/>
    <s v="PORTO ALEGRE"/>
    <s v="Cond. Residencial Santiago"/>
    <s v="Rua Irene Capponi Santiago, 243"/>
    <s v="SPEAA.012.M010"/>
    <d v="2025-06-01T00:00:00"/>
    <x v="0"/>
    <s v="AFONSO"/>
    <s v="CATIA"/>
    <m/>
    <m/>
    <n v="290"/>
    <n v="405"/>
    <s v="FOI LANÇADO 405 METROS DE CABO DE 12FO, 2 ABERTURA E FECHAMENTO, 3 FUSÕES, 1 DERIVAÇÃO, 1 CX NOVA, 1 TESTE, 1 TESTE OTDR"/>
    <d v="2025-06-18T00:00:00"/>
    <d v="2025-06-05T00:00:00"/>
    <m/>
    <m/>
    <d v="2025-06-06T00:00:00"/>
    <s v="NÃO PRECISA"/>
    <m/>
    <x v="0"/>
    <x v="0"/>
    <s v="AG. MEDIÇÃO"/>
    <n v="1"/>
    <x v="0"/>
    <n v="-2"/>
  </r>
  <r>
    <s v="RSCLER0929"/>
    <s v="BVSAB"/>
    <s v="JBOAF"/>
    <s v="PAE NR"/>
    <s v="PORTO ALEGRE"/>
    <m/>
    <s v="RUA ISIDORO TRESSI 174"/>
    <s v="BVSAB.172.M020"/>
    <d v="2026-06-01T00:00:00"/>
    <x v="0"/>
    <m/>
    <s v="CATIA"/>
    <m/>
    <s v="OK"/>
    <s v="SEM LANÇAMENTO"/>
    <s v="SEM LANÇAMENTO"/>
    <s v="2 ABERTURA E FECHAMENTO, 6 FUSÕES, 3 TESTES."/>
    <d v="2026-07-07T00:00:00"/>
    <d v="2026-06-16T00:00:00"/>
    <m/>
    <m/>
    <d v="2026-06-16T00:00:00"/>
    <d v="2026-07-07T00:00:00"/>
    <m/>
    <x v="0"/>
    <x v="0"/>
    <s v="AG. MEDIÇÃO"/>
    <n v="0"/>
    <x v="0"/>
    <n v="-3"/>
  </r>
  <r>
    <s v="RSCLER0767"/>
    <s v="JBOAA"/>
    <s v="PETAE"/>
    <s v="RSPLE18"/>
    <s v="PORTO ALEGRE"/>
    <m/>
    <s v="RUA ITABORAI, 123"/>
    <s v="JBOAA.102.M010"/>
    <d v="2025-12-01T00:00:00"/>
    <x v="0"/>
    <m/>
    <s v="DERIK"/>
    <m/>
    <m/>
    <s v="SEM LANÇAMENTO"/>
    <s v="SEM LANÇAMENTO"/>
    <s v="3 ABERTURA E FECHAMENTO, 9 FUSÕES, 4 TESTES"/>
    <s v="OK"/>
    <d v="2025-12-03T00:00:00"/>
    <m/>
    <m/>
    <d v="2025-12-03T00:00:00"/>
    <d v="2025-12-04T00:00:00"/>
    <m/>
    <x v="0"/>
    <x v="0"/>
    <s v="AG. MEDIÇÃO"/>
    <n v="0"/>
    <x v="0"/>
    <n v="-3"/>
  </r>
  <r>
    <s v="RSCLER0761"/>
    <s v="JBOAA"/>
    <s v="PETAE"/>
    <s v="RSPLE18"/>
    <s v="PORTO ALEGRE"/>
    <m/>
    <s v="RUA ITABORAÍ, 123"/>
    <s v="JBOAA.102.M010"/>
    <d v="2025-12-01T00:00:00"/>
    <x v="0"/>
    <m/>
    <s v="DERIK"/>
    <m/>
    <m/>
    <s v="SEM LANÇAMENTO"/>
    <s v="SEM LANÇAMENTO"/>
    <s v="5 ABERTURA E FECHAMENTO, 9 FUSÕES, 4 TESTES."/>
    <s v="OK"/>
    <d v="2025-12-03T00:00:00"/>
    <m/>
    <m/>
    <d v="2025-12-03T00:00:00"/>
    <d v="2025-12-03T00:00:00"/>
    <m/>
    <x v="0"/>
    <x v="0"/>
    <s v="AG. MEDIÇÃO"/>
    <n v="0"/>
    <x v="0"/>
    <n v="-3"/>
  </r>
  <r>
    <s v="RSCLER0044"/>
    <s v="PDRAHB"/>
    <m/>
    <m/>
    <s v="PORTO ALEGRE"/>
    <s v="COND. RESERVA ITAPEVA"/>
    <s v="RUA ITAPEVA, 151"/>
    <m/>
    <d v="2023-03-01T00:00:00"/>
    <x v="0"/>
    <m/>
    <m/>
    <s v="100% - OK"/>
    <m/>
    <s v="SEM LANÇAMENTO"/>
    <s v="SEM LANÇAMENTO"/>
    <s v="NÃO TEVE LANÇAMENTO/ 2 ABERTURA E FECHAMENTO / 2 FUSÃO / 2 TESTE"/>
    <d v="2023-07-11T00:00:00"/>
    <d v="2023-03-15T00:00:00"/>
    <d v="2023-03-20T00:00:00"/>
    <d v="2023-03-24T00:00:00"/>
    <d v="2023-03-23T00:00:00"/>
    <s v="NÃO PRECISA"/>
    <m/>
    <x v="0"/>
    <x v="0"/>
    <s v="AG. MEDIÇÃO"/>
    <n v="6"/>
    <x v="1"/>
    <n v="3"/>
  </r>
  <r>
    <s v="RSCLER0719"/>
    <s v="PETAA"/>
    <s v="PETAO"/>
    <s v="RSPLE11"/>
    <s v="PORTO ALEGRE"/>
    <m/>
    <s v="RUA ITAQUI, 89"/>
    <s v="PETAA.137.M010"/>
    <d v="2025-08-01T00:00:00"/>
    <x v="0"/>
    <s v="JUNIOR "/>
    <s v="ANDERSON"/>
    <m/>
    <m/>
    <m/>
    <m/>
    <s v="COBRAR DENTRO DO NODE PETAO FASE 2 "/>
    <s v="PETAO"/>
    <d v="2025-08-22T00:00:00"/>
    <m/>
    <m/>
    <d v="2025-09-17T00:00:00"/>
    <s v="NÃO PRECISA"/>
    <m/>
    <x v="0"/>
    <x v="0"/>
    <s v="AG. MEDIÇÃO"/>
    <n v="18"/>
    <x v="1"/>
    <n v="15"/>
  </r>
  <r>
    <s v="RSCLER0754"/>
    <s v="BVSAB "/>
    <s v="PETADB"/>
    <s v="PAE NR"/>
    <s v="PORTO ALEGRE"/>
    <m/>
    <s v="Rua Ivo Corseuil, 408"/>
    <s v="BVSAB.413.M010"/>
    <d v="2025-11-01T00:00:00"/>
    <x v="0"/>
    <s v="VICTOR"/>
    <s v="CATIA  "/>
    <m/>
    <m/>
    <m/>
    <m/>
    <s v="COBRAR DENTRO DO NODE PETADB"/>
    <s v="PETADB"/>
    <d v="2025-11-26T00:00:00"/>
    <m/>
    <m/>
    <d v="2025-12-02T00:00:00"/>
    <s v="NÃO PRECISA"/>
    <m/>
    <x v="0"/>
    <x v="0"/>
    <s v="AG. MEDIÇÃO"/>
    <n v="4"/>
    <x v="1"/>
    <n v="1"/>
  </r>
  <r>
    <s v="RSCLER0045"/>
    <s v="SANAA"/>
    <m/>
    <m/>
    <s v="RSPCE22"/>
    <s v="ED. MINUETO"/>
    <s v="RUA JACINTO GOMES, 194 - SANTANA"/>
    <m/>
    <d v="2023-03-01T00:00:00"/>
    <x v="0"/>
    <m/>
    <m/>
    <s v="100% - OK"/>
    <m/>
    <s v="SEM LANÇAMENTO"/>
    <s v="SEM LANÇAMENTO"/>
    <s v="INSTALAÇÃO DE CAIXA NOVA"/>
    <d v="2023-05-20T00:00:00"/>
    <d v="2023-03-17T00:00:00"/>
    <d v="2023-03-17T00:00:00"/>
    <d v="2023-03-21T00:00:00"/>
    <d v="2023-03-21T00:00:00"/>
    <s v="NÃO PRECISA"/>
    <m/>
    <x v="0"/>
    <x v="0"/>
    <s v="AG. MEDIÇÃO"/>
    <n v="2"/>
    <x v="0"/>
    <n v="-1"/>
  </r>
  <r>
    <s v="RSCLER0456"/>
    <s v="GUAAA"/>
    <s v="GUAAA"/>
    <s v="RSPSU21"/>
    <s v="PORTO ALEGRE"/>
    <m/>
    <s v="RUA JACUNDA, 686"/>
    <m/>
    <d v="2024-10-01T00:00:00"/>
    <x v="0"/>
    <s v="GABRIEL"/>
    <s v="AUGUSTO"/>
    <s v="100% - OK"/>
    <s v="OK - ENVIADO"/>
    <m/>
    <n v="185"/>
    <s v="FOI LANÇADO 185 METROS CABO DE 24FO, 6 FUSÃO, 1 CX NOVA, 3 NAP DE POSTE NOVA, 9 TESTE"/>
    <d v="2024-11-12T00:00:00"/>
    <m/>
    <m/>
    <m/>
    <d v="2024-11-01T00:00:00"/>
    <s v="NÃO PRECISA"/>
    <m/>
    <x v="0"/>
    <x v="0"/>
    <s v="AG. MEDIÇÃO"/>
    <s v="DATA ENTRADA"/>
    <x v="1"/>
    <s v="DATA ENTRADA"/>
  </r>
  <r>
    <s v="RSCLER0717"/>
    <s v="RBTAC"/>
    <s v="SRDAF"/>
    <s v="RSPNO16"/>
    <s v="PORTO ALEGRE"/>
    <m/>
    <s v="Rua Jacy kroeff milanez 230"/>
    <s v="RBTAC.021.M010"/>
    <d v="2025-09-01T00:00:00"/>
    <x v="0"/>
    <s v="VICTOR"/>
    <s v="MARCOS EMILIANO"/>
    <m/>
    <m/>
    <m/>
    <m/>
    <s v="COBRAR DENTRO DO NODE SDRAF FASE 2 "/>
    <s v="SRDAF"/>
    <d v="2025-09-03T00:00:00"/>
    <m/>
    <m/>
    <m/>
    <s v="NÃO PRECISA"/>
    <m/>
    <x v="0"/>
    <x v="0"/>
    <s v="AG. MEDIÇÃO"/>
    <n v="256"/>
    <x v="1"/>
    <n v="253"/>
  </r>
  <r>
    <s v="RSCLER0145"/>
    <s v="MTSAA"/>
    <m/>
    <m/>
    <s v="PORTO ALEGRE"/>
    <s v="Cond. Astley"/>
    <s v="Rua Jaraguá, 38"/>
    <m/>
    <d v="2023-10-01T00:00:00"/>
    <x v="0"/>
    <m/>
    <s v="PAULO GOMES"/>
    <s v="100% - OK"/>
    <s v="OK"/>
    <s v="SEM LANÇAMENTO"/>
    <s v="SEM LANÇAMENTO"/>
    <s v="3 ABERTURA E FECHAMENTO, 3 FUSÃO, 1 TESTE "/>
    <d v="2023-10-30T00:00:00"/>
    <d v="2023-10-25T00:00:00"/>
    <m/>
    <d v="2023-10-25T00:00:00"/>
    <d v="2023-10-25T00:00:00"/>
    <s v="NÃO PRECISA"/>
    <m/>
    <x v="0"/>
    <x v="0"/>
    <s v="AG. MEDIÇÃO"/>
    <n v="0"/>
    <x v="0"/>
    <n v="-3"/>
  </r>
  <r>
    <s v="RSCLER0114"/>
    <s v="MTSAA"/>
    <m/>
    <m/>
    <s v="PORTO ALEGRE"/>
    <s v="COND. THE ARCH "/>
    <s v="RUA JARDIM SILVA, 785"/>
    <m/>
    <d v="2023-08-01T00:00:00"/>
    <x v="0"/>
    <s v="JORGE MATHEUS"/>
    <s v="VINICIUS/ DIOGO/ JEFFERSON"/>
    <s v="100% - OK"/>
    <s v="OK"/>
    <m/>
    <n v="273"/>
    <s v="273 MTS DE CABO DE 12FO ESPINADO / 1 CX NOVA , 3 ABERTURA E FECHAMENTO , 2 DERIVAÇÃO , 4 FUSÃO. OBS: ESSE MDU TEVE ALTERAÇÃO NO PROJETO UNIFILAR, FOI FEITO 2 VEZES, TEVE ALTERAÇÕA DE FIBRA NOVAMENTO"/>
    <d v="2023-09-15T00:00:00"/>
    <d v="2023-08-28T00:00:00"/>
    <d v="2023-08-30T00:00:00"/>
    <d v="2023-10-10T00:00:00"/>
    <d v="2023-10-11T00:00:00"/>
    <s v="NÃO PRECISA"/>
    <m/>
    <x v="0"/>
    <x v="0"/>
    <s v="AG. MEDIÇÃO"/>
    <n v="32"/>
    <x v="1"/>
    <n v="29"/>
  </r>
  <r>
    <s v="RSCLER0664"/>
    <s v="SPEAA"/>
    <m/>
    <s v="PAE DAM"/>
    <s v="PORTO ALEGRE"/>
    <m/>
    <s v="RUA JAÚ, 106"/>
    <s v="SPEAA.009.M030"/>
    <d v="2025-07-01T00:00:00"/>
    <x v="0"/>
    <m/>
    <s v="CATIA"/>
    <m/>
    <m/>
    <m/>
    <m/>
    <s v="DENTRO DO NODE SPEAAA"/>
    <s v="SPEAA"/>
    <d v="2025-07-08T00:00:00"/>
    <m/>
    <m/>
    <d v="2025-07-11T00:00:00"/>
    <s v="NÃO PRECISA"/>
    <m/>
    <x v="0"/>
    <x v="0"/>
    <s v="AG. MEDIÇÃO"/>
    <n v="3"/>
    <x v="0"/>
    <n v="0"/>
  </r>
  <r>
    <s v="RSCLER0070"/>
    <s v="HPCAA"/>
    <m/>
    <m/>
    <s v="PORTO ALEGRE"/>
    <s v="COND. BELO MORANO"/>
    <s v="RUA JEAN VARDARAMATOS, 130"/>
    <m/>
    <d v="2023-04-01T00:00:00"/>
    <x v="0"/>
    <s v="IVANIR  DE OLIVEIRA"/>
    <s v="JUAN"/>
    <s v="100% - OK"/>
    <s v="OK"/>
    <m/>
    <n v="896"/>
    <s v="1 ABERTO E FECHAMENTO,  13 FUSÕES, 1 DERIVAÇÃO, 1 INST. NOVA, 6 CTOS, 6 TESTES, 896M 12FO"/>
    <d v="2023-06-05T00:00:00"/>
    <d v="2023-04-04T00:00:00"/>
    <d v="2023-04-05T00:00:00"/>
    <s v="12/042023"/>
    <d v="2023-04-13T00:00:00"/>
    <s v="NÃO PRECISA"/>
    <m/>
    <x v="0"/>
    <x v="0"/>
    <s v="AG. MEDIÇÃO"/>
    <n v="7"/>
    <x v="1"/>
    <n v="4"/>
  </r>
  <r>
    <s v="RSCLER0088"/>
    <s v="FEEIA"/>
    <m/>
    <m/>
    <s v="SÃO LEOPOLDO"/>
    <s v=" NAP LOTADA"/>
    <s v="RUA JOÃO CARLOS  LOUREIRO DE ARAUJO, 55 - FEITORIA"/>
    <m/>
    <d v="2023-06-01T00:00:00"/>
    <x v="0"/>
    <m/>
    <s v="JEFERSON"/>
    <s v="100% - OK"/>
    <s v="-"/>
    <s v="SEM LANÇAMENTO"/>
    <s v="SEM LANÇAMENTO"/>
    <s v="2 ABERTURA E FECHAMENTO / 2 FUSÃO / 2 TESTE"/>
    <d v="2023-06-23T00:00:00"/>
    <d v="2023-06-21T00:00:00"/>
    <d v="2023-06-21T00:00:00"/>
    <d v="2023-06-22T00:00:00"/>
    <d v="2023-06-22T00:00:00"/>
    <s v="NÃO PRECISA"/>
    <m/>
    <x v="0"/>
    <x v="0"/>
    <s v="AG. MEDIÇÃO"/>
    <n v="1"/>
    <x v="0"/>
    <n v="-2"/>
  </r>
  <r>
    <s v="RSCLER0323"/>
    <s v="MSTAA"/>
    <s v="MSTAFB"/>
    <m/>
    <s v="PORTO ALEGRE"/>
    <s v="PORTO SANTIAGO "/>
    <s v="RUA JOÃO DA SILVA BUENO 100 "/>
    <s v="MSTAA.051.M020"/>
    <d v="2024-06-01T00:00:00"/>
    <x v="0"/>
    <s v="TIAGO FERREIRA"/>
    <s v="ANDERSON"/>
    <s v="100% - OK"/>
    <s v="OK"/>
    <m/>
    <n v="370"/>
    <s v="FOI LANÇADO 370 METROS DE CABO DE 36FO, 3 ABERTURA E FECHAMENTO, 2 DERIVAÇÃO, 8 FUSÃO, 4 TESTE"/>
    <d v="2024-06-26T00:00:00"/>
    <d v="2024-06-19T00:00:00"/>
    <d v="2024-06-20T00:00:00"/>
    <d v="2024-06-24T00:00:00"/>
    <d v="2024-06-24T00:00:00"/>
    <s v="NÃO PRECISA"/>
    <m/>
    <x v="0"/>
    <x v="0"/>
    <s v="AG. MEDIÇÃO"/>
    <n v="3"/>
    <x v="0"/>
    <n v="0"/>
  </r>
  <r>
    <s v="RSCLER1050"/>
    <s v="JITAB"/>
    <s v="JITAIA"/>
    <s v="RSPNO75"/>
    <s v="PORTO ALEGRE"/>
    <m/>
    <s v="Rua Joaquim G De Campos Netto, 35"/>
    <s v="JITAB.153.M070"/>
    <d v="2026-07-01T00:00:00"/>
    <x v="0"/>
    <m/>
    <s v="CATIA"/>
    <m/>
    <m/>
    <s v="SEM LANÇAMENTO"/>
    <s v="SEM LANÇAMENTO"/>
    <s v="8 ABERTURA E FECHAMENTO, 13 FUSÕES, 4 TESTES OTDR, 3 TESTES."/>
    <m/>
    <d v="2026-07-30T00:00:00"/>
    <m/>
    <m/>
    <d v="2026-07-31T00:00:00"/>
    <m/>
    <m/>
    <x v="2"/>
    <x v="2"/>
    <s v="AG. RELATÓRIO"/>
    <n v="1"/>
    <x v="0"/>
    <n v="-2"/>
  </r>
  <r>
    <s v="RSCLER0766"/>
    <s v="PDRAA"/>
    <s v="PDRAHB"/>
    <s v="RSPNO17"/>
    <s v="PORTO ALEGRE"/>
    <m/>
    <s v="RUA JOÃO WALLING, 100 E 144"/>
    <s v="PDRAA.052.M010"/>
    <d v="2025-12-01T00:00:00"/>
    <x v="0"/>
    <s v="CLEVERSON"/>
    <s v="CLEVERSON"/>
    <m/>
    <m/>
    <m/>
    <m/>
    <s v="COBRAR DENTRO DO NODE PDRAHB FASE 2"/>
    <s v="PDRAHB 2 "/>
    <m/>
    <m/>
    <m/>
    <m/>
    <s v="NÃO PRECISA"/>
    <m/>
    <x v="0"/>
    <x v="0"/>
    <s v="AG. MEDIÇÃO"/>
    <s v="DATA ENTRADA"/>
    <x v="1"/>
    <s v="DATA ENTRADA"/>
  </r>
  <r>
    <s v="RSCLER0827"/>
    <s v="JITAB"/>
    <s v="JITAIA"/>
    <s v="RSPNO75"/>
    <s v="PORTO ALEGRE"/>
    <m/>
    <s v="Rua Joaquim G De Campos Netto, 35"/>
    <s v="JITAB.153.M070"/>
    <d v="2026-04-01T00:00:00"/>
    <x v="0"/>
    <m/>
    <s v="AUGUSTO"/>
    <m/>
    <m/>
    <s v="SEM LANÇAMENTO"/>
    <s v="SEM LANÇAMENTO"/>
    <s v="3 ABERTURA E FECHAMENTO, 4 FUSÕES, 2 TESTES"/>
    <d v="2026-05-04T00:00:00"/>
    <d v="2026-04-18T00:00:00"/>
    <m/>
    <m/>
    <d v="2026-04-23T00:00:00"/>
    <d v="2026-05-04T00:00:00"/>
    <m/>
    <x v="0"/>
    <x v="0"/>
    <s v="AG. MEDIÇÃO"/>
    <n v="3"/>
    <x v="0"/>
    <n v="0"/>
  </r>
  <r>
    <s v="RSCLER1009"/>
    <s v="PETAA"/>
    <m/>
    <s v="RSPLE11"/>
    <s v="PORTO ALEGRE"/>
    <s v="ED MILENE "/>
    <s v="AV PROTASIO ALVES 2468"/>
    <s v="PETAA.156.M020"/>
    <d v="2026-08-01T00:00:00"/>
    <x v="0"/>
    <m/>
    <s v="CATIA "/>
    <m/>
    <s v="OK"/>
    <s v="SEM LANÇAMENTO"/>
    <s v="SEM LANÇAMENTO"/>
    <s v="5 ABERTURA E FECHAMENTO, 6 FUSÕES, 2 TESTES OTDR, 1 TESTE."/>
    <d v="2026-08-27T00:00:00"/>
    <d v="2026-08-03T00:00:00"/>
    <m/>
    <m/>
    <d v="2026-08-04T00:00:00"/>
    <d v="2026-08-27T00:00:00"/>
    <m/>
    <x v="0"/>
    <x v="0"/>
    <s v="AG. MEDIÇÃO"/>
    <n v="1"/>
    <x v="0"/>
    <n v="-2"/>
  </r>
  <r>
    <s v="RSCLER0010"/>
    <s v="CNTADBB"/>
    <m/>
    <m/>
    <s v="NOVO HAMBURGO"/>
    <s v="ED. JARDIM VILA ROSA "/>
    <s v="RUA JOAQUIM MANOEL MACEDO, 33"/>
    <m/>
    <d v="2023-01-01T00:00:00"/>
    <x v="0"/>
    <s v="GIOVANE"/>
    <s v="ALEX DUTRA"/>
    <s v="100% - OK"/>
    <s v="-"/>
    <m/>
    <n v="171"/>
    <s v="LANÇAMENTO DE 171m (12FO) E  E INSTALAÇÃO DE CAIXA NOVA"/>
    <s v="SIM"/>
    <d v="2023-01-02T00:00:00"/>
    <d v="2023-01-02T00:00:00"/>
    <d v="2023-01-12T00:00:00"/>
    <d v="2023-01-12T00:00:00"/>
    <s v="NÃO PRECISA"/>
    <m/>
    <x v="0"/>
    <x v="0"/>
    <s v="AG. MEDIÇÃO"/>
    <n v="8"/>
    <x v="1"/>
    <n v="5"/>
  </r>
  <r>
    <s v="RSCLER0346"/>
    <s v="CNTAA"/>
    <s v="CNTAA"/>
    <s v="NHO LO"/>
    <s v="NOVO HAMBURGO"/>
    <m/>
    <s v="Rua Joaquim Nabuco, 1746,1776,1786,1685,1721"/>
    <s v="CNTAA.033.M040"/>
    <d v="2024-07-01T00:00:00"/>
    <x v="0"/>
    <s v="GIOVANE"/>
    <s v="MARCOS EMILIANO / LUCAS HOBERT"/>
    <s v="100% - OK"/>
    <s v="OK"/>
    <m/>
    <n v="311"/>
    <s v="FOI LANÇADO 311 METROS DE CABO DE 24FO, 1 CX NOVA, 1 DERIVAÇÃO, 1 ABERTURA E FECHAMENTO, 33  FUSÃO, 8 TESTE "/>
    <d v="2024-07-24T00:00:00"/>
    <d v="2024-07-11T00:00:00"/>
    <d v="2024-07-15T00:00:00"/>
    <d v="2024-07-24T00:00:00"/>
    <d v="2024-07-24T00:00:00"/>
    <s v="NÃO PRECISA"/>
    <m/>
    <x v="0"/>
    <x v="0"/>
    <s v="AG. MEDIÇÃO"/>
    <n v="9"/>
    <x v="1"/>
    <n v="6"/>
  </r>
  <r>
    <s v="RSCLER0347"/>
    <s v="CNTAA"/>
    <s v="CNTAA"/>
    <s v="NHO LO"/>
    <s v="NOVO HAMBURGO"/>
    <m/>
    <s v="Rua Joaquim Nabuco, 1830,1848,1055"/>
    <s v="CNTAA.033.M050"/>
    <d v="2024-07-01T00:00:00"/>
    <x v="0"/>
    <s v="TIAGO FERREIRA"/>
    <s v="MARCOS EMILIANO / LUCAS HOBERT"/>
    <s v="100% - OK"/>
    <s v="OK"/>
    <m/>
    <n v="195"/>
    <s v="FOI LANÇADO 195 METROS DE CABO DE 24FO, 1 CX NOVA, 1 ABERTURA E FECHAMENTO, 7 TESTE"/>
    <d v="2024-07-24T00:00:00"/>
    <d v="2024-07-11T00:00:00"/>
    <d v="2024-07-17T00:00:00"/>
    <d v="2024-07-24T00:00:00"/>
    <d v="2024-07-24T00:00:00"/>
    <s v="NÃO PRECISA"/>
    <m/>
    <x v="0"/>
    <x v="0"/>
    <s v="AG. MEDIÇÃO"/>
    <n v="9"/>
    <x v="1"/>
    <n v="6"/>
  </r>
  <r>
    <s v="RSCLER0862"/>
    <s v="CNTAA"/>
    <m/>
    <s v="RSNHOLO"/>
    <s v="NOVO HAMBURGO"/>
    <s v="ATHENAS CENTER"/>
    <s v="Rua Joaquim Pedro Soares, 317"/>
    <s v="CNTAA.091.M010"/>
    <d v="2026-05-01T00:00:00"/>
    <x v="0"/>
    <m/>
    <s v="VINICIUS BRITO"/>
    <m/>
    <m/>
    <s v="SEM LANÇAMENTO"/>
    <s v="SEM LANÇAMENTO"/>
    <s v="2 ABERTURA E FECHAMENTO, 1 FUSÃO, 1 TESTES"/>
    <d v="2026-06-18T00:00:00"/>
    <d v="2026-05-19T00:00:00"/>
    <m/>
    <m/>
    <d v="2026-05-22T00:00:00"/>
    <d v="2026-06-18T00:00:00"/>
    <m/>
    <x v="0"/>
    <x v="0"/>
    <s v="AG. MEDIÇÃO"/>
    <n v="3"/>
    <x v="0"/>
    <n v="0"/>
  </r>
  <r>
    <s v="RSCLER0554"/>
    <s v="PGO"/>
    <m/>
    <s v="MGO CEN"/>
    <s v="MONTENEGRO"/>
    <m/>
    <s v="RUA JORGE GUILHERME MOOJEN, 358"/>
    <s v="PGO.015.M1"/>
    <d v="2025-03-01T00:00:00"/>
    <x v="0"/>
    <s v="BAIRON"/>
    <s v="BAIRON"/>
    <s v="100% - OK"/>
    <s v="OK - ENVIADO"/>
    <n v="30"/>
    <n v="30"/>
    <s v="FOI LANÇADO 30 METROS DE CABO DE 12FO, 3 ABERTURA E FECHAMENTO, 9 FUSÕES, 1 CX NOVA, 1 DERIVAÇÃO, 3 TESTES."/>
    <d v="2025-03-25T00:00:00"/>
    <d v="2025-03-19T00:00:00"/>
    <d v="2025-03-21T00:00:00"/>
    <d v="2025-03-22T00:00:00"/>
    <d v="2025-03-25T00:00:00"/>
    <s v="NÃO PRECISA"/>
    <m/>
    <x v="0"/>
    <x v="0"/>
    <s v="AG. MEDIÇÃO"/>
    <n v="4"/>
    <x v="1"/>
    <n v="1"/>
  </r>
  <r>
    <s v="RSCLER0704"/>
    <s v="CNT"/>
    <m/>
    <m/>
    <s v="ARROIO DO MEIO"/>
    <m/>
    <s v="RUA JOSÉ ARNOLD, 342"/>
    <s v="CNT.020.M020"/>
    <d v="2025-08-01T00:00:00"/>
    <x v="0"/>
    <m/>
    <s v="MARCIEL"/>
    <m/>
    <m/>
    <s v="SEM LANÇAMENTO"/>
    <s v="SEM LANÇAMENTO"/>
    <s v="3 ABERTURAS E FECHAMENTO, 2 FUSÕES E 1 TESTE"/>
    <d v="2025-12-20T00:00:00"/>
    <d v="2025-08-11T00:00:00"/>
    <m/>
    <m/>
    <d v="2025-09-08T00:00:00"/>
    <d v="2025-12-20T00:00:00"/>
    <m/>
    <x v="0"/>
    <x v="0"/>
    <s v="AG. MEDIÇÃO"/>
    <n v="20"/>
    <x v="1"/>
    <n v="17"/>
  </r>
  <r>
    <s v="RSCLER1010"/>
    <s v="PETAA"/>
    <m/>
    <s v="RSPLE11"/>
    <s v="PORTO ALEGRE"/>
    <s v="ED TARASCONE"/>
    <s v="AV PROTASIO ALVES 3560 "/>
    <s v="PETAA.063.M020"/>
    <d v="2026-08-01T00:00:00"/>
    <x v="0"/>
    <m/>
    <s v="CATIA "/>
    <m/>
    <s v="OK"/>
    <s v="SEM LANÇAMENTO"/>
    <s v="SEM LANÇAMENTO"/>
    <s v="2 ABERTURA E FECHAMENTO, 4 FUSÕES, 2 TESTES, 2 TESTES OTDR."/>
    <d v="2026-08-27T00:00:00"/>
    <d v="2026-08-04T00:00:00"/>
    <m/>
    <d v="2026-08-07T00:00:00"/>
    <d v="2026-08-04T00:00:00"/>
    <d v="2026-08-27T00:00:00"/>
    <m/>
    <x v="0"/>
    <x v="0"/>
    <s v="AG. MEDIÇÃO"/>
    <n v="0"/>
    <x v="0"/>
    <n v="-3"/>
  </r>
  <r>
    <s v="RSCLER0555"/>
    <s v="CNTAB"/>
    <s v="CNTAG"/>
    <s v="RSPCE14"/>
    <s v="PORTO ALEGRE"/>
    <s v="Condomínio Edifício Sender"/>
    <s v="Rua José do Patrocínio, 515"/>
    <s v="CNTAB.072.M030.."/>
    <d v="2025-03-01T00:00:00"/>
    <x v="0"/>
    <s v="AUGUSTO"/>
    <s v="AUGUSTO"/>
    <m/>
    <m/>
    <s v="SEM LANÇAMENTO"/>
    <s v="SEM LANÇAMENTO"/>
    <s v="2 ABERTURA E FECHAMENTO, 3 FUSÕES, 3 TESTES"/>
    <d v="2025-05-08T00:00:00"/>
    <d v="2025-03-21T00:00:00"/>
    <d v="2025-03-24T00:00:00"/>
    <d v="2025-03-25T00:00:00"/>
    <d v="2025-03-28T00:00:00"/>
    <s v="NÃO PRECISA"/>
    <m/>
    <x v="0"/>
    <x v="0"/>
    <s v="AG. MEDIÇÃO"/>
    <n v="5"/>
    <x v="1"/>
    <n v="2"/>
  </r>
  <r>
    <s v="RSCLER0264"/>
    <s v="CNTAA"/>
    <m/>
    <m/>
    <s v="PORTO ALEGRE"/>
    <s v="Edifício Carlos Carone"/>
    <s v="Rua José do Patrocínio, 693 "/>
    <m/>
    <d v="2024-04-01T00:00:00"/>
    <x v="0"/>
    <m/>
    <s v="ANDERSON"/>
    <s v="100% - OK"/>
    <s v="OK"/>
    <s v="SEM LANÇAMENTO"/>
    <s v="SEM LANÇAMENTO"/>
    <s v="3 ABERTURA E FECHAMENTO, 4 FUSÃO, 2 TESTE "/>
    <d v="2024-05-27T00:00:00"/>
    <d v="2024-04-16T00:00:00"/>
    <m/>
    <d v="2024-04-25T00:00:00"/>
    <d v="2024-05-06T00:00:00"/>
    <s v="NÃO PRECISA"/>
    <m/>
    <x v="0"/>
    <x v="0"/>
    <s v="AG. MEDIÇÃO"/>
    <n v="14"/>
    <x v="1"/>
    <n v="11"/>
  </r>
  <r>
    <s v="RSCLER0134"/>
    <s v="PRTAA"/>
    <m/>
    <m/>
    <s v="PORTO ALEGRE"/>
    <s v="Rua Josemaria Escriva 741"/>
    <s v="Rua Josemaria Escriva 741"/>
    <m/>
    <d v="2023-09-01T00:00:00"/>
    <x v="0"/>
    <m/>
    <s v="MARCOS EMILIANO"/>
    <s v="100% - OK"/>
    <s v="OK"/>
    <s v="SEM LANÇAMENTO"/>
    <s v="SEM LANÇAMENTO"/>
    <s v="4 ABERTURA E FECHAMENTO, 2 DERIVAÇÃO, 8 FUSÃO,  2 TESTE  1 CX NOVA"/>
    <d v="2023-10-24T00:00:00"/>
    <d v="2023-09-27T00:00:00"/>
    <m/>
    <d v="2023-10-06T00:00:00"/>
    <d v="2023-10-11T00:00:00"/>
    <s v="NÃO PRECISA"/>
    <m/>
    <x v="0"/>
    <x v="0"/>
    <s v="AG. MEDIÇÃO"/>
    <n v="10"/>
    <x v="1"/>
    <n v="7"/>
  </r>
  <r>
    <s v="RSCLER0011"/>
    <s v="SJOAFB"/>
    <m/>
    <m/>
    <s v="NOVO HAMBURGO"/>
    <s v="RES. LONDON"/>
    <s v="RUA JULIO BIRCKS, 620"/>
    <m/>
    <d v="2023-01-01T00:00:00"/>
    <x v="0"/>
    <m/>
    <s v="DIOGO"/>
    <s v="100% - OK"/>
    <m/>
    <s v="SEM LANÇAMENTO"/>
    <s v="SEM LANÇAMENTO"/>
    <s v="2 ABERTURA E EFECHAMENTO,  6 FUSÕES, 5 TETES"/>
    <d v="2023-06-19T00:00:00"/>
    <d v="2023-02-17T00:00:00"/>
    <d v="2023-03-10T00:00:00"/>
    <d v="2023-03-14T00:00:00"/>
    <d v="2023-03-14T00:00:00"/>
    <s v="NÃO PRECISA"/>
    <m/>
    <x v="0"/>
    <x v="0"/>
    <s v="AG. MEDIÇÃO"/>
    <n v="17"/>
    <x v="1"/>
    <n v="14"/>
  </r>
  <r>
    <s v="RSCLER0012"/>
    <s v="CNTABB"/>
    <m/>
    <m/>
    <s v="NOVO HAMBURGO"/>
    <s v="PREVIDENCIA"/>
    <s v="RUA JULIO DE CASTILHO, 250"/>
    <m/>
    <d v="2023-01-01T00:00:00"/>
    <x v="0"/>
    <s v="GIOVANE"/>
    <s v="ALEX DUTRA"/>
    <s v="100% - OK"/>
    <m/>
    <m/>
    <n v="96"/>
    <s v="LANÇAMENTO DE 96m (12FO) E  E INSTALAÇÃO DE CAIXA NOVA"/>
    <s v="SIM"/>
    <d v="2023-01-02T00:00:00"/>
    <d v="2023-01-02T00:00:00"/>
    <d v="2023-01-12T00:00:00"/>
    <d v="2023-01-12T00:00:00"/>
    <s v="NÃO PRECISA"/>
    <m/>
    <x v="0"/>
    <x v="0"/>
    <s v="AG. MEDIÇÃO"/>
    <n v="8"/>
    <x v="1"/>
    <n v="5"/>
  </r>
  <r>
    <s v="RSCLER0013"/>
    <s v="CNTABB"/>
    <m/>
    <m/>
    <s v="NOVO HAMBURGO"/>
    <s v="GALERIA ACI-NHO"/>
    <s v="RUA JULIO DE CASTILHO, 351"/>
    <m/>
    <d v="2023-01-01T00:00:00"/>
    <x v="0"/>
    <m/>
    <s v="ALEX DUTRA"/>
    <s v="100% - OK"/>
    <m/>
    <s v="SEM LANÇAMENTO"/>
    <s v="SEM LANÇAMENTO"/>
    <n v="9.9999999999999905E+34"/>
    <s v="SIM"/>
    <d v="2023-01-02T00:00:00"/>
    <d v="2023-01-02T00:00:00"/>
    <d v="2023-01-13T00:00:00"/>
    <d v="2023-01-13T00:00:00"/>
    <s v="NÃO PRECISA"/>
    <m/>
    <x v="0"/>
    <x v="0"/>
    <s v="AG. MEDIÇÃO"/>
    <n v="9"/>
    <x v="1"/>
    <n v="6"/>
  </r>
  <r>
    <s v="RSCLER0757"/>
    <s v="CNTAA"/>
    <m/>
    <s v="NHO LO"/>
    <s v="NOVO HAMBURGO"/>
    <s v="ADEQUAÇÃO BRADESCO"/>
    <s v="Rua Julio de Castilhos, 270"/>
    <s v="CNTAA.061.M050"/>
    <d v="2025-11-01T00:00:00"/>
    <x v="0"/>
    <m/>
    <s v="DERIK"/>
    <m/>
    <d v="2026-01-26T00:00:00"/>
    <s v="SEM LANÇAMENTO"/>
    <s v="SEM LANÇAMENTO"/>
    <s v="3 ABERTURA E FECHAMENTO, 2 FUSÕES, 1 TESTES, 2 TESTE OTDR"/>
    <d v="2026-01-26T00:00:00"/>
    <d v="2025-11-25T00:00:00"/>
    <m/>
    <m/>
    <d v="2025-11-26T00:00:00"/>
    <d v="2026-01-26T00:00:00"/>
    <m/>
    <x v="0"/>
    <x v="0"/>
    <s v="AG. MEDIÇÃO"/>
    <n v="1"/>
    <x v="0"/>
    <n v="-2"/>
  </r>
  <r>
    <s v="RSCLER0640"/>
    <s v="PDRAA"/>
    <s v="PDRAG"/>
    <s v="RSPNO17"/>
    <s v="PORTO ALEGRE"/>
    <s v="Cond. Edificio Reserva Kiev"/>
    <s v="Rua Kiev, 46"/>
    <s v="PDRAA.035.M010"/>
    <d v="2025-06-01T00:00:00"/>
    <x v="0"/>
    <m/>
    <s v="GILSON"/>
    <m/>
    <m/>
    <m/>
    <m/>
    <s v="DENTRO DO NODE PDRAG"/>
    <s v="COBRAR NO NODE"/>
    <d v="2025-06-16T00:00:00"/>
    <m/>
    <m/>
    <d v="2025-06-16T00:00:00"/>
    <s v="NÃO PRECISA"/>
    <m/>
    <x v="0"/>
    <x v="0"/>
    <s v="AG. MEDIÇÃO"/>
    <n v="0"/>
    <x v="0"/>
    <n v="-3"/>
  </r>
  <r>
    <s v="RSCLER0866"/>
    <s v="CNT"/>
    <m/>
    <s v="GUBPP"/>
    <s v="GUAÍBA"/>
    <m/>
    <s v="RUA LAURO AZAMBUJA 118"/>
    <s v="CNT.004.M030"/>
    <d v="2026-04-01T00:00:00"/>
    <x v="0"/>
    <s v="ALAN VASCONCELOS"/>
    <s v="CATIA"/>
    <m/>
    <m/>
    <n v="319"/>
    <n v="319"/>
    <s v="FOI LANÇADO 319 METROS DE CABO DE 48FO, 5 ABERTURA E FECHAMENTO, 89 FUSÕES, 1 CX NOVA, 1 DERIVAÇÃO, 11 TESTES"/>
    <d v="2026-06-17T00:00:00"/>
    <m/>
    <m/>
    <m/>
    <d v="2026-04-17T00:00:00"/>
    <d v="2026-06-17T00:00:00"/>
    <m/>
    <x v="0"/>
    <x v="0"/>
    <s v="AG. MEDIÇÃO"/>
    <s v="DATA ENTRADA"/>
    <x v="1"/>
    <s v="DATA ENTRADA"/>
  </r>
  <r>
    <s v="RSCLER0601"/>
    <s v="MTSAA"/>
    <s v="PETALA"/>
    <s v="PAE BV"/>
    <s v="PORTO ALEGRE"/>
    <m/>
    <s v="RUA LAVRAS, 213"/>
    <s v="MTSAA.322.M020"/>
    <d v="2025-05-01T00:00:00"/>
    <x v="0"/>
    <s v="VICTOR"/>
    <s v="ALANO"/>
    <s v="100% - OK"/>
    <s v="OK - ENVIADO"/>
    <m/>
    <m/>
    <s v="ESTA DENTRO DO NODE PETALA  "/>
    <s v="COBRAR NO NODE"/>
    <d v="2025-05-22T00:00:00"/>
    <m/>
    <m/>
    <d v="2025-05-23T00:00:00"/>
    <s v="NÃO PRECISA"/>
    <m/>
    <x v="0"/>
    <x v="0"/>
    <s v="AG. MEDIÇÃO"/>
    <n v="1"/>
    <x v="0"/>
    <n v="-2"/>
  </r>
  <r>
    <s v="RSCLER0586"/>
    <s v="CNT"/>
    <m/>
    <m/>
    <s v="TORRES"/>
    <s v="AMPLIAÇÃO DE NAP"/>
    <s v="RUA LEONARDO TRUDA, 945"/>
    <s v="CNT.20,01,05"/>
    <d v="2025-04-01T00:00:00"/>
    <x v="0"/>
    <s v="MAQUENZE"/>
    <s v="MAQUENZE"/>
    <m/>
    <m/>
    <m/>
    <n v="107"/>
    <s v="FOI LANÇADO 107 METROS DE CABO DE 12FO, 6 ABERTURA E FECHAMENTO, 6 FUSÕES, 1 DERIVAÇÃO, 1 NAP NOVA, 3 TESTES"/>
    <d v="2025-05-08T00:00:00"/>
    <d v="2025-04-23T00:00:00"/>
    <m/>
    <m/>
    <d v="2025-04-29T00:00:00"/>
    <s v="NÃO PRECISA"/>
    <m/>
    <x v="0"/>
    <x v="0"/>
    <s v="AG. MEDIÇÃO"/>
    <n v="4"/>
    <x v="1"/>
    <n v="1"/>
  </r>
  <r>
    <s v="RSCLER1047"/>
    <s v="NAVAB"/>
    <m/>
    <m/>
    <s v="PORTO ALEGRE"/>
    <s v="ED SIMONE"/>
    <s v="R MARQUES DO ALEGRETE 291"/>
    <s v="NAVAB.043.M050"/>
    <d v="2026-08-01T00:00:00"/>
    <x v="0"/>
    <s v="TIAGO FERREIRA"/>
    <s v="CATIA"/>
    <m/>
    <m/>
    <n v="165"/>
    <n v="150"/>
    <s v="FOI LANÇADO 150 METROS DE CABO DE 12FO, 4 ABERTURA E FECHAMENTO, 14 FUSÕES,1 DERIVAÇÃO,1 CX NOVA, 6 TESTE OTDR, 2 TESTES."/>
    <m/>
    <d v="2026-08-04T00:00:00"/>
    <m/>
    <m/>
    <d v="2026-08-06T00:00:00"/>
    <m/>
    <m/>
    <x v="2"/>
    <x v="2"/>
    <s v="AG. RELATÓRIO"/>
    <n v="2"/>
    <x v="0"/>
    <n v="-1"/>
  </r>
  <r>
    <s v="RSCLER0483"/>
    <s v="CNTAA"/>
    <s v="CBXAE"/>
    <s v="PAE MF"/>
    <s v="PORTO ALEGRE"/>
    <s v="Condomínio Lopo Gonçalves"/>
    <s v="Rua Lopo Gonçalves, 543"/>
    <s v="CNTAA.352.M050"/>
    <d v="2024-12-01T00:00:00"/>
    <x v="0"/>
    <m/>
    <s v="FABIO AMARILHO"/>
    <s v="100% - OK"/>
    <s v="OK - ENVIADO"/>
    <s v="SEM LANÇAMENTO"/>
    <s v="SEM LANÇAMENTO"/>
    <s v="3 ABERTURA E FECHAMENTO, 6 FUSÃO, 4 TESTE"/>
    <d v="2025-01-14T00:00:00"/>
    <d v="2024-12-27T00:00:00"/>
    <m/>
    <m/>
    <d v="2025-01-09T00:00:00"/>
    <s v="NÃO PRECISA"/>
    <m/>
    <x v="0"/>
    <x v="0"/>
    <s v="AG. MEDIÇÃO"/>
    <n v="9"/>
    <x v="1"/>
    <n v="6"/>
  </r>
  <r>
    <s v="RSCLER0516"/>
    <s v="CNTAB"/>
    <s v="CNT04"/>
    <s v="RSCAN03"/>
    <s v="CANOAS "/>
    <s v="Cond. Edifício Adelaide"/>
    <s v="Rua Luiz de Camões, 86"/>
    <s v="CNTAB.012.M040"/>
    <d v="2025-02-01T00:00:00"/>
    <x v="0"/>
    <s v="LUIS SCHUCH"/>
    <s v="LUIS SCHUCH"/>
    <m/>
    <m/>
    <n v="375"/>
    <n v="440"/>
    <s v="FOI LANÇADO 440 METROS DE CABO DE 12FO, 1 ABERTURA E FECHAMENTO, 1 CX NOVA, 2 FUSÕES, 1 DERIVAÇÃO,1 TESTE, COBRAR 2 ADEQUAÇÕES DE POSTE"/>
    <d v="2025-03-18T00:00:00"/>
    <d v="2025-02-14T00:00:00"/>
    <d v="2025-02-18T00:00:00"/>
    <d v="2025-02-19T00:00:00"/>
    <d v="2025-02-18T00:00:00"/>
    <s v="NÃO PRECISA"/>
    <m/>
    <x v="0"/>
    <x v="0"/>
    <s v="AG. MEDIÇÃO"/>
    <n v="2"/>
    <x v="0"/>
    <n v="-1"/>
  </r>
  <r>
    <s v="RSCLER0420"/>
    <s v="VJDAB"/>
    <s v="VJDAH"/>
    <s v="RSPNO21"/>
    <s v="PORTO ALEGRE"/>
    <s v="Condomínio Villa Brindisi"/>
    <s v="Rua Manoel Lopes Meirelles, 287 - DIRETORIA"/>
    <s v="VJDAB.111.M050"/>
    <d v="2024-09-01T00:00:00"/>
    <x v="0"/>
    <s v="GIOVANE"/>
    <s v="ANDERSON/ LUCAS HOBERT"/>
    <s v="100% - OK"/>
    <s v="OK"/>
    <n v="250"/>
    <n v="203"/>
    <s v="FOI LANÇADO 203 METROS DE CABO DE 12FO, 2 ABERTURA E FECHAMENTO, 1 CX NOVA, 1 DERIVAÇÃO, 9 FUSÃO, 4 TESTE"/>
    <d v="2024-09-14T00:00:00"/>
    <d v="2024-09-06T00:00:00"/>
    <d v="2024-09-09T00:00:00"/>
    <d v="2024-09-12T00:00:00"/>
    <d v="2024-09-13T00:00:00"/>
    <s v="NÃO PRECISA"/>
    <m/>
    <x v="0"/>
    <x v="0"/>
    <s v="AG. MEDIÇÃO"/>
    <n v="5"/>
    <x v="1"/>
    <n v="2"/>
  </r>
  <r>
    <s v="RSCLER0098"/>
    <s v="JITAIA"/>
    <m/>
    <m/>
    <s v="PORTO ALEGRE"/>
    <s v="MARACAIBO, 95 "/>
    <s v="RUA MARACAIBO, 95 "/>
    <m/>
    <d v="2023-07-01T00:00:00"/>
    <x v="0"/>
    <m/>
    <s v="PAULO GOMES"/>
    <s v="100% - OK"/>
    <s v="-"/>
    <s v="SEM LANÇAMENTO"/>
    <s v="SEM LANÇAMENTO"/>
    <s v="3 ABERTURA E FECHAMENTO / 8 FUSÃO / 4 TESTE"/>
    <d v="2023-07-26T00:00:00"/>
    <d v="2023-07-20T00:00:00"/>
    <d v="2023-07-21T00:00:00"/>
    <d v="2023-07-21T00:00:00"/>
    <d v="2023-07-21T00:00:00"/>
    <s v="NÃO PRECISA"/>
    <m/>
    <x v="0"/>
    <x v="0"/>
    <s v="AG. MEDIÇÃO"/>
    <n v="1"/>
    <x v="0"/>
    <n v="-2"/>
  </r>
  <r>
    <s v="RSCLER0632"/>
    <s v="MTSAA"/>
    <s v="SJOADA"/>
    <s v="PAE BV"/>
    <s v="PORTO ALEGRE"/>
    <s v="Cond. Edifício Costa Dourada"/>
    <s v="Rua Marcelo Gama, 530"/>
    <s v="MTSAA.211.M040"/>
    <d v="2025-06-01T00:00:00"/>
    <x v="0"/>
    <s v="UBIRATAN"/>
    <s v="CATIA"/>
    <m/>
    <m/>
    <n v="245"/>
    <n v="258"/>
    <s v="FOI LANÇADO 258 METROS DE CABO DE 12FO, 10 ABERTURAS E FECHAMENTO, 14 FUSÕES, 1 CX NOVA, 1 DERIVAÇÃO, 3 TESTE OTDR, 2 TESTES "/>
    <d v="2025-07-07T00:00:00"/>
    <d v="2025-06-12T00:00:00"/>
    <m/>
    <m/>
    <d v="2025-06-17T00:00:00"/>
    <s v="NÃO PRECISA"/>
    <m/>
    <x v="0"/>
    <x v="0"/>
    <s v="AG. MEDIÇÃO"/>
    <n v="3"/>
    <x v="0"/>
    <n v="0"/>
  </r>
  <r>
    <s v="RSCLER0046"/>
    <s v="AZNAGA"/>
    <m/>
    <m/>
    <s v="PORTO ALEGRE"/>
    <s v="COND. BARBIERI"/>
    <s v="RUA MARCÍLIO DIAS, 1500"/>
    <m/>
    <d v="2023-03-01T00:00:00"/>
    <x v="0"/>
    <m/>
    <s v="PAULO GOMES"/>
    <s v="100% - OK"/>
    <m/>
    <s v="SEM LANÇAMENTO"/>
    <s v="SEM LANÇAMENTO"/>
    <s v="ALINHAMENTO DE FIBRA"/>
    <d v="2023-05-20T00:00:00"/>
    <d v="2023-02-17T00:00:00"/>
    <d v="2023-03-10T00:00:00"/>
    <d v="2023-03-14T00:00:00"/>
    <d v="2023-03-14T00:00:00"/>
    <s v="NÃO PRECISA"/>
    <m/>
    <x v="0"/>
    <x v="0"/>
    <s v="AG. MEDIÇÃO"/>
    <n v="17"/>
    <x v="1"/>
    <n v="14"/>
  </r>
  <r>
    <s v="RSCLER0325"/>
    <s v="MNDAB"/>
    <s v="MNDAD"/>
    <s v="RSPCE20"/>
    <s v="PORTO ALEGRE"/>
    <s v="Riserva Menino Deus"/>
    <s v="Rua Marcílio Dias, 589"/>
    <s v="MNDAB.051.M080"/>
    <d v="2024-06-01T00:00:00"/>
    <x v="0"/>
    <s v="TIAGO"/>
    <s v="FABIO AMARILIO"/>
    <s v="100% - OK"/>
    <s v="OK"/>
    <m/>
    <n v="305"/>
    <s v="FOI LANÇADO 305 METROS DE CABO DE 12FO, 2 ABERTURA E FECHAMENTO, 3 FUSÃO, 1 DERIVAÇÃO, 1 CX NOVA, 1 TESTE"/>
    <d v="2024-07-24T00:00:00"/>
    <d v="2024-06-21T00:00:00"/>
    <d v="2024-06-21T00:00:00"/>
    <d v="2024-07-03T00:00:00"/>
    <d v="2024-07-03T00:00:00"/>
    <s v="NÃO PRECISA"/>
    <m/>
    <x v="0"/>
    <x v="0"/>
    <s v="AG. MEDIÇÃO"/>
    <n v="8"/>
    <x v="1"/>
    <n v="5"/>
  </r>
  <r>
    <s v="RSCLER0047"/>
    <s v="VIPAA"/>
    <m/>
    <m/>
    <s v="PORTO ALEGRE"/>
    <s v="ED. MARCO POLO"/>
    <s v="RUA MARCO POLO, 360"/>
    <m/>
    <d v="2023-03-01T00:00:00"/>
    <x v="0"/>
    <m/>
    <m/>
    <s v="100% - OK"/>
    <m/>
    <s v="SEM LANÇAMENTO"/>
    <s v="SEM LANÇAMENTO"/>
    <s v="ALINHAMENTO DE FIBRA"/>
    <d v="2023-05-20T00:00:00"/>
    <d v="2022-03-20T00:00:00"/>
    <d v="2023-03-22T00:00:00"/>
    <d v="2023-03-27T00:00:00"/>
    <d v="2023-03-27T00:00:00"/>
    <s v="NÃO PRECISA"/>
    <m/>
    <x v="0"/>
    <x v="0"/>
    <s v="AG. MEDIÇÃO"/>
    <n v="265"/>
    <x v="1"/>
    <n v="262"/>
  </r>
  <r>
    <s v="RSCLER0048"/>
    <s v="CNTAK"/>
    <m/>
    <m/>
    <s v="PORTO ALEGRE"/>
    <s v="COND. TOCANTINS"/>
    <s v="RUA MARECHAL FLORIANO PEIXOTO, 501"/>
    <m/>
    <d v="2023-03-01T00:00:00"/>
    <x v="0"/>
    <s v="NEIMAR LUCERO"/>
    <s v="PAULO GOMES"/>
    <s v="100% - OK"/>
    <m/>
    <m/>
    <n v="215"/>
    <s v="LANÇAMENTO DE 215m (12FO) E FUSÕES EM CAIXAS EXISTENTES"/>
    <d v="2023-05-20T00:00:00"/>
    <d v="2023-03-13T00:00:00"/>
    <d v="2023-03-16T00:00:00"/>
    <d v="2023-03-20T00:00:00"/>
    <d v="2023-03-20T00:00:00"/>
    <s v="NÃO PRECISA"/>
    <m/>
    <x v="0"/>
    <x v="0"/>
    <s v="AG. MEDIÇÃO"/>
    <n v="5"/>
    <x v="1"/>
    <n v="2"/>
  </r>
  <r>
    <s v="RSCLER0488"/>
    <s v="CNTAA"/>
    <s v="CNTAK"/>
    <s v="PAE MF"/>
    <s v="PORTO ALEGRE"/>
    <s v="Cond Ed Transocean"/>
    <s v="Rua Marechal Floriano Peixoto, 737"/>
    <s v="CNTAA.152.M010"/>
    <d v="2025-01-01T00:00:00"/>
    <x v="0"/>
    <s v="AUGUSTO"/>
    <s v="ANDERSON / AUGUSTO"/>
    <s v="100% - OK"/>
    <s v="OK - ENVIADO"/>
    <m/>
    <n v="120"/>
    <s v="FOI LANÇADO 120 METROS DE CABO DE 24FO, 4 ABERTURA E FECHAMENTO, 25 FUSÕES, 2 DERIVAÇÕES, 1 TESTE"/>
    <d v="2025-02-10T00:00:00"/>
    <d v="2025-01-13T00:00:00"/>
    <m/>
    <d v="2025-01-26T00:00:00"/>
    <d v="2025-01-26T00:00:00"/>
    <s v="NÃO PRECISA"/>
    <m/>
    <x v="0"/>
    <x v="0"/>
    <s v="AG. MEDIÇÃO"/>
    <n v="9"/>
    <x v="1"/>
    <n v="6"/>
  </r>
  <r>
    <s v="RSCLER0522"/>
    <s v="CNTAB"/>
    <s v="CNTAG"/>
    <s v="RSPCE14"/>
    <s v="PORTO ALEGRE"/>
    <s v="Residencial Quintana"/>
    <s v="Rua Marechal Floriano, 631"/>
    <s v="CNTAB.071.M060"/>
    <d v="2025-02-01T00:00:00"/>
    <x v="0"/>
    <s v="AUGUSTO"/>
    <s v="AUGUSTO"/>
    <m/>
    <m/>
    <n v="160"/>
    <n v="181"/>
    <s v="FOI LANÇADO 181 METROS DE CABO DE 12FO, 2 ABERTURA E FECHAMENTO, 1 CX NOVA, 6 FUSÕES, 1 DERIVAÇÃO 3 TESTES."/>
    <d v="2025-03-18T00:00:00"/>
    <d v="2025-02-25T00:00:00"/>
    <d v="2025-02-27T00:00:00"/>
    <m/>
    <m/>
    <s v="NÃO PRECISA"/>
    <m/>
    <x v="0"/>
    <x v="0"/>
    <s v="AG. MEDIÇÃO"/>
    <n v="392"/>
    <x v="1"/>
    <n v="389"/>
  </r>
  <r>
    <s v="RSCLER0092"/>
    <s v="JCVAB"/>
    <m/>
    <m/>
    <s v="PORTO ALEGRE"/>
    <s v="COND. LUGGO JARDIM CARVALHO "/>
    <s v="RUA MARIA QUEITÉRIA DE JESUS, 215"/>
    <m/>
    <d v="2023-06-01T00:00:00"/>
    <x v="0"/>
    <s v="PAULO GASEN"/>
    <s v="MARCOS EMILIANO"/>
    <s v="100% - OK"/>
    <s v="-"/>
    <m/>
    <n v="534"/>
    <s v="534 METROS / 3 ABERTURA E FECHAMENTO / 3 FUSÃO / 1 CX NOVA / 1 TESTE / 1 DERIVAÇÃO"/>
    <d v="2023-07-11T00:00:00"/>
    <d v="2023-06-14T00:00:00"/>
    <d v="2023-06-26T00:00:00"/>
    <d v="2023-06-27T00:00:00"/>
    <d v="2023-06-30T00:00:00"/>
    <s v="NÃO PRECISA"/>
    <m/>
    <x v="0"/>
    <x v="0"/>
    <s v="AG. MEDIÇÃO"/>
    <n v="12"/>
    <x v="1"/>
    <n v="9"/>
  </r>
  <r>
    <s v="RSCLER0540"/>
    <s v="FLOAA"/>
    <s v="FLOAF"/>
    <s v="RSPNO11"/>
    <s v="PORTO ALEGRE"/>
    <s v="Condomínio Moinhos Hall"/>
    <s v="Rua Mariante, 21"/>
    <s v="FLOAA.112.M050"/>
    <d v="2025-03-01T00:00:00"/>
    <x v="0"/>
    <s v="AUGUSTO"/>
    <s v="AUGUSTO"/>
    <s v="100% - OK"/>
    <s v="OK - ENVIADO"/>
    <m/>
    <n v="255"/>
    <s v="FOI LANÇADO 255 METROS DE CABO DE 12 FO, 5 ABERTURA E FECHAMENTO, 20 FUSÕES, 1 DERIVAÇÃO, 1 CX NOVA, 4 TESTES."/>
    <d v="2025-03-23T00:00:00"/>
    <d v="2025-03-14T00:00:00"/>
    <d v="2025-03-19T00:00:00"/>
    <d v="2025-03-22T00:00:00"/>
    <d v="2025-03-22T00:00:00"/>
    <s v="NÃO PRECISA"/>
    <m/>
    <x v="0"/>
    <x v="0"/>
    <s v="AG. MEDIÇÃO"/>
    <n v="5"/>
    <x v="1"/>
    <n v="2"/>
  </r>
  <r>
    <s v="RSCLER0049"/>
    <s v="MTSAA"/>
    <m/>
    <m/>
    <s v="PORTO ALEGRE"/>
    <s v="COND. LA SCULTURA"/>
    <s v="RUA MARILAND, 136"/>
    <m/>
    <d v="2023-03-01T00:00:00"/>
    <x v="0"/>
    <m/>
    <s v="EM ANDAMENTO"/>
    <s v="100% - OK"/>
    <m/>
    <s v="SEM LANÇAMENTO"/>
    <s v="SEM LANÇAMENTO"/>
    <s v="ALINHAMENTO DE FIBRA"/>
    <d v="2023-05-20T00:00:00"/>
    <d v="2023-02-17T00:00:00"/>
    <d v="2023-03-13T00:00:00"/>
    <d v="2023-03-20T00:00:00"/>
    <d v="2023-03-20T00:00:00"/>
    <s v="NÃO PRECISA"/>
    <m/>
    <x v="0"/>
    <x v="0"/>
    <s v="AG. MEDIÇÃO"/>
    <n v="21"/>
    <x v="1"/>
    <n v="18"/>
  </r>
  <r>
    <s v="RSCLER0391"/>
    <s v="BVSAB"/>
    <s v="PETAU"/>
    <s v="PAE NR"/>
    <s v="PORTO ALEGRE"/>
    <m/>
    <s v="Rua Mário Antunes da Cunha, 116 e 511"/>
    <s v="BVSAB.081.M040"/>
    <d v="2024-08-01T00:00:00"/>
    <x v="0"/>
    <s v="UBIRATAN / VICTOR"/>
    <s v="FABIO AMARILIO"/>
    <s v="100% - OK"/>
    <s v="OK"/>
    <m/>
    <n v="1241"/>
    <s v="FOI LANÇADO 621  METROS DE CABO DE 36FO, FOI LANÇADO 620 METROS DE CABO DE 12FO, 3 ABERTURA E FECHAMENTO, 4 DERIVAÇÃO, 37 FUSÃO, 3 CX NOVA, 8 TESTE"/>
    <d v="2024-09-10T00:00:00"/>
    <d v="2024-08-20T00:00:00"/>
    <d v="2024-08-24T00:00:00"/>
    <d v="2024-09-03T00:00:00"/>
    <d v="2024-09-05T00:00:00"/>
    <s v="NÃO PRECISA"/>
    <m/>
    <x v="0"/>
    <x v="0"/>
    <s v="AG. MEDIÇÃO"/>
    <n v="12"/>
    <x v="1"/>
    <n v="9"/>
  </r>
  <r>
    <s v="RSCLER0392"/>
    <s v="BVSAB"/>
    <s v="PETAU"/>
    <s v="PAE NR"/>
    <s v="PORTO ALEGRE"/>
    <m/>
    <s v="Rua Mário Antunes da Cunha, 185"/>
    <s v="BVSAB.081.M060"/>
    <d v="2024-08-01T00:00:00"/>
    <x v="0"/>
    <m/>
    <s v="FABIO AMARILIO"/>
    <s v="100% - OK"/>
    <s v="OK"/>
    <m/>
    <n v="387"/>
    <s v="ESTA SENDO COBRADA JUNTA A OS RSCLER0387"/>
    <d v="2024-09-10T00:00:00"/>
    <d v="2024-08-20T00:00:00"/>
    <m/>
    <d v="2024-09-03T00:00:00"/>
    <d v="2024-09-05T00:00:00"/>
    <s v="NÃO PRECISA"/>
    <m/>
    <x v="0"/>
    <x v="0"/>
    <s v="AG. MEDIÇÃO"/>
    <n v="12"/>
    <x v="1"/>
    <n v="9"/>
  </r>
  <r>
    <s v="RSCLER0050"/>
    <s v="BVSAB"/>
    <m/>
    <m/>
    <s v="PORTO ALEGRE"/>
    <s v="COND. RESERVA PETRÓPOLIS"/>
    <s v="RUA MARIO LEITÃO, 60"/>
    <m/>
    <d v="2023-03-01T00:00:00"/>
    <x v="0"/>
    <s v="IVANIR  DE OLIVEIRA"/>
    <s v="PAULO GOMES "/>
    <s v="100% - OK"/>
    <m/>
    <m/>
    <n v="600"/>
    <s v="LANÇAMENTO DE 600m (12FO) E FUSÕES EM CAIXAS EXISTENTES"/>
    <d v="2023-05-20T00:00:00"/>
    <d v="2023-02-17T00:00:00"/>
    <d v="2023-03-10T00:00:00"/>
    <d v="2023-03-14T00:00:00"/>
    <d v="2023-03-11T00:00:00"/>
    <s v="NÃO PRECISA"/>
    <m/>
    <x v="0"/>
    <x v="0"/>
    <s v="AG. MEDIÇÃO"/>
    <n v="15"/>
    <x v="1"/>
    <n v="12"/>
  </r>
  <r>
    <s v="RSCLER0332"/>
    <s v="BVSAB"/>
    <s v="PETAU"/>
    <s v="PAE NR"/>
    <s v="PORTO ALEGRE"/>
    <s v=" Condomínio Reserva Petrópolis"/>
    <s v="Rua Mário Leitão, 60"/>
    <s v="BVSAB.081.M010"/>
    <d v="2024-07-01T00:00:00"/>
    <x v="0"/>
    <m/>
    <s v="PAULO GOMES/FABIO AMARILHO"/>
    <s v="100% - OK"/>
    <s v="OK"/>
    <s v="SEM LANÇAMENTO"/>
    <s v="SEM LANÇAMENTO"/>
    <s v="4 ABERTURA E FECHAMENTO, 2 FUSÃO, 1 TESTE"/>
    <d v="2024-07-24T00:00:00"/>
    <d v="2024-07-01T00:00:00"/>
    <d v="2024-07-01T00:00:00"/>
    <d v="2024-07-11T00:00:00"/>
    <d v="2024-07-11T00:00:00"/>
    <s v="NÃO PRECISA"/>
    <m/>
    <x v="0"/>
    <x v="0"/>
    <s v="AG. MEDIÇÃO"/>
    <n v="8"/>
    <x v="1"/>
    <n v="5"/>
  </r>
  <r>
    <s v="RSCLER0071"/>
    <s v="TRZAB"/>
    <m/>
    <m/>
    <s v="PORTO ALEGRE"/>
    <s v="COND. MARIO TOTTA"/>
    <s v="RUA MARIO TOTTA, 382"/>
    <m/>
    <d v="2023-04-01T00:00:00"/>
    <x v="0"/>
    <m/>
    <s v="DIOGO"/>
    <s v="100% - OK"/>
    <m/>
    <s v="SEM LANÇAMENTO"/>
    <s v="SEM LANÇAMENTO"/>
    <s v="1 FUSÃO,  1 CEO"/>
    <d v="2023-06-07T00:00:00"/>
    <d v="2023-03-28T00:00:00"/>
    <d v="2023-03-31T00:00:00"/>
    <d v="2023-04-04T00:00:00"/>
    <d v="2023-04-12T00:00:00"/>
    <s v="NÃO PRECISA"/>
    <m/>
    <x v="0"/>
    <x v="0"/>
    <s v="AG. MEDIÇÃO"/>
    <n v="11"/>
    <x v="1"/>
    <n v="8"/>
  </r>
  <r>
    <s v="RSCLER0085"/>
    <s v="PETAA"/>
    <m/>
    <m/>
    <s v="PORTO ALEGRE"/>
    <s v=" COND. ED. MONTREAL"/>
    <s v="RUA MARIZ E BARROS, 62"/>
    <m/>
    <d v="2023-06-01T00:00:00"/>
    <x v="0"/>
    <m/>
    <m/>
    <s v="100% - OK"/>
    <s v="-"/>
    <s v="SEM LANÇAMENTO"/>
    <s v="SEM LANÇAMENTO"/>
    <s v="2 ABERTURA E FECHAMENTO / 2 FUSÃO / 2 TESTE"/>
    <d v="2023-06-26T00:00:00"/>
    <d v="2023-06-22T00:00:00"/>
    <d v="2023-06-23T00:00:00"/>
    <d v="2023-06-24T00:00:00"/>
    <d v="2023-06-24T00:00:00"/>
    <s v="NÃO PRECISA"/>
    <m/>
    <x v="0"/>
    <x v="0"/>
    <s v="AG. MEDIÇÃO"/>
    <n v="1"/>
    <x v="0"/>
    <n v="-2"/>
  </r>
  <r>
    <s v="RSCLER0693"/>
    <s v="FLOAA"/>
    <s v="FLOAEA"/>
    <s v="RSPNO11"/>
    <s v="PORTO ALEGRE"/>
    <m/>
    <s v="RUA MARQUES DO HERVAL, 600"/>
    <s v="FLOAA.044.M010"/>
    <d v="2025-07-01T00:00:00"/>
    <x v="0"/>
    <m/>
    <s v="GILSON"/>
    <m/>
    <m/>
    <m/>
    <m/>
    <s v="COBRAR DENTRO DO NODE FLOAEA"/>
    <s v="FLOAEA F2"/>
    <d v="2025-07-30T00:00:00"/>
    <m/>
    <d v="2025-08-08T00:00:00"/>
    <m/>
    <d v="2025-08-13T00:00:00"/>
    <m/>
    <x v="0"/>
    <x v="0"/>
    <s v="AG. MEDIÇÃO"/>
    <n v="281"/>
    <x v="1"/>
    <n v="278"/>
  </r>
  <r>
    <s v="RSCLER0797"/>
    <s v="VGR"/>
    <m/>
    <m/>
    <s v="IVOTI"/>
    <m/>
    <s v="RUA MATO GROSSO,77"/>
    <s v="VGR.015.M030"/>
    <d v="2026-01-01T00:00:00"/>
    <x v="0"/>
    <s v="CLEVERSON"/>
    <s v="JEFERSON"/>
    <m/>
    <m/>
    <n v="270"/>
    <n v="242"/>
    <s v="FOI LANÇADO 242 METROS DE CABO DE 12FO, 3 ABERTURA E FECHAMENTO, 12 FUSÕES, 5 TESTES DE OTDR."/>
    <d v="2026-02-05T00:00:00"/>
    <d v="2026-01-06T00:00:00"/>
    <m/>
    <m/>
    <d v="2026-01-08T00:00:00"/>
    <d v="2026-02-05T00:00:00"/>
    <m/>
    <x v="0"/>
    <x v="0"/>
    <s v="AG. MEDIÇÃO"/>
    <n v="2"/>
    <x v="0"/>
    <n v="-1"/>
  </r>
  <r>
    <s v="RSCLER0537"/>
    <s v="RBRAA"/>
    <m/>
    <m/>
    <s v="PORTO ALEGRE"/>
    <s v="Condominio Edificio Ilha de Corfou"/>
    <s v="Rua Miguel Tostes, 225"/>
    <s v="RBRAA.013.M090."/>
    <d v="2025-03-01T00:00:00"/>
    <x v="0"/>
    <s v="UBIRATAN"/>
    <s v="ALEXANDRE (MARCOS EMILIANO)"/>
    <s v="100% - OK"/>
    <s v="OK - ENVIADO"/>
    <n v="350"/>
    <n v="322"/>
    <s v="FOI LANÇADO 322 METROS DE CABO DE 12FO, 5 ABERTURA E FECHAMENTO, 14 FUSÕES, 3 DERIVAÇÕES, 5 TESTES"/>
    <d v="2025-03-24T00:00:00"/>
    <d v="2025-03-12T00:00:00"/>
    <d v="2025-03-13T00:00:00"/>
    <d v="2025-03-14T00:00:00"/>
    <d v="2025-03-15T00:00:00"/>
    <s v="NÃO PRECISA"/>
    <m/>
    <x v="0"/>
    <x v="0"/>
    <s v="AG. MEDIÇÃO"/>
    <n v="2"/>
    <x v="0"/>
    <n v="-1"/>
  </r>
  <r>
    <s v="RSCLER0479"/>
    <s v="RBRAA"/>
    <s v="RBRAGA"/>
    <s v="RSPLE08"/>
    <s v="PORTO ALEGRE"/>
    <s v="NAP LOTADA"/>
    <s v="RUA MIGUEL TOSTES, 867"/>
    <s v="RBRAA.015.03.08"/>
    <d v="2024-12-01T00:00:00"/>
    <x v="0"/>
    <m/>
    <s v="AUGUSTO"/>
    <s v="100% - OK"/>
    <s v="OK - ENVIADO"/>
    <m/>
    <m/>
    <s v="3 ABERTURA E FECHAMENTO, 3 FUSÃO, 3 TESTE"/>
    <d v="2024-12-23T00:00:00"/>
    <d v="2024-12-11T00:00:00"/>
    <m/>
    <m/>
    <d v="2024-12-13T00:00:00"/>
    <s v="NÃO PRECISA"/>
    <m/>
    <x v="0"/>
    <x v="0"/>
    <s v="AG. MEDIÇÃO"/>
    <n v="2"/>
    <x v="0"/>
    <n v="-1"/>
  </r>
  <r>
    <s v="RSCLER0051"/>
    <s v="MNDAC"/>
    <m/>
    <m/>
    <s v="PORTO ALEGRE"/>
    <s v="MORADA DA ENCOSTA"/>
    <s v="RUA MONROE, 179"/>
    <m/>
    <d v="2023-03-01T00:00:00"/>
    <x v="0"/>
    <s v="VALDIR PASSOS"/>
    <s v="PAULO GOMES"/>
    <s v="100% - OK"/>
    <m/>
    <m/>
    <n v="870"/>
    <s v="LANÇAMENTO DE 870m (12FO) E INSTALAÇÃO DE CAIXA NOVA"/>
    <d v="2023-05-20T00:00:00"/>
    <d v="2023-02-17T00:00:00"/>
    <d v="2023-03-10T00:00:00"/>
    <d v="2023-03-14T00:00:00"/>
    <d v="2023-03-14T00:00:00"/>
    <s v="NÃO PRECISA"/>
    <m/>
    <x v="0"/>
    <x v="0"/>
    <s v="AG. MEDIÇÃO"/>
    <n v="17"/>
    <x v="1"/>
    <n v="14"/>
  </r>
  <r>
    <s v="RSCLER0052"/>
    <s v="MNDAC"/>
    <m/>
    <m/>
    <s v="PORTO ALEGRE"/>
    <s v="MORADA DA ENCOSTA"/>
    <s v="RUA MONROE, 181"/>
    <m/>
    <d v="2023-03-01T00:00:00"/>
    <x v="0"/>
    <m/>
    <s v="PAULO GOMES"/>
    <s v="100% - OK"/>
    <m/>
    <s v="SEM LANÇAMENTO"/>
    <s v="SEM LANÇAMENTO"/>
    <s v="INSTALAÇÃO DE CAIXA NOVA"/>
    <d v="2023-05-20T00:00:00"/>
    <d v="2023-02-17T00:00:00"/>
    <d v="2023-03-10T00:00:00"/>
    <d v="2023-03-14T00:00:00"/>
    <d v="2023-03-14T00:00:00"/>
    <s v="NÃO PRECISA"/>
    <m/>
    <x v="0"/>
    <x v="0"/>
    <s v="AG. MEDIÇÃO"/>
    <n v="17"/>
    <x v="1"/>
    <n v="14"/>
  </r>
  <r>
    <s v="RSCLER0461"/>
    <s v="SANAB"/>
    <s v="SANAG"/>
    <s v="RSPCE27"/>
    <s v="PORTO ALEGRE"/>
    <m/>
    <s v="Rua Monsenhor Veras 606"/>
    <s v="SANAB.053.M370"/>
    <d v="2024-11-01T00:00:00"/>
    <x v="0"/>
    <s v="TIAGO FERREIRA"/>
    <s v="PAULO GOMES"/>
    <s v="100% - OK"/>
    <s v="OK"/>
    <m/>
    <m/>
    <s v="1 ABERTURA E FECHAMENTO"/>
    <d v="2024-12-06T00:00:00"/>
    <d v="2024-11-07T00:00:00"/>
    <d v="2024-11-12T00:00:00"/>
    <d v="2024-11-15T00:00:00"/>
    <d v="2024-11-29T00:00:00"/>
    <s v="NÃO PRECISA"/>
    <m/>
    <x v="0"/>
    <x v="0"/>
    <s v="AG. MEDIÇÃO"/>
    <n v="16"/>
    <x v="1"/>
    <n v="13"/>
  </r>
  <r>
    <s v="RSCLER0072"/>
    <s v="TRLAA"/>
    <m/>
    <m/>
    <s v="PORTO ALEGRE"/>
    <s v="COND. PORTO CRISTAL"/>
    <s v="RUA MONTE ARRAES, 300"/>
    <m/>
    <d v="2023-04-01T00:00:00"/>
    <x v="0"/>
    <s v="JORGE MATHEUS"/>
    <m/>
    <s v="100% - OK"/>
    <s v="-"/>
    <m/>
    <n v="305"/>
    <s v="LANÇAMENTO DE 305 METROS (12FO) / 2 ABERTURA E FECHAMENTO                                                                                                                                                                                                                                                                                                                                                                                                                                                                                                                                                                             / 4 FUSÃO / 2 TESTE / 1 CX NOVA. "/>
    <d v="2023-07-11T00:00:00"/>
    <d v="2023-04-04T00:00:00"/>
    <d v="2023-04-05T00:00:00"/>
    <d v="2023-04-13T00:00:00"/>
    <d v="2023-04-13T00:00:00"/>
    <s v="NÃO PRECISA"/>
    <m/>
    <x v="0"/>
    <x v="0"/>
    <s v="AG. MEDIÇÃO"/>
    <n v="7"/>
    <x v="1"/>
    <n v="4"/>
  </r>
  <r>
    <s v="RSCLER0372"/>
    <s v="BFMAA"/>
    <s v="BFMADB"/>
    <s v="PAE IND"/>
    <s v="PORTO ALEGRE"/>
    <s v="Edifício Diplomata"/>
    <s v="Rua Mostardeiro, 32"/>
    <s v="BFMAA.081.M040"/>
    <d v="2024-08-01T00:00:00"/>
    <x v="0"/>
    <s v="GIOVANE / JUNIOR"/>
    <s v="MARCOS EMILIANO"/>
    <s v="100% - OK"/>
    <s v="OK - ENVIADO"/>
    <n v="360"/>
    <n v="658"/>
    <s v="FOI LANÇADO 421 METROS DE CABO DE 12FO, FOI LANÇADO 237 METROS DE CABO DE 12FO, 2 ABERTURA E FECHAMENTO, 6 FUSÃO, 3 DERIVAÇÃO, 1 CX NOVA, 2 TESTE"/>
    <d v="2024-10-23T00:00:00"/>
    <d v="2024-08-07T00:00:00"/>
    <d v="2024-08-20T00:00:00"/>
    <d v="2024-09-11T00:00:00"/>
    <d v="2024-09-30T00:00:00"/>
    <s v="NÃO PRECISA"/>
    <m/>
    <x v="0"/>
    <x v="0"/>
    <s v="AG. MEDIÇÃO"/>
    <n v="38"/>
    <x v="1"/>
    <n v="35"/>
  </r>
  <r>
    <s v="RSCLER0073"/>
    <s v="SANAB"/>
    <m/>
    <m/>
    <s v="PORTO ALEGRE"/>
    <s v="COND. ÁGUAS CLARAS"/>
    <s v="RUA MSN VERAS, 412"/>
    <m/>
    <d v="2023-04-01T00:00:00"/>
    <x v="0"/>
    <m/>
    <m/>
    <s v="100% - OK"/>
    <s v="-"/>
    <s v="SEM LANÇAMENTO"/>
    <s v="SEM LANÇAMENTO"/>
    <s v="2 ABERTURA E FECHAMENTO, 1 FUSÃO, 1 TESTE"/>
    <d v="2023-06-19T00:00:00"/>
    <d v="2023-04-04T00:00:00"/>
    <d v="2023-04-05T00:00:00"/>
    <d v="2023-04-19T00:00:00"/>
    <d v="2023-04-07T00:00:00"/>
    <s v="NÃO PRECISA"/>
    <m/>
    <x v="0"/>
    <x v="0"/>
    <s v="AG. MEDIÇÃO"/>
    <n v="3"/>
    <x v="0"/>
    <n v="0"/>
  </r>
  <r>
    <s v="RSCLER0548"/>
    <s v="CNTAA"/>
    <s v="CNTABB"/>
    <s v="NHO LO"/>
    <s v="NOVO HAMBURGO"/>
    <s v="RESIDENCIAL ALMAA"/>
    <s v="RUA ONZE DE JULHO, 950"/>
    <s v="CNTAA.051.M110"/>
    <d v="2025-03-01T00:00:00"/>
    <x v="0"/>
    <s v="TIAGO FERREIRA"/>
    <s v="CESAR LEANDRO"/>
    <s v="100% - OK"/>
    <s v="OK - ENVIADO"/>
    <n v="700"/>
    <n v="705"/>
    <s v="FOI LANÇADO 705 METROS DE CABO DE 12FO, 3 ABERTURA E FECHAMENTO, 12 FUSÕES, 1 DERIVAÇÃO, 1 CX NOVA, 4 TESTES. "/>
    <d v="2025-03-24T00:00:00"/>
    <d v="2025-03-17T00:00:00"/>
    <d v="2025-03-18T00:00:00"/>
    <d v="2025-03-20T00:00:00"/>
    <d v="2025-03-21T00:00:00"/>
    <s v="NÃO PRECISA"/>
    <m/>
    <x v="0"/>
    <x v="0"/>
    <s v="AG. MEDIÇÃO"/>
    <n v="4"/>
    <x v="1"/>
    <n v="1"/>
  </r>
  <r>
    <s v="RSCLER0665"/>
    <s v="SPEAA"/>
    <m/>
    <s v="PAE DAM"/>
    <s v="PORTO ALEGRE"/>
    <m/>
    <s v="RUA OURO PRETO, 45"/>
    <s v="SPEAA.059.01.01"/>
    <d v="2025-07-01T00:00:00"/>
    <x v="0"/>
    <m/>
    <s v="CATIA"/>
    <m/>
    <m/>
    <m/>
    <m/>
    <s v="DENTRO DO NODE SPEAC FASE 2 "/>
    <s v="SPEAC"/>
    <d v="2025-07-08T00:00:00"/>
    <m/>
    <m/>
    <d v="2025-07-10T00:00:00"/>
    <s v="NÃO PRECISA"/>
    <m/>
    <x v="0"/>
    <x v="0"/>
    <s v="AG. MEDIÇÃO"/>
    <n v="2"/>
    <x v="0"/>
    <n v="-1"/>
  </r>
  <r>
    <s v="RSCLER0053"/>
    <s v="TRZAB"/>
    <m/>
    <m/>
    <s v="PORTO ALEGRE"/>
    <s v="COND. ILHAS DO SUL"/>
    <s v="RUA PA. JOÃO BATISTA RÉUS, 3647"/>
    <m/>
    <d v="2023-03-01T00:00:00"/>
    <x v="0"/>
    <m/>
    <m/>
    <s v="100% - OK"/>
    <m/>
    <s v="SEM LANÇAMENTO"/>
    <s v="SEM LANÇAMENTO"/>
    <s v="ALINHAMENTO DE FIBRA"/>
    <d v="2023-05-20T00:00:00"/>
    <d v="2022-03-20T00:00:00"/>
    <d v="2023-03-22T00:00:00"/>
    <d v="2023-03-27T00:00:00"/>
    <d v="2023-03-23T00:00:00"/>
    <s v="NÃO PRECISA"/>
    <m/>
    <x v="0"/>
    <x v="0"/>
    <s v="AG. MEDIÇÃO"/>
    <n v="263"/>
    <x v="1"/>
    <n v="260"/>
  </r>
  <r>
    <s v="RSCLER0520"/>
    <s v="HMTAA"/>
    <s v="NAVAG"/>
    <s v="RSPNO02"/>
    <s v="PORTO ALEGRE"/>
    <m/>
    <s v="Rua Padre Blasio Vogel, 107/181"/>
    <s v="HMTAA.022.09.02 / HMTAA.022.09.01"/>
    <d v="2025-02-01T00:00:00"/>
    <x v="0"/>
    <m/>
    <s v="ANDERSON"/>
    <s v="100% - OK"/>
    <s v="OK - ENVIADO"/>
    <s v="SEM LANÇAMENTO"/>
    <s v="SEM LANÇAMENTO"/>
    <s v="12 ABERTURA E FECHAMENTO, 12 FUSÃO, 6 TESTES"/>
    <d v="2025-03-18T00:00:00"/>
    <d v="2025-02-19T00:00:00"/>
    <d v="2025-02-24T00:00:00"/>
    <d v="2025-02-26T00:00:00"/>
    <d v="2025-02-26T00:00:00"/>
    <s v="NÃO PRECISA"/>
    <m/>
    <x v="0"/>
    <x v="0"/>
    <s v="AG. MEDIÇÃO"/>
    <n v="5"/>
    <x v="1"/>
    <n v="2"/>
  </r>
  <r>
    <s v="RSCLER0086"/>
    <s v="HMTAG"/>
    <m/>
    <m/>
    <s v="PORTO ALEGRE"/>
    <s v="COND. URUGUAI "/>
    <s v="RUA PALMIRA GOBBI 855/885/925/945"/>
    <m/>
    <d v="2023-06-01T00:00:00"/>
    <x v="0"/>
    <m/>
    <m/>
    <s v="100% - OK"/>
    <s v="-"/>
    <s v="SEM LANÇAMENTO"/>
    <s v="SEM LANÇAMENTO"/>
    <s v="2 ABERTURA E FECHAMENTO / 2 FUSÃO / 2 TESTE"/>
    <d v="2023-06-26T00:00:00"/>
    <d v="2023-06-22T00:00:00"/>
    <d v="2023-06-23T00:00:00"/>
    <d v="2023-06-24T00:00:00"/>
    <d v="2023-06-24T00:00:00"/>
    <s v="NÃO PRECISA"/>
    <m/>
    <x v="0"/>
    <x v="0"/>
    <s v="AG. MEDIÇÃO"/>
    <n v="1"/>
    <x v="0"/>
    <n v="-2"/>
  </r>
  <r>
    <s v="RSCLER0156"/>
    <s v="RBRAA"/>
    <m/>
    <m/>
    <s v="PORTO ALEGRE"/>
    <s v="RUA PAULINO TEIXEIRA N°400"/>
    <s v="RUA PAULINO TEIXEIRA N°400"/>
    <m/>
    <d v="2023-11-01T00:00:00"/>
    <x v="0"/>
    <m/>
    <s v="LUCAS HOBERT"/>
    <s v="100% - OK"/>
    <s v="-"/>
    <s v="SEM LANÇAMENTO"/>
    <s v="SEM LANÇAMENTO"/>
    <s v="2 ABERTURA E FECHAMENTO, 2 FUSÃO, 1 TESTE"/>
    <d v="2023-11-20T00:00:00"/>
    <d v="2023-11-01T00:00:00"/>
    <m/>
    <d v="2023-11-06T00:00:00"/>
    <d v="2023-11-06T00:00:00"/>
    <s v="NÃO PRECISA"/>
    <m/>
    <x v="0"/>
    <x v="0"/>
    <s v="AG. MEDIÇÃO"/>
    <n v="3"/>
    <x v="0"/>
    <n v="0"/>
  </r>
  <r>
    <s v="RSCLER0237"/>
    <s v="TRZAA"/>
    <m/>
    <m/>
    <s v="PORTO ALEGRE"/>
    <s v="Condomínio Altos da Chácara"/>
    <s v="Rua Pe. João Batista Reus, 173"/>
    <m/>
    <d v="2024-03-01T00:00:00"/>
    <x v="0"/>
    <m/>
    <s v="MARCOS EMILIANO"/>
    <s v="100% - OK"/>
    <s v="OK"/>
    <s v="SEM LANÇAMENTO"/>
    <s v="SEM LANÇAMENTO"/>
    <s v="3 ABERTURA E FECHAMENTO, 5 FUSÕES, 3 TESTE "/>
    <d v="2024-04-23T00:00:00"/>
    <d v="2024-03-26T00:00:00"/>
    <m/>
    <d v="2024-03-27T00:00:00"/>
    <d v="2024-03-27T00:00:00"/>
    <s v="NÃO PRECISA"/>
    <m/>
    <x v="0"/>
    <x v="0"/>
    <s v="AG. MEDIÇÃO"/>
    <n v="1"/>
    <x v="0"/>
    <n v="-2"/>
  </r>
  <r>
    <s v="RSCLER0014"/>
    <s v="CNTABB"/>
    <m/>
    <m/>
    <s v="NOVO HAMBURGO"/>
    <s v="TORRE CORAL "/>
    <s v="RUA PEDRO ADAMS FILHO, 5757"/>
    <m/>
    <d v="2023-01-01T00:00:00"/>
    <x v="0"/>
    <s v="GIOVANE"/>
    <s v="ALEX DUTRA"/>
    <s v="100% - OK"/>
    <m/>
    <m/>
    <n v="151"/>
    <s v="LANÇAMENTO DE 151m (12FO) E  E INSTALAÇÃO DE CAIXA NOVA"/>
    <s v="SIM"/>
    <d v="2023-01-02T00:00:00"/>
    <d v="2023-01-02T00:00:00"/>
    <d v="2023-01-12T00:00:00"/>
    <d v="2023-01-12T00:00:00"/>
    <s v="NÃO PRECISA"/>
    <m/>
    <x v="0"/>
    <x v="0"/>
    <s v="AG. MEDIÇÃO"/>
    <n v="8"/>
    <x v="1"/>
    <n v="5"/>
  </r>
  <r>
    <s v="RSCLER0606"/>
    <s v="MRDAA"/>
    <s v="NSG16A"/>
    <s v="RSCAN01"/>
    <s v="CANOAS "/>
    <m/>
    <s v="RUA PEDRO ALVARES CABRAL, 168"/>
    <s v="MRDAA.401.M010"/>
    <d v="2025-05-01T00:00:00"/>
    <x v="0"/>
    <s v="TIAGO FERREIRA"/>
    <s v="ALANO"/>
    <m/>
    <m/>
    <n v="537"/>
    <n v="645"/>
    <s v="FOI LANÇADO 490 METROS DE CABO DE 24FO, E 155 METROS DE CABO DE 12FO,1 ABERTURA E FECHAMENTO, 1 DERIVAÇÃO, 2 CX NOVA, 4 FUSÕES, 2 TESTES"/>
    <d v="2025-06-18T00:00:00"/>
    <d v="2025-05-29T00:00:00"/>
    <m/>
    <m/>
    <d v="2025-06-04T00:00:00"/>
    <s v="NÃO PRECISA"/>
    <m/>
    <x v="0"/>
    <x v="0"/>
    <s v="AG. MEDIÇÃO"/>
    <n v="4"/>
    <x v="1"/>
    <n v="1"/>
  </r>
  <r>
    <s v="RSCLER0015"/>
    <s v="CNTABB"/>
    <m/>
    <m/>
    <s v="NOVO HAMBURGO"/>
    <s v="ED. SAINT PAUL"/>
    <s v="RUA PEDRO ALVARES CABRAL, 590"/>
    <m/>
    <d v="2023-01-01T00:00:00"/>
    <x v="0"/>
    <s v="MARCOS"/>
    <s v="ALEX DUTRA"/>
    <s v="100% - OK"/>
    <m/>
    <m/>
    <n v="342"/>
    <s v="LANÇAMENTO DE 342m (12FO) E  E INSTALAÇÃO DE CAIXA NOVA"/>
    <s v="SIM"/>
    <d v="2023-01-02T00:00:00"/>
    <d v="2023-01-02T00:00:00"/>
    <d v="2023-01-10T00:00:00"/>
    <d v="2023-01-10T00:00:00"/>
    <s v="NÃO PRECISA"/>
    <m/>
    <x v="0"/>
    <x v="0"/>
    <s v="AG. MEDIÇÃO"/>
    <n v="6"/>
    <x v="1"/>
    <n v="3"/>
  </r>
  <r>
    <s v="RSCLER0016"/>
    <s v="CNTABB"/>
    <m/>
    <m/>
    <s v="NOVO HAMBURGO"/>
    <s v="COND. PEDRO ALVARES CABRAL"/>
    <s v="RUA PEDRO ALVARES CABRAL, 608"/>
    <m/>
    <d v="2023-01-01T00:00:00"/>
    <x v="0"/>
    <m/>
    <s v="ALEX DUTRA"/>
    <s v="100% - OK"/>
    <m/>
    <s v="SEM LANÇAMENTO"/>
    <s v="SEM LANÇAMENTO"/>
    <s v="ALINHAMENTO DE FIBRA"/>
    <s v="SIM"/>
    <d v="2023-01-02T00:00:00"/>
    <d v="2023-01-02T00:00:00"/>
    <d v="2023-01-10T00:00:00"/>
    <d v="2023-01-10T00:00:00"/>
    <s v="NÃO PRECISA"/>
    <m/>
    <x v="0"/>
    <x v="0"/>
    <s v="AG. MEDIÇÃO"/>
    <n v="6"/>
    <x v="1"/>
    <n v="3"/>
  </r>
  <r>
    <s v="RSCLER0017"/>
    <s v="CNTABB"/>
    <m/>
    <m/>
    <s v="NOVO HAMBURGO"/>
    <s v="EDIFICO SÃO GABRIEL"/>
    <s v="RUA PEDRO ALVARES CABRAL, 638"/>
    <m/>
    <d v="2023-01-01T00:00:00"/>
    <x v="0"/>
    <m/>
    <s v="ALEX DUTRA"/>
    <s v="100% - OK"/>
    <m/>
    <s v="SEM LANÇAMENTO"/>
    <s v="SEM LANÇAMENTO"/>
    <s v="ALINHAMENTO DE FIBRA"/>
    <s v="SIM"/>
    <d v="2023-01-02T00:00:00"/>
    <d v="2023-01-02T00:00:00"/>
    <d v="2023-01-10T00:00:00"/>
    <d v="2023-01-10T00:00:00"/>
    <s v="NÃO PRECISA"/>
    <m/>
    <x v="0"/>
    <x v="0"/>
    <s v="AG. MEDIÇÃO"/>
    <n v="6"/>
    <x v="1"/>
    <n v="3"/>
  </r>
  <r>
    <s v="RSCLER0074"/>
    <s v="MTSAA"/>
    <m/>
    <m/>
    <s v="PORTO ALEGRE"/>
    <s v="COND. CASA VISTA"/>
    <s v="RUA PEDRO CHAVES BARCELOS, 655"/>
    <m/>
    <d v="2023-04-01T00:00:00"/>
    <x v="0"/>
    <m/>
    <m/>
    <s v="100% - OK"/>
    <s v="-"/>
    <m/>
    <n v="158"/>
    <s v="LANÇADO 158 METROS DE CABO 12FO / 1 ABERTURA E FECHAMENTO / 6 FFUSÃO / 3 TESTE OBS: FOI LANÇADO CABO PORQUE A CAIXA NÃO ESTAV NO LOCAL CORRETO"/>
    <d v="2023-07-11T00:00:00"/>
    <d v="2023-04-04T00:00:00"/>
    <m/>
    <d v="2023-04-20T00:00:00"/>
    <d v="2023-04-20T00:00:00"/>
    <s v="NÃO PRECISA"/>
    <m/>
    <x v="0"/>
    <x v="0"/>
    <s v="AG. MEDIÇÃO"/>
    <n v="12"/>
    <x v="1"/>
    <n v="9"/>
  </r>
  <r>
    <s v="RSCLER0544"/>
    <s v="FLOAB"/>
    <s v="FLOAKB"/>
    <s v="RSPCE05"/>
    <s v="PORTO ALEGRE"/>
    <s v="Condomínio Edifício Saintmichelle"/>
    <s v="Rua Pinheiro Machado, 246"/>
    <s v="FLOAB.091.M070"/>
    <d v="2025-03-01T00:00:00"/>
    <x v="0"/>
    <s v="UBIRATAN"/>
    <s v="AUGUSTO"/>
    <m/>
    <m/>
    <n v="205"/>
    <n v="271"/>
    <s v="FOI LANÇADO 271 METROS DE CABO DE 12FO, 1 ABERTURA E FECHAMENTO"/>
    <d v="2025-03-23T00:00:00"/>
    <d v="2025-03-17T00:00:00"/>
    <d v="2025-03-18T00:00:00"/>
    <d v="2025-03-21T00:00:00"/>
    <d v="2025-03-20T00:00:00"/>
    <s v="NÃO PRECISA"/>
    <m/>
    <x v="0"/>
    <x v="0"/>
    <s v="AG. MEDIÇÃO"/>
    <n v="3"/>
    <x v="0"/>
    <n v="0"/>
  </r>
  <r>
    <s v="RSCLER0491"/>
    <s v="PRIAA"/>
    <m/>
    <s v="RSNHO06"/>
    <s v="NOVO HAMBURGO"/>
    <m/>
    <s v="RUA PORTO LUCANA, 70"/>
    <s v="PRIAA.401.M010"/>
    <d v="2025-01-01T00:00:00"/>
    <x v="0"/>
    <s v="TIAGO FERREIRA"/>
    <s v="CESAR LEANDRO"/>
    <s v="100% - OK"/>
    <s v="OK"/>
    <n v="1010"/>
    <n v="1105"/>
    <s v="FOI LANÇADO 215 METROS DE CABO DE 12FO, 890 METROS DE CABO DE 24FO, 2 ABERTURA E FECHAMENTO, 2 CX NOVA, 1 DERIVAÇÃO, 3 FUSÕES, 1 TESTE"/>
    <d v="2025-02-10T00:00:00"/>
    <d v="2025-01-14T00:00:00"/>
    <d v="2025-01-20T00:00:00"/>
    <d v="2025-01-21T00:00:00"/>
    <d v="2025-01-22T00:00:00"/>
    <s v="NÃO PRECISA"/>
    <m/>
    <x v="0"/>
    <x v="0"/>
    <s v="AG. MEDIÇÃO"/>
    <n v="6"/>
    <x v="1"/>
    <n v="3"/>
  </r>
  <r>
    <s v="RSCLER0089"/>
    <s v="BVSAB"/>
    <m/>
    <m/>
    <s v="PORTO ALEGRE"/>
    <s v="CONDOMINIO PALA I"/>
    <s v="RUA PORTUGAL, 1297"/>
    <m/>
    <d v="2023-06-01T00:00:00"/>
    <x v="0"/>
    <s v="JEFERSON"/>
    <s v="JEFERSON"/>
    <s v="100% - OK"/>
    <s v="-"/>
    <m/>
    <n v="150"/>
    <s v="FALTA TESTE/ 2 ABERTURA E FECHAMENTO / 5 FUSÃO / 4 TESTE/ LANÇADO 150 METROS DE CABO 24FO"/>
    <d v="2023-07-11T00:00:00"/>
    <d v="2023-06-21T00:00:00"/>
    <d v="2023-06-21T00:00:00"/>
    <d v="2023-06-21T00:00:00"/>
    <d v="2023-06-21T00:00:00"/>
    <s v="NÃO PRECISA"/>
    <m/>
    <x v="0"/>
    <x v="0"/>
    <s v="AG. MEDIÇÃO"/>
    <n v="0"/>
    <x v="0"/>
    <n v="-3"/>
  </r>
  <r>
    <s v="RSCLER0054"/>
    <s v="SJEAA"/>
    <m/>
    <m/>
    <s v="PORTO ALEGRE"/>
    <s v="ED. LUIZ AUGUSTO"/>
    <s v="RUA PRIMEIRO DE SETEMBRO, 166"/>
    <m/>
    <d v="2023-03-01T00:00:00"/>
    <x v="0"/>
    <s v="NEIMAR LUCERO"/>
    <s v="PAULO GOMES "/>
    <s v="100% - OK"/>
    <m/>
    <m/>
    <n v="300"/>
    <s v="LANÇAMENTO DE 300m (12FO) E INSTALAÇÃO DE CAIXA NOVA"/>
    <d v="2023-05-20T00:00:00"/>
    <d v="2022-03-20T00:00:00"/>
    <d v="2023-03-22T00:00:00"/>
    <d v="2023-03-24T00:00:00"/>
    <d v="2023-03-26T00:00:00"/>
    <s v="NÃO PRECISA"/>
    <m/>
    <x v="0"/>
    <x v="0"/>
    <s v="AG. MEDIÇÃO"/>
    <n v="264"/>
    <x v="1"/>
    <n v="261"/>
  </r>
  <r>
    <s v="RSCLER0879"/>
    <s v="RBTAB"/>
    <s v="RBTAAA"/>
    <s v="RSPNO22"/>
    <s v="PORTO ALEGRE"/>
    <m/>
    <s v="RUA PROFESSORA AMY HERVE RAMIRES 20 40 60 e 80"/>
    <s v="RBTAB.053.M020"/>
    <d v="2026-05-01T00:00:00"/>
    <x v="0"/>
    <s v="AFONSO"/>
    <s v="AFONSO"/>
    <m/>
    <s v="OK"/>
    <n v="180"/>
    <n v="180"/>
    <s v="FOI LANÇADO 180 METROS DE CABO DE 24FO, MAIS 64 METROS DE CABO DE 12FO, 5 ABERTURA E FECHAMENTO, 2 CX NOVA, 4 DERIVAÇÃO, 46 FUSÕES, 30 TESTES."/>
    <d v="2026-07-23T00:00:00"/>
    <d v="2026-05-07T00:00:00"/>
    <m/>
    <m/>
    <d v="2026-05-08T00:00:00"/>
    <d v="2026-07-23T00:00:00"/>
    <m/>
    <x v="0"/>
    <x v="0"/>
    <s v="AG. MEDIÇÃO"/>
    <n v="1"/>
    <x v="0"/>
    <n v="-2"/>
  </r>
  <r>
    <s v="RSCLER0267"/>
    <s v="MTSAA"/>
    <m/>
    <m/>
    <s v="PORTO ALEGRE"/>
    <s v="DIRETORIA"/>
    <s v="Rua Quintino Bocaiuva, 159"/>
    <m/>
    <d v="2024-04-01T00:00:00"/>
    <x v="0"/>
    <s v="POMPEU"/>
    <s v="ANDERSON"/>
    <s v="100% - OK"/>
    <s v="OK"/>
    <m/>
    <n v="498"/>
    <s v="FOI LANÇADO 498 METROS DE CABO DE 12FO, 4 ABERTURA E FECHAMENTO, 8 FUSÃO, 1 DERIVAÇÃO, 2 TESTE, 1 CX NOVA"/>
    <d v="2024-05-27T00:00:00"/>
    <d v="2024-04-17T00:00:00"/>
    <d v="2024-04-19T00:00:00"/>
    <d v="2024-04-23T00:00:00"/>
    <d v="2024-05-07T00:00:00"/>
    <s v="NÃO PRECISA"/>
    <m/>
    <x v="0"/>
    <x v="0"/>
    <s v="AG. MEDIÇÃO"/>
    <n v="14"/>
    <x v="1"/>
    <n v="11"/>
  </r>
  <r>
    <s v="RSCLER0342"/>
    <s v="RBRAA"/>
    <s v="RBRAGA"/>
    <s v="RSPLE08"/>
    <s v="PORTO ALEGRE"/>
    <s v="Condomínio Edificio Malaga"/>
    <s v="Rua Ramiro Barcelos, 1450"/>
    <s v="RBRAA.013.M070"/>
    <d v="2024-07-01T00:00:00"/>
    <x v="0"/>
    <s v="TIAGO FERREIRA"/>
    <s v="MARCOS EMILIANO"/>
    <s v="100% - OK"/>
    <s v="OK"/>
    <m/>
    <n v="100"/>
    <s v="FOI LANÇADO 100 METROS DE CABO DE 12FO, 2 ABERTURA E FECHAMENTO, 1 CX NOVA, 1 DERIVÇÃO, 5 FUSÃO, 4 TESTE "/>
    <d v="2024-07-24T00:00:00"/>
    <d v="2024-07-09T00:00:00"/>
    <d v="2024-07-11T00:00:00"/>
    <d v="2024-07-19T00:00:00"/>
    <d v="2024-07-19T00:00:00"/>
    <s v="NÃO PRECISA"/>
    <m/>
    <x v="0"/>
    <x v="0"/>
    <s v="AG. MEDIÇÃO"/>
    <n v="8"/>
    <x v="1"/>
    <n v="5"/>
  </r>
  <r>
    <s v="RSCLER0368"/>
    <s v="CNTAA"/>
    <s v="CNT12A"/>
    <s v="RSCAN27"/>
    <s v="CANOAS "/>
    <s v="Porto Lisboa "/>
    <s v="Rua Roberto Francisco Behrens 85"/>
    <s v="CNTAA.111.M060"/>
    <d v="2024-08-01T00:00:00"/>
    <x v="0"/>
    <s v="TIAGO FERREIRA"/>
    <s v="MARCOS EMILIANO"/>
    <s v="100% - OK"/>
    <s v="OK"/>
    <m/>
    <n v="470"/>
    <s v="FOI LANÇADO 470 METROS DE CABO DE 12FO, 3 ABERTURA E FECHAMENTO, 1 DERIVAÇÃO, 1 CX NOVA, 3 TESTE, 8 FUSÃO"/>
    <d v="2024-08-28T00:00:00"/>
    <d v="2024-08-01T00:00:00"/>
    <d v="2024-08-08T00:00:00"/>
    <d v="2024-08-13T00:00:00"/>
    <d v="2024-08-13T00:00:00"/>
    <s v="NÃO PRECISA"/>
    <m/>
    <x v="0"/>
    <x v="0"/>
    <s v="AG. MEDIÇÃO"/>
    <n v="8"/>
    <x v="1"/>
    <n v="5"/>
  </r>
  <r>
    <s v="RSCLER0079"/>
    <s v="SRDAAL"/>
    <m/>
    <m/>
    <s v="PORTO ALEGRE"/>
    <s v="COND. JARDINS DO NORTE"/>
    <s v="RUA ROBERTO JUNG, 130"/>
    <m/>
    <d v="2023-05-01T00:00:00"/>
    <x v="0"/>
    <s v="JORGE MATHEUS"/>
    <s v="LUCAS HOBERT"/>
    <s v="100% - OK"/>
    <s v="OK"/>
    <m/>
    <n v="75"/>
    <s v="4 ABERTURA E FECHAMENTO, 1 CEO, 7 FUSÕES, 3 TESTES, 1 TESTE COM OTDR, 1 DERIVAÇÃO, 75M 24FO. ( FOI SOLICITADO PARA FAZER RUA NOBERTO JUNG, FOI ACRESCENTADO A RUA PROFESSOR JOABER PEREIRA, PARA O ALINHAMENTO DA FIBFRA RBTAA.102.13 )"/>
    <d v="2023-06-06T00:00:00"/>
    <m/>
    <m/>
    <m/>
    <m/>
    <s v="NÃO PRECISA"/>
    <m/>
    <x v="0"/>
    <x v="0"/>
    <s v="AG. MEDIÇÃO"/>
    <s v="DATA ENTRADA"/>
    <x v="1"/>
    <s v="DATA ENTRADA"/>
  </r>
  <r>
    <s v="RSCLER0706"/>
    <s v="SSOAA"/>
    <s v="SSOAC"/>
    <s v="RSPNO07"/>
    <s v="PORTO ALEGRE"/>
    <m/>
    <s v="Rua Rodolfo Sinch, 320/360"/>
    <s v="SSOAA.115.M010"/>
    <d v="2025-08-01T00:00:00"/>
    <x v="0"/>
    <m/>
    <s v="DIOGO/ CLEVERSON"/>
    <s v="100% - OK"/>
    <m/>
    <s v="SEM LANÇAMENTO"/>
    <s v="SEM LANÇAMENTO"/>
    <s v="3 ABERTURA E FECHAMENTO, 9 FUSÕES, 6 TESTES."/>
    <d v="2026-02-09T00:00:00"/>
    <d v="2025-08-20T00:00:00"/>
    <m/>
    <m/>
    <d v="2025-08-26T00:00:00"/>
    <d v="2026-02-09T00:00:00"/>
    <m/>
    <x v="0"/>
    <x v="0"/>
    <s v="AG. MEDIÇÃO"/>
    <n v="4"/>
    <x v="1"/>
    <n v="1"/>
  </r>
  <r>
    <s v="RSCLER0637"/>
    <s v="PDRAA"/>
    <s v="VIPAF"/>
    <s v="RSPNO17"/>
    <s v="PORTO ALEGRE"/>
    <s v="Cond. Edifício Village Bourbon"/>
    <s v="Rua Roque Calage, 758"/>
    <s v="PDRAA.125.M040.."/>
    <d v="2025-06-01T00:00:00"/>
    <x v="0"/>
    <m/>
    <s v="DIOGO"/>
    <m/>
    <m/>
    <s v="SEM LANÇAMENTO"/>
    <s v="SEM LANÇAMENTO"/>
    <s v="COBRAR JUNTA A RSCLER0631"/>
    <d v="2025-07-07T00:00:00"/>
    <d v="2025-06-13T00:00:00"/>
    <m/>
    <m/>
    <d v="2025-06-17T00:00:00"/>
    <s v="NÃO PRECISA"/>
    <m/>
    <x v="0"/>
    <x v="0"/>
    <s v="AG. MEDIÇÃO"/>
    <n v="2"/>
    <x v="0"/>
    <n v="-1"/>
  </r>
  <r>
    <s v="RSCLER0636"/>
    <s v="PDRAA"/>
    <s v="VIPAF"/>
    <s v="RSPNO17"/>
    <s v="PORTO ALEGRE"/>
    <s v=" Cond. Edifício Ópera Square"/>
    <s v="Rua Roque Calage, 886"/>
    <s v="PDRAA.125.M040...."/>
    <d v="2025-06-01T00:00:00"/>
    <x v="0"/>
    <m/>
    <s v="DIOGO"/>
    <m/>
    <m/>
    <s v="SEM LANÇAMENTO"/>
    <s v="SEM LANÇAMENTO"/>
    <s v="2 ABERTURA E FECHAMENTO, 3 FUSÕES, 3 TESTES"/>
    <d v="2025-07-07T00:00:00"/>
    <d v="2025-06-13T00:00:00"/>
    <m/>
    <m/>
    <d v="2025-06-17T00:00:00"/>
    <s v="NÃO PRECISA"/>
    <m/>
    <x v="0"/>
    <x v="0"/>
    <s v="AG. MEDIÇÃO"/>
    <n v="2"/>
    <x v="0"/>
    <n v="-1"/>
  </r>
  <r>
    <s v="RSCLER0638"/>
    <s v="PDRAA"/>
    <s v="VIPAF"/>
    <s v="RSPNO17"/>
    <s v="PORTO ALEGRE"/>
    <s v="Cond. Edifício Ópera Square"/>
    <s v="Rua Roque Calage, 900"/>
    <s v="PDRAA.125.M040..."/>
    <d v="2025-06-01T00:00:00"/>
    <x v="0"/>
    <m/>
    <s v="DIOGO"/>
    <m/>
    <m/>
    <s v="SEM LANÇAMENTO"/>
    <s v="SEM LANÇAMENTO"/>
    <s v="COBRAR JUNTA A RSCLER0631"/>
    <d v="2025-07-07T00:00:00"/>
    <d v="2025-06-13T00:00:00"/>
    <m/>
    <m/>
    <d v="2025-06-17T00:00:00"/>
    <s v="NÃO PRECISA"/>
    <m/>
    <x v="0"/>
    <x v="0"/>
    <s v="AG. MEDIÇÃO"/>
    <n v="2"/>
    <x v="0"/>
    <n v="-1"/>
  </r>
  <r>
    <s v="RSCLER0587"/>
    <s v="TRA"/>
    <m/>
    <m/>
    <s v="TRAMANDAÍ"/>
    <m/>
    <s v="RUA SAHYD ABRÃO, 154 "/>
    <s v="TRA.053.M010"/>
    <d v="2025-04-01T00:00:00"/>
    <x v="0"/>
    <m/>
    <s v="FABIO AMARILIO"/>
    <m/>
    <m/>
    <m/>
    <m/>
    <s v="2 ABERTURA E FECHAMENTO, 2 FUSÕES, 1 TESTE"/>
    <d v="2025-05-08T00:00:00"/>
    <d v="2025-04-23T00:00:00"/>
    <m/>
    <m/>
    <d v="2025-04-29T00:00:00"/>
    <s v="NÃO PRECISA"/>
    <m/>
    <x v="0"/>
    <x v="0"/>
    <s v="AG. MEDIÇÃO"/>
    <n v="4"/>
    <x v="1"/>
    <n v="1"/>
  </r>
  <r>
    <s v="RSCLER0542"/>
    <s v="TRLAA"/>
    <s v="MNDAR"/>
    <s v="PSE HZS"/>
    <s v="PORTO ALEGRE"/>
    <m/>
    <s v="Rua Saldanha Marinho, 396"/>
    <s v="TRLAA.014.M010"/>
    <d v="2025-03-01T00:00:00"/>
    <x v="0"/>
    <m/>
    <s v="AUGUSTO"/>
    <m/>
    <m/>
    <s v="SEM LANÇAMENTO"/>
    <s v="SEM LANÇAMENTO"/>
    <s v="3 ABERTURA E FECHAMENTO, 4 FUSÕES, 2 TESTES"/>
    <d v="2025-03-23T00:00:00"/>
    <d v="2025-03-14T00:00:00"/>
    <d v="2025-03-17T00:00:00"/>
    <d v="2025-03-21T00:00:00"/>
    <d v="2025-03-20T00:00:00"/>
    <s v="NÃO PRECISA"/>
    <m/>
    <x v="0"/>
    <x v="0"/>
    <s v="AG. MEDIÇÃO"/>
    <n v="4"/>
    <x v="1"/>
    <n v="1"/>
  </r>
  <r>
    <s v="RSCLER0280"/>
    <s v="RBRAA"/>
    <s v="RBRAB"/>
    <s v="RSPLE08"/>
    <s v="PORTO ALEGRE"/>
    <s v="Cond Ed Jardim Guaira "/>
    <s v="Rua Santa Cecília, 1373"/>
    <s v="RBRAA.075.M050"/>
    <d v="2024-04-01T00:00:00"/>
    <x v="0"/>
    <s v="THIAGO "/>
    <s v="ANDERSON"/>
    <s v="100% - OK"/>
    <s v="OK - ENVIADO"/>
    <m/>
    <n v="170"/>
    <s v="FOI LANÇADO 170 METROS DE CABO DE 12 FO, 3 ABERTURA E FECHAMENTO, 8 FUSÃO, 1 DERIVAÇÃO, 1 CX NOVA, 2 TESTE"/>
    <d v="2024-05-27T00:00:00"/>
    <d v="2024-04-22T00:00:00"/>
    <d v="2024-05-16T00:00:00"/>
    <d v="2024-05-22T00:00:00"/>
    <d v="2024-05-22T00:00:00"/>
    <s v="NÃO PRECISA"/>
    <m/>
    <x v="0"/>
    <x v="0"/>
    <s v="AG. MEDIÇÃO"/>
    <n v="22"/>
    <x v="1"/>
    <n v="19"/>
  </r>
  <r>
    <s v="RSCLER0818"/>
    <s v="RBTAC"/>
    <s v="SRDAF FASE 2"/>
    <s v="RSPNO17"/>
    <s v="PORTO ALEGRE"/>
    <m/>
    <s v="RUA SANTA ROSA DE LIMA, 245"/>
    <s v="RBTAC.024"/>
    <d v="2026-03-01T00:00:00"/>
    <x v="0"/>
    <m/>
    <s v="AUGUSTO"/>
    <m/>
    <m/>
    <m/>
    <n v="763"/>
    <s v="FOI LANÇADO 763 METROS DE CABO DE 24FO, 571 METROS DE CORDOALHA DE AÇO."/>
    <d v="2026-04-02T00:00:00"/>
    <d v="2026-03-17T00:00:00"/>
    <m/>
    <m/>
    <d v="2026-04-02T00:00:00"/>
    <d v="2026-04-02T00:00:00"/>
    <m/>
    <x v="0"/>
    <x v="0"/>
    <s v="AG. MEDIÇÃO"/>
    <n v="12"/>
    <x v="1"/>
    <n v="9"/>
  </r>
  <r>
    <s v="RSCLER0630"/>
    <s v="SANAB"/>
    <s v="SANACA"/>
    <s v="RSPCE27"/>
    <s v="PORTO ALEGRE"/>
    <m/>
    <s v="RUA SANTANA, 1129"/>
    <s v="SANAB.021.M010"/>
    <d v="2025-06-01T00:00:00"/>
    <x v="0"/>
    <s v="CLEVERSON"/>
    <s v="DIOGO"/>
    <m/>
    <m/>
    <m/>
    <m/>
    <s v="DENTRO DO NODE SANACA FASE 2 "/>
    <s v="SANACA F2"/>
    <d v="2025-06-11T00:00:00"/>
    <m/>
    <m/>
    <m/>
    <s v="NÃO PRECISA"/>
    <m/>
    <x v="0"/>
    <x v="0"/>
    <s v="AG. MEDIÇÃO"/>
    <n v="316"/>
    <x v="1"/>
    <n v="313"/>
  </r>
  <r>
    <s v="RSCLER0529"/>
    <s v="SANAB"/>
    <s v="SANAH"/>
    <s v="RSPCE27"/>
    <s v="PORTO ALEGRE"/>
    <s v="Cond. Jardim Santana"/>
    <s v="Rua Santana, 998"/>
    <s v="SANAB.061.M070"/>
    <d v="2025-02-01T00:00:00"/>
    <x v="0"/>
    <s v="LUIS SCHUCH"/>
    <s v="LUIS SCHUCH"/>
    <m/>
    <m/>
    <n v="360"/>
    <n v="378"/>
    <s v="FOI LANÇADO 378 METROS DE CABO DE 12FO, 1 ABERTURA E FECHAMENTO, 1 CX NOVA, 1 DERIVAÇÃO, 1 FUSÃO"/>
    <d v="2025-03-18T00:00:00"/>
    <d v="2025-02-28T00:00:00"/>
    <d v="2025-03-05T00:00:00"/>
    <d v="2025-03-13T00:00:00"/>
    <d v="2025-03-13T00:00:00"/>
    <s v="NÃO PRECISA"/>
    <m/>
    <x v="0"/>
    <x v="0"/>
    <s v="AG. MEDIÇÃO"/>
    <n v="9"/>
    <x v="1"/>
    <n v="6"/>
  </r>
  <r>
    <s v="RSCLER0798"/>
    <s v="NOV"/>
    <m/>
    <m/>
    <s v="TRAMANDAI"/>
    <m/>
    <s v="RUA SÃO GABRIEL 363"/>
    <s v="NOV.029.02.06"/>
    <d v="2026-01-01T00:00:00"/>
    <x v="0"/>
    <s v="ALAN GALVÃO"/>
    <s v="FABIO AMARILHO"/>
    <m/>
    <m/>
    <m/>
    <n v="1707"/>
    <s v="FOI LANÇADO 1707 METROS DE CABO DE 12FO AUTOSUSTENTAVEL, 3 ABERTURA E FECHAMENTO, 1 CX NOVA, 1 NAP NOVA, 1 DERIVAÇÕES, 16 FUSÕES E 1 TESTE."/>
    <d v="2026-02-05T00:00:00"/>
    <d v="2026-01-06T00:00:00"/>
    <m/>
    <m/>
    <d v="2026-01-07T00:00:00"/>
    <d v="2026-02-05T00:00:00"/>
    <m/>
    <x v="0"/>
    <x v="0"/>
    <s v="AG. MEDIÇÃO"/>
    <n v="1"/>
    <x v="0"/>
    <n v="-2"/>
  </r>
  <r>
    <s v="RSCLER0476"/>
    <s v="CNT"/>
    <s v="CNT01"/>
    <s v="RSGUB01"/>
    <s v="GUAÍBA"/>
    <m/>
    <s v="RUA SÃO GERALDO, 1250"/>
    <s v="CNT.012.M010"/>
    <d v="2024-12-01T00:00:00"/>
    <x v="0"/>
    <s v="UBIRATAN"/>
    <s v="LUCAS AGUIRRE"/>
    <s v="100% - OK"/>
    <m/>
    <n v="1000"/>
    <n v="812"/>
    <s v="FOI LANÇADO 812 METROS DE CABO DE 12FO, 1 ABERTURA E FECHAMENTO, 1 CX NOVA, 9 FUSÃO"/>
    <d v="2024-12-23T00:00:00"/>
    <d v="2024-12-04T00:00:00"/>
    <m/>
    <m/>
    <d v="2024-12-07T00:00:00"/>
    <s v="NÃO PRECISA"/>
    <m/>
    <x v="0"/>
    <x v="0"/>
    <s v="AG. MEDIÇÃO"/>
    <n v="2"/>
    <x v="0"/>
    <n v="-1"/>
  </r>
  <r>
    <s v="RSCLER0732"/>
    <s v="BVSAA"/>
    <s v="PDRAD"/>
    <s v="RSPLE08"/>
    <s v="PORTO ALEGRE"/>
    <m/>
    <s v="RUA SÃO JERÔNIMO, 68"/>
    <s v="BVSAA.015.M040"/>
    <d v="2025-09-01T00:00:00"/>
    <x v="0"/>
    <m/>
    <s v="CLEVERSON"/>
    <m/>
    <m/>
    <m/>
    <m/>
    <s v="COBRAR DENTRO DO NODE PDRAD FASE 3"/>
    <s v="PDRAD"/>
    <d v="2025-09-19T00:00:00"/>
    <m/>
    <m/>
    <d v="2025-09-20T00:00:00"/>
    <s v="NÃO PRECISA"/>
    <m/>
    <x v="0"/>
    <x v="0"/>
    <s v="AG. MEDIÇÃO"/>
    <n v="0"/>
    <x v="0"/>
    <n v="-3"/>
  </r>
  <r>
    <s v="RSCLER0615"/>
    <s v="BVSAB"/>
    <s v="VJDANA"/>
    <s v="PAE NR"/>
    <s v="PORTO ALEGRE"/>
    <m/>
    <s v="Rua São Leopoldo 379"/>
    <s v="BVSAB.192.01.05"/>
    <d v="2025-06-01T00:00:00"/>
    <x v="0"/>
    <s v="AFONSO"/>
    <s v="CATIA"/>
    <s v="100% - OK"/>
    <s v="OK - ENVIADO"/>
    <n v="220"/>
    <n v="214"/>
    <s v="FOI LANÇADO 214 METROS DE CABO DE 12FO, 4 ABERTURA E FECHAMENTO, 5 FUSÕES, 1 NAP NOVA, 1 DERIVAÇÃO, 3 TESTE, 1 TESTE OTDR"/>
    <d v="2025-06-18T00:00:00"/>
    <d v="2025-06-04T00:00:00"/>
    <m/>
    <m/>
    <d v="2025-06-05T00:00:00"/>
    <s v="NÃO PRECISA"/>
    <m/>
    <x v="0"/>
    <x v="0"/>
    <s v="AG. MEDIÇÃO"/>
    <n v="1"/>
    <x v="0"/>
    <n v="-2"/>
  </r>
  <r>
    <s v="RSCLER0255"/>
    <s v="SANAB"/>
    <m/>
    <m/>
    <s v="PORTO ALEGRE"/>
    <s v=" Condomínio Edifício Vangard"/>
    <s v="Rua São Luis, 662"/>
    <m/>
    <d v="2024-04-01T00:00:00"/>
    <x v="0"/>
    <m/>
    <s v="LUCAS HOBERT"/>
    <s v="100% - OK"/>
    <s v="OK"/>
    <s v="SEM LANÇAMENTO"/>
    <s v="SEM LANÇAMENTO"/>
    <s v="5 ABERTURA E FECHAMENTO , 4 FUSÃO, 1 TESTE"/>
    <d v="2024-04-23T00:00:00"/>
    <d v="2024-04-10T00:00:00"/>
    <m/>
    <d v="2024-04-17T00:00:00"/>
    <d v="2024-04-18T00:00:00"/>
    <s v="NÃO PRECISA"/>
    <m/>
    <x v="0"/>
    <x v="0"/>
    <s v="AG. MEDIÇÃO"/>
    <n v="6"/>
    <x v="1"/>
    <n v="3"/>
  </r>
  <r>
    <s v="RSCLER0055"/>
    <s v="SANAB"/>
    <m/>
    <m/>
    <s v="PORTO ALEGRE"/>
    <s v="COND. LE PREMIER"/>
    <s v="RUA SÃO LUIS, 686"/>
    <m/>
    <d v="2023-03-01T00:00:00"/>
    <x v="0"/>
    <s v="WILLIAN ALVES"/>
    <s v="?"/>
    <s v="100% - OK"/>
    <m/>
    <s v="SEM LANÇAMENTO"/>
    <s v="SEM LANÇAMENTO"/>
    <s v="2 ABERTURA E FECHAMENTO, 5 FUSÕES, 5 TESTES"/>
    <d v="2023-06-19T00:00:00"/>
    <d v="2023-03-15T00:00:00"/>
    <d v="2023-03-16T00:00:00"/>
    <d v="2023-03-27T00:00:00"/>
    <d v="2023-03-27T00:00:00"/>
    <s v="NÃO PRECISA"/>
    <m/>
    <x v="0"/>
    <x v="0"/>
    <s v="AG. MEDIÇÃO"/>
    <n v="8"/>
    <x v="1"/>
    <n v="5"/>
  </r>
  <r>
    <s v="RSCLER0093"/>
    <s v="SANAB"/>
    <m/>
    <m/>
    <s v="PORTO ALEGRE"/>
    <s v="COND. URBANO"/>
    <s v="RUA SÃO MANOEL 2061"/>
    <m/>
    <d v="2023-06-01T00:00:00"/>
    <x v="0"/>
    <s v="JEFERSON "/>
    <s v="JEFERSON"/>
    <s v="100% - OK"/>
    <s v="OK"/>
    <m/>
    <n v="185"/>
    <s v="ESTA ATENUADO, VOLTAR PARA TESTAR / 185 METROS DE CABO LANÇADO E ESPINADO / 6 FUSÃO / 3 TESTE / 1 CX NOVA / 1 DERIVAÇÃO / 2 ABERTURA E FECHAMENTO."/>
    <d v="2023-07-11T00:00:00"/>
    <d v="2023-06-20T00:00:00"/>
    <d v="2023-06-20T00:00:00"/>
    <d v="2023-06-21T00:00:00"/>
    <d v="2023-06-21T00:00:00"/>
    <s v="NÃO PRECISA"/>
    <m/>
    <x v="0"/>
    <x v="0"/>
    <s v="AG. MEDIÇÃO"/>
    <n v="1"/>
    <x v="0"/>
    <n v="-2"/>
  </r>
  <r>
    <s v="RSCLER0191"/>
    <s v="BVSAB"/>
    <m/>
    <m/>
    <s v="PORTO ALEGRE"/>
    <s v=" Condomínio Edificio Elias"/>
    <s v="Rua São Mateus, 443"/>
    <m/>
    <d v="2023-11-01T00:00:00"/>
    <x v="0"/>
    <m/>
    <s v="LUCAS HOBERT"/>
    <s v="100% - OK"/>
    <s v="OK"/>
    <s v="SEM LANÇAMENTO"/>
    <s v="SEM LANÇAMENTO"/>
    <s v="2 ABERTURA E FECHAMENTO, 1 FUSÃO, 1 TESTE"/>
    <d v="2023-12-13T00:00:00"/>
    <d v="2023-11-29T00:00:00"/>
    <m/>
    <d v="2023-11-30T00:00:00"/>
    <d v="2023-11-30T00:00:00"/>
    <s v="NÃO PRECISA"/>
    <m/>
    <x v="0"/>
    <x v="0"/>
    <s v="AG. MEDIÇÃO"/>
    <n v="1"/>
    <x v="0"/>
    <n v="-2"/>
  </r>
  <r>
    <s v="RSCLER0018"/>
    <s v="BVSALA"/>
    <m/>
    <m/>
    <s v="PORTO ALEGRE"/>
    <s v="COND. SÃO MATHEUS II"/>
    <s v="RUA SÃO MATHEUS, 456"/>
    <m/>
    <d v="2023-01-01T00:00:00"/>
    <x v="0"/>
    <m/>
    <s v="DIOGO"/>
    <s v="100% - OK"/>
    <m/>
    <s v="SEM LANÇAMENTO"/>
    <s v="SEM LANÇAMENTO"/>
    <s v="ALINHAMENTO DE FIBRA"/>
    <s v="SIM"/>
    <d v="2023-01-02T00:00:00"/>
    <d v="2023-01-02T00:00:00"/>
    <d v="2023-01-16T00:00:00"/>
    <d v="2023-01-16T00:00:00"/>
    <s v="NÃO PRECISA"/>
    <m/>
    <x v="0"/>
    <x v="0"/>
    <s v="AG. MEDIÇÃO"/>
    <n v="10"/>
    <x v="1"/>
    <n v="7"/>
  </r>
  <r>
    <s v="RSCLER0675"/>
    <s v="SPEAA"/>
    <m/>
    <s v="PAE DAM"/>
    <s v="PORTO ALEGRE"/>
    <s v="Conselho Regional de Farmacias"/>
    <s v="Rua São Nicolau 1070"/>
    <s v="SPEAA.025.04.07"/>
    <d v="2025-07-01T00:00:00"/>
    <x v="0"/>
    <s v="UBIRAJARA"/>
    <s v="DIOGO"/>
    <s v="100% - OK"/>
    <m/>
    <n v="500"/>
    <n v="685"/>
    <s v="FOI LANÇADO 685 METROS DE CABO DE 12FO, 1 ABERTURA E FECHAMENTO, 1 NAP NOVA, 1 DERIVÇÃO, 2 FUSÃO, 3 TESTES"/>
    <d v="2025-08-18T00:00:00"/>
    <d v="2025-07-18T00:00:00"/>
    <d v="2025-07-20T00:00:00"/>
    <d v="2025-07-23T00:00:00"/>
    <d v="2025-07-23T00:00:00"/>
    <s v="NÃO PRECISA"/>
    <m/>
    <x v="0"/>
    <x v="0"/>
    <s v="AG. MEDIÇÃO"/>
    <n v="3"/>
    <x v="0"/>
    <n v="0"/>
  </r>
  <r>
    <s v="RSCLER0099"/>
    <s v="VIPAG"/>
    <m/>
    <m/>
    <s v="PORTO ALEGRE"/>
    <s v="COND. JARDIM MARQUESA DE SANTOS "/>
    <s v="RUA SAPE 425"/>
    <m/>
    <d v="2023-07-01T00:00:00"/>
    <x v="0"/>
    <s v="JEFERSON "/>
    <s v="JEFERSON"/>
    <s v="100% - OK"/>
    <s v="-"/>
    <s v="SEM LANÇAMENTO"/>
    <s v="SEM LANÇAMENTO"/>
    <s v="2 ABERTURA E FECHAMENTO, 3 FUSÃO , 3 TESTE "/>
    <d v="2023-09-29T00:00:00"/>
    <d v="2023-07-12T00:00:00"/>
    <d v="2023-07-14T00:00:00"/>
    <d v="2023-07-17T00:00:00"/>
    <d v="2023-07-17T00:00:00"/>
    <s v="NÃO PRECISA"/>
    <m/>
    <x v="0"/>
    <x v="0"/>
    <s v="AG. MEDIÇÃO"/>
    <n v="3"/>
    <x v="0"/>
    <n v="0"/>
  </r>
  <r>
    <s v="RSCLER0595"/>
    <s v="PDRAA"/>
    <s v="VIPAG"/>
    <s v="RSPNO17"/>
    <s v="PORTO ALEGRE"/>
    <s v=" Cond. Itapema"/>
    <s v="Rua Sapê, 865"/>
    <s v="PDRAA.111.M020"/>
    <d v="2025-05-01T00:00:00"/>
    <x v="0"/>
    <s v="THIAGO LAMBRETA"/>
    <s v="GILSON"/>
    <s v="100% - OK"/>
    <s v="OK - ENVIADO"/>
    <m/>
    <m/>
    <s v="ESTA DENTRO DO NODE VIPAG FASE 2."/>
    <s v="COBRAR NO NODE"/>
    <d v="2025-05-19T00:00:00"/>
    <m/>
    <m/>
    <d v="2025-05-23T00:00:00"/>
    <s v="NÃO PRECISA"/>
    <m/>
    <x v="0"/>
    <x v="0"/>
    <s v="AG. MEDIÇÃO"/>
    <n v="4"/>
    <x v="1"/>
    <n v="1"/>
  </r>
  <r>
    <s v="RSCLER0621"/>
    <s v="CNTAB"/>
    <s v="CNTAG"/>
    <s v="RSPCE14"/>
    <s v="PORTO ALEGRE"/>
    <m/>
    <s v="RUA SARMENTO LEITE 763"/>
    <m/>
    <d v="2025-04-01T00:00:00"/>
    <x v="0"/>
    <s v="MARIO SOUZA"/>
    <s v="MARIO SOUZA"/>
    <m/>
    <m/>
    <m/>
    <n v="154"/>
    <s v="FOI LANÇADO 154 METROS DE CABO DE 12FO, 1 ABERTURA E FECHAMENTO, 1 DERIVÇÃO, 1 CX NOVA, 1 FUSÃO, 1 TESTE"/>
    <d v="2025-06-18T00:00:00"/>
    <m/>
    <m/>
    <m/>
    <d v="2025-05-02T00:00:00"/>
    <s v="NÃO PRECISA"/>
    <m/>
    <x v="0"/>
    <x v="0"/>
    <s v="AG. MEDIÇÃO"/>
    <s v="DATA ENTRADA"/>
    <x v="1"/>
    <s v="DATA ENTRADA"/>
  </r>
  <r>
    <s v="RSCLER0559"/>
    <s v="CNTAB"/>
    <s v="CNTAG"/>
    <s v="RSPCE14"/>
    <s v="PORTO ALEGRE"/>
    <m/>
    <s v="Rua Sarmento Leite 792"/>
    <s v="CNTAB.072.M040."/>
    <d v="2025-03-01T00:00:00"/>
    <x v="0"/>
    <s v="AFONSO"/>
    <s v="CATIA"/>
    <s v="100% - OK"/>
    <s v="OK"/>
    <n v="1100"/>
    <n v="1450"/>
    <s v="FOI LANÇADO 1450 METROS DE CABO DE 12FO, 3 ABERTURA E FECHAMENTO, 1 CX NOVA, 2 DERIVAÇÕES, 16 FUSÕES, 4 TESTES"/>
    <d v="2025-05-08T00:00:00"/>
    <d v="2025-03-25T00:00:00"/>
    <d v="2025-03-26T00:00:00"/>
    <d v="2025-03-27T00:00:00"/>
    <d v="2025-04-04T00:00:00"/>
    <s v="NÃO PRECISA"/>
    <m/>
    <x v="0"/>
    <x v="0"/>
    <s v="AG. MEDIÇÃO"/>
    <n v="8"/>
    <x v="1"/>
    <n v="5"/>
  </r>
  <r>
    <s v="RSCLER0563"/>
    <s v="CNTAB"/>
    <s v="CNTAG"/>
    <s v="RSPCE14"/>
    <s v="PORTO ALEGRE"/>
    <s v="Condomínio Vila Morena"/>
    <s v="Rua Sarmento Leite, 763"/>
    <s v="CNTAB.072.M040.."/>
    <d v="2025-03-01T00:00:00"/>
    <x v="0"/>
    <m/>
    <s v="CATIA"/>
    <s v="100% - OK"/>
    <s v="OK"/>
    <s v="SEM LANÇAMENTO"/>
    <s v="SEM LANÇAMENTO"/>
    <s v="4 ABERTURA E FECHAMENTO, 3 FUSÕES, 1 TESTE"/>
    <d v="2025-05-08T00:00:00"/>
    <d v="2025-03-27T00:00:00"/>
    <d v="2025-03-28T00:00:00"/>
    <d v="2025-03-29T00:00:00"/>
    <d v="2025-04-04T00:00:00"/>
    <s v="NÃO PRECISA"/>
    <m/>
    <x v="0"/>
    <x v="0"/>
    <s v="AG. MEDIÇÃO"/>
    <n v="6"/>
    <x v="1"/>
    <n v="3"/>
  </r>
  <r>
    <s v="RSCLER0438"/>
    <s v="MRDAB"/>
    <m/>
    <s v="RSCAN05"/>
    <s v="CANOAS "/>
    <s v="DIRETORIA"/>
    <s v="RUA SELSO FIDELIS JARDIM"/>
    <s v="MRDAB.015.15.08"/>
    <d v="2024-09-01T00:00:00"/>
    <x v="0"/>
    <s v="THIAGO LAMBRETA"/>
    <s v="LUCAS HOBERT"/>
    <s v="100% - OK"/>
    <s v="OK"/>
    <n v="800"/>
    <n v="859"/>
    <s v="FOI LANÇADO 859 METROS DE CABO DE 12 FO, 3 ABERTURA E FECHAMENTO, 4 FUSÃO, 1 DERIVAÇÃO, 1 NAP NOVA, 1 TESTE "/>
    <d v="2024-09-20T00:00:00"/>
    <m/>
    <m/>
    <m/>
    <d v="2024-09-19T00:00:00"/>
    <s v="NÃO PRECISA"/>
    <m/>
    <x v="0"/>
    <x v="0"/>
    <s v="AG. MEDIÇÃO"/>
    <s v="DATA ENTRADA"/>
    <x v="1"/>
    <s v="DATA ENTRADA"/>
  </r>
  <r>
    <s v="RSCLER1011"/>
    <s v="MNDAC"/>
    <s v="mndamb"/>
    <s v="RSPSU02"/>
    <s v="PORTO ALEGRE"/>
    <s v="Edifício Monroe "/>
    <s v="R MONROE 67 "/>
    <s v="MNDAC.111.M020"/>
    <d v="2026-08-01T00:00:00"/>
    <x v="0"/>
    <m/>
    <s v="CATIA "/>
    <m/>
    <s v="OK"/>
    <s v="SEM LANÇAMENTO"/>
    <s v="SEM LANÇAMENTO"/>
    <s v="3 ABERTURA E FECHAMENTO, 3 FUSÕES, 1 TESTE, 2 OTDR."/>
    <d v="2026-08-27T00:00:00"/>
    <d v="2026-08-04T00:00:00"/>
    <m/>
    <m/>
    <d v="2026-08-05T00:00:00"/>
    <d v="2026-08-27T00:00:00"/>
    <m/>
    <x v="0"/>
    <x v="0"/>
    <s v="AG. MEDIÇÃO"/>
    <n v="1"/>
    <x v="0"/>
    <n v="-2"/>
  </r>
  <r>
    <s v="RSCLER0533"/>
    <s v="SSOAA"/>
    <s v="RBTAHA"/>
    <s v="RSPNO07"/>
    <s v="PORTO ALEGRE"/>
    <s v="- Empresa Procisa"/>
    <s v="Rua Sérgio Jungblut Dieterich, 710"/>
    <s v="SSOAA.012.03.03"/>
    <d v="2025-03-01T00:00:00"/>
    <x v="0"/>
    <s v="CESAR LEANDRO"/>
    <s v="CESAR LEANDRO"/>
    <m/>
    <m/>
    <n v="205"/>
    <n v="160"/>
    <s v="FOI LANÇADO 160 METROS DE CABO DE 12FO, 7 ABERTURA E FECHAMENTO, 1 DERIVAÇÃO, 7 FUSÕES, 1 NAP NOVA, 3 TESTES."/>
    <d v="2025-03-18T00:00:00"/>
    <d v="2025-03-11T00:00:00"/>
    <d v="2025-03-12T00:00:00"/>
    <d v="2025-03-12T00:00:00"/>
    <d v="2025-03-12T00:00:00"/>
    <s v="NÃO PRECISA"/>
    <m/>
    <x v="0"/>
    <x v="0"/>
    <s v="AG. MEDIÇÃO"/>
    <n v="1"/>
    <x v="0"/>
    <n v="-2"/>
  </r>
  <r>
    <s v="RSCLER0220"/>
    <s v="MTSAA"/>
    <m/>
    <m/>
    <s v="PORTO ALEGRE"/>
    <s v="Condomínio Edifício Green Park"/>
    <s v="Rua Silva Jardim, 966"/>
    <m/>
    <d v="2024-03-01T00:00:00"/>
    <x v="0"/>
    <m/>
    <s v="PAULO GOMES"/>
    <s v="100% - OK"/>
    <s v="OK"/>
    <s v="SEM LANÇAMENTO"/>
    <s v="SEM LANÇAMENTO"/>
    <s v="3  ABERTURA E FECHAMENTO , 2 FUSÃO, 1 TESTE ( CAIXA DUPLICADA )"/>
    <d v="2024-03-26T00:00:00"/>
    <d v="2024-03-11T00:00:00"/>
    <m/>
    <d v="2024-03-12T00:00:00"/>
    <d v="2024-03-18T00:00:00"/>
    <s v="NÃO PRECISA"/>
    <m/>
    <x v="0"/>
    <x v="0"/>
    <s v="AG. MEDIÇÃO"/>
    <n v="5"/>
    <x v="1"/>
    <n v="2"/>
  </r>
  <r>
    <s v="RSCLER0056"/>
    <s v="MNDAC"/>
    <m/>
    <m/>
    <s v="PORTO ALEGRE"/>
    <s v="ED. FIRENZE"/>
    <s v="RUA SILVERIO, 344"/>
    <m/>
    <d v="2023-03-01T00:00:00"/>
    <x v="0"/>
    <m/>
    <s v="PAULO GOMES/FABIO AMARILHO"/>
    <s v="100% - OK"/>
    <m/>
    <s v="SEM LANÇAMENTO"/>
    <s v="SEM LANÇAMENTO"/>
    <s v="2 ABERTURA E FECHAMENTO, 2 FUSÕES, 1 TESTE"/>
    <d v="2023-06-07T00:00:00"/>
    <d v="2023-02-17T00:00:00"/>
    <d v="2023-03-10T00:00:00"/>
    <d v="2023-03-14T00:00:00"/>
    <d v="2023-03-14T00:00:00"/>
    <s v="NÃO PRECISA"/>
    <m/>
    <x v="0"/>
    <x v="0"/>
    <s v="AG. MEDIÇÃO"/>
    <n v="17"/>
    <x v="1"/>
    <n v="14"/>
  </r>
  <r>
    <s v="RSCLER0019"/>
    <s v="MNDAN"/>
    <m/>
    <m/>
    <s v="PORTO ALEGRE"/>
    <s v="COND. ATILA PAIVA "/>
    <s v="RUA SILVERIO, 373"/>
    <m/>
    <d v="2023-01-01T00:00:00"/>
    <x v="0"/>
    <m/>
    <s v="DIOGO"/>
    <s v="100% - OK"/>
    <m/>
    <s v="SEM LANÇAMENTO"/>
    <s v="SEM LANÇAMENTO"/>
    <s v="ALINHAMENTO DE FIBRA"/>
    <s v="SIM"/>
    <d v="2023-01-02T00:00:00"/>
    <d v="2023-01-02T00:00:00"/>
    <d v="2023-01-16T00:00:00"/>
    <d v="2023-01-16T00:00:00"/>
    <s v="NÃO PRECISA"/>
    <m/>
    <x v="0"/>
    <x v="0"/>
    <s v="AG. MEDIÇÃO"/>
    <n v="10"/>
    <x v="1"/>
    <n v="7"/>
  </r>
  <r>
    <s v="RSCLER0848"/>
    <s v="CNUAA"/>
    <m/>
    <m/>
    <s v="NOVO HAMBURGO"/>
    <m/>
    <s v="Rua Sílvio Gilberto Christmann 158"/>
    <s v="CNUAA.072.05.01"/>
    <d v="2026-05-01T00:00:00"/>
    <x v="0"/>
    <s v="TIAGO FERREIRA"/>
    <s v="VICTOR"/>
    <m/>
    <m/>
    <n v="650"/>
    <n v="699"/>
    <s v="FOI LANÇADO 699 METROS DE CABO DE 12FO, 3 ABERTURA E FECHAMENTO, 3 SUSÕES, 1 NAP NOVA, 1 DERIVAÇÃO, 3 TESTE, COBRAR AS BUILTS"/>
    <d v="2026-05-07T00:00:00"/>
    <d v="2026-05-04T00:00:00"/>
    <m/>
    <m/>
    <d v="2026-05-05T00:00:00"/>
    <d v="2026-05-07T00:00:00"/>
    <m/>
    <x v="0"/>
    <x v="0"/>
    <s v="AG. MEDIÇÃO"/>
    <n v="1"/>
    <x v="0"/>
    <n v="-2"/>
  </r>
  <r>
    <s v="RSCLER0954"/>
    <s v="CNUAA"/>
    <m/>
    <m/>
    <s v="NOVO HAMBURGO"/>
    <m/>
    <s v="Rua Sílvio Gilberto Christmann 900"/>
    <s v="CNUAA.072.01.02"/>
    <d v="2026-06-01T00:00:00"/>
    <x v="0"/>
    <s v="TIAGO FERREIRA"/>
    <s v="VINICIUS MARQUES"/>
    <m/>
    <s v="OK"/>
    <n v="355"/>
    <n v="436"/>
    <s v="FOI LANÇADO 436 METROS DE CABO DE 12FO, 2 ABERTURA E FECHAMENTO, 2 CX NOVA, 1 NAP NOVA, 1 DERIVAÇÃO, 27 FUSÕES, 3 TESTES."/>
    <d v="2026-08-13T00:00:00"/>
    <d v="2026-06-09T00:00:00"/>
    <m/>
    <m/>
    <d v="2026-06-12T00:00:00"/>
    <d v="2026-08-13T00:00:00"/>
    <m/>
    <x v="0"/>
    <x v="0"/>
    <s v="AG. MEDIÇÃO"/>
    <n v="3"/>
    <x v="0"/>
    <n v="0"/>
  </r>
  <r>
    <s v="RSCLER0459"/>
    <s v="REDE NET"/>
    <s v="REDE NET"/>
    <s v="REPCE05"/>
    <s v="PORTO ALEGRE"/>
    <s v="Cacau Show"/>
    <s v="Rua Siqueira Campos, 1193"/>
    <s v="CX 08"/>
    <d v="2024-11-01T00:00:00"/>
    <x v="0"/>
    <s v="VITOR LOPES"/>
    <s v="AUGUSTO"/>
    <s v="100% - OK"/>
    <s v="OK - ENVIADO"/>
    <m/>
    <n v="979"/>
    <s v="FOI LANÇADO 979 METROS DE CABO DE 12FO, 7 ABERTURA E FECHAMENTO, 2 CX NOVA, 1 DERIVAÇÃO, 7 FUSÃO, 1 TESTE "/>
    <d v="2024-12-23T00:00:00"/>
    <d v="2024-11-07T00:00:00"/>
    <d v="2024-12-06T00:00:00"/>
    <m/>
    <d v="2024-12-16T00:00:00"/>
    <s v="NÃO PRECISA"/>
    <m/>
    <x v="0"/>
    <x v="0"/>
    <s v="AG. MEDIÇÃO"/>
    <n v="27"/>
    <x v="1"/>
    <n v="24"/>
  </r>
  <r>
    <s v="RSCLER0600"/>
    <s v="CNTAB"/>
    <s v="CNTAG"/>
    <s v="RSPCE14"/>
    <s v="PORTO ALEGRE"/>
    <m/>
    <s v="Rua Sofia Veloso, 15"/>
    <s v="CNTAB.072.M050."/>
    <d v="2025-05-01T00:00:00"/>
    <x v="0"/>
    <s v="RODRIGO (LUCIANO)"/>
    <s v="DERIK"/>
    <m/>
    <m/>
    <m/>
    <n v="600"/>
    <s v="FOI LANÇADO 600 METROS DE CABO DE 12FO, 5 ABERTURA E FECHAMENTO, 24 FUSÕES, 1 CX NOVA, 3 DERIVAÇÃO, 4 TESTES"/>
    <d v="2025-06-18T00:00:00"/>
    <d v="2025-05-16T00:00:00"/>
    <m/>
    <m/>
    <d v="2025-05-16T00:00:00"/>
    <s v="NÃO PRECISA"/>
    <m/>
    <x v="0"/>
    <x v="0"/>
    <s v="AG. MEDIÇÃO"/>
    <n v="0"/>
    <x v="0"/>
    <n v="-3"/>
  </r>
  <r>
    <s v="RSCLER0490"/>
    <s v="CNTAA"/>
    <s v="CNT"/>
    <s v="RSDSR01"/>
    <s v="DOIS IRMÃOS"/>
    <s v="RESIDENCIAL GREGÓRIUS"/>
    <s v="RUA TAQUARA, 691, 791"/>
    <s v="CNTAA.008.M050"/>
    <d v="2025-01-01T00:00:00"/>
    <x v="0"/>
    <s v="CESAR LEANDRO"/>
    <s v="CESAR LEANDRO"/>
    <s v="100% - OK"/>
    <s v="OK - ENVIADO"/>
    <n v="200"/>
    <n v="160"/>
    <s v="FOI LANÇADO 160 METROS DE CABO DE 12FO, 2 ABERTURA E FECHAMENTO, 1 DERIVAÇÃO, 8 FUSÕES, 1 CX NOVA, 4 TESTES, COBRAR 38 METROS DE CORDOALHA"/>
    <d v="2025-02-10T00:00:00"/>
    <d v="2025-01-14T00:00:00"/>
    <d v="2024-01-16T00:00:00"/>
    <d v="2025-01-16T00:00:00"/>
    <d v="2025-01-16T00:00:00"/>
    <s v="NÃO PRECISA"/>
    <m/>
    <x v="0"/>
    <x v="0"/>
    <s v="AG. MEDIÇÃO"/>
    <n v="2"/>
    <x v="0"/>
    <n v="-1"/>
  </r>
  <r>
    <s v="RSCLER0242"/>
    <s v="VJDAB"/>
    <m/>
    <m/>
    <s v="PORTO ALEGRE"/>
    <s v="Condomínio Terrabela Planalto "/>
    <s v="Rua Tenente Ary Tarrago, 1680"/>
    <m/>
    <d v="2024-03-01T00:00:00"/>
    <x v="0"/>
    <s v="UBIRATÃ / THIAGO"/>
    <s v="PAULO GOMES"/>
    <s v="100% - OK"/>
    <s v="OK"/>
    <m/>
    <n v="647"/>
    <s v="FOI LANÇADO 647 METROS DE CABO DE 12FO, 6 ABERTURA E FECHAMENTO, 20 FUSÃO, 4 DERIVAÇÃO, 2 CX NOVA, ( 1 DE ROMPIMENTO), 4 TESTE"/>
    <d v="2024-04-23T00:00:00"/>
    <d v="2024-03-28T00:00:00"/>
    <d v="2024-04-02T00:00:00"/>
    <d v="2024-04-10T00:00:00"/>
    <d v="2024-04-10T00:00:00"/>
    <s v="NÃO PRECISA"/>
    <m/>
    <x v="0"/>
    <x v="0"/>
    <s v="AG. MEDIÇÃO"/>
    <n v="9"/>
    <x v="1"/>
    <n v="6"/>
  </r>
  <r>
    <s v="RSCLER0075"/>
    <s v="JITAA"/>
    <m/>
    <m/>
    <s v="PORTO ALEGRE"/>
    <s v="COND. PORTO DO PLANALTO"/>
    <s v="RUA TENENTE ARY TARRAGO, 2080"/>
    <m/>
    <d v="2023-04-01T00:00:00"/>
    <x v="0"/>
    <s v="WILLIAN ALVES"/>
    <s v="FÁBIO AMARILHO"/>
    <s v="100% - OK"/>
    <s v="-"/>
    <m/>
    <n v="199"/>
    <s v="LANÇAMENTO DE 199 METROS (12FO) / 3 ABERTURA E FECHAMENTO / 8 FUSÃO / 4 TESTE / 1 CX NOVA"/>
    <d v="2023-07-11T00:00:00"/>
    <d v="2023-04-04T00:00:00"/>
    <d v="2023-04-11T00:00:00"/>
    <d v="2023-04-17T00:00:00"/>
    <d v="2023-04-17T00:00:00"/>
    <s v="NÃO PRECISA"/>
    <m/>
    <x v="0"/>
    <x v="0"/>
    <s v="AG. MEDIÇÃO"/>
    <n v="9"/>
    <x v="1"/>
    <n v="6"/>
  </r>
  <r>
    <s v="RSCLER0743"/>
    <s v="JCVAA"/>
    <s v="JCVACB"/>
    <s v="RSPNO24"/>
    <s v="PORTO ALEGRE"/>
    <m/>
    <s v="Rua Thomaz Francisco de Jesus, 442."/>
    <s v="JCVAA.101.06.03"/>
    <d v="2025-10-01T00:00:00"/>
    <x v="0"/>
    <s v="VICTOR"/>
    <s v="CLEVERSON"/>
    <m/>
    <m/>
    <m/>
    <m/>
    <s v="COBRAR DENTRO DO NODE JCVACB FASE 2 "/>
    <s v="JCVACB FASE 2 "/>
    <d v="2025-10-21T00:00:00"/>
    <m/>
    <m/>
    <d v="2025-10-30T00:00:00"/>
    <s v="NÃO PRECISA"/>
    <m/>
    <x v="0"/>
    <x v="0"/>
    <s v="AG. MEDIÇÃO"/>
    <n v="7"/>
    <x v="1"/>
    <n v="4"/>
  </r>
  <r>
    <s v="RSCLER1049"/>
    <s v="MNDAB"/>
    <m/>
    <m/>
    <s v="PORTO ALEGRE"/>
    <m/>
    <s v="RUA LOPO GONÇALVES 235"/>
    <s v="MNDAB.035.M030"/>
    <d v="2026-08-01T00:00:00"/>
    <x v="0"/>
    <s v="TIAGO FERREIRA"/>
    <s v="CATIA"/>
    <m/>
    <m/>
    <n v="110"/>
    <n v="110"/>
    <m/>
    <m/>
    <d v="2026-08-19T00:00:00"/>
    <m/>
    <m/>
    <d v="2026-08-22T00:00:00"/>
    <m/>
    <m/>
    <x v="2"/>
    <x v="2"/>
    <s v="AG. RELATÓRIO"/>
    <n v="2"/>
    <x v="0"/>
    <n v="-1"/>
  </r>
  <r>
    <s v="RSCLER0161"/>
    <s v="CNTAB"/>
    <m/>
    <m/>
    <s v="BAGÉ"/>
    <s v="RUA TIRADENTES, 670"/>
    <s v="RUA TIRADENTES, 670"/>
    <m/>
    <d v="2023-10-01T00:00:00"/>
    <x v="0"/>
    <m/>
    <s v="LUCAS HOBERT"/>
    <s v="100% - OK"/>
    <s v="OK"/>
    <m/>
    <n v="20"/>
    <s v="3 ABERTURA E FECHAMENTO, 1 CX NOVA. 1 DERIVAÇÃO, 6 FUSÃO , 2 TESTE, 20 MTS CABO DE 12FO OBS: COBRAR ESSE MDU POR EMAIL DO VELEDA."/>
    <d v="2023-11-20T00:00:00"/>
    <m/>
    <m/>
    <d v="2023-10-20T00:00:00"/>
    <d v="2023-10-20T00:00:00"/>
    <s v="NÃO PRECISA"/>
    <m/>
    <x v="0"/>
    <x v="0"/>
    <s v="AG. MEDIÇÃO"/>
    <s v="DATA ENTRADA"/>
    <x v="1"/>
    <s v="DATA ENTRADA"/>
  </r>
  <r>
    <s v="RSCLER0268"/>
    <s v="MTSAA"/>
    <m/>
    <m/>
    <s v="PORTO ALEGRE"/>
    <s v="DIRETORIA"/>
    <s v="Rua Tito Lívio Zambecari, 332 "/>
    <m/>
    <d v="2024-04-01T00:00:00"/>
    <x v="0"/>
    <s v="MALCOLN"/>
    <s v="VINICIUS"/>
    <s v="100% - OK"/>
    <s v="OK"/>
    <m/>
    <n v="119"/>
    <s v="FOI LANÇADO 119 METROS DE CABO DE 12FO, 1 ABERTURA E FECHAMENTO, 7 FUSÃO, 1 DERIVAÇÃO, 1 CX NOVA, 7 TESTE"/>
    <d v="2024-04-23T00:00:00"/>
    <d v="2024-04-17T00:00:00"/>
    <d v="2024-04-17T00:00:00"/>
    <d v="2024-04-18T00:00:00"/>
    <d v="2024-04-18T00:00:00"/>
    <s v="NÃO PRECISA"/>
    <m/>
    <x v="0"/>
    <x v="0"/>
    <s v="AG. MEDIÇÃO"/>
    <n v="1"/>
    <x v="0"/>
    <n v="-2"/>
  </r>
  <r>
    <s v="RSCLER0057"/>
    <s v="abela"/>
    <m/>
    <m/>
    <s v="PORTO ALEGRE"/>
    <s v="COND. VICTORIA HOUSES"/>
    <s v="RUA TOCANTINS, 1120"/>
    <m/>
    <d v="2023-03-01T00:00:00"/>
    <x v="0"/>
    <m/>
    <m/>
    <s v="100% - OK"/>
    <m/>
    <m/>
    <n v="500"/>
    <s v="LANÇAMENTO DE 500 (12FO) "/>
    <d v="2023-05-20T00:00:00"/>
    <d v="2023-02-22T00:00:00"/>
    <d v="2023-03-13T00:00:00"/>
    <d v="2023-03-31T00:00:00"/>
    <d v="2023-03-29T00:00:00"/>
    <s v="NÃO PRECISA"/>
    <m/>
    <x v="0"/>
    <x v="0"/>
    <s v="AG. MEDIÇÃO"/>
    <n v="25"/>
    <x v="1"/>
    <n v="22"/>
  </r>
  <r>
    <s v="RSCLER0058"/>
    <s v="AGRAD"/>
    <m/>
    <m/>
    <s v="PORTO ALEGRE"/>
    <s v="COND. CONDADO DOS SONHOS"/>
    <s v="RUA TOCANTINS, 600"/>
    <m/>
    <d v="2023-03-01T00:00:00"/>
    <x v="0"/>
    <m/>
    <m/>
    <s v="100% - OK"/>
    <m/>
    <m/>
    <n v="975"/>
    <s v="LANÇAMENTO DE 975m (12FO) "/>
    <d v="2023-05-20T00:00:00"/>
    <d v="2023-02-22T00:00:00"/>
    <d v="2023-03-13T00:00:00"/>
    <d v="2023-03-22T00:00:00"/>
    <d v="2023-03-29T00:00:00"/>
    <s v="NÃO PRECISA"/>
    <m/>
    <x v="0"/>
    <x v="0"/>
    <s v="AG. MEDIÇÃO"/>
    <n v="25"/>
    <x v="1"/>
    <n v="22"/>
  </r>
  <r>
    <s v="RSCLER0059"/>
    <s v="AGRAD"/>
    <m/>
    <m/>
    <s v="PORTO ALEGRE"/>
    <s v="COND. GRUNWALD"/>
    <s v="RUA TOCANTINS, 869"/>
    <m/>
    <d v="2023-03-01T00:00:00"/>
    <x v="0"/>
    <s v="IVANIR"/>
    <s v="PAULO GOMES"/>
    <s v="100% - OK"/>
    <m/>
    <m/>
    <n v="785"/>
    <s v="LANÇAMENTO DE 785m (12FO) "/>
    <d v="2023-05-20T00:00:00"/>
    <d v="2023-02-22T00:00:00"/>
    <d v="2023-03-10T00:00:00"/>
    <d v="2023-03-20T00:00:00"/>
    <d v="2023-03-20T00:00:00"/>
    <s v="NÃO PRECISA"/>
    <m/>
    <x v="0"/>
    <x v="0"/>
    <s v="AG. MEDIÇÃO"/>
    <n v="18"/>
    <x v="1"/>
    <n v="15"/>
  </r>
  <r>
    <s v="RSCLER0060"/>
    <s v="AGRAD"/>
    <m/>
    <m/>
    <s v="PORTO ALEGRE"/>
    <s v="COND. LA VILLE"/>
    <s v="RUA TOCANTINS, 937"/>
    <m/>
    <d v="2023-03-01T00:00:00"/>
    <x v="0"/>
    <m/>
    <m/>
    <s v="100% - OK"/>
    <m/>
    <m/>
    <n v="785"/>
    <s v="LANÇAMENTO DE 220m (12FO)   "/>
    <d v="2023-05-20T00:00:00"/>
    <d v="2023-02-22T00:00:00"/>
    <d v="2023-03-13T00:00:00"/>
    <d v="2023-03-20T00:00:00"/>
    <d v="2023-03-20T00:00:00"/>
    <s v="NÃO PRECISA"/>
    <m/>
    <x v="0"/>
    <x v="0"/>
    <s v="AG. MEDIÇÃO"/>
    <n v="18"/>
    <x v="1"/>
    <n v="15"/>
  </r>
  <r>
    <s v="RSCLER0795"/>
    <s v="LGR"/>
    <m/>
    <m/>
    <s v="TEUTONIA"/>
    <m/>
    <s v="RUA TRÊS DE OUTUBRO, 1507"/>
    <s v="LGR.010.M030"/>
    <d v="2026-02-01T00:00:00"/>
    <x v="0"/>
    <s v="CLEVERSON"/>
    <s v="CLEVERSON"/>
    <m/>
    <m/>
    <n v="538"/>
    <n v="600"/>
    <s v="FOI LANÇADO 600 METROS DE CABO DE 12FO AUTOSUSTENTAVEL,2 ABERTURA E FECHAMENTO, 6 FUSÕES, 1 CX NOVA, 1 DERIVAÇÕES, 2 TESTES"/>
    <d v="2026-03-18T00:00:00"/>
    <d v="2026-02-10T00:00:00"/>
    <m/>
    <m/>
    <d v="2026-02-24T00:00:00"/>
    <d v="2026-03-18T00:00:00"/>
    <m/>
    <x v="0"/>
    <x v="0"/>
    <s v="AG. MEDIÇÃO"/>
    <n v="10"/>
    <x v="1"/>
    <n v="7"/>
  </r>
  <r>
    <s v="RSCLER0780"/>
    <s v="TRA"/>
    <m/>
    <s v="RSTRI01"/>
    <s v="TRAMANDAÍ"/>
    <m/>
    <s v="RUA TRÊS DE OUTUBRO, 2035"/>
    <s v="TRA024.M020"/>
    <d v="2025-12-01T00:00:00"/>
    <x v="0"/>
    <s v="JUNIOR "/>
    <s v="JUNIOR"/>
    <m/>
    <m/>
    <n v="379"/>
    <n v="319"/>
    <s v="FOI LANÇADO 319 METROS DE CABO DE 12FO AUTOSUSTENTAVÉL, 9 FUSÕES, 2 DERIVAÇÕES, 5 ABERTURA E FECHAMENTO. 1 TESTE OTDR"/>
    <d v="2026-01-30T00:00:00"/>
    <d v="2025-12-19T00:00:00"/>
    <m/>
    <m/>
    <d v="2026-12-26T00:00:00"/>
    <d v="2026-01-30T00:00:00"/>
    <m/>
    <x v="0"/>
    <x v="0"/>
    <s v="AG. MEDIÇÃO"/>
    <n v="265"/>
    <x v="1"/>
    <n v="262"/>
  </r>
  <r>
    <s v="RSCLER0484"/>
    <s v="BVSAA"/>
    <s v="PDRAD"/>
    <s v="RSPLE07"/>
    <s v="PORTO ALEGRE"/>
    <m/>
    <s v="RUA VERANOPOLIS, 830"/>
    <s v="BVSAA.014.M060 / BVSAA.014.05.07"/>
    <d v="2025-01-01T00:00:00"/>
    <x v="0"/>
    <s v="UBIRATAN"/>
    <s v="ANDERSON"/>
    <s v="100% - OK"/>
    <s v="OK - ENVIADO"/>
    <m/>
    <m/>
    <s v="4 ABERTURA E FECHAMENTO"/>
    <d v="2025-01-14T00:00:00"/>
    <d v="2024-01-06T00:00:00"/>
    <d v="2025-01-09T00:00:00"/>
    <d v="2025-01-13T00:00:00"/>
    <d v="2025-01-13T00:00:00"/>
    <s v="NÃO PRECISA"/>
    <m/>
    <x v="0"/>
    <x v="0"/>
    <s v="AG. MEDIÇÃO"/>
    <n v="265"/>
    <x v="1"/>
    <n v="262"/>
  </r>
  <r>
    <s v="RSCLER0076"/>
    <s v="ZNAA"/>
    <m/>
    <m/>
    <s v="PORTO ALEGRE"/>
    <s v="COND. ENERGIE"/>
    <s v="RUA VEREADOR PORTO, 753"/>
    <m/>
    <d v="2023-04-01T00:00:00"/>
    <x v="0"/>
    <s v="MARCOS EMILIANO"/>
    <s v="MARCOS EMILIANO"/>
    <s v="100% - OK"/>
    <m/>
    <m/>
    <n v="42"/>
    <s v="3 ABERTURA E FECHAMENTO,  12 FUSÕES,  1 DERIVAÇÃO, 1 INST. CEO, 5 TESTES, 42M 12FO. ( TINHA 1 FIBRA SECUNDÁRIA QUEBRADA, FEITO 1 FUSÃO A MAIS )"/>
    <d v="2023-06-05T00:00:00"/>
    <d v="2023-03-30T00:00:00"/>
    <d v="2023-04-06T00:00:00"/>
    <d v="2023-04-11T00:00:00"/>
    <d v="2023-04-10T00:00:00"/>
    <s v="NÃO PRECISA"/>
    <m/>
    <x v="0"/>
    <x v="0"/>
    <s v="AG. MEDIÇÃO"/>
    <n v="7"/>
    <x v="1"/>
    <n v="4"/>
  </r>
  <r>
    <s v="RSCLER0644"/>
    <s v="JBOAA"/>
    <s v="JBOAG"/>
    <s v="RSPLE18"/>
    <s v="PORTO ALEGRE"/>
    <s v="Cond. Edifício San Lorenzo"/>
    <s v="Rua Veríssimo Rosa, 757"/>
    <s v="JBOAA.021.M050"/>
    <d v="2025-06-01T00:00:00"/>
    <x v="0"/>
    <s v="UBIRATAN"/>
    <s v="CATIA"/>
    <m/>
    <m/>
    <n v="300"/>
    <n v="282"/>
    <s v="FOI LANÇADO 282 METROS DE CABO DE 12FO, 3 ABERTURAS E FECHAMENTO, 4 FUSÕES, 1 CX NOVA, 1 TESTE POWER METER, 1 TESTE OTDR"/>
    <d v="2025-07-07T00:00:00"/>
    <d v="2025-06-18T00:00:00"/>
    <m/>
    <m/>
    <d v="2025-06-24T00:00:00"/>
    <s v="NÃO PRECISA"/>
    <m/>
    <x v="0"/>
    <x v="0"/>
    <s v="AG. MEDIÇÃO"/>
    <n v="4"/>
    <x v="1"/>
    <n v="1"/>
  </r>
  <r>
    <s v="RSCLER0251"/>
    <s v="AZNAA"/>
    <m/>
    <m/>
    <s v="PORTO ALEGRE"/>
    <s v="Condomínio Tivoli"/>
    <s v="Rua Vicente da Fontoura, 612 "/>
    <m/>
    <d v="2024-04-01T00:00:00"/>
    <x v="0"/>
    <m/>
    <s v="PAULO GOMES"/>
    <s v="100% - OK"/>
    <s v="OK"/>
    <s v="SEM LANÇAMENTO"/>
    <s v="SEM LANÇAMENTO"/>
    <s v="3 ABERTURA E FECHAMENTO, 3 FUSÃO, 1 DERIVAÇÃO, 1 TESTE "/>
    <d v="2024-04-23T00:00:00"/>
    <d v="2024-04-08T00:00:00"/>
    <m/>
    <d v="2024-04-09T00:00:00"/>
    <d v="2024-04-09T00:00:00"/>
    <s v="NÃO PRECISA"/>
    <m/>
    <x v="0"/>
    <x v="0"/>
    <s v="AG. MEDIÇÃO"/>
    <n v="1"/>
    <x v="0"/>
    <n v="-2"/>
  </r>
  <r>
    <s v="RSCLER0061"/>
    <s v="SPEAA"/>
    <m/>
    <m/>
    <s v="PORTO ALEGRE"/>
    <s v="RES. VISCONDE DE PELOTAS"/>
    <s v="RUA VISCONDE DE PELOTAS, 259"/>
    <m/>
    <d v="2023-03-01T00:00:00"/>
    <x v="0"/>
    <s v="NEIMAR LUCERO"/>
    <m/>
    <s v="100% - OK"/>
    <m/>
    <s v="SEM LANÇAMENTO"/>
    <s v="SEM LANÇAMENTO"/>
    <s v="ALINHAMENTO DE FIBRA"/>
    <d v="2023-05-20T00:00:00"/>
    <d v="2023-03-15T00:00:00"/>
    <d v="2023-03-16T00:00:00"/>
    <d v="2023-03-27T00:00:00"/>
    <d v="2023-03-27T00:00:00"/>
    <s v="NÃO PRECISA"/>
    <m/>
    <x v="0"/>
    <x v="0"/>
    <s v="AG. MEDIÇÃO"/>
    <n v="8"/>
    <x v="1"/>
    <n v="5"/>
  </r>
  <r>
    <s v="RSCLER0020"/>
    <s v="CNTABB"/>
    <m/>
    <m/>
    <s v="NOVO HAMBURGO"/>
    <s v="PARQUE PORTO MARABELLA"/>
    <s v="RUA VISCONDE DE SÃO LEOPOLDO, 266"/>
    <m/>
    <d v="2023-01-01T00:00:00"/>
    <x v="0"/>
    <s v="JORGE MATHEUS"/>
    <s v="ALEX DUTRA"/>
    <s v="100% - OK"/>
    <m/>
    <m/>
    <n v="400"/>
    <s v="LANÇAMENTO DE 400m (12FO) E  E INSTALAÇÃO DE CAIXA NOVA"/>
    <s v="SIM"/>
    <d v="2023-01-02T00:00:00"/>
    <d v="2023-01-02T00:00:00"/>
    <d v="2023-01-09T00:00:00"/>
    <d v="2023-01-09T00:00:00"/>
    <s v="NÃO PRECISA"/>
    <m/>
    <x v="0"/>
    <x v="0"/>
    <s v="AG. MEDIÇÃO"/>
    <n v="5"/>
    <x v="1"/>
    <n v="2"/>
  </r>
  <r>
    <s v="RSCLER0269"/>
    <s v="MNDAA"/>
    <m/>
    <m/>
    <s v="PORTO ALEGRE"/>
    <s v="DIRETORIA"/>
    <s v="Rua Visconde Do Herval, 900"/>
    <m/>
    <d v="2024-04-01T00:00:00"/>
    <x v="0"/>
    <s v="POMPEU"/>
    <s v="WESLEY/ VINICIUS"/>
    <s v="100% - OK"/>
    <s v="OK"/>
    <m/>
    <n v="197"/>
    <s v="FOI LANÇADO 197 METROS DE CABO DE 12FO, 1 ABERTURA E FECHAMENTO, 1 DERIVAÇÃO, 8 FUSÃO, 4 TESTE , 1 CX NOVA"/>
    <d v="2024-04-23T00:00:00"/>
    <d v="2024-04-17T00:00:00"/>
    <d v="2024-04-17T00:00:00"/>
    <d v="2024-04-18T00:00:00"/>
    <d v="2024-04-18T00:00:00"/>
    <s v="NÃO PRECISA"/>
    <m/>
    <x v="0"/>
    <x v="0"/>
    <s v="AG. MEDIÇÃO"/>
    <n v="1"/>
    <x v="0"/>
    <n v="-2"/>
  </r>
  <r>
    <s v="RSCLER0198"/>
    <s v="JITAB"/>
    <m/>
    <m/>
    <s v="PORTO ALEGRE"/>
    <s v="PLANALTO GARDEMNS"/>
    <s v="RUA WALIR ZOTTIS 625"/>
    <m/>
    <d v="2023-12-01T00:00:00"/>
    <x v="0"/>
    <m/>
    <s v="MARCOS EMILIANO"/>
    <s v="100% - OK"/>
    <s v="OK"/>
    <s v="SEM LANÇAMENTO"/>
    <s v="SEM LANÇAMENTO"/>
    <s v="3 ABERTURA E FECHAMENTO, 1 DERIVAÇÃO, 6 FUSÃO, 1 CX NOVA, 3 TESTE"/>
    <d v="2024-01-09T00:00:00"/>
    <d v="2023-12-28T00:00:00"/>
    <m/>
    <d v="2023-12-30T00:00:00"/>
    <d v="2023-12-30T00:00:00"/>
    <s v="NÃO PRECISA"/>
    <m/>
    <x v="0"/>
    <x v="0"/>
    <s v="AG. MEDIÇÃO"/>
    <n v="1"/>
    <x v="0"/>
    <n v="-2"/>
  </r>
  <r>
    <s v="RSCLER0643"/>
    <s v="CNTAB"/>
    <s v="CNTAA"/>
    <s v="RSPCE14"/>
    <s v="PORTO ALEGRE"/>
    <s v="Cond. Edifício The Sun"/>
    <s v="Rua Washington Luiz, 238"/>
    <s v="CNTAB.013.M040"/>
    <d v="2025-06-01T00:00:00"/>
    <x v="0"/>
    <s v="UBIRATAN"/>
    <s v="CATIA"/>
    <m/>
    <m/>
    <n v="150"/>
    <n v="110"/>
    <s v="FOI LANÇADO 110 METROS DE CABO DE 12FO, 3 ABERTURA E FECHAMENTO, 1 CX NOVA, 1 DERIVAÇÃO, 3 FUSÕES, 1 TESTE OTDR, 1 TESTE"/>
    <s v="teste"/>
    <d v="2025-06-18T00:00:00"/>
    <m/>
    <m/>
    <d v="2025-06-23T00:00:00"/>
    <s v="NÃO PRECISA"/>
    <m/>
    <x v="0"/>
    <x v="0"/>
    <s v="AG. MEDIÇÃO"/>
    <n v="3"/>
    <x v="0"/>
    <n v="0"/>
  </r>
  <r>
    <s v="RSCLER0087"/>
    <s v="CNTAFA"/>
    <m/>
    <m/>
    <s v="PORTO ALEGRE"/>
    <s v=" WASHINGTON LUIZ; 756"/>
    <s v="RUA WASHINGTON LUIZ, 756"/>
    <m/>
    <d v="2023-06-01T00:00:00"/>
    <x v="0"/>
    <m/>
    <m/>
    <s v="100% - OK"/>
    <s v="-"/>
    <m/>
    <n v="218"/>
    <s v="218 METROS DE 12FO / 2 ABERTURA E FECHAMENTO / 8 FUSÃO /8 TESTE / 1 CX NOVA"/>
    <d v="2023-06-26T00:00:00"/>
    <d v="2023-06-23T00:00:00"/>
    <d v="2023-06-23T00:00:00"/>
    <d v="2023-06-24T00:00:00"/>
    <d v="2023-06-24T00:00:00"/>
    <s v="NÃO PRECISA"/>
    <m/>
    <x v="0"/>
    <x v="0"/>
    <s v="AG. MEDIÇÃO"/>
    <n v="0"/>
    <x v="0"/>
    <n v="-3"/>
  </r>
  <r>
    <s v="RSCLER0629"/>
    <s v="NNIAA"/>
    <s v="NNIAC"/>
    <s v="RSPSU08"/>
    <s v="PORTO ALEGRE"/>
    <s v="Cond. Edifício Plaza Cristal"/>
    <s v="Rua Xavier da Cunha, 999"/>
    <s v="NNIAA.081.M050"/>
    <d v="2025-06-01T00:00:00"/>
    <x v="0"/>
    <m/>
    <s v="DIOGO"/>
    <m/>
    <m/>
    <s v="SEM LANÇAMENTO"/>
    <s v="SEM LANÇAMENTO"/>
    <s v="2 ABERTURA E FECHAMENTO, 4 FUSÕES, 4 TESTES"/>
    <d v="2025-06-18T00:00:00"/>
    <d v="2025-06-10T00:00:00"/>
    <m/>
    <m/>
    <d v="2025-06-12T00:00:00"/>
    <s v="NÃO PRECISA"/>
    <m/>
    <x v="0"/>
    <x v="0"/>
    <s v="AG. MEDIÇÃO"/>
    <n v="2"/>
    <x v="0"/>
    <n v="-1"/>
  </r>
  <r>
    <s v="RSCLER0132"/>
    <s v="RBTAC"/>
    <m/>
    <m/>
    <s v="PORTO ALEGRE"/>
    <s v="COND. VIVENDA DAS FLORES"/>
    <s v="RUA. JOÃO FERREIRA JARDIM N°:700"/>
    <m/>
    <d v="2023-09-01T00:00:00"/>
    <x v="0"/>
    <s v="ALAN GOMES"/>
    <s v="GABRIEL"/>
    <s v="100% - OK"/>
    <s v="OK"/>
    <m/>
    <m/>
    <s v="INSUFICIÊNCIA DE FIBRA, FAZER AS BULTS"/>
    <d v="2023-11-20T00:00:00"/>
    <d v="2023-09-28T00:00:00"/>
    <m/>
    <d v="2023-10-11T00:00:00"/>
    <d v="2023-10-20T00:00:00"/>
    <s v="NÃO PRECISA"/>
    <m/>
    <x v="0"/>
    <x v="0"/>
    <s v="AG. MEDIÇÃO"/>
    <n v="16"/>
    <x v="1"/>
    <n v="13"/>
  </r>
  <r>
    <s v="RSCLER0148"/>
    <s v="BFMAA"/>
    <m/>
    <m/>
    <s v="PORTO ALEGRE"/>
    <s v="Cond Ed Dr Jose Ricaldone"/>
    <s v="Santo Antônio, 505"/>
    <m/>
    <d v="2023-10-01T00:00:00"/>
    <x v="0"/>
    <m/>
    <s v="LUCAS HOBERT"/>
    <s v="100% - OK"/>
    <s v="OK"/>
    <s v="SEM LANÇAMENTO"/>
    <s v="SEM LANÇAMENTO"/>
    <s v="2 ABERTURA E FECHAMENTO -4 FUSÃO, 2 TESTE"/>
    <d v="2023-10-30T00:00:00"/>
    <d v="2023-10-25T00:00:00"/>
    <m/>
    <d v="2023-10-25T00:00:00"/>
    <d v="2023-10-25T00:00:00"/>
    <s v="NÃO PRECISA"/>
    <m/>
    <x v="0"/>
    <x v="0"/>
    <s v="AG. MEDIÇÃO"/>
    <n v="0"/>
    <x v="0"/>
    <n v="-3"/>
  </r>
  <r>
    <s v="RSCLER0241"/>
    <s v="SSOAA"/>
    <m/>
    <m/>
    <s v="PORTO ALEGRE"/>
    <s v="Cond. Empresarial Harpia"/>
    <s v="Sergio Jungblut Dieterich, 604 "/>
    <m/>
    <d v="2024-03-01T00:00:00"/>
    <x v="0"/>
    <s v="UBIRATAN"/>
    <s v="MARCOS EMILIANO"/>
    <s v="100% - OK"/>
    <s v="OK"/>
    <m/>
    <n v="517"/>
    <s v="FOI LANÇADO 517 METROS DE CABO DE 12FO, 2 ABERTURA E FECHAMENTO, 6 FUSÃO, 1 DERIVAÇÃO, 1 CX NOVA 1 TESTE"/>
    <d v="2024-04-23T00:00:00"/>
    <d v="2024-03-28T00:00:00"/>
    <d v="2024-03-30T00:00:00"/>
    <d v="2024-03-30T00:00:00"/>
    <d v="2024-03-31T00:00:00"/>
    <s v="NÃO PRECISA"/>
    <m/>
    <x v="0"/>
    <x v="0"/>
    <s v="AG. MEDIÇÃO"/>
    <n v="1"/>
    <x v="0"/>
    <n v="-2"/>
  </r>
  <r>
    <s v="RSCLER0299"/>
    <s v="RBTAA"/>
    <s v="SRDAL"/>
    <m/>
    <s v="PORTO ALEGRE"/>
    <s v="DIRETORIA"/>
    <s v="Sertório, 9200"/>
    <s v="RBTAA.102.M040"/>
    <d v="2024-04-01T00:00:00"/>
    <x v="0"/>
    <m/>
    <s v="MARCOS EMILIANO"/>
    <s v="100% - OK"/>
    <s v="OK"/>
    <s v="SEM LANÇAMENTO"/>
    <s v="SEM LANÇAMENTO"/>
    <s v="4 ABERTURA E FECHAMENTO, 6 FUSÕES, 2 TESTE"/>
    <d v="2024-06-26T00:00:00"/>
    <d v="2024-04-30T00:00:00"/>
    <d v="2024-05-21T00:00:00"/>
    <d v="2024-05-21T00:00:00"/>
    <d v="2024-05-21T00:00:00"/>
    <s v="NÃO PRECISA"/>
    <m/>
    <x v="0"/>
    <x v="0"/>
    <s v="AG. MEDIÇÃO"/>
    <n v="15"/>
    <x v="1"/>
    <n v="12"/>
  </r>
  <r>
    <s v="RSCLER1007"/>
    <s v="HPCAA"/>
    <s v="HPCAA"/>
    <s v="RSPSU90"/>
    <s v="PORTO ALEGRE"/>
    <s v=" COND. IPANEMA GARDEN"/>
    <s v=" Av. Juca Batista, 5505 - Hípica"/>
    <s v="HPCAA.402 "/>
    <d v="2026-08-01T00:00:00"/>
    <x v="1"/>
    <s v="TIAGO FERREIRA"/>
    <m/>
    <m/>
    <m/>
    <m/>
    <n v="1631"/>
    <s v="FOI LANÇADO 1631 METROS DE CABO, 4 ABERTURA E FECHAMENTO, 18 FUSÕES, 3 DERIVAÇÕES, 6 TESTES OTDR - paralizado lancou só a parte de fora "/>
    <m/>
    <d v="2026-07-28T00:00:00"/>
    <m/>
    <d v="2026-07-30T00:00:00"/>
    <s v="CANCELADO"/>
    <s v="NÃO PRECISA"/>
    <m/>
    <x v="1"/>
    <x v="1"/>
    <s v="CANCELADO"/>
    <s v="CANCELADO"/>
    <x v="1"/>
    <s v="CANCELADO"/>
  </r>
  <r>
    <s v="RSCLER1036"/>
    <s v="UMBAA"/>
    <m/>
    <m/>
    <s v="ALVORADA"/>
    <s v="Condomínio Residencial Viver COOHAGIG"/>
    <s v="Estr. Caminho do Meio, 4250 "/>
    <s v="UMBAA.403/UMBAA.404"/>
    <d v="2026-08-01T00:00:00"/>
    <x v="3"/>
    <s v="CLEVERSON"/>
    <m/>
    <m/>
    <m/>
    <n v="4000"/>
    <m/>
    <m/>
    <m/>
    <d v="2026-08-18T00:00:00"/>
    <m/>
    <m/>
    <s v="PARALISADO"/>
    <m/>
    <m/>
    <x v="2"/>
    <x v="2"/>
    <s v="PARALISADO"/>
    <s v="CHECAR DATA"/>
    <x v="1"/>
    <s v="CHECAR DATA"/>
  </r>
  <r>
    <s v="RSCLER0307"/>
    <s v="MTSAA"/>
    <m/>
    <m/>
    <s v="PORTO ALEGRE"/>
    <s v="DIRETORIA"/>
    <s v="Silva Jardim, 768"/>
    <m/>
    <d v="2024-04-01T00:00:00"/>
    <x v="0"/>
    <m/>
    <s v="MARCOS EMILIANO"/>
    <s v="100% - OK"/>
    <s v="OK"/>
    <s v="SEM LANÇAMENTO"/>
    <s v="SEM LANÇAMENTO"/>
    <s v="6 ABERTURA E FECHAMENTO, 8 FUSÃO, 2 TESTE "/>
    <d v="2024-05-27T00:00:00"/>
    <d v="2024-04-30T00:00:00"/>
    <d v="2024-05-21T00:00:00"/>
    <d v="2024-05-21T00:00:00"/>
    <d v="2024-05-21T00:00:00"/>
    <s v="NÃO PRECISA"/>
    <m/>
    <x v="0"/>
    <x v="0"/>
    <s v="AG. MEDIÇÃO"/>
    <n v="15"/>
    <x v="1"/>
    <n v="12"/>
  </r>
  <r>
    <s v="RSCLER0282"/>
    <s v="NAVAA"/>
    <s v="BVSAB"/>
    <m/>
    <s v="PORTO ALEGRE"/>
    <s v="DIRETORIA"/>
    <s v="Travessa Jaguarão, 45"/>
    <s v="NAVAA.145.M060"/>
    <d v="2024-04-01T00:00:00"/>
    <x v="0"/>
    <s v="TIAGO"/>
    <s v="ANDERSON"/>
    <s v="100% - OK"/>
    <s v="OK"/>
    <m/>
    <n v="350"/>
    <s v="FOI LANÇADO 350 METROS DE CABO DE 12FO, 2 ABERTURA E FECHAMENTO, 3 FUSÃO, 1 DERIVAÇÃO, 1 CX NOVA, 1 TESTE"/>
    <d v="2024-06-26T00:00:00"/>
    <d v="2024-04-22T00:00:00"/>
    <d v="2024-06-03T00:00:00"/>
    <d v="2024-06-23T00:00:00"/>
    <d v="2024-06-23T00:00:00"/>
    <s v="NÃO PRECISA"/>
    <m/>
    <x v="0"/>
    <x v="0"/>
    <s v="AG. MEDIÇÃO"/>
    <n v="44"/>
    <x v="1"/>
    <n v="41"/>
  </r>
  <r>
    <s v="RSCLER0745"/>
    <s v="CNTAA"/>
    <s v="CNTAL"/>
    <s v="NHO LO"/>
    <s v="NOVO HAMBURGO"/>
    <m/>
    <s v="TUPINAMBÁ, 38, 24, 6"/>
    <s v="CNTAA.081.M030"/>
    <d v="2025-10-01T00:00:00"/>
    <x v="0"/>
    <m/>
    <s v="DIOGO"/>
    <m/>
    <m/>
    <s v="SEM LANÇAMENTO"/>
    <s v="SEM LANÇAMENTO"/>
    <s v="2 ABERTURA E FECHAMENTO, 2 FUSÕES, 2 TESTES "/>
    <d v="2025-10-21T00:00:00"/>
    <d v="2025-10-21T00:00:00"/>
    <d v="2025-10-21T00:00:00"/>
    <d v="2025-10-21T00:00:00"/>
    <d v="2025-10-21T00:00:00"/>
    <d v="2025-10-21T00:00:00"/>
    <m/>
    <x v="0"/>
    <x v="0"/>
    <s v="AG. MEDIÇÃO"/>
    <n v="0"/>
    <x v="0"/>
    <n v="-3"/>
  </r>
  <r>
    <s v="RSCLER0938"/>
    <s v="FLOAA"/>
    <s v="FLOAQ"/>
    <s v="RSPNO11"/>
    <s v="PORTO ALEGRE"/>
    <m/>
    <s v="TV AZEVEDO 95"/>
    <s v="FLOAA.012.M020"/>
    <d v="2026-06-01T00:00:00"/>
    <x v="0"/>
    <m/>
    <s v="AFONSO"/>
    <m/>
    <s v="OK"/>
    <s v="SEM LANÇAMENTO"/>
    <s v="SEM LANÇAMENTO"/>
    <s v="4 ABERTURA E FWCHAMENTO, 20 FUSÕES, 1 CX NOVA, 5 TESTES."/>
    <d v="2026-06-22T00:00:00"/>
    <d v="2026-06-17T00:00:00"/>
    <m/>
    <m/>
    <d v="2026-06-19T00:00:00"/>
    <d v="2026-06-22T00:00:00"/>
    <m/>
    <x v="0"/>
    <x v="0"/>
    <s v="AG. MEDIÇÃO"/>
    <n v="2"/>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D1A915-83FC-49B1-95A4-1C946CC11632}" name="Tabela dinâ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3:J8" firstHeaderRow="1" firstDataRow="1" firstDataCol="1"/>
  <pivotFields count="3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m="1" x="4"/>
        <item x="3"/>
        <item x="2"/>
        <item m="1" x="5"/>
        <item x="0"/>
        <item x="1"/>
        <item t="default"/>
      </items>
    </pivotField>
    <pivotField showAll="0"/>
    <pivotField showAll="0"/>
    <pivotField showAll="0"/>
    <pivotField dataField="1" showAll="0"/>
    <pivotField showAll="0"/>
  </pivotFields>
  <rowFields count="1">
    <field x="24"/>
  </rowFields>
  <rowItems count="5">
    <i>
      <x v="1"/>
    </i>
    <i>
      <x v="2"/>
    </i>
    <i>
      <x v="4"/>
    </i>
    <i>
      <x v="5"/>
    </i>
    <i t="grand">
      <x/>
    </i>
  </rowItems>
  <colItems count="1">
    <i/>
  </colItems>
  <dataFields count="1">
    <dataField name="Prazo (SLA-3 dias)" fld="28" subtotal="count" baseField="0" baseItem="0"/>
  </dataFields>
  <formats count="2">
    <format dxfId="7">
      <pivotArea outline="0" collapsedLevelsAreSubtotals="1" fieldPosition="0"/>
    </format>
    <format dxfId="6">
      <pivotArea dataOnly="0" labelOnly="1" outline="0" fieldPosition="0">
        <references count="1">
          <reference field="4294967294" count="1">
            <x v="0"/>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00F559-B95B-4390-8827-7E244C405A6C}" name="Tabela dinâ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3:G7" firstHeaderRow="1" firstDataRow="1" firstDataCol="1"/>
  <pivotFields count="3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m="1" x="4"/>
        <item x="2"/>
        <item m="1" x="3"/>
        <item x="1"/>
        <item t="default"/>
      </items>
    </pivotField>
    <pivotField showAll="0"/>
    <pivotField showAll="0"/>
    <pivotField dataField="1" showAll="0"/>
    <pivotField showAll="0"/>
  </pivotFields>
  <rowFields count="1">
    <field x="25"/>
  </rowFields>
  <rowItems count="4">
    <i>
      <x/>
    </i>
    <i>
      <x v="2"/>
    </i>
    <i>
      <x v="4"/>
    </i>
    <i t="grand">
      <x/>
    </i>
  </rowItems>
  <colItems count="1">
    <i/>
  </colItems>
  <dataFields count="1">
    <dataField name="Prazo (SLA-3 dias)" fld="28" subtotal="count" baseField="0" baseItem="0"/>
  </dataFields>
  <formats count="2">
    <format dxfId="9">
      <pivotArea outline="0" collapsedLevelsAreSubtotals="1" fieldPosition="0"/>
    </format>
    <format dxfId="8">
      <pivotArea dataOnly="0" labelOnly="1" outline="0" fieldPosition="0">
        <references count="1">
          <reference field="4294967294" count="1">
            <x v="0"/>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A02DD-4CF2-4E03-A68A-66161DACAF5D}"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9" firstHeaderRow="1" firstDataRow="2" firstDataCol="1"/>
  <pivotFields count="30">
    <pivotField showAll="0"/>
    <pivotField showAll="0"/>
    <pivotField showAll="0"/>
    <pivotField showAll="0"/>
    <pivotField showAll="0"/>
    <pivotField showAll="0"/>
    <pivotField showAll="0"/>
    <pivotField showAll="0"/>
    <pivotField showAll="0"/>
    <pivotField axis="axisRow" showAll="0" sortType="descending">
      <items count="12">
        <item m="1" x="4"/>
        <item x="1"/>
        <item m="1" x="10"/>
        <item m="1" x="8"/>
        <item m="1" x="7"/>
        <item x="0"/>
        <item m="1" x="9"/>
        <item x="2"/>
        <item m="1" x="6"/>
        <item m="1"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0"/>
        <item m="1" x="2"/>
        <item t="default"/>
      </items>
    </pivotField>
    <pivotField showAll="0"/>
  </pivotFields>
  <rowFields count="1">
    <field x="9"/>
  </rowFields>
  <rowItems count="5">
    <i>
      <x v="5"/>
    </i>
    <i>
      <x v="1"/>
    </i>
    <i>
      <x v="10"/>
    </i>
    <i>
      <x v="7"/>
    </i>
    <i t="grand">
      <x/>
    </i>
  </rowItems>
  <colFields count="1">
    <field x="28"/>
  </colFields>
  <colItems count="3">
    <i>
      <x/>
    </i>
    <i>
      <x v="1"/>
    </i>
    <i t="grand">
      <x/>
    </i>
  </colItems>
  <dataFields count="1">
    <dataField name="Prazo (SLA-3 dias)" fld="28" subtotal="count" baseField="0" baseItem="0"/>
  </dataFields>
  <formats count="2">
    <format dxfId="11">
      <pivotArea outline="0" collapsedLevelsAreSubtotals="1" fieldPosition="0"/>
    </format>
    <format dxfId="10">
      <pivotArea dataOnly="0" labelOnly="1" outline="0" fieldPosition="0">
        <references count="1">
          <reference field="4294967294" count="1">
            <x v="0"/>
          </reference>
        </references>
      </pivotArea>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hbox.houseti.com.br/s/WGtJ9Kcy1Yz9Ukq" TargetMode="External"/><Relationship Id="rId21" Type="http://schemas.openxmlformats.org/officeDocument/2006/relationships/hyperlink" Target="https://hbox.houseti.com.br/s/wVZnxKU8YFn62js" TargetMode="External"/><Relationship Id="rId42" Type="http://schemas.openxmlformats.org/officeDocument/2006/relationships/hyperlink" Target="file:///C:\Users\franz\AppData\Roaming\Microsoft\Excel\Nodes%202026\PORTO%20ALEGRE\SANAA_node%20CBXAG%20(311)\SANAA.311_CBXAG.kmz" TargetMode="External"/><Relationship Id="rId47" Type="http://schemas.openxmlformats.org/officeDocument/2006/relationships/hyperlink" Target="file:///C:\Users\franz\AppData\Roaming\Microsoft\Excel\Nodes%202026\PORTO%20ALEGRE\CTLAA_node%20CTLAJ%20(011)\CTLAA.011_CTLAJ.kmz" TargetMode="External"/><Relationship Id="rId63" Type="http://schemas.openxmlformats.org/officeDocument/2006/relationships/hyperlink" Target="file:///C:\Users\franz\AppData\Roaming\Microsoft\Excel\Nodes%202025\PORTO%20ALEGRE\BVSAB_node%20JBOAF%20(171,172,173)\BVSAB_JBOAF.kmz" TargetMode="External"/><Relationship Id="rId68" Type="http://schemas.openxmlformats.org/officeDocument/2006/relationships/hyperlink" Target="file:///C:\Users\franz\AppData\Roaming\Microsoft\Excel\Nodes%202025\PORTO%20ALEGRE\BVSAB_node%20VJDAM%20(391,392,393,394)\BVSAB_VJDAM.kmz" TargetMode="External"/><Relationship Id="rId16" Type="http://schemas.openxmlformats.org/officeDocument/2006/relationships/hyperlink" Target="https://hbox.houseti.com.br/s/lH5Tx2I5bG2FfwX" TargetMode="External"/><Relationship Id="rId11" Type="http://schemas.openxmlformats.org/officeDocument/2006/relationships/hyperlink" Target="https://hbox.houseti.com.br/s/oDq06GxTOE1yT5q" TargetMode="External"/><Relationship Id="rId32" Type="http://schemas.openxmlformats.org/officeDocument/2006/relationships/hyperlink" Target="file:///C:\Users\franz\AppData\Roaming\Microsoft\Excel\Nodes%202026\PORTO%20ALEGRE\FLOAA_node%20FLOAPA%20(021,022,023)\FLOAA_FLOAPA.kmz" TargetMode="External"/><Relationship Id="rId37" Type="http://schemas.openxmlformats.org/officeDocument/2006/relationships/hyperlink" Target="file:///C:\Users\franz\AppData\Roaming\Microsoft\Excel\Nodes%202026\PORTO%20ALEGRE\IPMAA_node%20VNVAR%20(111)\IPMAA.111_VNVAR.kmz" TargetMode="External"/><Relationship Id="rId53" Type="http://schemas.openxmlformats.org/officeDocument/2006/relationships/hyperlink" Target="file:///C:\Users\franz\AppData\Roaming\Microsoft\Excel\Nodes%202026\PORTO%20ALEGRE\MSTAA_node%20MQTAE%20(131,132)\MSTAA_MQTAE.kmz" TargetMode="External"/><Relationship Id="rId58" Type="http://schemas.openxmlformats.org/officeDocument/2006/relationships/hyperlink" Target="file:///C:\Users\franz\AppData\Roaming\Microsoft\Excel\Nodes%202025\PORTO%20ALEGRE\BFMAA_node%20BFMAG%20(261,262,263,264,265)\BFMAA_BFMAG.kmz" TargetMode="External"/><Relationship Id="rId74" Type="http://schemas.openxmlformats.org/officeDocument/2006/relationships/hyperlink" Target="file:///C:\Users\franz\AppData\Roaming\Microsoft\Excel\Nodes%202025\PORTO%20ALEGRE\MNDAA_node%20MNDAU%20(151,152,153)\MNDAA_MNDAU.kmz" TargetMode="External"/><Relationship Id="rId79" Type="http://schemas.openxmlformats.org/officeDocument/2006/relationships/hyperlink" Target="file:///C:\Users\franz\AppData\Roaming\Microsoft\Excel\Nodes%202026\PORTO%20ALEGRE\MNDAA_node%20AZNADA%20FASE%202%20(022)\MNDAA.022_AZNADA%20FASE%202.kmz" TargetMode="External"/><Relationship Id="rId5" Type="http://schemas.openxmlformats.org/officeDocument/2006/relationships/hyperlink" Target="https://hbox.houseti.com.br/s/FpKncOxxQora2DX" TargetMode="External"/><Relationship Id="rId61" Type="http://schemas.openxmlformats.org/officeDocument/2006/relationships/hyperlink" Target="file:///C:\Users\franz\AppData\Roaming\Microsoft\Excel\Nodes%202025\PORTO%20ALEGRE\BMJAA_node%20BMJAA%20(011,012,013,014,015,016,017)\BMJAA_BMJAA.kmz" TargetMode="External"/><Relationship Id="rId82" Type="http://schemas.openxmlformats.org/officeDocument/2006/relationships/printerSettings" Target="../printerSettings/printerSettings1.bin"/><Relationship Id="rId19" Type="http://schemas.openxmlformats.org/officeDocument/2006/relationships/hyperlink" Target="https://hbox.houseti.com.br/s/B6PkVUU4H9cPOMU" TargetMode="External"/><Relationship Id="rId14" Type="http://schemas.openxmlformats.org/officeDocument/2006/relationships/hyperlink" Target="https://hbox.houseti.com.br/s/Xk2HgLiNVkurdCH" TargetMode="External"/><Relationship Id="rId22" Type="http://schemas.openxmlformats.org/officeDocument/2006/relationships/hyperlink" Target="https://hbox.houseti.com.br/s/Nteqe5SwSDUBvQx" TargetMode="External"/><Relationship Id="rId27" Type="http://schemas.openxmlformats.org/officeDocument/2006/relationships/hyperlink" Target="file:///C:\Users\franz\AppData\Roaming\Microsoft\Excel\Nodes%202026\PORTO%20ALEGRE\BVSAA_node%20PDRAFA%20(101,102,103,104)\BVSAA_PDRAFA.kmz" TargetMode="External"/><Relationship Id="rId30" Type="http://schemas.openxmlformats.org/officeDocument/2006/relationships/hyperlink" Target="file:///C:\Users\franz\AppData\Roaming\Microsoft\Excel\Nodes%202026\PORTO%20ALEGRE\CMQAA_node%20CTLAA%20(021,022,023)\CMQAA_CTLAA.kmz" TargetMode="External"/><Relationship Id="rId35" Type="http://schemas.openxmlformats.org/officeDocument/2006/relationships/hyperlink" Target="file:///C:\Users\franz\AppData\Roaming\Microsoft\Excel\Nodes%202026\NOVO%20HAMBURGO\GRIAA_node%20GRIAAA%20(051,052,053,054,055)\GRIAA_GRIAAA.kmz" TargetMode="External"/><Relationship Id="rId43" Type="http://schemas.openxmlformats.org/officeDocument/2006/relationships/hyperlink" Target="file:///C:\Users\franz\AppData\Roaming\Microsoft\Excel\Nodes%202026\PORTO%20ALEGRE\CNTAA_node%20CNTAL%20(131,132,133,134,135)\CNTAA_CNTAL.kmz" TargetMode="External"/><Relationship Id="rId48" Type="http://schemas.openxmlformats.org/officeDocument/2006/relationships/hyperlink" Target="file:///C:\Users\franz\AppData\Roaming\Microsoft\Excel\Nodes%202026\PORTO%20ALEGRE\CTLAA_node%20CTLAK%20(041,042,043,044)\CTLAA_CTLAK.kmz" TargetMode="External"/><Relationship Id="rId56" Type="http://schemas.openxmlformats.org/officeDocument/2006/relationships/hyperlink" Target="file:///C:\Users\franz\AppData\Roaming\Microsoft\Excel\Nodes%202026\PORTO%20ALEGRE\VIPAA_%20node%20VIPAB%20(091)\VIPAA_VIPAB.kmz" TargetMode="External"/><Relationship Id="rId64" Type="http://schemas.openxmlformats.org/officeDocument/2006/relationships/hyperlink" Target="file:///C:\Users\franz\AppData\Roaming\Microsoft\Excel\Nodes%202025\PORTO%20ALEGRE\BVSAB_node%20VJDAEA%20(301)\BVSAB_VJDAEA.kmz" TargetMode="External"/><Relationship Id="rId69" Type="http://schemas.openxmlformats.org/officeDocument/2006/relationships/hyperlink" Target="file:///C:\Users\franz\AppData\Roaming\Microsoft\Excel\Nodes%202025\PORTO%20ALEGRE\GUAAA_node%20IPMAH%20(031)\GUAAA_IPMAH.kmz" TargetMode="External"/><Relationship Id="rId77" Type="http://schemas.openxmlformats.org/officeDocument/2006/relationships/hyperlink" Target="file:///C:\Users\franz\AppData\Roaming\Microsoft\Excel\Nodes%202026\PORTO%20ALEGRE\MNDAA_node%20AZNAHB%20(171)\MNDAA.171_AZNAHB.kmz" TargetMode="External"/><Relationship Id="rId8" Type="http://schemas.openxmlformats.org/officeDocument/2006/relationships/hyperlink" Target="https://hbox.houseti.com.br/s/7syHvZAV4JM8ifh" TargetMode="External"/><Relationship Id="rId51" Type="http://schemas.openxmlformats.org/officeDocument/2006/relationships/hyperlink" Target="file:///C:\Users\franz\AppData\Roaming\Microsoft\Excel\Nodes%202026\PORTO%20ALEGRE\MNDAB_node%20PBLAC%20(091,092,093)\MNDAB_PBLAC.kmz" TargetMode="External"/><Relationship Id="rId72" Type="http://schemas.openxmlformats.org/officeDocument/2006/relationships/hyperlink" Target="file:///C:\Users\franz\AppData\Roaming\Microsoft\Excel\Nodes%202025\PORTO%20ALEGRE\MNDAA_node%20MNDAF%20FASE%202%20%20(114)\MNDAA_MNDAF.kmz" TargetMode="External"/><Relationship Id="rId80" Type="http://schemas.openxmlformats.org/officeDocument/2006/relationships/hyperlink" Target="file:///C:\Users\franz\AppData\Roaming\Microsoft\Excel\Nodes%202026\PORTO%20ALEGRE\BFMAA_node%20FLOAJ%20FASE%202%20(041)\BFMAA.041_FLOAJ%20FASE%202.kmz" TargetMode="External"/><Relationship Id="rId3" Type="http://schemas.openxmlformats.org/officeDocument/2006/relationships/hyperlink" Target="https://hbox.houseti.com.br/s/EoChbozGF6yK986" TargetMode="External"/><Relationship Id="rId12" Type="http://schemas.openxmlformats.org/officeDocument/2006/relationships/hyperlink" Target="https://hbox.houseti.com.br/s/hn4aiVx4wXfVEJf" TargetMode="External"/><Relationship Id="rId17" Type="http://schemas.openxmlformats.org/officeDocument/2006/relationships/hyperlink" Target="https://hbox.houseti.com.br/s/HhCcC5RhasqoaWp" TargetMode="External"/><Relationship Id="rId25" Type="http://schemas.openxmlformats.org/officeDocument/2006/relationships/hyperlink" Target="https://hbox.houseti.com.br/s/QR3bovunzKxHk7N" TargetMode="External"/><Relationship Id="rId33" Type="http://schemas.openxmlformats.org/officeDocument/2006/relationships/hyperlink" Target="file:///C:\Users\franz\AppData\Roaming\Microsoft\Excel\Nodes%202026\NOVO%20HAMBURGO\GRIAA_node%20GRIAD%20(091,092,093,094,095)\GRIAA_GRIAD.kmz" TargetMode="External"/><Relationship Id="rId38" Type="http://schemas.openxmlformats.org/officeDocument/2006/relationships/hyperlink" Target="file:///C:\Users\franz\AppData\Roaming\Microsoft\Excel\Nodes%202026\PORTO%20ALEGRE\MNDAB_node%20MNDAAB%20(121,122,123)\MNDAB_MNDAAB.kmz" TargetMode="External"/><Relationship Id="rId46" Type="http://schemas.openxmlformats.org/officeDocument/2006/relationships/hyperlink" Target="file:///C:\Users\franz\AppData\Roaming\Microsoft\Excel\Nodes%202026\PORTO%20ALEGRE\CTLAA_node%20CTLAHB%20(033)\CTLAA_CTLAHB.kmz" TargetMode="External"/><Relationship Id="rId59" Type="http://schemas.openxmlformats.org/officeDocument/2006/relationships/hyperlink" Target="file:///C:\Users\franz\AppData\Roaming\Microsoft\Excel\Nodes%202025\PORTO%20ALEGRE\BFMAA_node%20BFMAF%20(281,282,283,284)\BFMAA_BFMAF.kmz" TargetMode="External"/><Relationship Id="rId67" Type="http://schemas.openxmlformats.org/officeDocument/2006/relationships/hyperlink" Target="file:///C:\Users\franz\AppData\Roaming\Microsoft\Excel\Nodes%202025\PORTO%20ALEGRE\BVSAB_node%20BMJABB%20(251)\BVSAB_BMJABB.kmz" TargetMode="External"/><Relationship Id="rId20" Type="http://schemas.openxmlformats.org/officeDocument/2006/relationships/hyperlink" Target="https://hbox.houseti.com.br/s/P1OlBEMrrseRQLY" TargetMode="External"/><Relationship Id="rId41" Type="http://schemas.openxmlformats.org/officeDocument/2006/relationships/hyperlink" Target="file:///C:\Users\franz\AppData\Roaming\Microsoft\Excel\Nodes%202026\PORTO%20ALEGRE\SANAA_node%20CBXAJA%20(291,292)\SANAA_CBXAJA.kmz" TargetMode="External"/><Relationship Id="rId54" Type="http://schemas.openxmlformats.org/officeDocument/2006/relationships/hyperlink" Target="file:///C:\Users\franz\AppData\Roaming\Microsoft\Excel\Nodes%202026\PORTO%20ALEGRE\SANAB_node%20PRTAD%20(101,102)\SANAB_PRTAD.kmz" TargetMode="External"/><Relationship Id="rId62" Type="http://schemas.openxmlformats.org/officeDocument/2006/relationships/hyperlink" Target="file:///C:\Users\franz\AppData\Roaming\Microsoft\Excel\Nodes%202025\PORTO%20ALEGRE\BVSAB_node%20JBOACA%20(151,152,153,154)\BVSAB_JBOACA.kmz" TargetMode="External"/><Relationship Id="rId70" Type="http://schemas.openxmlformats.org/officeDocument/2006/relationships/hyperlink" Target="file:///C:\Users\franz\AppData\Roaming\Microsoft\Excel\Nodes%202025\PORTO%20ALEGRE\HPCAA_node%20HPCAKC%20(251)\HPCAA_HPCAKC.kmz" TargetMode="External"/><Relationship Id="rId75" Type="http://schemas.openxmlformats.org/officeDocument/2006/relationships/hyperlink" Target="file:///C:\Users\franz\AppData\Roaming\Microsoft\Excel\Nodes%202026\CAXIAS%20DO%20SUL\CENAB_node%20CENBAA%20(091,092,093)\CENAB_CENBAA.kmz" TargetMode="External"/><Relationship Id="rId83" Type="http://schemas.openxmlformats.org/officeDocument/2006/relationships/drawing" Target="../drawings/drawing1.xml"/><Relationship Id="rId1" Type="http://schemas.openxmlformats.org/officeDocument/2006/relationships/hyperlink" Target="https://hbox.houseti.com.br/s/9tVFq14CwC8iFb5" TargetMode="External"/><Relationship Id="rId6" Type="http://schemas.openxmlformats.org/officeDocument/2006/relationships/hyperlink" Target="https://hbox.houseti.com.br/s/V0y4PxjjHjTfHTt" TargetMode="External"/><Relationship Id="rId15" Type="http://schemas.openxmlformats.org/officeDocument/2006/relationships/hyperlink" Target="https://hbox.houseti.com.br/s/VNq3zpyKJN2njHP" TargetMode="External"/><Relationship Id="rId23" Type="http://schemas.openxmlformats.org/officeDocument/2006/relationships/hyperlink" Target="https://hbox.houseti.com.br/s/LMn0YlmaSOz89Y0" TargetMode="External"/><Relationship Id="rId28" Type="http://schemas.openxmlformats.org/officeDocument/2006/relationships/hyperlink" Target="file:///C:\Users\franz\AppData\Roaming\Microsoft\Excel\Nodes%202026\PORTO%20ALEGRE\BVSAA_node%20PDRAD%20FASE%204%20(011,013,016)\BVSAA_PDRAD%20FASE%204.kmz" TargetMode="External"/><Relationship Id="rId36" Type="http://schemas.openxmlformats.org/officeDocument/2006/relationships/hyperlink" Target="file:///C:\Users\franz\AppData\Roaming\Microsoft\Excel\Nodes%202026\PORTO%20ALEGRE\HPCAA_node%20HPCAF%20(031)\HPCAA.031_HPCAF.kmz" TargetMode="External"/><Relationship Id="rId49" Type="http://schemas.openxmlformats.org/officeDocument/2006/relationships/hyperlink" Target="file:///C:\Users\franz\AppData\Roaming\Microsoft\Excel\Nodes%202026\PORTO%20ALEGRE\CTLAA_node%20CTLAHA%20(031,032)\CTLAA_CTLAHA.kmz" TargetMode="External"/><Relationship Id="rId57" Type="http://schemas.openxmlformats.org/officeDocument/2006/relationships/hyperlink" Target="file:///C:\Users\franz\AppData\Roaming\Microsoft\Excel\Nodes%202026\PORTO%20ALEGRE\VIPAA_%20node%20SPEAF%20(061)\VIPAA_SPEAF.kmz" TargetMode="External"/><Relationship Id="rId10" Type="http://schemas.openxmlformats.org/officeDocument/2006/relationships/hyperlink" Target="https://hbox.houseti.com.br/s/OACoZsP7fD642eg" TargetMode="External"/><Relationship Id="rId31" Type="http://schemas.openxmlformats.org/officeDocument/2006/relationships/hyperlink" Target="file:///C:\Users\franz\AppData\Roaming\Microsoft\Excel\Nodes%202026\NOVO%20HAMBURGO\CNTAA_node%20CNTAL%20(081,082,083,084)\CNTAA_CNTAL.kmz" TargetMode="External"/><Relationship Id="rId44" Type="http://schemas.openxmlformats.org/officeDocument/2006/relationships/hyperlink" Target="file:///C:\Users\franz\AppData\Roaming\Microsoft\Excel\Nodes%202026\PORTO%20ALEGRE\BVSAB_%20node_%20VJDAEB%20(312)\BVSAB_VJDAEB.kmz" TargetMode="External"/><Relationship Id="rId52" Type="http://schemas.openxmlformats.org/officeDocument/2006/relationships/hyperlink" Target="file:///C:\Users\franz\AppData\Roaming\Microsoft\Excel\Nodes%202026\PORTO%20ALEGRE\MNDAC_node%20STZAG%20(141)\MNDAC_STZAG.kmz" TargetMode="External"/><Relationship Id="rId60" Type="http://schemas.openxmlformats.org/officeDocument/2006/relationships/hyperlink" Target="file:///C:\Users\franz\AppData\Roaming\Microsoft\Excel\Nodes%202025\PORTO%20ALEGRE\BMJAA_node%20BMJABA%20(031,032,033,034)\BMJAA_BMJABA.kmz" TargetMode="External"/><Relationship Id="rId65" Type="http://schemas.openxmlformats.org/officeDocument/2006/relationships/hyperlink" Target="file:///C:\Users\franz\AppData\Roaming\Microsoft\Excel\Nodes%202025\PORTO%20ALEGRE\BVSAB_node%20VJDABA%20(321,322)\BVSAB_VJDABA.kmz" TargetMode="External"/><Relationship Id="rId73" Type="http://schemas.openxmlformats.org/officeDocument/2006/relationships/hyperlink" Target="file:///C:\Users\franz\AppData\Roaming\Microsoft\Excel\Nodes%202025\PORTO%20ALEGRE\MNDAA_node%20MNDAT%20(161,163)\MNDAA_MNDAT.kmz" TargetMode="External"/><Relationship Id="rId78" Type="http://schemas.openxmlformats.org/officeDocument/2006/relationships/hyperlink" Target="file:///C:\Users\franz\AppData\Roaming\Microsoft\Excel\Nodes%202026\PORTO%20ALEGRE\MNDAA_node%20MNDAI%20(051)\MNDAA.051_MNDAI.kmz" TargetMode="External"/><Relationship Id="rId81" Type="http://schemas.openxmlformats.org/officeDocument/2006/relationships/hyperlink" Target="Nodes%202026/PORTO%20ALEGRE/TRLAA_node%20STZAE%20(171)/TRLAA_171.STZAE.kmz" TargetMode="External"/><Relationship Id="rId4" Type="http://schemas.openxmlformats.org/officeDocument/2006/relationships/hyperlink" Target="https://hbox.houseti.com.br/s/ECx5dDVjdtYRHOc" TargetMode="External"/><Relationship Id="rId9" Type="http://schemas.openxmlformats.org/officeDocument/2006/relationships/hyperlink" Target="https://hbox.houseti.com.br/s/JfJHLcTIGcY9gqF" TargetMode="External"/><Relationship Id="rId13" Type="http://schemas.openxmlformats.org/officeDocument/2006/relationships/hyperlink" Target="https://hbox.houseti.com.br/s/2cdOd5TwDPaCcPp" TargetMode="External"/><Relationship Id="rId18" Type="http://schemas.openxmlformats.org/officeDocument/2006/relationships/hyperlink" Target="https://hbox.houseti.com.br/s/jonsxaByxkIeHlS" TargetMode="External"/><Relationship Id="rId39" Type="http://schemas.openxmlformats.org/officeDocument/2006/relationships/hyperlink" Target="file:///C:\Users\franz\AppData\Roaming\Microsoft\Excel\Nodes%202026\PORTO%20ALEGRE\PETAA_node%20PETAPA%20(081,082)\PETAA_PETAPA.kmz" TargetMode="External"/><Relationship Id="rId34" Type="http://schemas.openxmlformats.org/officeDocument/2006/relationships/hyperlink" Target="file:///C:\Users\franz\AppData\Roaming\Microsoft\Excel\Nodes%202026\NOVO%20HAMBURGO\GRIAA_node%20GRIAC%20(071,072,073,074,075)\GRIAA_GRIAC.kmz" TargetMode="External"/><Relationship Id="rId50" Type="http://schemas.openxmlformats.org/officeDocument/2006/relationships/hyperlink" Target="file:///C:\Users\franz\AppData\Roaming\Microsoft\Excel\Nodes%202026\PORTO%20ALEGRE\HPCAA_node%20HPCADB%20(071)\HPCAA.071_HPCADB.kmz" TargetMode="External"/><Relationship Id="rId55" Type="http://schemas.openxmlformats.org/officeDocument/2006/relationships/hyperlink" Target="file:///C:\Users\franz\AppData\Roaming\Microsoft\Excel\Nodes%202026\PORTO%20ALEGRE\SSOAA_node%20SSOAH%20(161)\SSOA.161_SSOAH.kmz" TargetMode="External"/><Relationship Id="rId76" Type="http://schemas.openxmlformats.org/officeDocument/2006/relationships/hyperlink" Target="file:///C:\Users\franz\AppData\Roaming\Microsoft\Excel\Nodes%202026\PORTO%20ALEGRE\CMQAA_node%20CMQAK%20(061)\CMQAA.061_CMQAK.kmz" TargetMode="External"/><Relationship Id="rId7" Type="http://schemas.openxmlformats.org/officeDocument/2006/relationships/hyperlink" Target="https://hbox.houseti.com.br/s/N94LNbZ7fqq1qYs" TargetMode="External"/><Relationship Id="rId71" Type="http://schemas.openxmlformats.org/officeDocument/2006/relationships/hyperlink" Target="file:///C:\Users\franz\AppData\Roaming\Microsoft\Excel\Nodes%202025\PORTO%20ALEGRE\JBOAA_node%20PETAE%20(101,102,103)\JBOAA_PETAE.kmz" TargetMode="External"/><Relationship Id="rId2" Type="http://schemas.openxmlformats.org/officeDocument/2006/relationships/hyperlink" Target="https://hbox.houseti.com.br/s/WUu4CJOw2KION2N" TargetMode="External"/><Relationship Id="rId29" Type="http://schemas.openxmlformats.org/officeDocument/2006/relationships/hyperlink" Target="file:///C:\Users\franz\AppData\Roaming\Microsoft\Excel\Nodes%202026\PORTO%20ALEGRE\BVSAA_node%20VJDAK%20(141,142)\BVSAA_VJDAK.kmz" TargetMode="External"/><Relationship Id="rId24" Type="http://schemas.openxmlformats.org/officeDocument/2006/relationships/hyperlink" Target="https://hbox.houseti.com.br/s/XipFBxnbpFcFyGX" TargetMode="External"/><Relationship Id="rId40" Type="http://schemas.openxmlformats.org/officeDocument/2006/relationships/hyperlink" Target="file:///C:\Users\franz\AppData\Roaming\Microsoft\Excel\Nodes%202026\PORTO%20ALEGRE\PRTAA_node%20PRTAS%20FASE%202%20(042)\PRTAA.042_PRTAS%20FASE%202.kmz" TargetMode="External"/><Relationship Id="rId45" Type="http://schemas.openxmlformats.org/officeDocument/2006/relationships/hyperlink" Target="file:///C:\Users\franz\AppData\Roaming\Microsoft\Excel\Nodes%202026\PORTO%20ALEGRE\CNTAB_node%20CNTAD%20(051,052,053)\CNTAB_CNTAD.kmz" TargetMode="External"/><Relationship Id="rId66" Type="http://schemas.openxmlformats.org/officeDocument/2006/relationships/hyperlink" Target="file:///C:\Users\franz\AppData\Roaming\Microsoft\Excel\Nodes%202025\PORTO%20ALEGRE\BVSAB_node%20JBOACB%20(371)\BVSAB_JBOACB.km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V693"/>
  <sheetViews>
    <sheetView showGridLines="0" zoomScale="70" zoomScaleNormal="70" workbookViewId="0">
      <pane xSplit="5" topLeftCell="H1" activePane="topRight" state="frozen"/>
      <selection pane="topRight" activeCell="J140" sqref="J140"/>
    </sheetView>
  </sheetViews>
  <sheetFormatPr defaultColWidth="14.44140625" defaultRowHeight="15" customHeight="1"/>
  <cols>
    <col min="1" max="1" width="1.5546875" customWidth="1"/>
    <col min="2" max="2" width="32.109375" bestFit="1" customWidth="1"/>
    <col min="3" max="3" width="25.33203125" customWidth="1"/>
    <col min="4" max="5" width="26.6640625" customWidth="1"/>
    <col min="6" max="6" width="47" customWidth="1"/>
    <col min="7" max="7" width="13.109375" customWidth="1"/>
    <col min="8" max="8" width="26.88671875" bestFit="1" customWidth="1"/>
    <col min="9" max="9" width="43.33203125" customWidth="1"/>
    <col min="10" max="10" width="24.6640625" customWidth="1"/>
    <col min="11" max="11" width="22.109375" customWidth="1"/>
    <col min="12" max="12" width="17.33203125" bestFit="1" customWidth="1"/>
    <col min="13" max="13" width="17.109375" customWidth="1"/>
    <col min="14" max="14" width="13.33203125" customWidth="1"/>
    <col min="15" max="16" width="11.33203125" customWidth="1"/>
    <col min="17" max="17" width="10.109375" customWidth="1"/>
    <col min="18" max="18" width="16.44140625" customWidth="1"/>
    <col min="19" max="19" width="28" customWidth="1"/>
    <col min="20" max="20" width="16.109375" customWidth="1"/>
    <col min="21" max="21" width="118.88671875" customWidth="1"/>
    <col min="22" max="22" width="16" bestFit="1" customWidth="1"/>
    <col min="23" max="23" width="37.33203125" customWidth="1"/>
    <col min="24" max="24" width="29" customWidth="1"/>
    <col min="25" max="25" width="17.5546875" customWidth="1"/>
    <col min="26" max="26" width="20" bestFit="1" customWidth="1"/>
    <col min="27" max="27" width="38.5546875" bestFit="1" customWidth="1"/>
    <col min="28" max="29" width="21.109375" customWidth="1"/>
    <col min="30" max="30" width="31.5546875" bestFit="1" customWidth="1"/>
    <col min="31" max="32" width="9.44140625" customWidth="1"/>
    <col min="33" max="33" width="18.33203125" customWidth="1"/>
    <col min="34" max="35" width="17.88671875" customWidth="1"/>
    <col min="36" max="37" width="20.6640625" customWidth="1"/>
    <col min="38" max="38" width="101.5546875" bestFit="1" customWidth="1"/>
    <col min="39" max="39" width="1.6640625" customWidth="1"/>
    <col min="40" max="48" width="9.109375" customWidth="1"/>
  </cols>
  <sheetData>
    <row r="1" spans="1:48" ht="9.75" customHeight="1">
      <c r="B1" s="1"/>
      <c r="D1" s="2"/>
      <c r="E1" s="2"/>
      <c r="F1" s="2"/>
      <c r="G1" s="2"/>
      <c r="H1" s="2"/>
      <c r="I1" s="2"/>
      <c r="J1" s="1"/>
      <c r="K1" s="1"/>
      <c r="L1" s="1"/>
      <c r="M1" s="3"/>
      <c r="N1" s="3"/>
      <c r="O1" s="3"/>
      <c r="P1" s="3"/>
      <c r="Q1" s="3"/>
      <c r="R1" s="3"/>
      <c r="S1" s="1"/>
      <c r="T1" s="1"/>
      <c r="U1" s="4"/>
      <c r="V1" s="1"/>
      <c r="W1" s="1"/>
      <c r="X1" s="1"/>
      <c r="Y1" s="4"/>
      <c r="Z1" s="4"/>
      <c r="AA1" s="4"/>
      <c r="AB1" s="4"/>
      <c r="AC1" s="4"/>
      <c r="AD1" s="3"/>
      <c r="AE1" s="5"/>
      <c r="AF1" s="6"/>
      <c r="AG1" s="3"/>
      <c r="AH1" s="3"/>
      <c r="AI1" s="3"/>
      <c r="AJ1" s="7"/>
      <c r="AK1" s="7"/>
      <c r="AL1" s="7"/>
      <c r="AM1" s="1"/>
    </row>
    <row r="2" spans="1:48" ht="23.25" customHeight="1">
      <c r="B2" s="1"/>
      <c r="C2" s="2"/>
      <c r="D2" s="723" t="s">
        <v>0</v>
      </c>
      <c r="E2" s="724"/>
      <c r="F2" s="724"/>
      <c r="G2" s="724"/>
      <c r="H2" s="724"/>
      <c r="I2" s="183"/>
      <c r="J2" s="9"/>
      <c r="K2" s="10"/>
      <c r="L2" s="11"/>
      <c r="M2" s="11"/>
      <c r="N2" s="11"/>
      <c r="O2" s="11"/>
      <c r="P2" s="12"/>
      <c r="Q2" s="3"/>
      <c r="R2" s="3"/>
      <c r="S2" s="725" t="s">
        <v>1</v>
      </c>
      <c r="T2" s="726"/>
      <c r="U2" s="4"/>
      <c r="V2" s="1"/>
      <c r="W2" s="725" t="s">
        <v>2</v>
      </c>
      <c r="X2" s="729"/>
      <c r="Y2" s="729"/>
      <c r="Z2" s="729"/>
      <c r="AA2" s="4"/>
      <c r="AB2" s="4"/>
      <c r="AC2" s="4"/>
      <c r="AD2" s="3"/>
      <c r="AE2" s="731" t="s">
        <v>3</v>
      </c>
      <c r="AF2" s="729"/>
      <c r="AG2" s="729"/>
      <c r="AH2" s="729"/>
      <c r="AI2" s="729"/>
      <c r="AJ2" s="726"/>
      <c r="AK2" s="13"/>
      <c r="AL2" s="13"/>
      <c r="AM2" s="1"/>
    </row>
    <row r="3" spans="1:48" ht="24" customHeight="1">
      <c r="B3" s="1"/>
      <c r="C3" s="14"/>
      <c r="D3" s="724"/>
      <c r="E3" s="724"/>
      <c r="F3" s="724"/>
      <c r="G3" s="724"/>
      <c r="H3" s="724"/>
      <c r="I3" s="8"/>
      <c r="J3" s="9"/>
      <c r="K3" s="15"/>
      <c r="L3" s="16"/>
      <c r="M3" s="16"/>
      <c r="N3" s="16"/>
      <c r="O3" s="16"/>
      <c r="P3" s="17"/>
      <c r="Q3" s="18"/>
      <c r="R3" s="18"/>
      <c r="S3" s="727"/>
      <c r="T3" s="728"/>
      <c r="U3" s="19"/>
      <c r="V3" s="19"/>
      <c r="W3" s="727"/>
      <c r="X3" s="730"/>
      <c r="Y3" s="730"/>
      <c r="Z3" s="730"/>
      <c r="AA3" s="4"/>
      <c r="AB3" s="4"/>
      <c r="AC3" s="4"/>
      <c r="AD3" s="3"/>
      <c r="AE3" s="727"/>
      <c r="AF3" s="730"/>
      <c r="AG3" s="730"/>
      <c r="AH3" s="730"/>
      <c r="AI3" s="730"/>
      <c r="AJ3" s="728"/>
      <c r="AK3" s="13"/>
      <c r="AL3" s="13"/>
      <c r="AM3" s="1"/>
    </row>
    <row r="4" spans="1:48" ht="9.75" customHeight="1">
      <c r="B4" s="1"/>
      <c r="D4" s="20"/>
      <c r="E4" s="20"/>
      <c r="F4" s="20"/>
      <c r="G4" s="20"/>
      <c r="H4" s="20"/>
      <c r="I4" s="20"/>
      <c r="J4" s="20"/>
      <c r="K4" s="20"/>
      <c r="L4" s="20"/>
      <c r="M4" s="21"/>
      <c r="N4" s="21"/>
      <c r="O4" s="21"/>
      <c r="P4" s="21"/>
      <c r="Q4" s="21"/>
      <c r="R4" s="18"/>
      <c r="S4" s="1"/>
      <c r="T4" s="1"/>
      <c r="U4" s="19"/>
      <c r="V4" s="19"/>
      <c r="W4" s="1"/>
      <c r="X4" s="1"/>
      <c r="Y4" s="4"/>
      <c r="Z4" s="4"/>
      <c r="AA4" s="4"/>
      <c r="AB4" s="4"/>
      <c r="AC4" s="4"/>
      <c r="AD4" s="3"/>
      <c r="AE4" s="5"/>
      <c r="AF4" s="5"/>
      <c r="AG4" s="1"/>
      <c r="AH4" s="1"/>
      <c r="AI4" s="1"/>
      <c r="AJ4" s="1"/>
      <c r="AK4" s="1"/>
      <c r="AL4" s="1"/>
      <c r="AM4" s="1"/>
    </row>
    <row r="5" spans="1:48" ht="9.75" customHeight="1">
      <c r="B5" s="1"/>
      <c r="C5" s="21"/>
      <c r="D5" s="20"/>
      <c r="E5" s="20"/>
      <c r="F5" s="20"/>
      <c r="G5" s="20"/>
      <c r="H5" s="20"/>
      <c r="I5" s="20"/>
      <c r="J5" s="20"/>
      <c r="K5" s="20"/>
      <c r="L5" s="20"/>
      <c r="M5" s="21"/>
      <c r="N5" s="21"/>
      <c r="O5" s="21"/>
      <c r="P5" s="21"/>
      <c r="Q5" s="21"/>
      <c r="R5" s="18"/>
      <c r="S5" s="1"/>
      <c r="T5" s="1"/>
      <c r="U5" s="19"/>
      <c r="V5" s="19"/>
      <c r="W5" s="1"/>
      <c r="X5" s="1"/>
      <c r="Y5" s="4"/>
      <c r="Z5" s="4"/>
      <c r="AA5" s="4"/>
      <c r="AB5" s="4"/>
      <c r="AC5" s="4"/>
      <c r="AD5" s="3"/>
      <c r="AE5" s="5"/>
      <c r="AF5" s="5"/>
      <c r="AG5" s="1"/>
      <c r="AH5" s="1"/>
      <c r="AI5" s="1"/>
      <c r="AJ5" s="1"/>
      <c r="AK5" s="1"/>
      <c r="AL5" s="1"/>
      <c r="AM5" s="1"/>
    </row>
    <row r="6" spans="1:48" ht="33" customHeight="1">
      <c r="B6" s="22" t="s">
        <v>4</v>
      </c>
      <c r="C6" s="22" t="s">
        <v>5</v>
      </c>
      <c r="D6" s="22" t="s">
        <v>6</v>
      </c>
      <c r="E6" s="22" t="s">
        <v>7</v>
      </c>
      <c r="F6" s="22" t="s">
        <v>8</v>
      </c>
      <c r="G6" s="22" t="s">
        <v>9</v>
      </c>
      <c r="H6" s="22" t="s">
        <v>10</v>
      </c>
      <c r="I6" s="22" t="s">
        <v>11</v>
      </c>
      <c r="J6" s="22" t="s">
        <v>12</v>
      </c>
      <c r="K6" s="22" t="s">
        <v>13</v>
      </c>
      <c r="L6" s="22" t="s">
        <v>14</v>
      </c>
      <c r="M6" s="23" t="s">
        <v>15</v>
      </c>
      <c r="N6" s="23" t="s">
        <v>16</v>
      </c>
      <c r="O6" s="23" t="s">
        <v>17</v>
      </c>
      <c r="P6" s="23" t="s">
        <v>18</v>
      </c>
      <c r="Q6" s="23" t="s">
        <v>19</v>
      </c>
      <c r="R6" s="23" t="s">
        <v>20</v>
      </c>
      <c r="S6" s="22" t="s">
        <v>21</v>
      </c>
      <c r="T6" s="22" t="s">
        <v>22</v>
      </c>
      <c r="U6" s="22" t="s">
        <v>23</v>
      </c>
      <c r="V6" s="22" t="s">
        <v>24</v>
      </c>
      <c r="W6" s="22" t="s">
        <v>25</v>
      </c>
      <c r="X6" s="22" t="s">
        <v>25</v>
      </c>
      <c r="Y6" s="22" t="s">
        <v>26</v>
      </c>
      <c r="Z6" s="22" t="s">
        <v>26</v>
      </c>
      <c r="AA6" s="22" t="s">
        <v>27</v>
      </c>
      <c r="AB6" s="22" t="s">
        <v>28</v>
      </c>
      <c r="AC6" s="23" t="s">
        <v>7427</v>
      </c>
      <c r="AD6" s="23" t="s">
        <v>29</v>
      </c>
      <c r="AE6" s="24" t="s">
        <v>30</v>
      </c>
      <c r="AF6" s="24" t="s">
        <v>31</v>
      </c>
      <c r="AG6" s="23" t="s">
        <v>32</v>
      </c>
      <c r="AH6" s="23" t="s">
        <v>33</v>
      </c>
      <c r="AI6" s="23"/>
      <c r="AJ6" s="23" t="s">
        <v>34</v>
      </c>
      <c r="AK6" s="23" t="s">
        <v>35</v>
      </c>
      <c r="AL6" s="23" t="s">
        <v>7161</v>
      </c>
      <c r="AM6" s="4"/>
    </row>
    <row r="7" spans="1:48" ht="45" hidden="1" customHeight="1">
      <c r="B7" s="159" t="s">
        <v>292</v>
      </c>
      <c r="C7" s="159" t="s">
        <v>293</v>
      </c>
      <c r="D7" s="159" t="s">
        <v>294</v>
      </c>
      <c r="E7" s="555" t="s">
        <v>295</v>
      </c>
      <c r="F7" s="152"/>
      <c r="G7" s="152" t="s">
        <v>296</v>
      </c>
      <c r="H7" s="152" t="s">
        <v>42</v>
      </c>
      <c r="I7" s="152">
        <v>11.012</v>
      </c>
      <c r="J7" s="151"/>
      <c r="K7" s="153">
        <v>44652</v>
      </c>
      <c r="L7" s="153" t="s">
        <v>288</v>
      </c>
      <c r="M7" s="155" t="s">
        <v>288</v>
      </c>
      <c r="N7" s="155" t="s">
        <v>288</v>
      </c>
      <c r="O7" s="158">
        <v>44680</v>
      </c>
      <c r="P7" s="158">
        <v>44681</v>
      </c>
      <c r="Q7" s="155" t="s">
        <v>289</v>
      </c>
      <c r="R7" s="155"/>
      <c r="S7" s="151" t="s">
        <v>47</v>
      </c>
      <c r="T7" s="151" t="s">
        <v>290</v>
      </c>
      <c r="U7" s="156"/>
      <c r="V7" s="151" t="s">
        <v>85</v>
      </c>
      <c r="W7" s="151"/>
      <c r="X7" s="151"/>
      <c r="Y7" s="156"/>
      <c r="Z7" s="156"/>
      <c r="AA7" s="156"/>
      <c r="AB7" s="156"/>
      <c r="AC7" s="156"/>
      <c r="AD7" s="155" t="s">
        <v>288</v>
      </c>
      <c r="AE7" s="161">
        <v>800</v>
      </c>
      <c r="AF7" s="161">
        <v>1100</v>
      </c>
      <c r="AG7" s="155">
        <v>44662</v>
      </c>
      <c r="AH7" s="155">
        <v>44681</v>
      </c>
      <c r="AI7" s="155">
        <v>5</v>
      </c>
      <c r="AJ7" s="158">
        <v>44681</v>
      </c>
      <c r="AK7" s="211"/>
      <c r="AL7" s="158"/>
      <c r="AM7" s="1"/>
    </row>
    <row r="8" spans="1:48" ht="45" hidden="1" customHeight="1">
      <c r="B8" s="159" t="s">
        <v>285</v>
      </c>
      <c r="C8" s="159" t="s">
        <v>54</v>
      </c>
      <c r="D8" s="159" t="s">
        <v>55</v>
      </c>
      <c r="E8" s="159" t="s">
        <v>286</v>
      </c>
      <c r="F8" s="152"/>
      <c r="G8" s="152" t="s">
        <v>287</v>
      </c>
      <c r="H8" s="152" t="s">
        <v>42</v>
      </c>
      <c r="I8" s="152">
        <v>62</v>
      </c>
      <c r="J8" s="151"/>
      <c r="K8" s="153">
        <v>44652</v>
      </c>
      <c r="L8" s="153" t="s">
        <v>288</v>
      </c>
      <c r="M8" s="154" t="s">
        <v>288</v>
      </c>
      <c r="N8" s="154" t="s">
        <v>288</v>
      </c>
      <c r="O8" s="154">
        <v>45044</v>
      </c>
      <c r="P8" s="255">
        <v>44680</v>
      </c>
      <c r="Q8" s="154" t="s">
        <v>289</v>
      </c>
      <c r="R8" s="155"/>
      <c r="S8" s="151" t="s">
        <v>47</v>
      </c>
      <c r="T8" s="151" t="s">
        <v>290</v>
      </c>
      <c r="U8" s="156"/>
      <c r="V8" s="151" t="s">
        <v>291</v>
      </c>
      <c r="W8" s="151"/>
      <c r="X8" s="151"/>
      <c r="Y8" s="156"/>
      <c r="Z8" s="156"/>
      <c r="AA8" s="156"/>
      <c r="AB8" s="156"/>
      <c r="AC8" s="156"/>
      <c r="AD8" s="155" t="s">
        <v>288</v>
      </c>
      <c r="AE8" s="161">
        <v>1300</v>
      </c>
      <c r="AF8" s="161">
        <v>2000</v>
      </c>
      <c r="AG8" s="155">
        <v>44662</v>
      </c>
      <c r="AH8" s="155">
        <v>44680</v>
      </c>
      <c r="AI8" s="155"/>
      <c r="AJ8" s="158">
        <v>44680</v>
      </c>
      <c r="AK8" s="211"/>
      <c r="AL8" s="158"/>
      <c r="AM8" s="1"/>
    </row>
    <row r="9" spans="1:48" ht="45" hidden="1" customHeight="1">
      <c r="A9" s="1"/>
      <c r="B9" s="159" t="s">
        <v>327</v>
      </c>
      <c r="C9" s="159" t="s">
        <v>328</v>
      </c>
      <c r="D9" s="159" t="s">
        <v>329</v>
      </c>
      <c r="E9" s="159" t="s">
        <v>330</v>
      </c>
      <c r="F9" s="152"/>
      <c r="G9" s="152" t="s">
        <v>296</v>
      </c>
      <c r="H9" s="152" t="s">
        <v>42</v>
      </c>
      <c r="I9" s="152" t="s">
        <v>331</v>
      </c>
      <c r="J9" s="151"/>
      <c r="K9" s="153">
        <v>44682</v>
      </c>
      <c r="L9" s="153" t="s">
        <v>288</v>
      </c>
      <c r="M9" s="155" t="s">
        <v>288</v>
      </c>
      <c r="N9" s="155" t="s">
        <v>288</v>
      </c>
      <c r="O9" s="155">
        <v>44690</v>
      </c>
      <c r="P9" s="158">
        <v>44712</v>
      </c>
      <c r="Q9" s="155" t="s">
        <v>289</v>
      </c>
      <c r="R9" s="155"/>
      <c r="S9" s="151" t="s">
        <v>47</v>
      </c>
      <c r="T9" s="151" t="s">
        <v>290</v>
      </c>
      <c r="U9" s="156"/>
      <c r="V9" s="151" t="s">
        <v>291</v>
      </c>
      <c r="W9" s="151"/>
      <c r="X9" s="151"/>
      <c r="Y9" s="156"/>
      <c r="Z9" s="156"/>
      <c r="AA9" s="156"/>
      <c r="AB9" s="156"/>
      <c r="AC9" s="156"/>
      <c r="AD9" s="155" t="s">
        <v>288</v>
      </c>
      <c r="AE9" s="161">
        <v>3400</v>
      </c>
      <c r="AF9" s="161">
        <v>2800</v>
      </c>
      <c r="AG9" s="155">
        <v>44682</v>
      </c>
      <c r="AH9" s="155">
        <v>44707</v>
      </c>
      <c r="AI9" s="155"/>
      <c r="AJ9" s="158">
        <v>44712</v>
      </c>
      <c r="AK9" s="211"/>
      <c r="AL9" s="158"/>
      <c r="AM9" s="1"/>
      <c r="AN9" s="1"/>
      <c r="AO9" s="1"/>
      <c r="AP9" s="1"/>
      <c r="AQ9" s="1"/>
      <c r="AR9" s="1"/>
      <c r="AS9" s="1"/>
      <c r="AT9" s="1"/>
      <c r="AU9" s="1"/>
      <c r="AV9" s="1"/>
    </row>
    <row r="10" spans="1:48" ht="45" hidden="1" customHeight="1">
      <c r="A10" s="1"/>
      <c r="B10" s="159" t="s">
        <v>332</v>
      </c>
      <c r="C10" s="159" t="s">
        <v>328</v>
      </c>
      <c r="D10" s="159" t="s">
        <v>329</v>
      </c>
      <c r="E10" s="159" t="s">
        <v>333</v>
      </c>
      <c r="F10" s="152"/>
      <c r="G10" s="152" t="s">
        <v>296</v>
      </c>
      <c r="H10" s="152" t="s">
        <v>42</v>
      </c>
      <c r="I10" s="152" t="s">
        <v>334</v>
      </c>
      <c r="J10" s="151"/>
      <c r="K10" s="153">
        <v>44682</v>
      </c>
      <c r="L10" s="153" t="s">
        <v>288</v>
      </c>
      <c r="M10" s="155" t="s">
        <v>288</v>
      </c>
      <c r="N10" s="155" t="s">
        <v>288</v>
      </c>
      <c r="O10" s="155">
        <v>44688</v>
      </c>
      <c r="P10" s="158">
        <v>44712</v>
      </c>
      <c r="Q10" s="155" t="s">
        <v>317</v>
      </c>
      <c r="R10" s="155"/>
      <c r="S10" s="151" t="s">
        <v>47</v>
      </c>
      <c r="T10" s="151" t="s">
        <v>290</v>
      </c>
      <c r="U10" s="156"/>
      <c r="V10" s="151" t="s">
        <v>291</v>
      </c>
      <c r="W10" s="151"/>
      <c r="X10" s="151"/>
      <c r="Y10" s="156"/>
      <c r="Z10" s="156"/>
      <c r="AA10" s="156"/>
      <c r="AB10" s="156"/>
      <c r="AC10" s="156"/>
      <c r="AD10" s="155" t="s">
        <v>288</v>
      </c>
      <c r="AE10" s="161">
        <v>4100</v>
      </c>
      <c r="AF10" s="161">
        <v>1900</v>
      </c>
      <c r="AG10" s="155">
        <v>44682</v>
      </c>
      <c r="AH10" s="155">
        <v>44707</v>
      </c>
      <c r="AI10" s="155"/>
      <c r="AJ10" s="158">
        <v>44712</v>
      </c>
      <c r="AK10" s="211"/>
      <c r="AL10" s="158"/>
      <c r="AM10" s="1"/>
      <c r="AN10" s="1"/>
      <c r="AO10" s="1"/>
      <c r="AP10" s="1"/>
      <c r="AQ10" s="1"/>
      <c r="AR10" s="1"/>
      <c r="AS10" s="1"/>
      <c r="AT10" s="1"/>
      <c r="AU10" s="1"/>
      <c r="AV10" s="1"/>
    </row>
    <row r="11" spans="1:48" ht="45" hidden="1" customHeight="1">
      <c r="B11" s="159" t="s">
        <v>310</v>
      </c>
      <c r="C11" s="159" t="s">
        <v>311</v>
      </c>
      <c r="D11" s="159" t="s">
        <v>312</v>
      </c>
      <c r="E11" s="159" t="s">
        <v>313</v>
      </c>
      <c r="F11" s="152"/>
      <c r="G11" s="152" t="s">
        <v>287</v>
      </c>
      <c r="H11" s="152" t="s">
        <v>42</v>
      </c>
      <c r="I11" s="152">
        <v>53</v>
      </c>
      <c r="J11" s="151"/>
      <c r="K11" s="160">
        <v>44682</v>
      </c>
      <c r="L11" s="153" t="s">
        <v>288</v>
      </c>
      <c r="M11" s="155" t="s">
        <v>288</v>
      </c>
      <c r="N11" s="155" t="s">
        <v>288</v>
      </c>
      <c r="O11" s="155">
        <v>44678</v>
      </c>
      <c r="P11" s="158">
        <v>44709</v>
      </c>
      <c r="Q11" s="155" t="s">
        <v>289</v>
      </c>
      <c r="R11" s="155"/>
      <c r="S11" s="151" t="s">
        <v>47</v>
      </c>
      <c r="T11" s="151" t="s">
        <v>290</v>
      </c>
      <c r="U11" s="156"/>
      <c r="V11" s="151" t="s">
        <v>291</v>
      </c>
      <c r="W11" s="151"/>
      <c r="X11" s="151"/>
      <c r="Y11" s="156"/>
      <c r="Z11" s="156"/>
      <c r="AA11" s="156"/>
      <c r="AB11" s="156"/>
      <c r="AC11" s="156"/>
      <c r="AD11" s="155" t="s">
        <v>288</v>
      </c>
      <c r="AE11" s="161">
        <v>600</v>
      </c>
      <c r="AF11" s="161">
        <v>1500</v>
      </c>
      <c r="AG11" s="155">
        <v>44678</v>
      </c>
      <c r="AH11" s="155">
        <v>44708</v>
      </c>
      <c r="AI11" s="155"/>
      <c r="AJ11" s="158">
        <v>44709</v>
      </c>
      <c r="AK11" s="211"/>
      <c r="AL11" s="158"/>
      <c r="AM11" s="1"/>
    </row>
    <row r="12" spans="1:48" ht="45" hidden="1" customHeight="1">
      <c r="B12" s="159" t="s">
        <v>297</v>
      </c>
      <c r="C12" s="159" t="s">
        <v>298</v>
      </c>
      <c r="D12" s="159" t="s">
        <v>299</v>
      </c>
      <c r="E12" s="159" t="s">
        <v>300</v>
      </c>
      <c r="F12" s="152"/>
      <c r="G12" s="152" t="s">
        <v>301</v>
      </c>
      <c r="H12" s="152" t="s">
        <v>42</v>
      </c>
      <c r="I12" s="152">
        <v>51</v>
      </c>
      <c r="J12" s="151"/>
      <c r="K12" s="153">
        <v>44682</v>
      </c>
      <c r="L12" s="153" t="s">
        <v>288</v>
      </c>
      <c r="M12" s="155" t="s">
        <v>288</v>
      </c>
      <c r="N12" s="155" t="s">
        <v>288</v>
      </c>
      <c r="O12" s="155">
        <v>44700</v>
      </c>
      <c r="P12" s="158">
        <v>44706</v>
      </c>
      <c r="Q12" s="155" t="s">
        <v>289</v>
      </c>
      <c r="R12" s="155"/>
      <c r="S12" s="151" t="s">
        <v>47</v>
      </c>
      <c r="T12" s="151" t="s">
        <v>290</v>
      </c>
      <c r="U12" s="156"/>
      <c r="V12" s="156" t="s">
        <v>85</v>
      </c>
      <c r="W12" s="151"/>
      <c r="X12" s="151"/>
      <c r="Y12" s="156"/>
      <c r="Z12" s="156"/>
      <c r="AA12" s="156"/>
      <c r="AB12" s="156"/>
      <c r="AC12" s="156"/>
      <c r="AD12" s="155" t="s">
        <v>288</v>
      </c>
      <c r="AE12" s="161">
        <v>300</v>
      </c>
      <c r="AF12" s="161">
        <v>1200</v>
      </c>
      <c r="AG12" s="155">
        <v>44697</v>
      </c>
      <c r="AH12" s="155">
        <v>44707</v>
      </c>
      <c r="AI12" s="155"/>
      <c r="AJ12" s="158">
        <v>44706</v>
      </c>
      <c r="AK12" s="211"/>
      <c r="AL12" s="158"/>
      <c r="AM12" s="1"/>
    </row>
    <row r="13" spans="1:48" ht="45" hidden="1" customHeight="1">
      <c r="A13" s="1"/>
      <c r="B13" s="159" t="s">
        <v>302</v>
      </c>
      <c r="C13" s="159" t="s">
        <v>298</v>
      </c>
      <c r="D13" s="159" t="s">
        <v>299</v>
      </c>
      <c r="E13" s="159" t="s">
        <v>303</v>
      </c>
      <c r="F13" s="152"/>
      <c r="G13" s="152" t="s">
        <v>301</v>
      </c>
      <c r="H13" s="152" t="s">
        <v>42</v>
      </c>
      <c r="I13" s="152">
        <v>61</v>
      </c>
      <c r="J13" s="151"/>
      <c r="K13" s="153">
        <v>44682</v>
      </c>
      <c r="L13" s="153" t="s">
        <v>288</v>
      </c>
      <c r="M13" s="155" t="s">
        <v>288</v>
      </c>
      <c r="N13" s="155" t="s">
        <v>288</v>
      </c>
      <c r="O13" s="155">
        <v>44700</v>
      </c>
      <c r="P13" s="158">
        <v>44706</v>
      </c>
      <c r="Q13" s="155" t="s">
        <v>289</v>
      </c>
      <c r="R13" s="155"/>
      <c r="S13" s="151" t="s">
        <v>47</v>
      </c>
      <c r="T13" s="151" t="s">
        <v>290</v>
      </c>
      <c r="U13" s="156"/>
      <c r="V13" s="156" t="s">
        <v>291</v>
      </c>
      <c r="W13" s="151"/>
      <c r="X13" s="151"/>
      <c r="Y13" s="156"/>
      <c r="Z13" s="156"/>
      <c r="AA13" s="156"/>
      <c r="AB13" s="156"/>
      <c r="AC13" s="156"/>
      <c r="AD13" s="155" t="s">
        <v>288</v>
      </c>
      <c r="AE13" s="161">
        <v>400</v>
      </c>
      <c r="AF13" s="161">
        <v>1200</v>
      </c>
      <c r="AG13" s="155">
        <v>44697</v>
      </c>
      <c r="AH13" s="155">
        <v>44738</v>
      </c>
      <c r="AI13" s="155"/>
      <c r="AJ13" s="158">
        <v>44706</v>
      </c>
      <c r="AK13" s="211"/>
      <c r="AL13" s="158"/>
      <c r="AM13" s="1"/>
      <c r="AN13" s="1"/>
      <c r="AO13" s="1"/>
      <c r="AP13" s="1"/>
      <c r="AQ13" s="1"/>
      <c r="AR13" s="1"/>
      <c r="AS13" s="1"/>
      <c r="AT13" s="1"/>
      <c r="AU13" s="1"/>
      <c r="AV13" s="1"/>
    </row>
    <row r="14" spans="1:48" ht="45" hidden="1" customHeight="1">
      <c r="B14" s="159" t="s">
        <v>320</v>
      </c>
      <c r="C14" s="159" t="s">
        <v>152</v>
      </c>
      <c r="D14" s="159" t="s">
        <v>321</v>
      </c>
      <c r="E14" s="159" t="s">
        <v>322</v>
      </c>
      <c r="F14" s="152"/>
      <c r="G14" s="152" t="s">
        <v>296</v>
      </c>
      <c r="H14" s="152" t="s">
        <v>42</v>
      </c>
      <c r="I14" s="152">
        <v>91</v>
      </c>
      <c r="J14" s="151"/>
      <c r="K14" s="153">
        <v>44682</v>
      </c>
      <c r="L14" s="153" t="s">
        <v>288</v>
      </c>
      <c r="M14" s="154" t="s">
        <v>323</v>
      </c>
      <c r="N14" s="155" t="s">
        <v>324</v>
      </c>
      <c r="O14" s="155">
        <v>44704</v>
      </c>
      <c r="P14" s="155">
        <v>44708</v>
      </c>
      <c r="Q14" s="155" t="s">
        <v>317</v>
      </c>
      <c r="R14" s="155"/>
      <c r="S14" s="151" t="s">
        <v>47</v>
      </c>
      <c r="T14" s="151" t="s">
        <v>290</v>
      </c>
      <c r="U14" s="156"/>
      <c r="V14" s="151" t="s">
        <v>85</v>
      </c>
      <c r="W14" s="151"/>
      <c r="X14" s="151"/>
      <c r="Y14" s="156"/>
      <c r="Z14" s="156"/>
      <c r="AA14" s="156"/>
      <c r="AB14" s="156"/>
      <c r="AC14" s="156"/>
      <c r="AD14" s="155" t="s">
        <v>288</v>
      </c>
      <c r="AE14" s="161">
        <v>400</v>
      </c>
      <c r="AF14" s="161">
        <v>400</v>
      </c>
      <c r="AG14" s="155">
        <v>44697</v>
      </c>
      <c r="AH14" s="155">
        <v>44742</v>
      </c>
      <c r="AI14" s="155"/>
      <c r="AJ14" s="158">
        <v>44711</v>
      </c>
      <c r="AK14" s="211"/>
      <c r="AL14" s="158"/>
      <c r="AM14" s="1"/>
    </row>
    <row r="15" spans="1:48" ht="45" hidden="1" customHeight="1">
      <c r="B15" s="159" t="s">
        <v>335</v>
      </c>
      <c r="C15" s="159" t="s">
        <v>336</v>
      </c>
      <c r="D15" s="159" t="s">
        <v>337</v>
      </c>
      <c r="E15" s="159" t="s">
        <v>338</v>
      </c>
      <c r="F15" s="152"/>
      <c r="G15" s="152" t="s">
        <v>287</v>
      </c>
      <c r="H15" s="152" t="s">
        <v>42</v>
      </c>
      <c r="I15" s="152">
        <v>51</v>
      </c>
      <c r="J15" s="151"/>
      <c r="K15" s="160">
        <v>44682</v>
      </c>
      <c r="L15" s="153" t="s">
        <v>288</v>
      </c>
      <c r="M15" s="154" t="s">
        <v>323</v>
      </c>
      <c r="N15" s="154" t="s">
        <v>324</v>
      </c>
      <c r="O15" s="154">
        <v>44701</v>
      </c>
      <c r="P15" s="154">
        <v>44705</v>
      </c>
      <c r="Q15" s="154" t="s">
        <v>317</v>
      </c>
      <c r="R15" s="155"/>
      <c r="S15" s="151" t="s">
        <v>47</v>
      </c>
      <c r="T15" s="151" t="s">
        <v>290</v>
      </c>
      <c r="U15" s="156"/>
      <c r="V15" s="151" t="s">
        <v>85</v>
      </c>
      <c r="W15" s="151"/>
      <c r="X15" s="151"/>
      <c r="Y15" s="156"/>
      <c r="Z15" s="156"/>
      <c r="AA15" s="156" t="s">
        <v>339</v>
      </c>
      <c r="AB15" s="156"/>
      <c r="AC15" s="156"/>
      <c r="AD15" s="155" t="s">
        <v>288</v>
      </c>
      <c r="AE15" s="161">
        <v>1200</v>
      </c>
      <c r="AF15" s="161">
        <v>1200</v>
      </c>
      <c r="AG15" s="155">
        <v>44697</v>
      </c>
      <c r="AH15" s="155">
        <v>44711</v>
      </c>
      <c r="AI15" s="155"/>
      <c r="AJ15" s="158">
        <v>44712</v>
      </c>
      <c r="AK15" s="211"/>
      <c r="AL15" s="158"/>
      <c r="AM15" s="1"/>
    </row>
    <row r="16" spans="1:48" ht="45" hidden="1" customHeight="1">
      <c r="B16" s="159" t="s">
        <v>325</v>
      </c>
      <c r="C16" s="159" t="s">
        <v>152</v>
      </c>
      <c r="D16" s="159" t="s">
        <v>321</v>
      </c>
      <c r="E16" s="159" t="s">
        <v>326</v>
      </c>
      <c r="F16" s="152"/>
      <c r="G16" s="152" t="s">
        <v>296</v>
      </c>
      <c r="H16" s="152" t="s">
        <v>42</v>
      </c>
      <c r="I16" s="152">
        <v>12</v>
      </c>
      <c r="J16" s="151"/>
      <c r="K16" s="153">
        <v>44682</v>
      </c>
      <c r="L16" s="153" t="s">
        <v>288</v>
      </c>
      <c r="M16" s="154" t="s">
        <v>323</v>
      </c>
      <c r="N16" s="155" t="s">
        <v>324</v>
      </c>
      <c r="O16" s="155">
        <v>44705</v>
      </c>
      <c r="P16" s="155">
        <v>44709</v>
      </c>
      <c r="Q16" s="155" t="s">
        <v>317</v>
      </c>
      <c r="R16" s="155"/>
      <c r="S16" s="151" t="s">
        <v>47</v>
      </c>
      <c r="T16" s="151" t="s">
        <v>290</v>
      </c>
      <c r="U16" s="156"/>
      <c r="V16" s="151" t="s">
        <v>85</v>
      </c>
      <c r="W16" s="151"/>
      <c r="X16" s="151"/>
      <c r="Y16" s="156"/>
      <c r="Z16" s="156"/>
      <c r="AA16" s="156"/>
      <c r="AB16" s="156"/>
      <c r="AC16" s="156"/>
      <c r="AD16" s="155" t="s">
        <v>288</v>
      </c>
      <c r="AE16" s="161">
        <v>2100</v>
      </c>
      <c r="AF16" s="161">
        <v>2000</v>
      </c>
      <c r="AG16" s="155">
        <v>44699</v>
      </c>
      <c r="AH16" s="155">
        <v>44742</v>
      </c>
      <c r="AI16" s="155"/>
      <c r="AJ16" s="158">
        <v>44711</v>
      </c>
      <c r="AK16" s="211"/>
      <c r="AL16" s="158"/>
      <c r="AM16" s="1"/>
    </row>
    <row r="17" spans="1:48" ht="45" hidden="1" customHeight="1">
      <c r="B17" s="159" t="s">
        <v>314</v>
      </c>
      <c r="C17" s="159" t="s">
        <v>315</v>
      </c>
      <c r="D17" s="159" t="s">
        <v>316</v>
      </c>
      <c r="E17" s="159" t="s">
        <v>37</v>
      </c>
      <c r="F17" s="152"/>
      <c r="G17" s="152" t="s">
        <v>287</v>
      </c>
      <c r="H17" s="152" t="s">
        <v>42</v>
      </c>
      <c r="I17" s="152">
        <v>41</v>
      </c>
      <c r="J17" s="151"/>
      <c r="K17" s="153">
        <v>44682</v>
      </c>
      <c r="L17" s="153" t="s">
        <v>288</v>
      </c>
      <c r="M17" s="155" t="s">
        <v>288</v>
      </c>
      <c r="N17" s="155" t="s">
        <v>288</v>
      </c>
      <c r="O17" s="155">
        <v>44678</v>
      </c>
      <c r="P17" s="158">
        <v>44709</v>
      </c>
      <c r="Q17" s="155" t="s">
        <v>317</v>
      </c>
      <c r="R17" s="155"/>
      <c r="S17" s="151" t="s">
        <v>47</v>
      </c>
      <c r="T17" s="151" t="s">
        <v>290</v>
      </c>
      <c r="U17" s="156"/>
      <c r="V17" s="151" t="s">
        <v>85</v>
      </c>
      <c r="W17" s="151"/>
      <c r="X17" s="151"/>
      <c r="Y17" s="156"/>
      <c r="Z17" s="156"/>
      <c r="AA17" s="156"/>
      <c r="AB17" s="156"/>
      <c r="AC17" s="156"/>
      <c r="AD17" s="155" t="s">
        <v>288</v>
      </c>
      <c r="AE17" s="161">
        <v>1300</v>
      </c>
      <c r="AF17" s="161">
        <v>1200</v>
      </c>
      <c r="AG17" s="155">
        <v>44682</v>
      </c>
      <c r="AH17" s="155">
        <v>44709</v>
      </c>
      <c r="AI17" s="155"/>
      <c r="AJ17" s="158">
        <v>44709</v>
      </c>
      <c r="AK17" s="211"/>
      <c r="AL17" s="158"/>
      <c r="AM17" s="1"/>
    </row>
    <row r="18" spans="1:48" ht="45" hidden="1" customHeight="1">
      <c r="B18" s="159" t="s">
        <v>318</v>
      </c>
      <c r="C18" s="159" t="s">
        <v>104</v>
      </c>
      <c r="D18" s="159" t="s">
        <v>105</v>
      </c>
      <c r="E18" s="159" t="s">
        <v>319</v>
      </c>
      <c r="F18" s="152"/>
      <c r="G18" s="152" t="s">
        <v>296</v>
      </c>
      <c r="H18" s="152" t="s">
        <v>42</v>
      </c>
      <c r="I18" s="152">
        <v>41</v>
      </c>
      <c r="J18" s="151"/>
      <c r="K18" s="153">
        <v>44682</v>
      </c>
      <c r="L18" s="153" t="s">
        <v>288</v>
      </c>
      <c r="M18" s="155" t="s">
        <v>288</v>
      </c>
      <c r="N18" s="155" t="s">
        <v>288</v>
      </c>
      <c r="O18" s="155">
        <v>44678</v>
      </c>
      <c r="P18" s="158">
        <v>44709</v>
      </c>
      <c r="Q18" s="155" t="s">
        <v>317</v>
      </c>
      <c r="R18" s="155"/>
      <c r="S18" s="151" t="s">
        <v>47</v>
      </c>
      <c r="T18" s="151" t="s">
        <v>290</v>
      </c>
      <c r="U18" s="156"/>
      <c r="V18" s="151" t="s">
        <v>85</v>
      </c>
      <c r="W18" s="151"/>
      <c r="X18" s="151"/>
      <c r="Y18" s="156"/>
      <c r="Z18" s="156"/>
      <c r="AA18" s="156"/>
      <c r="AB18" s="156"/>
      <c r="AC18" s="156"/>
      <c r="AD18" s="155" t="s">
        <v>288</v>
      </c>
      <c r="AE18" s="161">
        <v>700</v>
      </c>
      <c r="AF18" s="161">
        <v>600</v>
      </c>
      <c r="AG18" s="155">
        <v>44691</v>
      </c>
      <c r="AH18" s="155">
        <v>44709</v>
      </c>
      <c r="AI18" s="155"/>
      <c r="AJ18" s="158">
        <v>44709</v>
      </c>
      <c r="AK18" s="211"/>
      <c r="AL18" s="158"/>
      <c r="AM18" s="1"/>
    </row>
    <row r="19" spans="1:48" ht="45" hidden="1" customHeight="1">
      <c r="B19" s="159" t="s">
        <v>340</v>
      </c>
      <c r="C19" s="159" t="s">
        <v>104</v>
      </c>
      <c r="D19" s="159" t="s">
        <v>105</v>
      </c>
      <c r="E19" s="159" t="s">
        <v>341</v>
      </c>
      <c r="F19" s="152"/>
      <c r="G19" s="152" t="s">
        <v>308</v>
      </c>
      <c r="H19" s="152" t="s">
        <v>42</v>
      </c>
      <c r="I19" s="152">
        <v>25</v>
      </c>
      <c r="J19" s="156"/>
      <c r="K19" s="153">
        <v>44682</v>
      </c>
      <c r="L19" s="153" t="s">
        <v>288</v>
      </c>
      <c r="M19" s="158" t="s">
        <v>288</v>
      </c>
      <c r="N19" s="155" t="s">
        <v>288</v>
      </c>
      <c r="O19" s="155">
        <v>44701</v>
      </c>
      <c r="P19" s="158">
        <v>44712</v>
      </c>
      <c r="Q19" s="155" t="s">
        <v>289</v>
      </c>
      <c r="R19" s="155"/>
      <c r="S19" s="151" t="s">
        <v>47</v>
      </c>
      <c r="T19" s="151" t="s">
        <v>290</v>
      </c>
      <c r="U19" s="156"/>
      <c r="V19" s="151" t="s">
        <v>85</v>
      </c>
      <c r="W19" s="151"/>
      <c r="X19" s="151"/>
      <c r="Y19" s="156"/>
      <c r="Z19" s="156"/>
      <c r="AA19" s="156"/>
      <c r="AB19" s="156"/>
      <c r="AC19" s="156"/>
      <c r="AD19" s="155" t="s">
        <v>288</v>
      </c>
      <c r="AE19" s="161">
        <v>1000</v>
      </c>
      <c r="AF19" s="161">
        <v>600</v>
      </c>
      <c r="AG19" s="155">
        <v>44691</v>
      </c>
      <c r="AH19" s="155">
        <v>44709</v>
      </c>
      <c r="AI19" s="155"/>
      <c r="AJ19" s="158">
        <v>44712</v>
      </c>
      <c r="AK19" s="211"/>
      <c r="AL19" s="158"/>
      <c r="AM19" s="1"/>
    </row>
    <row r="20" spans="1:48" ht="45" hidden="1" customHeight="1">
      <c r="B20" s="159" t="s">
        <v>342</v>
      </c>
      <c r="C20" s="159" t="s">
        <v>104</v>
      </c>
      <c r="D20" s="159" t="s">
        <v>105</v>
      </c>
      <c r="E20" s="159" t="s">
        <v>343</v>
      </c>
      <c r="F20" s="152"/>
      <c r="G20" s="152" t="s">
        <v>296</v>
      </c>
      <c r="H20" s="152" t="s">
        <v>42</v>
      </c>
      <c r="I20" s="152">
        <v>11</v>
      </c>
      <c r="J20" s="156"/>
      <c r="K20" s="153">
        <v>44682</v>
      </c>
      <c r="L20" s="153" t="s">
        <v>288</v>
      </c>
      <c r="M20" s="158" t="s">
        <v>288</v>
      </c>
      <c r="N20" s="155" t="s">
        <v>288</v>
      </c>
      <c r="O20" s="155">
        <v>44701</v>
      </c>
      <c r="P20" s="158">
        <v>44712</v>
      </c>
      <c r="Q20" s="155" t="s">
        <v>289</v>
      </c>
      <c r="R20" s="155"/>
      <c r="S20" s="151" t="s">
        <v>47</v>
      </c>
      <c r="T20" s="151" t="s">
        <v>290</v>
      </c>
      <c r="U20" s="156"/>
      <c r="V20" s="151" t="s">
        <v>85</v>
      </c>
      <c r="W20" s="151"/>
      <c r="X20" s="151"/>
      <c r="Y20" s="156"/>
      <c r="Z20" s="156"/>
      <c r="AA20" s="156"/>
      <c r="AB20" s="156"/>
      <c r="AC20" s="156"/>
      <c r="AD20" s="155" t="s">
        <v>288</v>
      </c>
      <c r="AE20" s="161">
        <v>300</v>
      </c>
      <c r="AF20" s="161">
        <v>1000</v>
      </c>
      <c r="AG20" s="155">
        <v>44691</v>
      </c>
      <c r="AH20" s="155">
        <v>44709</v>
      </c>
      <c r="AI20" s="155"/>
      <c r="AJ20" s="158">
        <v>44712</v>
      </c>
      <c r="AK20" s="211"/>
      <c r="AL20" s="158"/>
      <c r="AM20" s="1"/>
    </row>
    <row r="21" spans="1:48" ht="45" hidden="1" customHeight="1">
      <c r="A21" s="1"/>
      <c r="B21" s="159" t="s">
        <v>304</v>
      </c>
      <c r="C21" s="159" t="s">
        <v>305</v>
      </c>
      <c r="D21" s="159" t="s">
        <v>306</v>
      </c>
      <c r="E21" s="159" t="s">
        <v>307</v>
      </c>
      <c r="F21" s="152"/>
      <c r="G21" s="152" t="s">
        <v>308</v>
      </c>
      <c r="H21" s="152" t="s">
        <v>42</v>
      </c>
      <c r="I21" s="152">
        <v>33</v>
      </c>
      <c r="J21" s="151"/>
      <c r="K21" s="153">
        <v>44682</v>
      </c>
      <c r="L21" s="153" t="s">
        <v>288</v>
      </c>
      <c r="M21" s="155" t="s">
        <v>288</v>
      </c>
      <c r="N21" s="155" t="s">
        <v>288</v>
      </c>
      <c r="O21" s="155">
        <v>44697</v>
      </c>
      <c r="P21" s="155">
        <v>44704</v>
      </c>
      <c r="Q21" s="155" t="s">
        <v>289</v>
      </c>
      <c r="R21" s="155"/>
      <c r="S21" s="151" t="s">
        <v>47</v>
      </c>
      <c r="T21" s="151" t="s">
        <v>290</v>
      </c>
      <c r="U21" s="156"/>
      <c r="V21" s="151" t="s">
        <v>85</v>
      </c>
      <c r="W21" s="151"/>
      <c r="X21" s="151"/>
      <c r="Y21" s="156"/>
      <c r="Z21" s="156"/>
      <c r="AA21" s="156"/>
      <c r="AB21" s="156"/>
      <c r="AC21" s="156"/>
      <c r="AD21" s="155" t="s">
        <v>288</v>
      </c>
      <c r="AE21" s="161">
        <v>2700</v>
      </c>
      <c r="AF21" s="161">
        <v>2300</v>
      </c>
      <c r="AG21" s="155">
        <v>44691</v>
      </c>
      <c r="AH21" s="155">
        <v>44709</v>
      </c>
      <c r="AI21" s="155"/>
      <c r="AJ21" s="158">
        <v>44708</v>
      </c>
      <c r="AK21" s="211"/>
      <c r="AL21" s="158"/>
      <c r="AM21" s="1"/>
      <c r="AN21" s="1"/>
      <c r="AO21" s="1"/>
      <c r="AP21" s="1"/>
      <c r="AQ21" s="1"/>
      <c r="AR21" s="1"/>
      <c r="AS21" s="1"/>
      <c r="AT21" s="1"/>
      <c r="AU21" s="1"/>
      <c r="AV21" s="1"/>
    </row>
    <row r="22" spans="1:48" ht="45" hidden="1" customHeight="1">
      <c r="B22" s="159" t="s">
        <v>344</v>
      </c>
      <c r="C22" s="294" t="s">
        <v>111</v>
      </c>
      <c r="D22" s="294" t="s">
        <v>112</v>
      </c>
      <c r="E22" s="294" t="s">
        <v>345</v>
      </c>
      <c r="F22" s="295"/>
      <c r="G22" s="152" t="s">
        <v>296</v>
      </c>
      <c r="H22" s="152" t="s">
        <v>42</v>
      </c>
      <c r="I22" s="152" t="s">
        <v>346</v>
      </c>
      <c r="J22" s="156"/>
      <c r="K22" s="153">
        <v>44713</v>
      </c>
      <c r="L22" s="153" t="s">
        <v>288</v>
      </c>
      <c r="M22" s="255" t="s">
        <v>288</v>
      </c>
      <c r="N22" s="154" t="s">
        <v>288</v>
      </c>
      <c r="O22" s="154">
        <v>44726</v>
      </c>
      <c r="P22" s="154">
        <v>44742</v>
      </c>
      <c r="Q22" s="154" t="s">
        <v>289</v>
      </c>
      <c r="R22" s="154"/>
      <c r="S22" s="297" t="s">
        <v>47</v>
      </c>
      <c r="T22" s="297" t="s">
        <v>290</v>
      </c>
      <c r="U22" s="298"/>
      <c r="V22" s="297" t="s">
        <v>291</v>
      </c>
      <c r="W22" s="297"/>
      <c r="X22" s="297"/>
      <c r="Y22" s="298"/>
      <c r="Z22" s="298"/>
      <c r="AA22" s="298"/>
      <c r="AB22" s="298"/>
      <c r="AC22" s="298"/>
      <c r="AD22" s="154" t="s">
        <v>288</v>
      </c>
      <c r="AE22" s="361">
        <v>900</v>
      </c>
      <c r="AF22" s="361">
        <v>2000</v>
      </c>
      <c r="AG22" s="255">
        <v>44698</v>
      </c>
      <c r="AH22" s="255">
        <v>44742</v>
      </c>
      <c r="AI22" s="255"/>
      <c r="AJ22" s="255">
        <v>44742</v>
      </c>
      <c r="AK22" s="301"/>
      <c r="AL22" s="158"/>
      <c r="AM22" s="1"/>
    </row>
    <row r="23" spans="1:48" ht="45" hidden="1" customHeight="1">
      <c r="A23" s="1"/>
      <c r="B23" s="159" t="s">
        <v>347</v>
      </c>
      <c r="C23" s="159" t="s">
        <v>111</v>
      </c>
      <c r="D23" s="159" t="s">
        <v>112</v>
      </c>
      <c r="E23" s="159" t="s">
        <v>348</v>
      </c>
      <c r="F23" s="152"/>
      <c r="G23" s="152" t="s">
        <v>296</v>
      </c>
      <c r="H23" s="152" t="s">
        <v>42</v>
      </c>
      <c r="I23" s="152" t="s">
        <v>349</v>
      </c>
      <c r="J23" s="156"/>
      <c r="K23" s="153">
        <v>44713</v>
      </c>
      <c r="L23" s="153" t="s">
        <v>288</v>
      </c>
      <c r="M23" s="255" t="s">
        <v>288</v>
      </c>
      <c r="N23" s="155" t="s">
        <v>288</v>
      </c>
      <c r="O23" s="155">
        <v>44702</v>
      </c>
      <c r="P23" s="155">
        <v>44718</v>
      </c>
      <c r="Q23" s="155" t="s">
        <v>289</v>
      </c>
      <c r="R23" s="155"/>
      <c r="S23" s="151" t="s">
        <v>47</v>
      </c>
      <c r="T23" s="151" t="s">
        <v>290</v>
      </c>
      <c r="U23" s="156"/>
      <c r="V23" s="151" t="s">
        <v>85</v>
      </c>
      <c r="W23" s="151"/>
      <c r="X23" s="151"/>
      <c r="Y23" s="156"/>
      <c r="Z23" s="156"/>
      <c r="AA23" s="156"/>
      <c r="AB23" s="156"/>
      <c r="AC23" s="156"/>
      <c r="AD23" s="155" t="s">
        <v>288</v>
      </c>
      <c r="AE23" s="161">
        <v>2400</v>
      </c>
      <c r="AF23" s="161">
        <v>5600</v>
      </c>
      <c r="AG23" s="158">
        <v>44699</v>
      </c>
      <c r="AH23" s="158">
        <v>44742</v>
      </c>
      <c r="AI23" s="158"/>
      <c r="AJ23" s="158">
        <v>44742</v>
      </c>
      <c r="AK23" s="211"/>
      <c r="AL23" s="158"/>
      <c r="AM23" s="1"/>
      <c r="AN23" s="1"/>
      <c r="AO23" s="1"/>
      <c r="AP23" s="1"/>
      <c r="AQ23" s="1"/>
      <c r="AR23" s="1"/>
      <c r="AS23" s="1"/>
      <c r="AT23" s="1"/>
      <c r="AU23" s="1"/>
      <c r="AV23" s="1"/>
    </row>
    <row r="24" spans="1:48" ht="45" hidden="1" customHeight="1">
      <c r="A24" s="1"/>
      <c r="B24" s="159" t="s">
        <v>350</v>
      </c>
      <c r="C24" s="159" t="s">
        <v>111</v>
      </c>
      <c r="D24" s="159" t="s">
        <v>112</v>
      </c>
      <c r="E24" s="159" t="s">
        <v>351</v>
      </c>
      <c r="F24" s="152"/>
      <c r="G24" s="152" t="s">
        <v>296</v>
      </c>
      <c r="H24" s="152" t="s">
        <v>42</v>
      </c>
      <c r="I24" s="152">
        <v>241</v>
      </c>
      <c r="J24" s="156"/>
      <c r="K24" s="153">
        <v>44713</v>
      </c>
      <c r="L24" s="153" t="s">
        <v>288</v>
      </c>
      <c r="M24" s="158" t="s">
        <v>288</v>
      </c>
      <c r="N24" s="155" t="s">
        <v>288</v>
      </c>
      <c r="O24" s="155">
        <v>44719</v>
      </c>
      <c r="P24" s="155">
        <v>44743</v>
      </c>
      <c r="Q24" s="155" t="s">
        <v>289</v>
      </c>
      <c r="R24" s="155"/>
      <c r="S24" s="151" t="s">
        <v>47</v>
      </c>
      <c r="T24" s="151" t="s">
        <v>290</v>
      </c>
      <c r="U24" s="156"/>
      <c r="V24" s="151" t="s">
        <v>291</v>
      </c>
      <c r="W24" s="151"/>
      <c r="X24" s="151"/>
      <c r="Y24" s="156"/>
      <c r="Z24" s="156"/>
      <c r="AA24" s="156"/>
      <c r="AB24" s="156"/>
      <c r="AC24" s="156"/>
      <c r="AD24" s="155" t="s">
        <v>288</v>
      </c>
      <c r="AE24" s="161">
        <v>1300</v>
      </c>
      <c r="AF24" s="161">
        <v>1100</v>
      </c>
      <c r="AG24" s="158">
        <v>44699</v>
      </c>
      <c r="AH24" s="158">
        <v>44742</v>
      </c>
      <c r="AI24" s="158"/>
      <c r="AJ24" s="158">
        <v>44742</v>
      </c>
      <c r="AK24" s="211"/>
      <c r="AL24" s="158"/>
      <c r="AM24" s="1"/>
      <c r="AN24" s="1"/>
      <c r="AO24" s="1"/>
      <c r="AP24" s="1"/>
      <c r="AQ24" s="1"/>
      <c r="AR24" s="1"/>
      <c r="AS24" s="1"/>
      <c r="AT24" s="1"/>
      <c r="AU24" s="1"/>
      <c r="AV24" s="1"/>
    </row>
    <row r="25" spans="1:48" ht="45" hidden="1" customHeight="1">
      <c r="A25" s="1"/>
      <c r="B25" s="159" t="s">
        <v>382</v>
      </c>
      <c r="C25" s="159" t="s">
        <v>383</v>
      </c>
      <c r="D25" s="159" t="s">
        <v>384</v>
      </c>
      <c r="E25" s="159" t="s">
        <v>385</v>
      </c>
      <c r="F25" s="152"/>
      <c r="G25" s="152" t="s">
        <v>287</v>
      </c>
      <c r="H25" s="152" t="s">
        <v>42</v>
      </c>
      <c r="I25" s="152">
        <v>42</v>
      </c>
      <c r="J25" s="156"/>
      <c r="K25" s="153">
        <v>44713</v>
      </c>
      <c r="L25" s="153" t="s">
        <v>288</v>
      </c>
      <c r="M25" s="154" t="s">
        <v>288</v>
      </c>
      <c r="N25" s="155" t="s">
        <v>288</v>
      </c>
      <c r="O25" s="155">
        <v>44729</v>
      </c>
      <c r="P25" s="155">
        <v>44757</v>
      </c>
      <c r="Q25" s="155" t="s">
        <v>289</v>
      </c>
      <c r="R25" s="155"/>
      <c r="S25" s="151" t="s">
        <v>47</v>
      </c>
      <c r="T25" s="151" t="s">
        <v>290</v>
      </c>
      <c r="U25" s="156" t="s">
        <v>6906</v>
      </c>
      <c r="V25" s="151" t="s">
        <v>291</v>
      </c>
      <c r="W25" s="151"/>
      <c r="X25" s="151"/>
      <c r="Y25" s="156"/>
      <c r="Z25" s="156"/>
      <c r="AA25" s="156"/>
      <c r="AB25" s="156"/>
      <c r="AC25" s="156"/>
      <c r="AD25" s="155" t="s">
        <v>288</v>
      </c>
      <c r="AE25" s="161">
        <v>1000</v>
      </c>
      <c r="AF25" s="161">
        <v>700</v>
      </c>
      <c r="AG25" s="155">
        <v>44715</v>
      </c>
      <c r="AH25" s="155">
        <v>44741</v>
      </c>
      <c r="AI25" s="155"/>
      <c r="AJ25" s="158">
        <v>44750</v>
      </c>
      <c r="AK25" s="211"/>
      <c r="AL25" s="158"/>
      <c r="AM25" s="1"/>
      <c r="AN25" s="1"/>
      <c r="AO25" s="1"/>
      <c r="AP25" s="1"/>
      <c r="AQ25" s="1"/>
      <c r="AR25" s="1"/>
      <c r="AS25" s="1"/>
      <c r="AT25" s="1"/>
      <c r="AU25" s="1"/>
      <c r="AV25" s="1"/>
    </row>
    <row r="26" spans="1:48" ht="45" hidden="1" customHeight="1">
      <c r="A26" s="1"/>
      <c r="B26" s="159" t="s">
        <v>386</v>
      </c>
      <c r="C26" s="159" t="s">
        <v>383</v>
      </c>
      <c r="D26" s="159" t="s">
        <v>384</v>
      </c>
      <c r="E26" s="159" t="s">
        <v>387</v>
      </c>
      <c r="F26" s="152"/>
      <c r="G26" s="152" t="s">
        <v>287</v>
      </c>
      <c r="H26" s="152" t="s">
        <v>42</v>
      </c>
      <c r="I26" s="152">
        <v>191</v>
      </c>
      <c r="J26" s="156"/>
      <c r="K26" s="153">
        <v>44713</v>
      </c>
      <c r="L26" s="153" t="s">
        <v>288</v>
      </c>
      <c r="M26" s="155" t="s">
        <v>288</v>
      </c>
      <c r="N26" s="155" t="s">
        <v>288</v>
      </c>
      <c r="O26" s="155">
        <v>44729</v>
      </c>
      <c r="P26" s="155">
        <v>44750</v>
      </c>
      <c r="Q26" s="155" t="s">
        <v>289</v>
      </c>
      <c r="R26" s="155"/>
      <c r="S26" s="151" t="s">
        <v>47</v>
      </c>
      <c r="T26" s="151" t="s">
        <v>290</v>
      </c>
      <c r="U26" s="156"/>
      <c r="V26" s="151" t="s">
        <v>291</v>
      </c>
      <c r="W26" s="151"/>
      <c r="X26" s="151"/>
      <c r="Y26" s="156"/>
      <c r="Z26" s="156"/>
      <c r="AA26" s="156"/>
      <c r="AB26" s="156"/>
      <c r="AC26" s="156"/>
      <c r="AD26" s="155" t="s">
        <v>288</v>
      </c>
      <c r="AE26" s="161">
        <v>1000</v>
      </c>
      <c r="AF26" s="161">
        <v>700</v>
      </c>
      <c r="AG26" s="155">
        <v>44715</v>
      </c>
      <c r="AH26" s="155">
        <v>44741</v>
      </c>
      <c r="AI26" s="155"/>
      <c r="AJ26" s="158">
        <v>44750</v>
      </c>
      <c r="AK26" s="211"/>
      <c r="AL26" s="158"/>
      <c r="AM26" s="1"/>
      <c r="AN26" s="1"/>
      <c r="AO26" s="1"/>
      <c r="AP26" s="1"/>
      <c r="AQ26" s="1"/>
      <c r="AR26" s="1"/>
      <c r="AS26" s="1"/>
      <c r="AT26" s="1"/>
      <c r="AU26" s="1"/>
      <c r="AV26" s="1"/>
    </row>
    <row r="27" spans="1:48" ht="45" hidden="1" customHeight="1">
      <c r="B27" s="159" t="s">
        <v>352</v>
      </c>
      <c r="C27" s="159" t="s">
        <v>353</v>
      </c>
      <c r="D27" s="159" t="s">
        <v>354</v>
      </c>
      <c r="E27" s="159" t="s">
        <v>355</v>
      </c>
      <c r="F27" s="152"/>
      <c r="G27" s="152" t="s">
        <v>301</v>
      </c>
      <c r="H27" s="152" t="s">
        <v>42</v>
      </c>
      <c r="I27" s="152" t="s">
        <v>356</v>
      </c>
      <c r="J27" s="151"/>
      <c r="K27" s="153">
        <v>44713</v>
      </c>
      <c r="L27" s="153" t="s">
        <v>288</v>
      </c>
      <c r="M27" s="154" t="s">
        <v>288</v>
      </c>
      <c r="N27" s="155" t="s">
        <v>288</v>
      </c>
      <c r="O27" s="155">
        <v>44730</v>
      </c>
      <c r="P27" s="155" t="s">
        <v>357</v>
      </c>
      <c r="Q27" s="155" t="s">
        <v>289</v>
      </c>
      <c r="R27" s="155"/>
      <c r="S27" s="151" t="s">
        <v>47</v>
      </c>
      <c r="T27" s="151" t="s">
        <v>290</v>
      </c>
      <c r="U27" s="156"/>
      <c r="V27" s="151" t="s">
        <v>291</v>
      </c>
      <c r="W27" s="151"/>
      <c r="X27" s="151"/>
      <c r="Y27" s="156"/>
      <c r="Z27" s="156"/>
      <c r="AA27" s="156" t="s">
        <v>358</v>
      </c>
      <c r="AB27" s="156"/>
      <c r="AC27" s="156"/>
      <c r="AD27" s="155" t="s">
        <v>288</v>
      </c>
      <c r="AE27" s="161">
        <v>3400</v>
      </c>
      <c r="AF27" s="161">
        <v>6900</v>
      </c>
      <c r="AG27" s="155">
        <v>44704</v>
      </c>
      <c r="AH27" s="155">
        <v>44740</v>
      </c>
      <c r="AI27" s="155"/>
      <c r="AJ27" s="158">
        <v>44742</v>
      </c>
      <c r="AK27" s="211"/>
      <c r="AL27" s="158"/>
      <c r="AM27" s="1"/>
    </row>
    <row r="28" spans="1:48" ht="45" hidden="1" customHeight="1">
      <c r="A28" s="1"/>
      <c r="B28" s="159" t="s">
        <v>359</v>
      </c>
      <c r="C28" s="159" t="s">
        <v>111</v>
      </c>
      <c r="D28" s="159" t="s">
        <v>112</v>
      </c>
      <c r="E28" s="159" t="s">
        <v>360</v>
      </c>
      <c r="F28" s="152"/>
      <c r="G28" s="152" t="s">
        <v>296</v>
      </c>
      <c r="H28" s="152" t="s">
        <v>42</v>
      </c>
      <c r="I28" s="152" t="s">
        <v>361</v>
      </c>
      <c r="J28" s="156"/>
      <c r="K28" s="153">
        <v>44713</v>
      </c>
      <c r="L28" s="153" t="s">
        <v>288</v>
      </c>
      <c r="M28" s="158" t="s">
        <v>288</v>
      </c>
      <c r="N28" s="155" t="s">
        <v>288</v>
      </c>
      <c r="O28" s="155">
        <v>44729</v>
      </c>
      <c r="P28" s="155">
        <v>44741</v>
      </c>
      <c r="Q28" s="155" t="s">
        <v>289</v>
      </c>
      <c r="R28" s="155"/>
      <c r="S28" s="151" t="s">
        <v>47</v>
      </c>
      <c r="T28" s="151" t="s">
        <v>290</v>
      </c>
      <c r="U28" s="156"/>
      <c r="V28" s="151" t="s">
        <v>85</v>
      </c>
      <c r="W28" s="151"/>
      <c r="X28" s="151"/>
      <c r="Y28" s="156"/>
      <c r="Z28" s="156"/>
      <c r="AA28" s="156"/>
      <c r="AB28" s="156"/>
      <c r="AC28" s="156"/>
      <c r="AD28" s="155" t="s">
        <v>288</v>
      </c>
      <c r="AE28" s="161">
        <v>1600</v>
      </c>
      <c r="AF28" s="161">
        <v>7100</v>
      </c>
      <c r="AG28" s="158">
        <v>44699</v>
      </c>
      <c r="AH28" s="158">
        <v>44742</v>
      </c>
      <c r="AI28" s="158"/>
      <c r="AJ28" s="158">
        <v>44742</v>
      </c>
      <c r="AK28" s="211"/>
      <c r="AL28" s="158"/>
      <c r="AM28" s="1"/>
      <c r="AN28" s="1"/>
      <c r="AO28" s="1"/>
      <c r="AP28" s="1"/>
      <c r="AQ28" s="1"/>
      <c r="AR28" s="1"/>
      <c r="AS28" s="1"/>
      <c r="AT28" s="1"/>
      <c r="AU28" s="1"/>
      <c r="AV28" s="1"/>
    </row>
    <row r="29" spans="1:48" ht="45" hidden="1" customHeight="1">
      <c r="B29" s="159" t="s">
        <v>362</v>
      </c>
      <c r="C29" s="159" t="s">
        <v>363</v>
      </c>
      <c r="D29" s="159" t="s">
        <v>364</v>
      </c>
      <c r="E29" s="159" t="s">
        <v>365</v>
      </c>
      <c r="F29" s="152"/>
      <c r="G29" s="152" t="s">
        <v>301</v>
      </c>
      <c r="H29" s="152" t="s">
        <v>42</v>
      </c>
      <c r="I29" s="152">
        <v>51</v>
      </c>
      <c r="J29" s="151"/>
      <c r="K29" s="153">
        <v>44713</v>
      </c>
      <c r="L29" s="153" t="s">
        <v>288</v>
      </c>
      <c r="M29" s="155" t="s">
        <v>288</v>
      </c>
      <c r="N29" s="155" t="s">
        <v>288</v>
      </c>
      <c r="O29" s="155">
        <v>44701</v>
      </c>
      <c r="P29" s="155">
        <v>44742</v>
      </c>
      <c r="Q29" s="155" t="s">
        <v>289</v>
      </c>
      <c r="R29" s="155"/>
      <c r="S29" s="151" t="s">
        <v>47</v>
      </c>
      <c r="T29" s="151" t="s">
        <v>290</v>
      </c>
      <c r="U29" s="156"/>
      <c r="V29" s="151" t="s">
        <v>85</v>
      </c>
      <c r="W29" s="151"/>
      <c r="X29" s="151"/>
      <c r="Y29" s="156"/>
      <c r="Z29" s="156"/>
      <c r="AA29" s="156"/>
      <c r="AB29" s="156"/>
      <c r="AC29" s="156"/>
      <c r="AD29" s="155" t="s">
        <v>288</v>
      </c>
      <c r="AE29" s="161">
        <v>4100</v>
      </c>
      <c r="AF29" s="161">
        <v>1900</v>
      </c>
      <c r="AG29" s="155">
        <v>44701</v>
      </c>
      <c r="AH29" s="155">
        <v>44742</v>
      </c>
      <c r="AI29" s="155"/>
      <c r="AJ29" s="158">
        <v>44742</v>
      </c>
      <c r="AK29" s="211"/>
      <c r="AL29" s="158"/>
      <c r="AM29" s="1"/>
    </row>
    <row r="30" spans="1:48" ht="45" hidden="1" customHeight="1">
      <c r="A30" s="1"/>
      <c r="B30" s="159" t="s">
        <v>366</v>
      </c>
      <c r="C30" s="159" t="s">
        <v>363</v>
      </c>
      <c r="D30" s="159" t="s">
        <v>364</v>
      </c>
      <c r="E30" s="159" t="s">
        <v>367</v>
      </c>
      <c r="F30" s="152"/>
      <c r="G30" s="152" t="s">
        <v>301</v>
      </c>
      <c r="H30" s="152" t="s">
        <v>42</v>
      </c>
      <c r="I30" s="152">
        <v>71</v>
      </c>
      <c r="J30" s="151"/>
      <c r="K30" s="153">
        <v>44713</v>
      </c>
      <c r="L30" s="153" t="s">
        <v>288</v>
      </c>
      <c r="M30" s="154" t="s">
        <v>288</v>
      </c>
      <c r="N30" s="155" t="s">
        <v>288</v>
      </c>
      <c r="O30" s="155">
        <v>44701</v>
      </c>
      <c r="P30" s="155">
        <v>44742</v>
      </c>
      <c r="Q30" s="155" t="s">
        <v>289</v>
      </c>
      <c r="R30" s="155"/>
      <c r="S30" s="151" t="s">
        <v>47</v>
      </c>
      <c r="T30" s="151" t="s">
        <v>290</v>
      </c>
      <c r="U30" s="156"/>
      <c r="V30" s="151" t="s">
        <v>85</v>
      </c>
      <c r="W30" s="151"/>
      <c r="X30" s="151"/>
      <c r="Y30" s="156"/>
      <c r="Z30" s="156"/>
      <c r="AA30" s="156"/>
      <c r="AB30" s="156"/>
      <c r="AC30" s="156"/>
      <c r="AD30" s="155" t="s">
        <v>288</v>
      </c>
      <c r="AE30" s="161"/>
      <c r="AF30" s="161"/>
      <c r="AG30" s="155">
        <v>44701</v>
      </c>
      <c r="AH30" s="155">
        <v>44742</v>
      </c>
      <c r="AI30" s="155"/>
      <c r="AJ30" s="158">
        <v>44742</v>
      </c>
      <c r="AK30" s="211"/>
      <c r="AL30" s="158"/>
      <c r="AM30" s="1"/>
      <c r="AN30" s="1"/>
      <c r="AO30" s="1"/>
      <c r="AP30" s="1"/>
      <c r="AQ30" s="1"/>
      <c r="AR30" s="1"/>
      <c r="AS30" s="1"/>
      <c r="AT30" s="1"/>
      <c r="AU30" s="1"/>
      <c r="AV30" s="1"/>
    </row>
    <row r="31" spans="1:48" ht="45" hidden="1" customHeight="1">
      <c r="B31" s="159" t="s">
        <v>368</v>
      </c>
      <c r="C31" s="159" t="s">
        <v>111</v>
      </c>
      <c r="D31" s="159" t="s">
        <v>112</v>
      </c>
      <c r="E31" s="159" t="s">
        <v>369</v>
      </c>
      <c r="F31" s="152"/>
      <c r="G31" s="152" t="s">
        <v>296</v>
      </c>
      <c r="H31" s="152" t="s">
        <v>42</v>
      </c>
      <c r="I31" s="152">
        <v>111</v>
      </c>
      <c r="J31" s="156"/>
      <c r="K31" s="153">
        <v>44713</v>
      </c>
      <c r="L31" s="153" t="s">
        <v>288</v>
      </c>
      <c r="M31" s="255" t="s">
        <v>288</v>
      </c>
      <c r="N31" s="155" t="s">
        <v>288</v>
      </c>
      <c r="O31" s="155">
        <v>44718</v>
      </c>
      <c r="P31" s="155">
        <v>44742</v>
      </c>
      <c r="Q31" s="155" t="s">
        <v>289</v>
      </c>
      <c r="R31" s="155"/>
      <c r="S31" s="151" t="s">
        <v>47</v>
      </c>
      <c r="T31" s="151" t="s">
        <v>290</v>
      </c>
      <c r="U31" s="156"/>
      <c r="V31" s="151" t="s">
        <v>291</v>
      </c>
      <c r="W31" s="151"/>
      <c r="X31" s="151"/>
      <c r="Y31" s="156"/>
      <c r="Z31" s="156"/>
      <c r="AA31" s="156"/>
      <c r="AB31" s="156"/>
      <c r="AC31" s="156"/>
      <c r="AD31" s="155" t="s">
        <v>288</v>
      </c>
      <c r="AE31" s="161">
        <v>2200</v>
      </c>
      <c r="AF31" s="161">
        <v>1600</v>
      </c>
      <c r="AG31" s="158">
        <v>44698</v>
      </c>
      <c r="AH31" s="158">
        <v>44742</v>
      </c>
      <c r="AI31" s="158"/>
      <c r="AJ31" s="158">
        <v>44742</v>
      </c>
      <c r="AK31" s="211"/>
      <c r="AL31" s="158"/>
      <c r="AM31" s="1"/>
    </row>
    <row r="32" spans="1:48" ht="45" hidden="1" customHeight="1">
      <c r="A32" s="1"/>
      <c r="B32" s="159" t="s">
        <v>370</v>
      </c>
      <c r="C32" s="159" t="s">
        <v>150</v>
      </c>
      <c r="D32" s="162" t="s">
        <v>151</v>
      </c>
      <c r="E32" s="159" t="s">
        <v>371</v>
      </c>
      <c r="F32" s="152"/>
      <c r="G32" s="152" t="s">
        <v>287</v>
      </c>
      <c r="H32" s="152" t="s">
        <v>42</v>
      </c>
      <c r="I32" s="152">
        <v>64</v>
      </c>
      <c r="J32" s="156"/>
      <c r="K32" s="153">
        <v>44713</v>
      </c>
      <c r="L32" s="153" t="s">
        <v>288</v>
      </c>
      <c r="M32" s="154" t="s">
        <v>288</v>
      </c>
      <c r="N32" s="155" t="s">
        <v>288</v>
      </c>
      <c r="O32" s="155">
        <v>44736</v>
      </c>
      <c r="P32" s="155">
        <v>44743</v>
      </c>
      <c r="Q32" s="155" t="s">
        <v>289</v>
      </c>
      <c r="R32" s="155"/>
      <c r="S32" s="151" t="s">
        <v>47</v>
      </c>
      <c r="T32" s="151" t="s">
        <v>290</v>
      </c>
      <c r="U32" s="156"/>
      <c r="V32" s="151" t="s">
        <v>85</v>
      </c>
      <c r="W32" s="151"/>
      <c r="X32" s="151"/>
      <c r="Y32" s="156"/>
      <c r="Z32" s="156"/>
      <c r="AA32" s="156"/>
      <c r="AB32" s="156"/>
      <c r="AC32" s="156"/>
      <c r="AD32" s="158" t="s">
        <v>288</v>
      </c>
      <c r="AE32" s="161">
        <v>400</v>
      </c>
      <c r="AF32" s="161">
        <v>900</v>
      </c>
      <c r="AG32" s="155">
        <v>44709</v>
      </c>
      <c r="AH32" s="155">
        <v>44757</v>
      </c>
      <c r="AI32" s="155"/>
      <c r="AJ32" s="158">
        <v>44742</v>
      </c>
      <c r="AK32" s="211"/>
      <c r="AL32" s="158"/>
      <c r="AM32" s="1"/>
      <c r="AN32" s="1"/>
      <c r="AO32" s="1"/>
      <c r="AP32" s="1"/>
      <c r="AQ32" s="1"/>
      <c r="AR32" s="1"/>
      <c r="AS32" s="1"/>
      <c r="AT32" s="1"/>
      <c r="AU32" s="1"/>
      <c r="AV32" s="1"/>
    </row>
    <row r="33" spans="1:48" ht="45" hidden="1" customHeight="1">
      <c r="B33" s="159" t="s">
        <v>372</v>
      </c>
      <c r="C33" s="159" t="s">
        <v>373</v>
      </c>
      <c r="D33" s="159" t="s">
        <v>374</v>
      </c>
      <c r="E33" s="159" t="s">
        <v>375</v>
      </c>
      <c r="F33" s="152"/>
      <c r="G33" s="152" t="s">
        <v>308</v>
      </c>
      <c r="H33" s="152" t="s">
        <v>42</v>
      </c>
      <c r="I33" s="152">
        <v>131</v>
      </c>
      <c r="J33" s="151"/>
      <c r="K33" s="153">
        <v>44713</v>
      </c>
      <c r="L33" s="153" t="s">
        <v>288</v>
      </c>
      <c r="M33" s="154" t="s">
        <v>288</v>
      </c>
      <c r="N33" s="155" t="s">
        <v>288</v>
      </c>
      <c r="O33" s="155">
        <v>44732</v>
      </c>
      <c r="P33" s="155">
        <v>44743</v>
      </c>
      <c r="Q33" s="155" t="s">
        <v>289</v>
      </c>
      <c r="R33" s="155"/>
      <c r="S33" s="151" t="s">
        <v>47</v>
      </c>
      <c r="T33" s="151" t="s">
        <v>290</v>
      </c>
      <c r="U33" s="156"/>
      <c r="V33" s="151" t="s">
        <v>85</v>
      </c>
      <c r="W33" s="151"/>
      <c r="X33" s="151"/>
      <c r="Y33" s="156"/>
      <c r="Z33" s="156"/>
      <c r="AA33" s="156"/>
      <c r="AB33" s="156"/>
      <c r="AC33" s="156"/>
      <c r="AD33" s="155" t="s">
        <v>288</v>
      </c>
      <c r="AE33" s="161">
        <v>600</v>
      </c>
      <c r="AF33" s="161">
        <v>200</v>
      </c>
      <c r="AG33" s="155"/>
      <c r="AH33" s="155">
        <v>44742</v>
      </c>
      <c r="AI33" s="155"/>
      <c r="AJ33" s="158">
        <v>44742</v>
      </c>
      <c r="AK33" s="211"/>
      <c r="AL33" s="158"/>
      <c r="AM33" s="1"/>
    </row>
    <row r="34" spans="1:48" ht="45" hidden="1" customHeight="1">
      <c r="B34" s="159" t="s">
        <v>376</v>
      </c>
      <c r="C34" s="159" t="s">
        <v>353</v>
      </c>
      <c r="D34" s="159" t="s">
        <v>354</v>
      </c>
      <c r="E34" s="159" t="s">
        <v>377</v>
      </c>
      <c r="F34" s="152"/>
      <c r="G34" s="152" t="s">
        <v>301</v>
      </c>
      <c r="H34" s="152" t="s">
        <v>42</v>
      </c>
      <c r="I34" s="152" t="s">
        <v>378</v>
      </c>
      <c r="J34" s="151"/>
      <c r="K34" s="153">
        <v>44713</v>
      </c>
      <c r="L34" s="153" t="s">
        <v>288</v>
      </c>
      <c r="M34" s="346" t="s">
        <v>288</v>
      </c>
      <c r="N34" s="346" t="s">
        <v>288</v>
      </c>
      <c r="O34" s="155">
        <v>44705</v>
      </c>
      <c r="P34" s="155">
        <v>44718</v>
      </c>
      <c r="Q34" s="155" t="s">
        <v>289</v>
      </c>
      <c r="R34" s="155"/>
      <c r="S34" s="151" t="s">
        <v>47</v>
      </c>
      <c r="T34" s="151" t="s">
        <v>290</v>
      </c>
      <c r="U34" s="156"/>
      <c r="V34" s="151" t="s">
        <v>291</v>
      </c>
      <c r="W34" s="151"/>
      <c r="X34" s="151"/>
      <c r="Y34" s="156"/>
      <c r="Z34" s="156"/>
      <c r="AA34" s="156"/>
      <c r="AB34" s="156"/>
      <c r="AC34" s="156"/>
      <c r="AD34" s="155" t="s">
        <v>288</v>
      </c>
      <c r="AE34" s="161">
        <v>4200</v>
      </c>
      <c r="AF34" s="161">
        <v>5700</v>
      </c>
      <c r="AG34" s="155">
        <v>44704</v>
      </c>
      <c r="AH34" s="155">
        <v>44740</v>
      </c>
      <c r="AI34" s="155"/>
      <c r="AJ34" s="158">
        <v>44742</v>
      </c>
      <c r="AK34" s="211"/>
      <c r="AL34" s="158"/>
      <c r="AM34" s="1"/>
    </row>
    <row r="35" spans="1:48" ht="45" hidden="1" customHeight="1">
      <c r="B35" s="159" t="s">
        <v>379</v>
      </c>
      <c r="C35" s="159" t="s">
        <v>380</v>
      </c>
      <c r="D35" s="159" t="s">
        <v>685</v>
      </c>
      <c r="E35" s="162" t="s">
        <v>381</v>
      </c>
      <c r="F35" s="228"/>
      <c r="G35" s="228" t="s">
        <v>287</v>
      </c>
      <c r="H35" s="152" t="s">
        <v>42</v>
      </c>
      <c r="I35" s="152"/>
      <c r="J35" s="156"/>
      <c r="K35" s="153">
        <v>44713</v>
      </c>
      <c r="L35" s="153" t="s">
        <v>288</v>
      </c>
      <c r="M35" s="158" t="s">
        <v>288</v>
      </c>
      <c r="N35" s="155" t="s">
        <v>288</v>
      </c>
      <c r="O35" s="155">
        <v>44719</v>
      </c>
      <c r="P35" s="155">
        <v>44743</v>
      </c>
      <c r="Q35" s="155" t="s">
        <v>289</v>
      </c>
      <c r="R35" s="155"/>
      <c r="S35" s="151" t="s">
        <v>47</v>
      </c>
      <c r="T35" s="151" t="s">
        <v>290</v>
      </c>
      <c r="U35" s="156"/>
      <c r="V35" s="151"/>
      <c r="W35" s="151"/>
      <c r="X35" s="151"/>
      <c r="Y35" s="156"/>
      <c r="Z35" s="156"/>
      <c r="AA35" s="156"/>
      <c r="AB35" s="156"/>
      <c r="AC35" s="156"/>
      <c r="AD35" s="155" t="s">
        <v>288</v>
      </c>
      <c r="AE35" s="161">
        <v>900</v>
      </c>
      <c r="AF35" s="161">
        <v>600</v>
      </c>
      <c r="AG35" s="158">
        <v>44699</v>
      </c>
      <c r="AH35" s="158">
        <v>44742</v>
      </c>
      <c r="AI35" s="158"/>
      <c r="AJ35" s="158">
        <v>44742</v>
      </c>
      <c r="AK35" s="211"/>
      <c r="AL35" s="158"/>
      <c r="AM35" s="1"/>
    </row>
    <row r="36" spans="1:48" ht="45" hidden="1" customHeight="1">
      <c r="A36" s="1"/>
      <c r="B36" s="159" t="s">
        <v>395</v>
      </c>
      <c r="C36" s="159" t="s">
        <v>223</v>
      </c>
      <c r="D36" s="159" t="s">
        <v>224</v>
      </c>
      <c r="E36" s="159" t="s">
        <v>396</v>
      </c>
      <c r="F36" s="152"/>
      <c r="G36" s="152" t="s">
        <v>287</v>
      </c>
      <c r="H36" s="152" t="s">
        <v>42</v>
      </c>
      <c r="I36" s="152">
        <v>46</v>
      </c>
      <c r="J36" s="151"/>
      <c r="K36" s="153">
        <v>44743</v>
      </c>
      <c r="L36" s="153" t="s">
        <v>288</v>
      </c>
      <c r="M36" s="155" t="s">
        <v>288</v>
      </c>
      <c r="N36" s="155" t="s">
        <v>288</v>
      </c>
      <c r="O36" s="155">
        <v>44741</v>
      </c>
      <c r="P36" s="155">
        <v>44772</v>
      </c>
      <c r="Q36" s="155" t="s">
        <v>289</v>
      </c>
      <c r="R36" s="155"/>
      <c r="S36" s="151" t="s">
        <v>47</v>
      </c>
      <c r="T36" s="151" t="s">
        <v>290</v>
      </c>
      <c r="U36" s="156"/>
      <c r="V36" s="151" t="s">
        <v>85</v>
      </c>
      <c r="W36" s="151"/>
      <c r="X36" s="151"/>
      <c r="Y36" s="156"/>
      <c r="Z36" s="156"/>
      <c r="AA36" s="156"/>
      <c r="AB36" s="156"/>
      <c r="AC36" s="156"/>
      <c r="AD36" s="155" t="s">
        <v>288</v>
      </c>
      <c r="AE36" s="161">
        <v>3200</v>
      </c>
      <c r="AF36" s="161">
        <v>1900</v>
      </c>
      <c r="AG36" s="155">
        <v>44713</v>
      </c>
      <c r="AH36" s="155">
        <v>44771</v>
      </c>
      <c r="AI36" s="155"/>
      <c r="AJ36" s="158">
        <v>44771</v>
      </c>
      <c r="AK36" s="211"/>
      <c r="AL36" s="158"/>
      <c r="AM36" s="1"/>
      <c r="AN36" s="1"/>
      <c r="AO36" s="1"/>
      <c r="AP36" s="1"/>
      <c r="AQ36" s="1"/>
      <c r="AR36" s="1"/>
      <c r="AS36" s="1"/>
      <c r="AT36" s="1"/>
      <c r="AU36" s="1"/>
      <c r="AV36" s="1"/>
    </row>
    <row r="37" spans="1:48" ht="45" hidden="1" customHeight="1">
      <c r="B37" s="159" t="s">
        <v>397</v>
      </c>
      <c r="C37" s="159" t="s">
        <v>241</v>
      </c>
      <c r="D37" s="159" t="s">
        <v>8273</v>
      </c>
      <c r="E37" s="159" t="s">
        <v>399</v>
      </c>
      <c r="F37" s="152"/>
      <c r="G37" s="152" t="s">
        <v>301</v>
      </c>
      <c r="H37" s="152" t="s">
        <v>42</v>
      </c>
      <c r="I37" s="152" t="s">
        <v>400</v>
      </c>
      <c r="J37" s="151"/>
      <c r="K37" s="160">
        <v>44743</v>
      </c>
      <c r="L37" s="153" t="s">
        <v>288</v>
      </c>
      <c r="M37" s="154" t="s">
        <v>288</v>
      </c>
      <c r="N37" s="155" t="s">
        <v>288</v>
      </c>
      <c r="O37" s="155">
        <v>44741</v>
      </c>
      <c r="P37" s="158">
        <v>44772</v>
      </c>
      <c r="Q37" s="155" t="s">
        <v>289</v>
      </c>
      <c r="R37" s="155"/>
      <c r="S37" s="151" t="s">
        <v>47</v>
      </c>
      <c r="T37" s="151" t="s">
        <v>290</v>
      </c>
      <c r="U37" s="156"/>
      <c r="V37" s="151" t="s">
        <v>291</v>
      </c>
      <c r="W37" s="151"/>
      <c r="X37" s="151"/>
      <c r="Y37" s="156"/>
      <c r="Z37" s="156"/>
      <c r="AA37" s="156"/>
      <c r="AB37" s="156"/>
      <c r="AC37" s="156"/>
      <c r="AD37" s="155" t="s">
        <v>288</v>
      </c>
      <c r="AE37" s="161">
        <v>2900</v>
      </c>
      <c r="AF37" s="161">
        <v>3400</v>
      </c>
      <c r="AG37" s="155">
        <v>44726</v>
      </c>
      <c r="AH37" s="155">
        <v>44772</v>
      </c>
      <c r="AI37" s="155"/>
      <c r="AJ37" s="158">
        <v>44772</v>
      </c>
      <c r="AK37" s="211"/>
      <c r="AL37" s="158"/>
      <c r="AM37" s="1"/>
    </row>
    <row r="38" spans="1:48" ht="45" hidden="1" customHeight="1">
      <c r="B38" s="159" t="s">
        <v>393</v>
      </c>
      <c r="C38" s="159" t="s">
        <v>232</v>
      </c>
      <c r="D38" s="25" t="s">
        <v>8519</v>
      </c>
      <c r="E38" s="159" t="s">
        <v>394</v>
      </c>
      <c r="F38" s="152"/>
      <c r="G38" s="152" t="s">
        <v>287</v>
      </c>
      <c r="H38" s="152" t="s">
        <v>42</v>
      </c>
      <c r="I38" s="152">
        <v>201</v>
      </c>
      <c r="J38" s="151"/>
      <c r="K38" s="153">
        <v>44743</v>
      </c>
      <c r="L38" s="153" t="s">
        <v>288</v>
      </c>
      <c r="M38" s="155" t="s">
        <v>288</v>
      </c>
      <c r="N38" s="155" t="s">
        <v>288</v>
      </c>
      <c r="O38" s="155">
        <v>44743</v>
      </c>
      <c r="P38" s="155">
        <v>44751</v>
      </c>
      <c r="Q38" s="155" t="s">
        <v>289</v>
      </c>
      <c r="R38" s="155"/>
      <c r="S38" s="151" t="s">
        <v>47</v>
      </c>
      <c r="T38" s="151" t="s">
        <v>290</v>
      </c>
      <c r="U38" s="156"/>
      <c r="V38" s="151" t="s">
        <v>85</v>
      </c>
      <c r="W38" s="151"/>
      <c r="X38" s="151"/>
      <c r="Y38" s="156"/>
      <c r="Z38" s="156"/>
      <c r="AA38" s="156"/>
      <c r="AB38" s="156"/>
      <c r="AC38" s="156"/>
      <c r="AD38" s="155" t="s">
        <v>288</v>
      </c>
      <c r="AE38" s="161">
        <v>400</v>
      </c>
      <c r="AF38" s="161">
        <v>500</v>
      </c>
      <c r="AG38" s="155">
        <v>44713</v>
      </c>
      <c r="AH38" s="155">
        <v>44772</v>
      </c>
      <c r="AI38" s="155"/>
      <c r="AJ38" s="158">
        <v>44770</v>
      </c>
      <c r="AK38" s="211"/>
      <c r="AL38" s="158"/>
      <c r="AM38" s="1"/>
    </row>
    <row r="39" spans="1:48" ht="45" hidden="1" customHeight="1">
      <c r="A39" s="1"/>
      <c r="B39" s="159" t="s">
        <v>388</v>
      </c>
      <c r="C39" s="159" t="s">
        <v>232</v>
      </c>
      <c r="D39" s="25" t="s">
        <v>8519</v>
      </c>
      <c r="E39" s="159" t="s">
        <v>390</v>
      </c>
      <c r="F39" s="152"/>
      <c r="G39" s="152" t="s">
        <v>391</v>
      </c>
      <c r="H39" s="152" t="s">
        <v>42</v>
      </c>
      <c r="I39" s="152" t="s">
        <v>392</v>
      </c>
      <c r="J39" s="151"/>
      <c r="K39" s="153">
        <v>44743</v>
      </c>
      <c r="L39" s="153" t="s">
        <v>288</v>
      </c>
      <c r="M39" s="155" t="s">
        <v>288</v>
      </c>
      <c r="N39" s="155" t="s">
        <v>288</v>
      </c>
      <c r="O39" s="155">
        <v>44740</v>
      </c>
      <c r="P39" s="155">
        <v>44757</v>
      </c>
      <c r="Q39" s="155" t="s">
        <v>289</v>
      </c>
      <c r="R39" s="155"/>
      <c r="S39" s="151" t="s">
        <v>47</v>
      </c>
      <c r="T39" s="151" t="s">
        <v>290</v>
      </c>
      <c r="U39" s="156"/>
      <c r="V39" s="151" t="s">
        <v>85</v>
      </c>
      <c r="W39" s="151"/>
      <c r="X39" s="151"/>
      <c r="Y39" s="156"/>
      <c r="Z39" s="156"/>
      <c r="AA39" s="156"/>
      <c r="AB39" s="156"/>
      <c r="AC39" s="156"/>
      <c r="AD39" s="155" t="s">
        <v>288</v>
      </c>
      <c r="AE39" s="161">
        <v>1900</v>
      </c>
      <c r="AF39" s="161">
        <v>3300</v>
      </c>
      <c r="AG39" s="155">
        <v>44713</v>
      </c>
      <c r="AH39" s="155">
        <v>44743</v>
      </c>
      <c r="AI39" s="155"/>
      <c r="AJ39" s="158">
        <v>44764</v>
      </c>
      <c r="AK39" s="211"/>
      <c r="AL39" s="158"/>
      <c r="AM39" s="1"/>
      <c r="AN39" s="1"/>
      <c r="AO39" s="1"/>
      <c r="AP39" s="1"/>
      <c r="AQ39" s="1"/>
      <c r="AR39" s="1"/>
      <c r="AS39" s="1"/>
      <c r="AT39" s="1"/>
      <c r="AU39" s="1"/>
      <c r="AV39" s="1"/>
    </row>
    <row r="40" spans="1:48" ht="45" hidden="1" customHeight="1">
      <c r="A40" s="1"/>
      <c r="B40" s="159" t="s">
        <v>401</v>
      </c>
      <c r="C40" s="159" t="s">
        <v>150</v>
      </c>
      <c r="D40" s="162" t="s">
        <v>151</v>
      </c>
      <c r="E40" s="159" t="s">
        <v>402</v>
      </c>
      <c r="F40" s="152"/>
      <c r="G40" s="152" t="s">
        <v>287</v>
      </c>
      <c r="H40" s="152" t="s">
        <v>42</v>
      </c>
      <c r="I40" s="152">
        <v>55</v>
      </c>
      <c r="J40" s="156"/>
      <c r="K40" s="160">
        <v>44743</v>
      </c>
      <c r="L40" s="153" t="s">
        <v>288</v>
      </c>
      <c r="M40" s="155" t="s">
        <v>288</v>
      </c>
      <c r="N40" s="155" t="s">
        <v>288</v>
      </c>
      <c r="O40" s="155">
        <v>44736</v>
      </c>
      <c r="P40" s="158">
        <v>44772</v>
      </c>
      <c r="Q40" s="155" t="s">
        <v>289</v>
      </c>
      <c r="R40" s="155"/>
      <c r="S40" s="151" t="s">
        <v>47</v>
      </c>
      <c r="T40" s="151" t="s">
        <v>290</v>
      </c>
      <c r="U40" s="156"/>
      <c r="V40" s="151" t="s">
        <v>85</v>
      </c>
      <c r="W40" s="151"/>
      <c r="X40" s="151"/>
      <c r="Y40" s="156"/>
      <c r="Z40" s="156"/>
      <c r="AA40" s="156"/>
      <c r="AB40" s="156"/>
      <c r="AC40" s="156"/>
      <c r="AD40" s="158" t="s">
        <v>288</v>
      </c>
      <c r="AE40" s="161">
        <v>1000</v>
      </c>
      <c r="AF40" s="161">
        <v>1600</v>
      </c>
      <c r="AG40" s="155">
        <v>44709</v>
      </c>
      <c r="AH40" s="155">
        <v>44772</v>
      </c>
      <c r="AI40" s="155"/>
      <c r="AJ40" s="158">
        <v>44772</v>
      </c>
      <c r="AK40" s="211"/>
      <c r="AL40" s="158"/>
      <c r="AM40" s="1"/>
      <c r="AN40" s="1"/>
      <c r="AO40" s="1"/>
      <c r="AP40" s="1"/>
      <c r="AQ40" s="1"/>
      <c r="AR40" s="1"/>
      <c r="AS40" s="1"/>
      <c r="AT40" s="1"/>
      <c r="AU40" s="1"/>
      <c r="AV40" s="1"/>
    </row>
    <row r="41" spans="1:48" ht="45" hidden="1" customHeight="1">
      <c r="A41" s="1"/>
      <c r="B41" s="159" t="s">
        <v>403</v>
      </c>
      <c r="C41" s="159" t="s">
        <v>232</v>
      </c>
      <c r="D41" s="25" t="s">
        <v>8519</v>
      </c>
      <c r="E41" s="159" t="s">
        <v>404</v>
      </c>
      <c r="F41" s="152"/>
      <c r="G41" s="152" t="s">
        <v>391</v>
      </c>
      <c r="H41" s="152" t="s">
        <v>42</v>
      </c>
      <c r="I41" s="152">
        <v>221</v>
      </c>
      <c r="J41" s="151"/>
      <c r="K41" s="153">
        <v>44743</v>
      </c>
      <c r="L41" s="153" t="s">
        <v>288</v>
      </c>
      <c r="M41" s="154" t="s">
        <v>288</v>
      </c>
      <c r="N41" s="155" t="s">
        <v>288</v>
      </c>
      <c r="O41" s="155">
        <v>44764</v>
      </c>
      <c r="P41" s="155">
        <v>44767</v>
      </c>
      <c r="Q41" s="155" t="s">
        <v>289</v>
      </c>
      <c r="R41" s="155"/>
      <c r="S41" s="151" t="s">
        <v>47</v>
      </c>
      <c r="T41" s="151" t="s">
        <v>290</v>
      </c>
      <c r="U41" s="156"/>
      <c r="V41" s="151" t="s">
        <v>85</v>
      </c>
      <c r="W41" s="151"/>
      <c r="X41" s="151"/>
      <c r="Y41" s="156"/>
      <c r="Z41" s="156"/>
      <c r="AA41" s="156"/>
      <c r="AB41" s="156"/>
      <c r="AC41" s="156"/>
      <c r="AD41" s="158" t="s">
        <v>288</v>
      </c>
      <c r="AE41" s="161">
        <v>400</v>
      </c>
      <c r="AF41" s="161">
        <v>800</v>
      </c>
      <c r="AG41" s="155"/>
      <c r="AH41" s="155">
        <v>44772</v>
      </c>
      <c r="AI41" s="155"/>
      <c r="AJ41" s="158">
        <v>44772</v>
      </c>
      <c r="AK41" s="211"/>
      <c r="AL41" s="158"/>
      <c r="AM41" s="1"/>
      <c r="AN41" s="1"/>
      <c r="AO41" s="1"/>
      <c r="AP41" s="1"/>
      <c r="AQ41" s="1"/>
      <c r="AR41" s="1"/>
      <c r="AS41" s="1"/>
      <c r="AT41" s="1"/>
      <c r="AU41" s="1"/>
      <c r="AV41" s="1"/>
    </row>
    <row r="42" spans="1:48" ht="45" hidden="1" customHeight="1">
      <c r="B42" s="159" t="s">
        <v>405</v>
      </c>
      <c r="C42" s="159" t="s">
        <v>88</v>
      </c>
      <c r="D42" s="159" t="s">
        <v>89</v>
      </c>
      <c r="E42" s="159" t="s">
        <v>406</v>
      </c>
      <c r="F42" s="152"/>
      <c r="G42" s="152" t="s">
        <v>308</v>
      </c>
      <c r="H42" s="152" t="s">
        <v>42</v>
      </c>
      <c r="I42" s="152">
        <v>121</v>
      </c>
      <c r="J42" s="156" t="s">
        <v>407</v>
      </c>
      <c r="K42" s="153">
        <v>44743</v>
      </c>
      <c r="L42" s="153" t="s">
        <v>288</v>
      </c>
      <c r="M42" s="154" t="s">
        <v>288</v>
      </c>
      <c r="N42" s="155" t="s">
        <v>288</v>
      </c>
      <c r="O42" s="155">
        <v>44743</v>
      </c>
      <c r="P42" s="158">
        <v>44772</v>
      </c>
      <c r="Q42" s="155" t="s">
        <v>289</v>
      </c>
      <c r="R42" s="155"/>
      <c r="S42" s="151" t="s">
        <v>47</v>
      </c>
      <c r="T42" s="151" t="s">
        <v>290</v>
      </c>
      <c r="U42" s="156"/>
      <c r="V42" s="151" t="s">
        <v>291</v>
      </c>
      <c r="W42" s="151"/>
      <c r="X42" s="151"/>
      <c r="Y42" s="156"/>
      <c r="Z42" s="156"/>
      <c r="AA42" s="156" t="s">
        <v>408</v>
      </c>
      <c r="AB42" s="156"/>
      <c r="AC42" s="156"/>
      <c r="AD42" s="158" t="s">
        <v>288</v>
      </c>
      <c r="AE42" s="161">
        <v>500</v>
      </c>
      <c r="AF42" s="161">
        <v>1600</v>
      </c>
      <c r="AG42" s="155"/>
      <c r="AH42" s="155">
        <v>44772</v>
      </c>
      <c r="AI42" s="155"/>
      <c r="AJ42" s="158">
        <v>44772</v>
      </c>
      <c r="AK42" s="211"/>
      <c r="AL42" s="158"/>
      <c r="AM42" s="1"/>
    </row>
    <row r="43" spans="1:48" ht="45" hidden="1" customHeight="1">
      <c r="B43" s="159" t="s">
        <v>432</v>
      </c>
      <c r="C43" s="159" t="s">
        <v>117</v>
      </c>
      <c r="D43" s="25" t="s">
        <v>118</v>
      </c>
      <c r="E43" s="159" t="s">
        <v>433</v>
      </c>
      <c r="F43" s="152"/>
      <c r="G43" s="152" t="s">
        <v>296</v>
      </c>
      <c r="H43" s="152" t="s">
        <v>42</v>
      </c>
      <c r="I43" s="152" t="s">
        <v>309</v>
      </c>
      <c r="J43" s="151" t="s">
        <v>429</v>
      </c>
      <c r="K43" s="153">
        <v>44774</v>
      </c>
      <c r="L43" s="153" t="s">
        <v>288</v>
      </c>
      <c r="M43" s="154" t="s">
        <v>288</v>
      </c>
      <c r="N43" s="155" t="s">
        <v>288</v>
      </c>
      <c r="O43" s="155">
        <v>44771</v>
      </c>
      <c r="P43" s="155">
        <v>44776</v>
      </c>
      <c r="Q43" s="155" t="s">
        <v>289</v>
      </c>
      <c r="R43" s="155"/>
      <c r="S43" s="151" t="s">
        <v>47</v>
      </c>
      <c r="T43" s="151" t="s">
        <v>290</v>
      </c>
      <c r="U43" s="156"/>
      <c r="V43" s="151" t="s">
        <v>291</v>
      </c>
      <c r="W43" s="151"/>
      <c r="X43" s="151"/>
      <c r="Y43" s="156"/>
      <c r="Z43" s="156"/>
      <c r="AA43" s="156"/>
      <c r="AB43" s="156"/>
      <c r="AC43" s="156"/>
      <c r="AD43" s="155" t="s">
        <v>288</v>
      </c>
      <c r="AE43" s="161">
        <v>700</v>
      </c>
      <c r="AF43" s="161">
        <v>1600</v>
      </c>
      <c r="AG43" s="155">
        <v>44774</v>
      </c>
      <c r="AH43" s="155">
        <v>44783</v>
      </c>
      <c r="AI43" s="155"/>
      <c r="AJ43" s="158">
        <v>44793</v>
      </c>
      <c r="AK43" s="211"/>
      <c r="AL43" s="158"/>
      <c r="AM43" s="1"/>
    </row>
    <row r="44" spans="1:48" ht="45" hidden="1" customHeight="1">
      <c r="B44" s="159" t="s">
        <v>424</v>
      </c>
      <c r="C44" s="159" t="s">
        <v>425</v>
      </c>
      <c r="D44" s="218" t="s">
        <v>6858</v>
      </c>
      <c r="E44" s="159" t="s">
        <v>256</v>
      </c>
      <c r="F44" s="152"/>
      <c r="G44" s="152" t="s">
        <v>287</v>
      </c>
      <c r="H44" s="152" t="s">
        <v>427</v>
      </c>
      <c r="I44" s="152" t="s">
        <v>428</v>
      </c>
      <c r="J44" s="151" t="s">
        <v>429</v>
      </c>
      <c r="K44" s="153">
        <v>44774</v>
      </c>
      <c r="L44" s="153" t="s">
        <v>288</v>
      </c>
      <c r="M44" s="154" t="s">
        <v>288</v>
      </c>
      <c r="N44" s="155" t="s">
        <v>288</v>
      </c>
      <c r="O44" s="155">
        <v>44785</v>
      </c>
      <c r="P44" s="155">
        <v>44786</v>
      </c>
      <c r="Q44" s="155" t="s">
        <v>289</v>
      </c>
      <c r="R44" s="155"/>
      <c r="S44" s="151" t="s">
        <v>47</v>
      </c>
      <c r="T44" s="151" t="s">
        <v>290</v>
      </c>
      <c r="U44" s="156"/>
      <c r="V44" s="151" t="s">
        <v>291</v>
      </c>
      <c r="W44" s="151"/>
      <c r="X44" s="151"/>
      <c r="Y44" s="156"/>
      <c r="Z44" s="156"/>
      <c r="AA44" s="156"/>
      <c r="AB44" s="156"/>
      <c r="AC44" s="156"/>
      <c r="AD44" s="155" t="s">
        <v>288</v>
      </c>
      <c r="AE44" s="161">
        <v>2100</v>
      </c>
      <c r="AF44" s="161">
        <v>3100</v>
      </c>
      <c r="AG44" s="155">
        <v>44741</v>
      </c>
      <c r="AH44" s="155">
        <v>44788</v>
      </c>
      <c r="AI44" s="155"/>
      <c r="AJ44" s="158">
        <v>44788</v>
      </c>
      <c r="AK44" s="211"/>
      <c r="AL44" s="158"/>
      <c r="AM44" s="1"/>
    </row>
    <row r="45" spans="1:48" ht="45" hidden="1" customHeight="1">
      <c r="A45" s="1"/>
      <c r="B45" s="159" t="s">
        <v>430</v>
      </c>
      <c r="C45" s="159" t="s">
        <v>425</v>
      </c>
      <c r="D45" s="218" t="s">
        <v>6858</v>
      </c>
      <c r="E45" s="159" t="s">
        <v>250</v>
      </c>
      <c r="F45" s="152"/>
      <c r="G45" s="152"/>
      <c r="H45" s="152" t="s">
        <v>427</v>
      </c>
      <c r="I45" s="152" t="s">
        <v>431</v>
      </c>
      <c r="J45" s="151" t="s">
        <v>429</v>
      </c>
      <c r="K45" s="153">
        <v>44774</v>
      </c>
      <c r="L45" s="153" t="s">
        <v>288</v>
      </c>
      <c r="M45" s="154" t="s">
        <v>288</v>
      </c>
      <c r="N45" s="155" t="s">
        <v>288</v>
      </c>
      <c r="O45" s="155">
        <v>44785</v>
      </c>
      <c r="P45" s="155">
        <v>44786</v>
      </c>
      <c r="Q45" s="155" t="s">
        <v>289</v>
      </c>
      <c r="R45" s="155"/>
      <c r="S45" s="151" t="s">
        <v>47</v>
      </c>
      <c r="T45" s="151" t="s">
        <v>290</v>
      </c>
      <c r="U45" s="156"/>
      <c r="V45" s="151" t="s">
        <v>291</v>
      </c>
      <c r="W45" s="151"/>
      <c r="X45" s="151"/>
      <c r="Y45" s="156"/>
      <c r="Z45" s="156"/>
      <c r="AA45" s="156"/>
      <c r="AB45" s="156"/>
      <c r="AC45" s="156"/>
      <c r="AD45" s="155" t="s">
        <v>288</v>
      </c>
      <c r="AE45" s="161">
        <v>600</v>
      </c>
      <c r="AF45" s="161">
        <v>2400</v>
      </c>
      <c r="AG45" s="155">
        <v>44741</v>
      </c>
      <c r="AH45" s="155">
        <v>44788</v>
      </c>
      <c r="AI45" s="155"/>
      <c r="AJ45" s="158">
        <v>44788</v>
      </c>
      <c r="AK45" s="211"/>
      <c r="AL45" s="158"/>
      <c r="AM45" s="1"/>
      <c r="AN45" s="1"/>
      <c r="AO45" s="1"/>
      <c r="AP45" s="1"/>
      <c r="AQ45" s="1"/>
      <c r="AR45" s="1"/>
      <c r="AS45" s="1"/>
      <c r="AT45" s="1"/>
      <c r="AU45" s="1"/>
      <c r="AV45" s="1"/>
    </row>
    <row r="46" spans="1:48" ht="45" hidden="1" customHeight="1">
      <c r="A46" s="1"/>
      <c r="B46" s="159" t="s">
        <v>436</v>
      </c>
      <c r="C46" s="159" t="s">
        <v>425</v>
      </c>
      <c r="D46" s="218" t="s">
        <v>6858</v>
      </c>
      <c r="E46" s="159" t="s">
        <v>437</v>
      </c>
      <c r="F46" s="152"/>
      <c r="G46" s="159"/>
      <c r="H46" s="159" t="s">
        <v>427</v>
      </c>
      <c r="I46" s="159" t="s">
        <v>438</v>
      </c>
      <c r="J46" s="151" t="s">
        <v>429</v>
      </c>
      <c r="K46" s="160">
        <v>44774</v>
      </c>
      <c r="L46" s="160" t="s">
        <v>288</v>
      </c>
      <c r="M46" s="155" t="s">
        <v>288</v>
      </c>
      <c r="N46" s="155" t="s">
        <v>288</v>
      </c>
      <c r="O46" s="155">
        <v>44802</v>
      </c>
      <c r="P46" s="158">
        <v>44803</v>
      </c>
      <c r="Q46" s="155" t="s">
        <v>289</v>
      </c>
      <c r="R46" s="155"/>
      <c r="S46" s="151" t="s">
        <v>47</v>
      </c>
      <c r="T46" s="151" t="s">
        <v>290</v>
      </c>
      <c r="U46" s="156"/>
      <c r="V46" s="151" t="s">
        <v>291</v>
      </c>
      <c r="W46" s="151"/>
      <c r="X46" s="151"/>
      <c r="Y46" s="156"/>
      <c r="Z46" s="156"/>
      <c r="AA46" s="156"/>
      <c r="AB46" s="156"/>
      <c r="AC46" s="156"/>
      <c r="AD46" s="155" t="s">
        <v>288</v>
      </c>
      <c r="AE46" s="161">
        <v>2900</v>
      </c>
      <c r="AF46" s="161">
        <v>7000</v>
      </c>
      <c r="AG46" s="155">
        <v>44741</v>
      </c>
      <c r="AH46" s="155">
        <v>44788</v>
      </c>
      <c r="AI46" s="155"/>
      <c r="AJ46" s="158">
        <v>44803</v>
      </c>
      <c r="AK46" s="211"/>
      <c r="AL46" s="158"/>
      <c r="AM46" s="1"/>
      <c r="AN46" s="1"/>
      <c r="AO46" s="1"/>
      <c r="AP46" s="1"/>
      <c r="AQ46" s="1"/>
      <c r="AR46" s="1"/>
      <c r="AS46" s="1"/>
      <c r="AT46" s="1"/>
      <c r="AU46" s="1"/>
      <c r="AV46" s="1"/>
    </row>
    <row r="47" spans="1:48" ht="45" hidden="1" customHeight="1">
      <c r="B47" s="159" t="s">
        <v>439</v>
      </c>
      <c r="C47" s="159" t="s">
        <v>425</v>
      </c>
      <c r="D47" s="218" t="s">
        <v>6858</v>
      </c>
      <c r="E47" s="159" t="s">
        <v>440</v>
      </c>
      <c r="F47" s="152"/>
      <c r="G47" s="152"/>
      <c r="H47" s="159" t="s">
        <v>427</v>
      </c>
      <c r="I47" s="152" t="s">
        <v>441</v>
      </c>
      <c r="J47" s="151" t="s">
        <v>429</v>
      </c>
      <c r="K47" s="153">
        <v>44774</v>
      </c>
      <c r="L47" s="160" t="s">
        <v>288</v>
      </c>
      <c r="M47" s="154" t="s">
        <v>288</v>
      </c>
      <c r="N47" s="155" t="s">
        <v>288</v>
      </c>
      <c r="O47" s="155">
        <v>44802</v>
      </c>
      <c r="P47" s="158">
        <v>44803</v>
      </c>
      <c r="Q47" s="155" t="s">
        <v>289</v>
      </c>
      <c r="R47" s="155"/>
      <c r="S47" s="151" t="s">
        <v>47</v>
      </c>
      <c r="T47" s="151" t="s">
        <v>290</v>
      </c>
      <c r="U47" s="229"/>
      <c r="V47" s="151" t="s">
        <v>291</v>
      </c>
      <c r="W47" s="151"/>
      <c r="X47" s="151"/>
      <c r="Y47" s="156"/>
      <c r="Z47" s="156"/>
      <c r="AA47" s="156"/>
      <c r="AB47" s="156"/>
      <c r="AC47" s="156"/>
      <c r="AD47" s="155" t="s">
        <v>288</v>
      </c>
      <c r="AE47" s="161">
        <v>3600</v>
      </c>
      <c r="AF47" s="161">
        <v>12400</v>
      </c>
      <c r="AG47" s="155">
        <v>44741</v>
      </c>
      <c r="AH47" s="155">
        <v>44788</v>
      </c>
      <c r="AI47" s="155"/>
      <c r="AJ47" s="158">
        <v>44803</v>
      </c>
      <c r="AK47" s="211"/>
      <c r="AL47" s="158"/>
      <c r="AM47" s="1"/>
    </row>
    <row r="48" spans="1:48" ht="45" hidden="1" customHeight="1">
      <c r="B48" s="159" t="s">
        <v>415</v>
      </c>
      <c r="C48" s="159" t="s">
        <v>232</v>
      </c>
      <c r="D48" s="25" t="s">
        <v>8519</v>
      </c>
      <c r="E48" s="159" t="s">
        <v>416</v>
      </c>
      <c r="F48" s="152"/>
      <c r="G48" s="152" t="s">
        <v>391</v>
      </c>
      <c r="H48" s="152" t="s">
        <v>42</v>
      </c>
      <c r="I48" s="152" t="s">
        <v>417</v>
      </c>
      <c r="J48" s="151"/>
      <c r="K48" s="153">
        <v>44774</v>
      </c>
      <c r="L48" s="153" t="s">
        <v>288</v>
      </c>
      <c r="M48" s="154" t="s">
        <v>288</v>
      </c>
      <c r="N48" s="155" t="s">
        <v>288</v>
      </c>
      <c r="O48" s="155">
        <v>44742</v>
      </c>
      <c r="P48" s="155">
        <v>44751</v>
      </c>
      <c r="Q48" s="155" t="s">
        <v>289</v>
      </c>
      <c r="R48" s="155"/>
      <c r="S48" s="151" t="s">
        <v>47</v>
      </c>
      <c r="T48" s="151" t="s">
        <v>290</v>
      </c>
      <c r="U48" s="156"/>
      <c r="V48" s="151" t="s">
        <v>291</v>
      </c>
      <c r="W48" s="151"/>
      <c r="X48" s="151"/>
      <c r="Y48" s="156"/>
      <c r="Z48" s="156"/>
      <c r="AA48" s="156"/>
      <c r="AB48" s="156"/>
      <c r="AC48" s="156"/>
      <c r="AD48" s="155" t="s">
        <v>288</v>
      </c>
      <c r="AE48" s="161">
        <v>500</v>
      </c>
      <c r="AF48" s="161">
        <v>900</v>
      </c>
      <c r="AG48" s="155">
        <v>44713</v>
      </c>
      <c r="AH48" s="155">
        <v>44772</v>
      </c>
      <c r="AI48" s="155"/>
      <c r="AJ48" s="158">
        <v>44778</v>
      </c>
      <c r="AK48" s="211"/>
      <c r="AL48" s="158"/>
      <c r="AM48" s="1"/>
    </row>
    <row r="49" spans="1:48" ht="45" hidden="1" customHeight="1">
      <c r="A49" s="1"/>
      <c r="B49" s="159" t="s">
        <v>442</v>
      </c>
      <c r="C49" s="159" t="s">
        <v>104</v>
      </c>
      <c r="D49" s="159" t="s">
        <v>105</v>
      </c>
      <c r="E49" s="159" t="s">
        <v>443</v>
      </c>
      <c r="F49" s="159"/>
      <c r="G49" s="159"/>
      <c r="H49" s="159" t="s">
        <v>42</v>
      </c>
      <c r="I49" s="159"/>
      <c r="J49" s="151" t="s">
        <v>429</v>
      </c>
      <c r="K49" s="160">
        <v>44774</v>
      </c>
      <c r="L49" s="160" t="s">
        <v>288</v>
      </c>
      <c r="M49" s="155" t="s">
        <v>288</v>
      </c>
      <c r="N49" s="155" t="s">
        <v>288</v>
      </c>
      <c r="O49" s="155">
        <v>44793</v>
      </c>
      <c r="P49" s="155">
        <v>44798</v>
      </c>
      <c r="Q49" s="155" t="s">
        <v>289</v>
      </c>
      <c r="R49" s="155"/>
      <c r="S49" s="151" t="s">
        <v>47</v>
      </c>
      <c r="T49" s="151" t="s">
        <v>290</v>
      </c>
      <c r="U49" s="156"/>
      <c r="V49" s="151" t="s">
        <v>85</v>
      </c>
      <c r="W49" s="151"/>
      <c r="X49" s="151"/>
      <c r="Y49" s="156"/>
      <c r="Z49" s="156"/>
      <c r="AA49" s="156"/>
      <c r="AB49" s="156"/>
      <c r="AC49" s="156"/>
      <c r="AD49" s="155" t="s">
        <v>288</v>
      </c>
      <c r="AE49" s="161">
        <v>2100</v>
      </c>
      <c r="AF49" s="161">
        <v>6200</v>
      </c>
      <c r="AG49" s="155">
        <v>44774</v>
      </c>
      <c r="AH49" s="155">
        <v>44797</v>
      </c>
      <c r="AI49" s="155"/>
      <c r="AJ49" s="158">
        <v>44803</v>
      </c>
      <c r="AK49" s="211"/>
      <c r="AL49" s="158"/>
      <c r="AM49" s="1"/>
      <c r="AN49" s="1"/>
      <c r="AO49" s="1"/>
      <c r="AP49" s="1"/>
      <c r="AQ49" s="1"/>
      <c r="AR49" s="1"/>
      <c r="AS49" s="1"/>
      <c r="AT49" s="1"/>
      <c r="AU49" s="1"/>
      <c r="AV49" s="1"/>
    </row>
    <row r="50" spans="1:48" ht="45" hidden="1" customHeight="1">
      <c r="B50" s="159" t="s">
        <v>418</v>
      </c>
      <c r="C50" s="159" t="s">
        <v>232</v>
      </c>
      <c r="D50" s="25" t="s">
        <v>8519</v>
      </c>
      <c r="E50" s="159" t="s">
        <v>419</v>
      </c>
      <c r="F50" s="159"/>
      <c r="G50" s="159" t="s">
        <v>287</v>
      </c>
      <c r="H50" s="159" t="s">
        <v>42</v>
      </c>
      <c r="I50" s="159" t="s">
        <v>420</v>
      </c>
      <c r="J50" s="151"/>
      <c r="K50" s="160">
        <v>44774</v>
      </c>
      <c r="L50" s="160" t="s">
        <v>288</v>
      </c>
      <c r="M50" s="155" t="s">
        <v>288</v>
      </c>
      <c r="N50" s="155" t="s">
        <v>288</v>
      </c>
      <c r="O50" s="155">
        <v>44764</v>
      </c>
      <c r="P50" s="155">
        <v>44758</v>
      </c>
      <c r="Q50" s="155" t="s">
        <v>289</v>
      </c>
      <c r="R50" s="155"/>
      <c r="S50" s="151" t="s">
        <v>47</v>
      </c>
      <c r="T50" s="151" t="s">
        <v>290</v>
      </c>
      <c r="U50" s="156"/>
      <c r="V50" s="151" t="s">
        <v>85</v>
      </c>
      <c r="W50" s="151"/>
      <c r="X50" s="151"/>
      <c r="Y50" s="156"/>
      <c r="Z50" s="156"/>
      <c r="AA50" s="156"/>
      <c r="AB50" s="156"/>
      <c r="AC50" s="156"/>
      <c r="AD50" s="155" t="s">
        <v>288</v>
      </c>
      <c r="AE50" s="161">
        <v>2400</v>
      </c>
      <c r="AF50" s="161">
        <v>6000</v>
      </c>
      <c r="AG50" s="155">
        <v>44713</v>
      </c>
      <c r="AH50" s="155">
        <v>44772</v>
      </c>
      <c r="AI50" s="155"/>
      <c r="AJ50" s="158">
        <v>44778</v>
      </c>
      <c r="AK50" s="211"/>
      <c r="AL50" s="158"/>
      <c r="AM50" s="1"/>
    </row>
    <row r="51" spans="1:48" ht="45" hidden="1" customHeight="1">
      <c r="B51" s="159" t="s">
        <v>409</v>
      </c>
      <c r="C51" s="159" t="s">
        <v>410</v>
      </c>
      <c r="D51" s="159" t="s">
        <v>411</v>
      </c>
      <c r="E51" s="159" t="s">
        <v>412</v>
      </c>
      <c r="F51" s="159"/>
      <c r="G51" s="159" t="s">
        <v>308</v>
      </c>
      <c r="H51" s="159" t="s">
        <v>42</v>
      </c>
      <c r="I51" s="159">
        <v>102</v>
      </c>
      <c r="J51" s="151"/>
      <c r="K51" s="160">
        <v>44774</v>
      </c>
      <c r="L51" s="160" t="s">
        <v>288</v>
      </c>
      <c r="M51" s="155" t="s">
        <v>288</v>
      </c>
      <c r="N51" s="155" t="s">
        <v>288</v>
      </c>
      <c r="O51" s="155">
        <v>44775</v>
      </c>
      <c r="P51" s="158">
        <v>44776</v>
      </c>
      <c r="Q51" s="155" t="s">
        <v>289</v>
      </c>
      <c r="R51" s="155"/>
      <c r="S51" s="151" t="s">
        <v>47</v>
      </c>
      <c r="T51" s="151" t="s">
        <v>290</v>
      </c>
      <c r="U51" s="156"/>
      <c r="V51" s="151" t="s">
        <v>291</v>
      </c>
      <c r="W51" s="151"/>
      <c r="X51" s="151"/>
      <c r="Y51" s="156"/>
      <c r="Z51" s="156"/>
      <c r="AA51" s="156"/>
      <c r="AB51" s="156"/>
      <c r="AC51" s="156"/>
      <c r="AD51" s="158" t="s">
        <v>288</v>
      </c>
      <c r="AE51" s="161">
        <v>1800</v>
      </c>
      <c r="AF51" s="161">
        <v>400</v>
      </c>
      <c r="AG51" s="155">
        <v>44732</v>
      </c>
      <c r="AH51" s="155">
        <v>44776</v>
      </c>
      <c r="AI51" s="155"/>
      <c r="AJ51" s="158">
        <v>44776</v>
      </c>
      <c r="AK51" s="211"/>
      <c r="AL51" s="158"/>
      <c r="AM51" s="1"/>
    </row>
    <row r="52" spans="1:48" ht="45" hidden="1" customHeight="1">
      <c r="B52" s="159" t="s">
        <v>413</v>
      </c>
      <c r="C52" s="159" t="s">
        <v>88</v>
      </c>
      <c r="D52" s="159" t="s">
        <v>89</v>
      </c>
      <c r="E52" s="159" t="s">
        <v>414</v>
      </c>
      <c r="F52" s="159"/>
      <c r="G52" s="159" t="s">
        <v>308</v>
      </c>
      <c r="H52" s="159" t="s">
        <v>42</v>
      </c>
      <c r="I52" s="159" t="s">
        <v>258</v>
      </c>
      <c r="J52" s="156"/>
      <c r="K52" s="160">
        <v>44774</v>
      </c>
      <c r="L52" s="160" t="s">
        <v>288</v>
      </c>
      <c r="M52" s="155" t="s">
        <v>288</v>
      </c>
      <c r="N52" s="155" t="s">
        <v>288</v>
      </c>
      <c r="O52" s="155">
        <v>44740</v>
      </c>
      <c r="P52" s="155">
        <v>44776</v>
      </c>
      <c r="Q52" s="155" t="s">
        <v>289</v>
      </c>
      <c r="R52" s="155"/>
      <c r="S52" s="151" t="s">
        <v>47</v>
      </c>
      <c r="T52" s="151" t="s">
        <v>290</v>
      </c>
      <c r="U52" s="156"/>
      <c r="V52" s="151" t="s">
        <v>85</v>
      </c>
      <c r="W52" s="151"/>
      <c r="X52" s="151"/>
      <c r="Y52" s="156"/>
      <c r="Z52" s="156"/>
      <c r="AA52" s="156"/>
      <c r="AB52" s="156"/>
      <c r="AC52" s="156"/>
      <c r="AD52" s="158" t="s">
        <v>288</v>
      </c>
      <c r="AE52" s="161">
        <v>1700</v>
      </c>
      <c r="AF52" s="161">
        <v>1100</v>
      </c>
      <c r="AG52" s="155">
        <v>44732</v>
      </c>
      <c r="AH52" s="155">
        <v>44778</v>
      </c>
      <c r="AI52" s="155"/>
      <c r="AJ52" s="158">
        <v>44776</v>
      </c>
      <c r="AK52" s="211"/>
      <c r="AL52" s="158"/>
      <c r="AM52" s="1"/>
    </row>
    <row r="53" spans="1:48" ht="45" hidden="1" customHeight="1">
      <c r="B53" s="159" t="s">
        <v>473</v>
      </c>
      <c r="C53" s="159" t="s">
        <v>425</v>
      </c>
      <c r="D53" s="159" t="s">
        <v>474</v>
      </c>
      <c r="E53" s="159" t="s">
        <v>475</v>
      </c>
      <c r="F53" s="159"/>
      <c r="G53" s="159" t="s">
        <v>301</v>
      </c>
      <c r="H53" s="159" t="s">
        <v>476</v>
      </c>
      <c r="I53" s="159" t="s">
        <v>477</v>
      </c>
      <c r="J53" s="151"/>
      <c r="K53" s="160">
        <v>44805</v>
      </c>
      <c r="L53" s="160" t="s">
        <v>288</v>
      </c>
      <c r="M53" s="155" t="s">
        <v>288</v>
      </c>
      <c r="N53" s="155" t="s">
        <v>288</v>
      </c>
      <c r="O53" s="155">
        <v>44830</v>
      </c>
      <c r="P53" s="155">
        <v>44830</v>
      </c>
      <c r="Q53" s="155" t="s">
        <v>289</v>
      </c>
      <c r="R53" s="155"/>
      <c r="S53" s="151" t="s">
        <v>47</v>
      </c>
      <c r="T53" s="151" t="s">
        <v>290</v>
      </c>
      <c r="U53" s="156"/>
      <c r="V53" s="151" t="s">
        <v>291</v>
      </c>
      <c r="W53" s="151"/>
      <c r="X53" s="151"/>
      <c r="Y53" s="156"/>
      <c r="Z53" s="156"/>
      <c r="AA53" s="156"/>
      <c r="AB53" s="156"/>
      <c r="AC53" s="156"/>
      <c r="AD53" s="158" t="s">
        <v>288</v>
      </c>
      <c r="AE53" s="161">
        <v>1400</v>
      </c>
      <c r="AF53" s="161">
        <v>2700</v>
      </c>
      <c r="AG53" s="155">
        <v>44814</v>
      </c>
      <c r="AH53" s="155">
        <v>44832</v>
      </c>
      <c r="AI53" s="155"/>
      <c r="AJ53" s="158">
        <v>44848</v>
      </c>
      <c r="AK53" s="211"/>
      <c r="AL53" s="158"/>
      <c r="AM53" s="1"/>
    </row>
    <row r="54" spans="1:48" ht="45" hidden="1" customHeight="1">
      <c r="B54" s="159" t="s">
        <v>483</v>
      </c>
      <c r="C54" s="159" t="s">
        <v>425</v>
      </c>
      <c r="D54" s="159" t="s">
        <v>484</v>
      </c>
      <c r="E54" s="159" t="s">
        <v>485</v>
      </c>
      <c r="F54" s="159"/>
      <c r="G54" s="159" t="s">
        <v>301</v>
      </c>
      <c r="H54" s="159" t="s">
        <v>486</v>
      </c>
      <c r="I54" s="159" t="s">
        <v>334</v>
      </c>
      <c r="J54" s="151"/>
      <c r="K54" s="160">
        <v>44805</v>
      </c>
      <c r="L54" s="160" t="s">
        <v>288</v>
      </c>
      <c r="M54" s="155" t="s">
        <v>288</v>
      </c>
      <c r="N54" s="155" t="s">
        <v>288</v>
      </c>
      <c r="O54" s="155">
        <v>44827</v>
      </c>
      <c r="P54" s="155">
        <v>44857</v>
      </c>
      <c r="Q54" s="155" t="s">
        <v>289</v>
      </c>
      <c r="R54" s="155"/>
      <c r="S54" s="151" t="s">
        <v>47</v>
      </c>
      <c r="T54" s="151" t="s">
        <v>290</v>
      </c>
      <c r="U54" s="156"/>
      <c r="V54" s="151" t="s">
        <v>291</v>
      </c>
      <c r="W54" s="151"/>
      <c r="X54" s="151"/>
      <c r="Y54" s="156"/>
      <c r="Z54" s="156"/>
      <c r="AA54" s="156"/>
      <c r="AB54" s="156"/>
      <c r="AC54" s="156"/>
      <c r="AD54" s="158" t="s">
        <v>288</v>
      </c>
      <c r="AE54" s="161">
        <v>1100</v>
      </c>
      <c r="AF54" s="161">
        <v>2400</v>
      </c>
      <c r="AG54" s="155">
        <v>44859</v>
      </c>
      <c r="AH54" s="155">
        <v>44864</v>
      </c>
      <c r="AI54" s="155"/>
      <c r="AJ54" s="158">
        <v>44857</v>
      </c>
      <c r="AK54" s="211"/>
      <c r="AL54" s="158"/>
      <c r="AM54" s="1"/>
    </row>
    <row r="55" spans="1:48" ht="45" hidden="1" customHeight="1">
      <c r="A55" s="1"/>
      <c r="B55" s="159" t="s">
        <v>469</v>
      </c>
      <c r="C55" s="159" t="s">
        <v>70</v>
      </c>
      <c r="D55" s="159" t="s">
        <v>316</v>
      </c>
      <c r="E55" s="159" t="s">
        <v>470</v>
      </c>
      <c r="F55" s="159"/>
      <c r="G55" s="159" t="s">
        <v>308</v>
      </c>
      <c r="H55" s="159" t="s">
        <v>42</v>
      </c>
      <c r="I55" s="159">
        <v>62</v>
      </c>
      <c r="J55" s="156" t="s">
        <v>407</v>
      </c>
      <c r="K55" s="160">
        <v>44805</v>
      </c>
      <c r="L55" s="160" t="s">
        <v>288</v>
      </c>
      <c r="M55" s="155" t="s">
        <v>288</v>
      </c>
      <c r="N55" s="155" t="s">
        <v>288</v>
      </c>
      <c r="O55" s="155">
        <v>44813</v>
      </c>
      <c r="P55" s="158">
        <v>44829</v>
      </c>
      <c r="Q55" s="155" t="s">
        <v>289</v>
      </c>
      <c r="R55" s="155"/>
      <c r="S55" s="151" t="s">
        <v>47</v>
      </c>
      <c r="T55" s="151" t="s">
        <v>290</v>
      </c>
      <c r="U55" s="156"/>
      <c r="V55" s="151" t="s">
        <v>85</v>
      </c>
      <c r="W55" s="151"/>
      <c r="X55" s="151"/>
      <c r="Y55" s="156"/>
      <c r="Z55" s="156"/>
      <c r="AA55" s="156"/>
      <c r="AB55" s="156"/>
      <c r="AC55" s="156"/>
      <c r="AD55" s="158" t="s">
        <v>288</v>
      </c>
      <c r="AE55" s="161">
        <v>0</v>
      </c>
      <c r="AF55" s="161">
        <v>500</v>
      </c>
      <c r="AG55" s="155">
        <v>44770</v>
      </c>
      <c r="AH55" s="155">
        <v>44819</v>
      </c>
      <c r="AI55" s="155"/>
      <c r="AJ55" s="158">
        <v>44829</v>
      </c>
      <c r="AK55" s="211"/>
      <c r="AL55" s="158"/>
      <c r="AM55" s="1"/>
      <c r="AN55" s="1"/>
      <c r="AO55" s="1"/>
      <c r="AP55" s="1"/>
      <c r="AQ55" s="1"/>
      <c r="AR55" s="1"/>
      <c r="AS55" s="1"/>
      <c r="AT55" s="1"/>
      <c r="AU55" s="1"/>
      <c r="AV55" s="1"/>
    </row>
    <row r="56" spans="1:48" ht="45" hidden="1" customHeight="1">
      <c r="A56" s="1"/>
      <c r="B56" s="159" t="s">
        <v>465</v>
      </c>
      <c r="C56" s="159" t="s">
        <v>70</v>
      </c>
      <c r="D56" s="159" t="s">
        <v>71</v>
      </c>
      <c r="E56" s="159" t="s">
        <v>466</v>
      </c>
      <c r="F56" s="159"/>
      <c r="G56" s="159" t="s">
        <v>296</v>
      </c>
      <c r="H56" s="159" t="s">
        <v>42</v>
      </c>
      <c r="I56" s="159">
        <v>51</v>
      </c>
      <c r="J56" s="156" t="s">
        <v>407</v>
      </c>
      <c r="K56" s="160">
        <v>44805</v>
      </c>
      <c r="L56" s="160" t="s">
        <v>288</v>
      </c>
      <c r="M56" s="155" t="s">
        <v>288</v>
      </c>
      <c r="N56" s="155" t="s">
        <v>288</v>
      </c>
      <c r="O56" s="155">
        <v>44826</v>
      </c>
      <c r="P56" s="158">
        <v>44827</v>
      </c>
      <c r="Q56" s="155" t="s">
        <v>289</v>
      </c>
      <c r="R56" s="155"/>
      <c r="S56" s="151" t="s">
        <v>47</v>
      </c>
      <c r="T56" s="151" t="s">
        <v>290</v>
      </c>
      <c r="U56" s="156"/>
      <c r="V56" s="151" t="s">
        <v>291</v>
      </c>
      <c r="W56" s="151"/>
      <c r="X56" s="151"/>
      <c r="Y56" s="156"/>
      <c r="Z56" s="156"/>
      <c r="AA56" s="156"/>
      <c r="AB56" s="156"/>
      <c r="AC56" s="156"/>
      <c r="AD56" s="158" t="s">
        <v>288</v>
      </c>
      <c r="AE56" s="161">
        <v>800</v>
      </c>
      <c r="AF56" s="161">
        <v>1700</v>
      </c>
      <c r="AG56" s="155">
        <v>44770</v>
      </c>
      <c r="AH56" s="155">
        <v>44819</v>
      </c>
      <c r="AI56" s="155"/>
      <c r="AJ56" s="158">
        <v>44827</v>
      </c>
      <c r="AK56" s="211"/>
      <c r="AL56" s="158"/>
      <c r="AM56" s="1"/>
      <c r="AN56" s="1"/>
      <c r="AO56" s="1"/>
      <c r="AP56" s="1"/>
      <c r="AQ56" s="1"/>
      <c r="AR56" s="1"/>
      <c r="AS56" s="1"/>
      <c r="AT56" s="1"/>
      <c r="AU56" s="1"/>
      <c r="AV56" s="1"/>
    </row>
    <row r="57" spans="1:48" ht="45" hidden="1" customHeight="1">
      <c r="A57" s="1"/>
      <c r="B57" s="159" t="s">
        <v>444</v>
      </c>
      <c r="C57" s="159" t="s">
        <v>88</v>
      </c>
      <c r="D57" s="159" t="s">
        <v>89</v>
      </c>
      <c r="E57" s="159" t="s">
        <v>445</v>
      </c>
      <c r="F57" s="159"/>
      <c r="G57" s="159" t="s">
        <v>446</v>
      </c>
      <c r="H57" s="159" t="s">
        <v>42</v>
      </c>
      <c r="I57" s="159" t="s">
        <v>447</v>
      </c>
      <c r="J57" s="151" t="s">
        <v>423</v>
      </c>
      <c r="K57" s="160">
        <v>44805</v>
      </c>
      <c r="L57" s="160" t="s">
        <v>288</v>
      </c>
      <c r="M57" s="155" t="s">
        <v>288</v>
      </c>
      <c r="N57" s="155" t="s">
        <v>288</v>
      </c>
      <c r="O57" s="155">
        <v>44800</v>
      </c>
      <c r="P57" s="158">
        <v>44806</v>
      </c>
      <c r="Q57" s="155" t="s">
        <v>289</v>
      </c>
      <c r="R57" s="155"/>
      <c r="S57" s="151" t="s">
        <v>47</v>
      </c>
      <c r="T57" s="151" t="s">
        <v>290</v>
      </c>
      <c r="U57" s="156"/>
      <c r="V57" s="151" t="s">
        <v>85</v>
      </c>
      <c r="W57" s="151"/>
      <c r="X57" s="151"/>
      <c r="Y57" s="156"/>
      <c r="Z57" s="156"/>
      <c r="AA57" s="156"/>
      <c r="AB57" s="156"/>
      <c r="AC57" s="156"/>
      <c r="AD57" s="158" t="s">
        <v>288</v>
      </c>
      <c r="AE57" s="161">
        <v>3300</v>
      </c>
      <c r="AF57" s="161">
        <v>8100</v>
      </c>
      <c r="AG57" s="155">
        <v>44774</v>
      </c>
      <c r="AH57" s="155">
        <v>44792</v>
      </c>
      <c r="AI57" s="155"/>
      <c r="AJ57" s="158">
        <v>44806</v>
      </c>
      <c r="AK57" s="211"/>
      <c r="AL57" s="158"/>
      <c r="AM57" s="1"/>
      <c r="AN57" s="1"/>
      <c r="AO57" s="1"/>
      <c r="AP57" s="1"/>
      <c r="AQ57" s="1"/>
      <c r="AR57" s="1"/>
      <c r="AS57" s="1"/>
      <c r="AT57" s="1"/>
      <c r="AU57" s="1"/>
      <c r="AV57" s="1"/>
    </row>
    <row r="58" spans="1:48" ht="45" hidden="1" customHeight="1">
      <c r="A58" s="1"/>
      <c r="B58" s="159" t="s">
        <v>462</v>
      </c>
      <c r="C58" s="159" t="s">
        <v>232</v>
      </c>
      <c r="D58" s="25" t="s">
        <v>8519</v>
      </c>
      <c r="E58" s="159" t="s">
        <v>463</v>
      </c>
      <c r="F58" s="159"/>
      <c r="G58" s="159" t="s">
        <v>391</v>
      </c>
      <c r="H58" s="159" t="s">
        <v>42</v>
      </c>
      <c r="I58" s="159" t="s">
        <v>464</v>
      </c>
      <c r="J58" s="151" t="s">
        <v>429</v>
      </c>
      <c r="K58" s="160">
        <v>44805</v>
      </c>
      <c r="L58" s="160" t="s">
        <v>288</v>
      </c>
      <c r="M58" s="155" t="s">
        <v>323</v>
      </c>
      <c r="N58" s="155" t="s">
        <v>324</v>
      </c>
      <c r="O58" s="155">
        <v>44816</v>
      </c>
      <c r="P58" s="158">
        <v>44826</v>
      </c>
      <c r="Q58" s="155" t="s">
        <v>317</v>
      </c>
      <c r="R58" s="155"/>
      <c r="S58" s="151" t="s">
        <v>47</v>
      </c>
      <c r="T58" s="151" t="s">
        <v>290</v>
      </c>
      <c r="U58" s="156"/>
      <c r="V58" s="151" t="s">
        <v>85</v>
      </c>
      <c r="W58" s="151"/>
      <c r="X58" s="151"/>
      <c r="Y58" s="156"/>
      <c r="Z58" s="156"/>
      <c r="AA58" s="156"/>
      <c r="AB58" s="156"/>
      <c r="AC58" s="156"/>
      <c r="AD58" s="155" t="s">
        <v>288</v>
      </c>
      <c r="AE58" s="161">
        <v>4300</v>
      </c>
      <c r="AF58" s="161">
        <v>2700</v>
      </c>
      <c r="AG58" s="155">
        <v>44760</v>
      </c>
      <c r="AH58" s="155">
        <v>44818</v>
      </c>
      <c r="AI58" s="155"/>
      <c r="AJ58" s="158">
        <v>44826</v>
      </c>
      <c r="AK58" s="211"/>
      <c r="AL58" s="158"/>
      <c r="AM58" s="1"/>
      <c r="AN58" s="1"/>
      <c r="AO58" s="1"/>
      <c r="AP58" s="1"/>
      <c r="AQ58" s="1"/>
      <c r="AR58" s="57"/>
      <c r="AS58" s="57"/>
      <c r="AT58" s="57"/>
      <c r="AU58" s="57"/>
      <c r="AV58" s="57"/>
    </row>
    <row r="59" spans="1:48" ht="45" hidden="1" customHeight="1">
      <c r="A59" s="1"/>
      <c r="B59" s="159" t="s">
        <v>455</v>
      </c>
      <c r="C59" s="159" t="s">
        <v>232</v>
      </c>
      <c r="D59" s="25" t="s">
        <v>8519</v>
      </c>
      <c r="E59" s="159" t="s">
        <v>456</v>
      </c>
      <c r="F59" s="159"/>
      <c r="G59" s="159" t="s">
        <v>391</v>
      </c>
      <c r="H59" s="159" t="s">
        <v>42</v>
      </c>
      <c r="I59" s="159">
        <v>122</v>
      </c>
      <c r="J59" s="151"/>
      <c r="K59" s="160">
        <v>44805</v>
      </c>
      <c r="L59" s="160" t="s">
        <v>288</v>
      </c>
      <c r="M59" s="155" t="s">
        <v>288</v>
      </c>
      <c r="N59" s="155" t="s">
        <v>288</v>
      </c>
      <c r="O59" s="155">
        <v>44815</v>
      </c>
      <c r="P59" s="155">
        <v>44818</v>
      </c>
      <c r="Q59" s="155" t="s">
        <v>289</v>
      </c>
      <c r="R59" s="155"/>
      <c r="S59" s="151" t="s">
        <v>47</v>
      </c>
      <c r="T59" s="151" t="s">
        <v>290</v>
      </c>
      <c r="U59" s="156"/>
      <c r="V59" s="151" t="s">
        <v>291</v>
      </c>
      <c r="W59" s="151"/>
      <c r="X59" s="151"/>
      <c r="Y59" s="156"/>
      <c r="Z59" s="156"/>
      <c r="AA59" s="156"/>
      <c r="AB59" s="156"/>
      <c r="AC59" s="156"/>
      <c r="AD59" s="155" t="s">
        <v>288</v>
      </c>
      <c r="AE59" s="161">
        <v>300</v>
      </c>
      <c r="AF59" s="161">
        <v>800</v>
      </c>
      <c r="AG59" s="155"/>
      <c r="AH59" s="155">
        <v>44820</v>
      </c>
      <c r="AI59" s="155"/>
      <c r="AJ59" s="158">
        <v>44818</v>
      </c>
      <c r="AK59" s="211"/>
      <c r="AL59" s="158"/>
      <c r="AM59" s="1"/>
      <c r="AN59" s="1"/>
      <c r="AO59" s="1"/>
      <c r="AP59" s="1"/>
      <c r="AQ59" s="1"/>
      <c r="AR59" s="1"/>
      <c r="AS59" s="1"/>
      <c r="AT59" s="1"/>
      <c r="AU59" s="1"/>
      <c r="AV59" s="1"/>
    </row>
    <row r="60" spans="1:48" ht="45" hidden="1" customHeight="1">
      <c r="A60" s="1"/>
      <c r="B60" s="159" t="s">
        <v>434</v>
      </c>
      <c r="C60" s="159" t="s">
        <v>232</v>
      </c>
      <c r="D60" s="25" t="s">
        <v>8519</v>
      </c>
      <c r="E60" s="159" t="s">
        <v>435</v>
      </c>
      <c r="F60" s="159"/>
      <c r="G60" s="159" t="s">
        <v>391</v>
      </c>
      <c r="H60" s="159" t="s">
        <v>42</v>
      </c>
      <c r="I60" s="159">
        <v>152</v>
      </c>
      <c r="J60" s="151" t="s">
        <v>429</v>
      </c>
      <c r="K60" s="160">
        <v>44805</v>
      </c>
      <c r="L60" s="160" t="s">
        <v>288</v>
      </c>
      <c r="M60" s="155" t="s">
        <v>288</v>
      </c>
      <c r="N60" s="155" t="s">
        <v>288</v>
      </c>
      <c r="O60" s="155">
        <v>44798</v>
      </c>
      <c r="P60" s="155">
        <v>44801</v>
      </c>
      <c r="Q60" s="155" t="s">
        <v>289</v>
      </c>
      <c r="R60" s="155"/>
      <c r="S60" s="151" t="s">
        <v>47</v>
      </c>
      <c r="T60" s="151" t="s">
        <v>290</v>
      </c>
      <c r="U60" s="156"/>
      <c r="V60" s="151" t="s">
        <v>291</v>
      </c>
      <c r="W60" s="151"/>
      <c r="X60" s="151"/>
      <c r="Y60" s="156"/>
      <c r="Z60" s="156"/>
      <c r="AA60" s="156"/>
      <c r="AB60" s="156"/>
      <c r="AC60" s="156"/>
      <c r="AD60" s="155" t="s">
        <v>288</v>
      </c>
      <c r="AE60" s="161">
        <v>1900</v>
      </c>
      <c r="AF60" s="161">
        <v>1800</v>
      </c>
      <c r="AG60" s="155">
        <v>44760</v>
      </c>
      <c r="AH60" s="155">
        <v>44814</v>
      </c>
      <c r="AI60" s="155"/>
      <c r="AJ60" s="158">
        <v>44801</v>
      </c>
      <c r="AK60" s="211"/>
      <c r="AL60" s="158"/>
      <c r="AM60" s="1"/>
      <c r="AN60" s="1"/>
      <c r="AO60" s="1"/>
      <c r="AP60" s="1"/>
      <c r="AQ60" s="1"/>
      <c r="AR60" s="1"/>
      <c r="AS60" s="1"/>
      <c r="AT60" s="1"/>
      <c r="AU60" s="1"/>
      <c r="AV60" s="1"/>
    </row>
    <row r="61" spans="1:48" ht="45" hidden="1" customHeight="1">
      <c r="A61" s="1"/>
      <c r="B61" s="159" t="s">
        <v>448</v>
      </c>
      <c r="C61" s="159" t="s">
        <v>449</v>
      </c>
      <c r="D61" s="159" t="s">
        <v>450</v>
      </c>
      <c r="E61" s="159" t="s">
        <v>451</v>
      </c>
      <c r="F61" s="159"/>
      <c r="G61" s="159" t="s">
        <v>287</v>
      </c>
      <c r="H61" s="159" t="s">
        <v>42</v>
      </c>
      <c r="I61" s="159">
        <v>81</v>
      </c>
      <c r="J61" s="151" t="s">
        <v>407</v>
      </c>
      <c r="K61" s="160">
        <v>44805</v>
      </c>
      <c r="L61" s="160" t="s">
        <v>288</v>
      </c>
      <c r="M61" s="155" t="s">
        <v>288</v>
      </c>
      <c r="N61" s="155" t="s">
        <v>288</v>
      </c>
      <c r="O61" s="155">
        <v>44800</v>
      </c>
      <c r="P61" s="158">
        <v>44811</v>
      </c>
      <c r="Q61" s="155" t="s">
        <v>289</v>
      </c>
      <c r="R61" s="155"/>
      <c r="S61" s="151" t="s">
        <v>47</v>
      </c>
      <c r="T61" s="151" t="s">
        <v>290</v>
      </c>
      <c r="U61" s="156"/>
      <c r="V61" s="151" t="s">
        <v>85</v>
      </c>
      <c r="W61" s="151"/>
      <c r="X61" s="151"/>
      <c r="Y61" s="156"/>
      <c r="Z61" s="156"/>
      <c r="AA61" s="156"/>
      <c r="AB61" s="156"/>
      <c r="AC61" s="156"/>
      <c r="AD61" s="158" t="s">
        <v>288</v>
      </c>
      <c r="AE61" s="161">
        <v>700</v>
      </c>
      <c r="AF61" s="161">
        <v>1600</v>
      </c>
      <c r="AG61" s="155">
        <v>44774</v>
      </c>
      <c r="AH61" s="155">
        <v>44799</v>
      </c>
      <c r="AI61" s="155"/>
      <c r="AJ61" s="158">
        <v>44811</v>
      </c>
      <c r="AK61" s="211"/>
      <c r="AL61" s="158"/>
      <c r="AM61" s="1"/>
      <c r="AN61" s="1"/>
      <c r="AO61" s="1"/>
      <c r="AP61" s="1"/>
      <c r="AQ61" s="1"/>
      <c r="AR61" s="1"/>
      <c r="AS61" s="1"/>
      <c r="AT61" s="1"/>
      <c r="AU61" s="1"/>
      <c r="AV61" s="1"/>
    </row>
    <row r="62" spans="1:48" ht="45" hidden="1" customHeight="1">
      <c r="B62" s="159" t="s">
        <v>467</v>
      </c>
      <c r="C62" s="159" t="s">
        <v>70</v>
      </c>
      <c r="D62" s="159" t="s">
        <v>71</v>
      </c>
      <c r="E62" s="159" t="s">
        <v>468</v>
      </c>
      <c r="F62" s="159"/>
      <c r="G62" s="159" t="s">
        <v>308</v>
      </c>
      <c r="H62" s="159" t="s">
        <v>42</v>
      </c>
      <c r="I62" s="159">
        <v>35</v>
      </c>
      <c r="J62" s="151" t="s">
        <v>423</v>
      </c>
      <c r="K62" s="160">
        <v>44805</v>
      </c>
      <c r="L62" s="160" t="s">
        <v>288</v>
      </c>
      <c r="M62" s="155" t="s">
        <v>288</v>
      </c>
      <c r="N62" s="155" t="s">
        <v>288</v>
      </c>
      <c r="O62" s="155">
        <v>45191</v>
      </c>
      <c r="P62" s="158">
        <v>44827</v>
      </c>
      <c r="Q62" s="155" t="s">
        <v>289</v>
      </c>
      <c r="R62" s="155"/>
      <c r="S62" s="151" t="s">
        <v>47</v>
      </c>
      <c r="T62" s="151" t="s">
        <v>290</v>
      </c>
      <c r="U62" s="156"/>
      <c r="V62" s="151" t="s">
        <v>291</v>
      </c>
      <c r="W62" s="151"/>
      <c r="X62" s="151"/>
      <c r="Y62" s="156"/>
      <c r="Z62" s="156"/>
      <c r="AA62" s="156"/>
      <c r="AB62" s="156"/>
      <c r="AC62" s="156"/>
      <c r="AD62" s="158" t="s">
        <v>288</v>
      </c>
      <c r="AE62" s="161">
        <v>2700</v>
      </c>
      <c r="AF62" s="161">
        <v>4200</v>
      </c>
      <c r="AG62" s="155">
        <v>44770</v>
      </c>
      <c r="AH62" s="155">
        <v>44819</v>
      </c>
      <c r="AI62" s="155"/>
      <c r="AJ62" s="158">
        <v>44827</v>
      </c>
      <c r="AK62" s="211"/>
      <c r="AL62" s="158"/>
      <c r="AM62" s="1"/>
    </row>
    <row r="63" spans="1:48" ht="45" hidden="1" customHeight="1">
      <c r="A63" s="1"/>
      <c r="B63" s="159" t="s">
        <v>459</v>
      </c>
      <c r="C63" s="159" t="s">
        <v>261</v>
      </c>
      <c r="D63" s="159" t="s">
        <v>262</v>
      </c>
      <c r="E63" s="159" t="s">
        <v>460</v>
      </c>
      <c r="F63" s="159"/>
      <c r="G63" s="159" t="s">
        <v>296</v>
      </c>
      <c r="H63" s="159" t="s">
        <v>42</v>
      </c>
      <c r="I63" s="159" t="s">
        <v>461</v>
      </c>
      <c r="J63" s="151" t="s">
        <v>423</v>
      </c>
      <c r="K63" s="160">
        <v>44805</v>
      </c>
      <c r="L63" s="160" t="s">
        <v>288</v>
      </c>
      <c r="M63" s="155" t="s">
        <v>288</v>
      </c>
      <c r="N63" s="155" t="s">
        <v>288</v>
      </c>
      <c r="O63" s="155">
        <v>44797</v>
      </c>
      <c r="P63" s="155">
        <v>44812</v>
      </c>
      <c r="Q63" s="155" t="s">
        <v>289</v>
      </c>
      <c r="R63" s="155"/>
      <c r="S63" s="151" t="s">
        <v>47</v>
      </c>
      <c r="T63" s="151" t="s">
        <v>290</v>
      </c>
      <c r="U63" s="156"/>
      <c r="V63" s="151" t="s">
        <v>85</v>
      </c>
      <c r="W63" s="151"/>
      <c r="X63" s="151"/>
      <c r="Y63" s="156"/>
      <c r="Z63" s="156"/>
      <c r="AA63" s="156"/>
      <c r="AB63" s="156"/>
      <c r="AC63" s="156"/>
      <c r="AD63" s="158" t="s">
        <v>288</v>
      </c>
      <c r="AE63" s="161">
        <v>1800</v>
      </c>
      <c r="AF63" s="161">
        <v>2000</v>
      </c>
      <c r="AG63" s="155">
        <v>44789</v>
      </c>
      <c r="AH63" s="155">
        <v>44813</v>
      </c>
      <c r="AI63" s="155"/>
      <c r="AJ63" s="158">
        <v>44821</v>
      </c>
      <c r="AK63" s="211"/>
      <c r="AL63" s="158"/>
      <c r="AM63" s="1"/>
      <c r="AN63" s="1"/>
      <c r="AO63" s="1"/>
      <c r="AP63" s="1"/>
      <c r="AQ63" s="1"/>
      <c r="AR63" s="1"/>
      <c r="AS63" s="1"/>
      <c r="AT63" s="1"/>
      <c r="AU63" s="1"/>
      <c r="AV63" s="1"/>
    </row>
    <row r="64" spans="1:48" ht="45" hidden="1" customHeight="1">
      <c r="A64" s="1"/>
      <c r="B64" s="159" t="s">
        <v>471</v>
      </c>
      <c r="C64" s="159" t="s">
        <v>410</v>
      </c>
      <c r="D64" s="159" t="s">
        <v>411</v>
      </c>
      <c r="E64" s="159" t="s">
        <v>472</v>
      </c>
      <c r="F64" s="159"/>
      <c r="G64" s="159" t="s">
        <v>296</v>
      </c>
      <c r="H64" s="159" t="s">
        <v>42</v>
      </c>
      <c r="I64" s="159">
        <v>122</v>
      </c>
      <c r="J64" s="151"/>
      <c r="K64" s="160">
        <v>44805</v>
      </c>
      <c r="L64" s="160" t="s">
        <v>288</v>
      </c>
      <c r="M64" s="155" t="s">
        <v>288</v>
      </c>
      <c r="N64" s="155" t="s">
        <v>288</v>
      </c>
      <c r="O64" s="155">
        <v>44835</v>
      </c>
      <c r="P64" s="155">
        <v>44838</v>
      </c>
      <c r="Q64" s="155" t="s">
        <v>289</v>
      </c>
      <c r="R64" s="155"/>
      <c r="S64" s="151" t="s">
        <v>47</v>
      </c>
      <c r="T64" s="151" t="s">
        <v>290</v>
      </c>
      <c r="U64" s="156"/>
      <c r="V64" s="151" t="s">
        <v>85</v>
      </c>
      <c r="W64" s="151"/>
      <c r="X64" s="151"/>
      <c r="Y64" s="156"/>
      <c r="Z64" s="156"/>
      <c r="AA64" s="156"/>
      <c r="AB64" s="156"/>
      <c r="AC64" s="156"/>
      <c r="AD64" s="158" t="s">
        <v>288</v>
      </c>
      <c r="AE64" s="161">
        <v>1700</v>
      </c>
      <c r="AF64" s="161">
        <v>2200</v>
      </c>
      <c r="AG64" s="155">
        <v>44825</v>
      </c>
      <c r="AH64" s="155">
        <v>44834</v>
      </c>
      <c r="AI64" s="155"/>
      <c r="AJ64" s="158">
        <v>44838</v>
      </c>
      <c r="AK64" s="211"/>
      <c r="AL64" s="158"/>
      <c r="AM64" s="1"/>
      <c r="AN64" s="1"/>
      <c r="AO64" s="1"/>
      <c r="AP64" s="1"/>
      <c r="AQ64" s="1"/>
      <c r="AR64" s="1"/>
      <c r="AS64" s="1"/>
      <c r="AT64" s="1"/>
      <c r="AU64" s="1"/>
      <c r="AV64" s="1"/>
    </row>
    <row r="65" spans="1:48" ht="45" hidden="1" customHeight="1">
      <c r="A65" s="1"/>
      <c r="B65" s="159" t="s">
        <v>457</v>
      </c>
      <c r="C65" s="159" t="s">
        <v>104</v>
      </c>
      <c r="D65" s="159" t="s">
        <v>105</v>
      </c>
      <c r="E65" s="159" t="s">
        <v>458</v>
      </c>
      <c r="F65" s="159"/>
      <c r="G65" s="159"/>
      <c r="H65" s="159" t="s">
        <v>42</v>
      </c>
      <c r="I65" s="159"/>
      <c r="J65" s="151" t="s">
        <v>429</v>
      </c>
      <c r="K65" s="160">
        <v>44805</v>
      </c>
      <c r="L65" s="160" t="s">
        <v>288</v>
      </c>
      <c r="M65" s="155" t="s">
        <v>288</v>
      </c>
      <c r="N65" s="155" t="s">
        <v>288</v>
      </c>
      <c r="O65" s="155">
        <v>44816</v>
      </c>
      <c r="P65" s="155">
        <v>44818</v>
      </c>
      <c r="Q65" s="155" t="s">
        <v>289</v>
      </c>
      <c r="R65" s="155"/>
      <c r="S65" s="151" t="s">
        <v>47</v>
      </c>
      <c r="T65" s="151" t="s">
        <v>290</v>
      </c>
      <c r="U65" s="156"/>
      <c r="V65" s="151" t="s">
        <v>85</v>
      </c>
      <c r="W65" s="151"/>
      <c r="X65" s="151"/>
      <c r="Y65" s="156"/>
      <c r="Z65" s="156"/>
      <c r="AA65" s="156"/>
      <c r="AB65" s="156"/>
      <c r="AC65" s="156"/>
      <c r="AD65" s="155" t="s">
        <v>288</v>
      </c>
      <c r="AE65" s="161">
        <v>300</v>
      </c>
      <c r="AF65" s="161">
        <v>400</v>
      </c>
      <c r="AG65" s="155">
        <v>44789</v>
      </c>
      <c r="AH65" s="155">
        <v>44814</v>
      </c>
      <c r="AI65" s="155"/>
      <c r="AJ65" s="158">
        <v>44818</v>
      </c>
      <c r="AK65" s="211"/>
      <c r="AL65" s="158"/>
      <c r="AM65" s="1"/>
      <c r="AN65" s="1"/>
      <c r="AO65" s="1"/>
      <c r="AP65" s="1"/>
      <c r="AQ65" s="1"/>
      <c r="AR65" s="1"/>
      <c r="AS65" s="1"/>
      <c r="AT65" s="1"/>
      <c r="AU65" s="1"/>
      <c r="AV65" s="1"/>
    </row>
    <row r="66" spans="1:48" ht="45" hidden="1" customHeight="1">
      <c r="A66" s="1"/>
      <c r="B66" s="159" t="s">
        <v>452</v>
      </c>
      <c r="C66" s="159" t="s">
        <v>305</v>
      </c>
      <c r="D66" s="159" t="s">
        <v>306</v>
      </c>
      <c r="E66" s="159" t="s">
        <v>453</v>
      </c>
      <c r="F66" s="159"/>
      <c r="G66" s="159" t="s">
        <v>308</v>
      </c>
      <c r="H66" s="159" t="s">
        <v>42</v>
      </c>
      <c r="I66" s="159" t="s">
        <v>454</v>
      </c>
      <c r="J66" s="151" t="s">
        <v>429</v>
      </c>
      <c r="K66" s="160">
        <v>44805</v>
      </c>
      <c r="L66" s="160" t="s">
        <v>288</v>
      </c>
      <c r="M66" s="155" t="s">
        <v>288</v>
      </c>
      <c r="N66" s="155" t="s">
        <v>288</v>
      </c>
      <c r="O66" s="155">
        <v>44790</v>
      </c>
      <c r="P66" s="155">
        <v>44799</v>
      </c>
      <c r="Q66" s="155" t="s">
        <v>289</v>
      </c>
      <c r="R66" s="155"/>
      <c r="S66" s="151" t="s">
        <v>47</v>
      </c>
      <c r="T66" s="151" t="s">
        <v>290</v>
      </c>
      <c r="U66" s="156"/>
      <c r="V66" s="151" t="s">
        <v>85</v>
      </c>
      <c r="W66" s="151"/>
      <c r="X66" s="151"/>
      <c r="Y66" s="156"/>
      <c r="Z66" s="156"/>
      <c r="AA66" s="156"/>
      <c r="AB66" s="156"/>
      <c r="AC66" s="156"/>
      <c r="AD66" s="158" t="s">
        <v>288</v>
      </c>
      <c r="AE66" s="161">
        <v>2800</v>
      </c>
      <c r="AF66" s="161">
        <v>2300</v>
      </c>
      <c r="AG66" s="155">
        <v>44761</v>
      </c>
      <c r="AH66" s="155">
        <v>44803</v>
      </c>
      <c r="AI66" s="155"/>
      <c r="AJ66" s="158">
        <v>44812</v>
      </c>
      <c r="AK66" s="211"/>
      <c r="AL66" s="158"/>
      <c r="AM66" s="1"/>
      <c r="AN66" s="1"/>
      <c r="AO66" s="1"/>
      <c r="AP66" s="1"/>
      <c r="AQ66" s="1"/>
      <c r="AR66" s="1"/>
      <c r="AS66" s="1"/>
      <c r="AT66" s="1"/>
      <c r="AU66" s="1"/>
      <c r="AV66" s="1"/>
    </row>
    <row r="67" spans="1:48" ht="45" hidden="1" customHeight="1">
      <c r="B67" s="159" t="s">
        <v>421</v>
      </c>
      <c r="C67" s="159" t="s">
        <v>305</v>
      </c>
      <c r="D67" s="159" t="s">
        <v>306</v>
      </c>
      <c r="E67" s="159" t="s">
        <v>422</v>
      </c>
      <c r="F67" s="159"/>
      <c r="G67" s="159" t="s">
        <v>301</v>
      </c>
      <c r="H67" s="159" t="s">
        <v>42</v>
      </c>
      <c r="I67" s="159" t="s">
        <v>252</v>
      </c>
      <c r="J67" s="151" t="s">
        <v>423</v>
      </c>
      <c r="K67" s="160">
        <v>44835</v>
      </c>
      <c r="L67" s="160" t="s">
        <v>288</v>
      </c>
      <c r="M67" s="155" t="s">
        <v>288</v>
      </c>
      <c r="N67" s="155" t="s">
        <v>288</v>
      </c>
      <c r="O67" s="155">
        <v>44783</v>
      </c>
      <c r="P67" s="155">
        <v>44786</v>
      </c>
      <c r="Q67" s="155" t="s">
        <v>289</v>
      </c>
      <c r="R67" s="155"/>
      <c r="S67" s="151" t="s">
        <v>47</v>
      </c>
      <c r="T67" s="151" t="s">
        <v>290</v>
      </c>
      <c r="U67" s="156"/>
      <c r="V67" s="151" t="s">
        <v>85</v>
      </c>
      <c r="W67" s="151"/>
      <c r="X67" s="151"/>
      <c r="Y67" s="156"/>
      <c r="Z67" s="156"/>
      <c r="AA67" s="156"/>
      <c r="AB67" s="156"/>
      <c r="AC67" s="156"/>
      <c r="AD67" s="155" t="s">
        <v>288</v>
      </c>
      <c r="AE67" s="161">
        <v>1000</v>
      </c>
      <c r="AF67" s="161">
        <v>2700</v>
      </c>
      <c r="AG67" s="155">
        <v>44761</v>
      </c>
      <c r="AH67" s="155">
        <v>44790</v>
      </c>
      <c r="AI67" s="155"/>
      <c r="AJ67" s="158">
        <v>44786</v>
      </c>
      <c r="AK67" s="211"/>
      <c r="AL67" s="158"/>
      <c r="AM67" s="1"/>
    </row>
    <row r="68" spans="1:48" ht="45" hidden="1" customHeight="1">
      <c r="B68" s="159" t="s">
        <v>499</v>
      </c>
      <c r="C68" s="159" t="s">
        <v>117</v>
      </c>
      <c r="D68" s="25" t="s">
        <v>118</v>
      </c>
      <c r="E68" s="159" t="s">
        <v>500</v>
      </c>
      <c r="F68" s="159"/>
      <c r="G68" s="159" t="s">
        <v>296</v>
      </c>
      <c r="H68" s="159" t="s">
        <v>42</v>
      </c>
      <c r="I68" s="159">
        <v>21</v>
      </c>
      <c r="J68" s="151"/>
      <c r="K68" s="160">
        <v>44835</v>
      </c>
      <c r="L68" s="160" t="s">
        <v>288</v>
      </c>
      <c r="M68" s="155" t="s">
        <v>288</v>
      </c>
      <c r="N68" s="155" t="s">
        <v>288</v>
      </c>
      <c r="O68" s="155">
        <v>44858</v>
      </c>
      <c r="P68" s="155">
        <v>44858</v>
      </c>
      <c r="Q68" s="155" t="s">
        <v>289</v>
      </c>
      <c r="R68" s="155"/>
      <c r="S68" s="151" t="s">
        <v>47</v>
      </c>
      <c r="T68" s="151" t="s">
        <v>290</v>
      </c>
      <c r="U68" s="156"/>
      <c r="V68" s="151" t="s">
        <v>85</v>
      </c>
      <c r="W68" s="151"/>
      <c r="X68" s="151"/>
      <c r="Y68" s="156"/>
      <c r="Z68" s="156"/>
      <c r="AA68" s="156"/>
      <c r="AB68" s="156"/>
      <c r="AC68" s="156"/>
      <c r="AD68" s="158" t="s">
        <v>288</v>
      </c>
      <c r="AE68" s="161">
        <v>600</v>
      </c>
      <c r="AF68" s="161">
        <v>1500</v>
      </c>
      <c r="AG68" s="155">
        <v>44826</v>
      </c>
      <c r="AH68" s="155">
        <v>44862</v>
      </c>
      <c r="AI68" s="155"/>
      <c r="AJ68" s="158">
        <v>44862</v>
      </c>
      <c r="AK68" s="211"/>
      <c r="AL68" s="158"/>
      <c r="AM68" s="1"/>
    </row>
    <row r="69" spans="1:48" ht="45" hidden="1" customHeight="1">
      <c r="B69" s="159" t="s">
        <v>501</v>
      </c>
      <c r="C69" s="159" t="s">
        <v>88</v>
      </c>
      <c r="D69" s="159" t="s">
        <v>89</v>
      </c>
      <c r="E69" s="159" t="s">
        <v>502</v>
      </c>
      <c r="F69" s="159"/>
      <c r="G69" s="159"/>
      <c r="H69" s="159" t="s">
        <v>42</v>
      </c>
      <c r="I69" s="159">
        <v>101.102</v>
      </c>
      <c r="J69" s="151"/>
      <c r="K69" s="160">
        <v>44835</v>
      </c>
      <c r="L69" s="160" t="s">
        <v>288</v>
      </c>
      <c r="M69" s="155" t="s">
        <v>288</v>
      </c>
      <c r="N69" s="155" t="s">
        <v>288</v>
      </c>
      <c r="O69" s="155">
        <v>44863</v>
      </c>
      <c r="P69" s="158">
        <v>44864</v>
      </c>
      <c r="Q69" s="155" t="s">
        <v>289</v>
      </c>
      <c r="R69" s="155"/>
      <c r="S69" s="151" t="s">
        <v>47</v>
      </c>
      <c r="T69" s="151" t="s">
        <v>290</v>
      </c>
      <c r="U69" s="156"/>
      <c r="V69" s="151" t="s">
        <v>85</v>
      </c>
      <c r="W69" s="151"/>
      <c r="X69" s="151"/>
      <c r="Y69" s="156"/>
      <c r="Z69" s="156"/>
      <c r="AA69" s="156"/>
      <c r="AB69" s="156"/>
      <c r="AC69" s="156"/>
      <c r="AD69" s="158" t="s">
        <v>288</v>
      </c>
      <c r="AE69" s="161">
        <v>2100</v>
      </c>
      <c r="AF69" s="161">
        <v>2500</v>
      </c>
      <c r="AG69" s="155">
        <v>44841</v>
      </c>
      <c r="AH69" s="155">
        <v>44863</v>
      </c>
      <c r="AI69" s="155"/>
      <c r="AJ69" s="158">
        <v>44864</v>
      </c>
      <c r="AK69" s="211"/>
      <c r="AL69" s="158"/>
      <c r="AM69" s="1"/>
    </row>
    <row r="70" spans="1:48" ht="45" hidden="1" customHeight="1">
      <c r="B70" s="159" t="s">
        <v>503</v>
      </c>
      <c r="C70" s="159" t="s">
        <v>117</v>
      </c>
      <c r="D70" s="25" t="s">
        <v>118</v>
      </c>
      <c r="E70" s="159" t="s">
        <v>504</v>
      </c>
      <c r="F70" s="159"/>
      <c r="G70" s="159" t="s">
        <v>107</v>
      </c>
      <c r="H70" s="159" t="s">
        <v>42</v>
      </c>
      <c r="I70" s="159" t="s">
        <v>505</v>
      </c>
      <c r="J70" s="151"/>
      <c r="K70" s="160">
        <v>44835</v>
      </c>
      <c r="L70" s="160" t="s">
        <v>288</v>
      </c>
      <c r="M70" s="155" t="s">
        <v>288</v>
      </c>
      <c r="N70" s="155" t="s">
        <v>288</v>
      </c>
      <c r="O70" s="155">
        <v>44863</v>
      </c>
      <c r="P70" s="158">
        <v>44864</v>
      </c>
      <c r="Q70" s="155" t="s">
        <v>289</v>
      </c>
      <c r="R70" s="155"/>
      <c r="S70" s="151" t="s">
        <v>47</v>
      </c>
      <c r="T70" s="151" t="s">
        <v>290</v>
      </c>
      <c r="U70" s="156"/>
      <c r="V70" s="151" t="s">
        <v>291</v>
      </c>
      <c r="W70" s="151"/>
      <c r="X70" s="151"/>
      <c r="Y70" s="156"/>
      <c r="Z70" s="156"/>
      <c r="AA70" s="156"/>
      <c r="AB70" s="156"/>
      <c r="AC70" s="156"/>
      <c r="AD70" s="158" t="s">
        <v>288</v>
      </c>
      <c r="AE70" s="161">
        <v>1500</v>
      </c>
      <c r="AF70" s="161">
        <v>2800</v>
      </c>
      <c r="AG70" s="155">
        <v>44826</v>
      </c>
      <c r="AH70" s="155">
        <v>44863</v>
      </c>
      <c r="AI70" s="155"/>
      <c r="AJ70" s="158">
        <v>44864</v>
      </c>
      <c r="AK70" s="211"/>
      <c r="AL70" s="158"/>
      <c r="AM70" s="1"/>
    </row>
    <row r="71" spans="1:48" ht="45" hidden="1" customHeight="1">
      <c r="A71" s="1"/>
      <c r="B71" s="159" t="s">
        <v>495</v>
      </c>
      <c r="C71" s="159" t="s">
        <v>496</v>
      </c>
      <c r="D71" s="159" t="s">
        <v>497</v>
      </c>
      <c r="E71" s="159" t="s">
        <v>498</v>
      </c>
      <c r="F71" s="159"/>
      <c r="G71" s="159" t="s">
        <v>287</v>
      </c>
      <c r="H71" s="159" t="s">
        <v>486</v>
      </c>
      <c r="I71" s="159"/>
      <c r="J71" s="151" t="s">
        <v>429</v>
      </c>
      <c r="K71" s="160">
        <v>44835</v>
      </c>
      <c r="L71" s="160" t="s">
        <v>288</v>
      </c>
      <c r="M71" s="155" t="s">
        <v>288</v>
      </c>
      <c r="N71" s="155" t="s">
        <v>288</v>
      </c>
      <c r="O71" s="155">
        <v>44861</v>
      </c>
      <c r="P71" s="158">
        <v>44862</v>
      </c>
      <c r="Q71" s="155" t="s">
        <v>289</v>
      </c>
      <c r="R71" s="155"/>
      <c r="S71" s="151" t="s">
        <v>47</v>
      </c>
      <c r="T71" s="151" t="s">
        <v>290</v>
      </c>
      <c r="U71" s="156"/>
      <c r="V71" s="151" t="s">
        <v>291</v>
      </c>
      <c r="W71" s="151"/>
      <c r="X71" s="151"/>
      <c r="Y71" s="156"/>
      <c r="Z71" s="156"/>
      <c r="AA71" s="156"/>
      <c r="AB71" s="156"/>
      <c r="AC71" s="156"/>
      <c r="AD71" s="155" t="s">
        <v>288</v>
      </c>
      <c r="AE71" s="161">
        <v>300</v>
      </c>
      <c r="AF71" s="161">
        <v>200</v>
      </c>
      <c r="AG71" s="155">
        <v>44859</v>
      </c>
      <c r="AH71" s="155">
        <v>44862</v>
      </c>
      <c r="AI71" s="155"/>
      <c r="AJ71" s="158">
        <v>44862</v>
      </c>
      <c r="AK71" s="211"/>
      <c r="AL71" s="158"/>
      <c r="AM71" s="1"/>
      <c r="AN71" s="1"/>
      <c r="AO71" s="1"/>
      <c r="AP71" s="1"/>
      <c r="AQ71" s="1"/>
      <c r="AR71" s="1"/>
      <c r="AS71" s="1"/>
      <c r="AT71" s="1"/>
      <c r="AU71" s="1"/>
      <c r="AV71" s="1"/>
    </row>
    <row r="72" spans="1:48" ht="45" hidden="1" customHeight="1">
      <c r="B72" s="159" t="s">
        <v>492</v>
      </c>
      <c r="C72" s="159" t="s">
        <v>479</v>
      </c>
      <c r="D72" s="159" t="s">
        <v>480</v>
      </c>
      <c r="E72" s="159" t="s">
        <v>493</v>
      </c>
      <c r="F72" s="159"/>
      <c r="G72" s="159" t="s">
        <v>308</v>
      </c>
      <c r="H72" s="159" t="s">
        <v>42</v>
      </c>
      <c r="I72" s="159" t="s">
        <v>494</v>
      </c>
      <c r="J72" s="151"/>
      <c r="K72" s="160">
        <v>44835</v>
      </c>
      <c r="L72" s="160" t="s">
        <v>288</v>
      </c>
      <c r="M72" s="155" t="s">
        <v>288</v>
      </c>
      <c r="N72" s="155" t="s">
        <v>288</v>
      </c>
      <c r="O72" s="155">
        <v>44859</v>
      </c>
      <c r="P72" s="158">
        <v>44860</v>
      </c>
      <c r="Q72" s="155" t="s">
        <v>289</v>
      </c>
      <c r="R72" s="155"/>
      <c r="S72" s="151" t="s">
        <v>47</v>
      </c>
      <c r="T72" s="151" t="s">
        <v>290</v>
      </c>
      <c r="U72" s="156"/>
      <c r="V72" s="151" t="s">
        <v>85</v>
      </c>
      <c r="W72" s="151"/>
      <c r="X72" s="151"/>
      <c r="Y72" s="156"/>
      <c r="Z72" s="156"/>
      <c r="AA72" s="156"/>
      <c r="AB72" s="156"/>
      <c r="AC72" s="156"/>
      <c r="AD72" s="158" t="s">
        <v>288</v>
      </c>
      <c r="AE72" s="161">
        <v>2200</v>
      </c>
      <c r="AF72" s="161">
        <v>4900</v>
      </c>
      <c r="AG72" s="155">
        <v>44830</v>
      </c>
      <c r="AH72" s="155">
        <v>44860</v>
      </c>
      <c r="AI72" s="155"/>
      <c r="AJ72" s="158">
        <v>44860</v>
      </c>
      <c r="AK72" s="211"/>
      <c r="AL72" s="158"/>
      <c r="AM72" s="1"/>
    </row>
    <row r="73" spans="1:48" ht="45" hidden="1" customHeight="1">
      <c r="B73" s="159" t="s">
        <v>478</v>
      </c>
      <c r="C73" s="159" t="s">
        <v>479</v>
      </c>
      <c r="D73" s="159" t="s">
        <v>480</v>
      </c>
      <c r="E73" s="159" t="s">
        <v>481</v>
      </c>
      <c r="F73" s="159"/>
      <c r="G73" s="159" t="s">
        <v>308</v>
      </c>
      <c r="H73" s="159" t="s">
        <v>42</v>
      </c>
      <c r="I73" s="159" t="s">
        <v>482</v>
      </c>
      <c r="J73" s="151"/>
      <c r="K73" s="160">
        <v>44835</v>
      </c>
      <c r="L73" s="160" t="s">
        <v>288</v>
      </c>
      <c r="M73" s="155" t="s">
        <v>288</v>
      </c>
      <c r="N73" s="155" t="s">
        <v>288</v>
      </c>
      <c r="O73" s="155">
        <v>44837</v>
      </c>
      <c r="P73" s="158">
        <v>44853</v>
      </c>
      <c r="Q73" s="155" t="s">
        <v>289</v>
      </c>
      <c r="R73" s="155"/>
      <c r="S73" s="151" t="s">
        <v>47</v>
      </c>
      <c r="T73" s="151" t="s">
        <v>290</v>
      </c>
      <c r="U73" s="156"/>
      <c r="V73" s="151" t="s">
        <v>85</v>
      </c>
      <c r="W73" s="151"/>
      <c r="X73" s="151"/>
      <c r="Y73" s="156"/>
      <c r="Z73" s="156"/>
      <c r="AA73" s="156"/>
      <c r="AB73" s="156"/>
      <c r="AC73" s="156"/>
      <c r="AD73" s="158" t="s">
        <v>288</v>
      </c>
      <c r="AE73" s="161">
        <v>3100</v>
      </c>
      <c r="AF73" s="161">
        <v>5500</v>
      </c>
      <c r="AG73" s="155">
        <v>44829</v>
      </c>
      <c r="AH73" s="155">
        <v>44853</v>
      </c>
      <c r="AI73" s="155"/>
      <c r="AJ73" s="158">
        <v>44853</v>
      </c>
      <c r="AK73" s="211"/>
      <c r="AL73" s="158"/>
      <c r="AM73" s="1"/>
    </row>
    <row r="74" spans="1:48" ht="45" hidden="1" customHeight="1">
      <c r="B74" s="159" t="s">
        <v>489</v>
      </c>
      <c r="C74" s="159" t="s">
        <v>479</v>
      </c>
      <c r="D74" s="159" t="s">
        <v>480</v>
      </c>
      <c r="E74" s="159" t="s">
        <v>490</v>
      </c>
      <c r="F74" s="159"/>
      <c r="G74" s="159" t="s">
        <v>308</v>
      </c>
      <c r="H74" s="159" t="s">
        <v>42</v>
      </c>
      <c r="I74" s="159" t="s">
        <v>491</v>
      </c>
      <c r="J74" s="151"/>
      <c r="K74" s="160">
        <v>44835</v>
      </c>
      <c r="L74" s="160" t="s">
        <v>288</v>
      </c>
      <c r="M74" s="155" t="s">
        <v>288</v>
      </c>
      <c r="N74" s="155" t="s">
        <v>288</v>
      </c>
      <c r="O74" s="155">
        <v>44859</v>
      </c>
      <c r="P74" s="158">
        <v>44860</v>
      </c>
      <c r="Q74" s="155" t="s">
        <v>289</v>
      </c>
      <c r="R74" s="155"/>
      <c r="S74" s="151" t="s">
        <v>47</v>
      </c>
      <c r="T74" s="151" t="s">
        <v>290</v>
      </c>
      <c r="U74" s="156"/>
      <c r="V74" s="151" t="s">
        <v>85</v>
      </c>
      <c r="W74" s="151"/>
      <c r="X74" s="151"/>
      <c r="Y74" s="156"/>
      <c r="Z74" s="156"/>
      <c r="AA74" s="156"/>
      <c r="AB74" s="156"/>
      <c r="AC74" s="156"/>
      <c r="AD74" s="158" t="s">
        <v>288</v>
      </c>
      <c r="AE74" s="161">
        <v>1800</v>
      </c>
      <c r="AF74" s="161">
        <v>4700</v>
      </c>
      <c r="AG74" s="155">
        <v>44830</v>
      </c>
      <c r="AH74" s="155">
        <v>44860</v>
      </c>
      <c r="AI74" s="155"/>
      <c r="AJ74" s="158">
        <v>44860</v>
      </c>
      <c r="AK74" s="211"/>
      <c r="AL74" s="158"/>
      <c r="AM74" s="1"/>
    </row>
    <row r="75" spans="1:48" ht="45" hidden="1" customHeight="1">
      <c r="B75" s="159" t="s">
        <v>487</v>
      </c>
      <c r="C75" s="159" t="s">
        <v>104</v>
      </c>
      <c r="D75" s="159" t="s">
        <v>105</v>
      </c>
      <c r="E75" s="159" t="s">
        <v>488</v>
      </c>
      <c r="F75" s="159"/>
      <c r="G75" s="159"/>
      <c r="H75" s="159" t="s">
        <v>42</v>
      </c>
      <c r="I75" s="159">
        <v>61.061999999999998</v>
      </c>
      <c r="J75" s="151"/>
      <c r="K75" s="160">
        <v>44835</v>
      </c>
      <c r="L75" s="160" t="s">
        <v>288</v>
      </c>
      <c r="M75" s="155" t="s">
        <v>288</v>
      </c>
      <c r="N75" s="155" t="s">
        <v>288</v>
      </c>
      <c r="O75" s="155">
        <v>44857</v>
      </c>
      <c r="P75" s="155">
        <v>44858</v>
      </c>
      <c r="Q75" s="155" t="s">
        <v>289</v>
      </c>
      <c r="R75" s="155"/>
      <c r="S75" s="151" t="s">
        <v>47</v>
      </c>
      <c r="T75" s="151" t="s">
        <v>290</v>
      </c>
      <c r="U75" s="156"/>
      <c r="V75" s="151" t="s">
        <v>85</v>
      </c>
      <c r="W75" s="151"/>
      <c r="X75" s="151"/>
      <c r="Y75" s="156"/>
      <c r="Z75" s="156"/>
      <c r="AA75" s="156"/>
      <c r="AB75" s="156"/>
      <c r="AC75" s="156"/>
      <c r="AD75" s="158" t="s">
        <v>288</v>
      </c>
      <c r="AE75" s="161"/>
      <c r="AF75" s="161"/>
      <c r="AG75" s="155">
        <v>44844</v>
      </c>
      <c r="AH75" s="155">
        <v>44863</v>
      </c>
      <c r="AI75" s="155"/>
      <c r="AJ75" s="158">
        <v>44858</v>
      </c>
      <c r="AK75" s="211"/>
      <c r="AL75" s="158"/>
      <c r="AM75" s="1"/>
    </row>
    <row r="76" spans="1:48" ht="45" hidden="1" customHeight="1">
      <c r="B76" s="159" t="s">
        <v>538</v>
      </c>
      <c r="C76" s="159" t="s">
        <v>117</v>
      </c>
      <c r="D76" s="25" t="s">
        <v>118</v>
      </c>
      <c r="E76" s="159" t="s">
        <v>539</v>
      </c>
      <c r="F76" s="159"/>
      <c r="G76" s="159" t="s">
        <v>296</v>
      </c>
      <c r="H76" s="159" t="s">
        <v>42</v>
      </c>
      <c r="I76" s="159">
        <v>76</v>
      </c>
      <c r="J76" s="151" t="s">
        <v>407</v>
      </c>
      <c r="K76" s="160">
        <v>44866</v>
      </c>
      <c r="L76" s="160" t="s">
        <v>288</v>
      </c>
      <c r="M76" s="155" t="s">
        <v>288</v>
      </c>
      <c r="N76" s="155" t="s">
        <v>288</v>
      </c>
      <c r="O76" s="155">
        <v>44888</v>
      </c>
      <c r="P76" s="155">
        <v>44889</v>
      </c>
      <c r="Q76" s="155" t="s">
        <v>289</v>
      </c>
      <c r="R76" s="155"/>
      <c r="S76" s="151" t="s">
        <v>47</v>
      </c>
      <c r="T76" s="151" t="s">
        <v>290</v>
      </c>
      <c r="U76" s="156"/>
      <c r="V76" s="151" t="s">
        <v>291</v>
      </c>
      <c r="W76" s="151"/>
      <c r="X76" s="151"/>
      <c r="Y76" s="156"/>
      <c r="Z76" s="156"/>
      <c r="AA76" s="156"/>
      <c r="AB76" s="156"/>
      <c r="AC76" s="156"/>
      <c r="AD76" s="155" t="s">
        <v>288</v>
      </c>
      <c r="AE76" s="161">
        <v>1800</v>
      </c>
      <c r="AF76" s="161">
        <v>3400</v>
      </c>
      <c r="AG76" s="155">
        <v>44859</v>
      </c>
      <c r="AH76" s="155">
        <v>44891</v>
      </c>
      <c r="AI76" s="155"/>
      <c r="AJ76" s="158">
        <v>44889</v>
      </c>
      <c r="AK76" s="211"/>
      <c r="AL76" s="158"/>
      <c r="AM76" s="1"/>
    </row>
    <row r="77" spans="1:48" ht="45" hidden="1" customHeight="1">
      <c r="B77" s="159" t="s">
        <v>529</v>
      </c>
      <c r="C77" s="159" t="s">
        <v>425</v>
      </c>
      <c r="D77" s="218" t="s">
        <v>6858</v>
      </c>
      <c r="E77" s="159" t="s">
        <v>530</v>
      </c>
      <c r="F77" s="159"/>
      <c r="G77" s="159" t="s">
        <v>287</v>
      </c>
      <c r="H77" s="159" t="s">
        <v>427</v>
      </c>
      <c r="I77" s="159" t="s">
        <v>531</v>
      </c>
      <c r="J77" s="151"/>
      <c r="K77" s="160">
        <v>44866</v>
      </c>
      <c r="L77" s="160" t="s">
        <v>288</v>
      </c>
      <c r="M77" s="155" t="s">
        <v>288</v>
      </c>
      <c r="N77" s="155" t="s">
        <v>288</v>
      </c>
      <c r="O77" s="155">
        <v>45243</v>
      </c>
      <c r="P77" s="155">
        <v>44879</v>
      </c>
      <c r="Q77" s="155" t="s">
        <v>289</v>
      </c>
      <c r="R77" s="155"/>
      <c r="S77" s="151" t="s">
        <v>47</v>
      </c>
      <c r="T77" s="151" t="s">
        <v>290</v>
      </c>
      <c r="U77" s="156"/>
      <c r="V77" s="151" t="s">
        <v>291</v>
      </c>
      <c r="W77" s="151"/>
      <c r="X77" s="151"/>
      <c r="Y77" s="156"/>
      <c r="Z77" s="156"/>
      <c r="AA77" s="156"/>
      <c r="AB77" s="156"/>
      <c r="AC77" s="156"/>
      <c r="AD77" s="155" t="s">
        <v>288</v>
      </c>
      <c r="AE77" s="161">
        <v>1150</v>
      </c>
      <c r="AF77" s="161">
        <v>1200</v>
      </c>
      <c r="AG77" s="155">
        <v>44868</v>
      </c>
      <c r="AH77" s="155">
        <v>44877</v>
      </c>
      <c r="AI77" s="155"/>
      <c r="AJ77" s="158">
        <v>44879</v>
      </c>
      <c r="AK77" s="211"/>
      <c r="AL77" s="158"/>
      <c r="AM77" s="1"/>
    </row>
    <row r="78" spans="1:48" ht="45" hidden="1" customHeight="1">
      <c r="B78" s="159" t="s">
        <v>547</v>
      </c>
      <c r="C78" s="159" t="s">
        <v>293</v>
      </c>
      <c r="D78" s="159" t="s">
        <v>294</v>
      </c>
      <c r="E78" s="159" t="s">
        <v>548</v>
      </c>
      <c r="F78" s="159"/>
      <c r="G78" s="159" t="s">
        <v>287</v>
      </c>
      <c r="H78" s="159" t="s">
        <v>42</v>
      </c>
      <c r="I78" s="159" t="s">
        <v>549</v>
      </c>
      <c r="J78" s="151" t="s">
        <v>429</v>
      </c>
      <c r="K78" s="160">
        <v>44866</v>
      </c>
      <c r="L78" s="160" t="s">
        <v>288</v>
      </c>
      <c r="M78" s="155" t="s">
        <v>288</v>
      </c>
      <c r="N78" s="155" t="s">
        <v>288</v>
      </c>
      <c r="O78" s="155">
        <v>45258</v>
      </c>
      <c r="P78" s="155">
        <v>44894</v>
      </c>
      <c r="Q78" s="155" t="s">
        <v>289</v>
      </c>
      <c r="R78" s="155"/>
      <c r="S78" s="151" t="s">
        <v>47</v>
      </c>
      <c r="T78" s="151" t="s">
        <v>290</v>
      </c>
      <c r="U78" s="156"/>
      <c r="V78" s="151" t="s">
        <v>291</v>
      </c>
      <c r="W78" s="151"/>
      <c r="X78" s="151"/>
      <c r="Y78" s="156"/>
      <c r="Z78" s="156"/>
      <c r="AA78" s="156"/>
      <c r="AB78" s="156"/>
      <c r="AC78" s="156"/>
      <c r="AD78" s="155" t="s">
        <v>288</v>
      </c>
      <c r="AE78" s="161">
        <v>3000</v>
      </c>
      <c r="AF78" s="161">
        <v>4200</v>
      </c>
      <c r="AG78" s="155">
        <v>44859</v>
      </c>
      <c r="AH78" s="155">
        <v>44895</v>
      </c>
      <c r="AI78" s="155"/>
      <c r="AJ78" s="158">
        <v>44894</v>
      </c>
      <c r="AK78" s="211"/>
      <c r="AL78" s="158"/>
      <c r="AM78" s="1"/>
    </row>
    <row r="79" spans="1:48" ht="45" hidden="1" customHeight="1">
      <c r="B79" s="159" t="s">
        <v>506</v>
      </c>
      <c r="C79" s="159" t="s">
        <v>70</v>
      </c>
      <c r="D79" s="159" t="s">
        <v>71</v>
      </c>
      <c r="E79" s="159" t="s">
        <v>507</v>
      </c>
      <c r="F79" s="159"/>
      <c r="G79" s="159" t="s">
        <v>308</v>
      </c>
      <c r="H79" s="159" t="s">
        <v>42</v>
      </c>
      <c r="I79" s="159">
        <v>107</v>
      </c>
      <c r="J79" s="151"/>
      <c r="K79" s="160">
        <v>44866</v>
      </c>
      <c r="L79" s="160" t="s">
        <v>288</v>
      </c>
      <c r="M79" s="155" t="s">
        <v>288</v>
      </c>
      <c r="N79" s="155" t="s">
        <v>288</v>
      </c>
      <c r="O79" s="155">
        <v>44874</v>
      </c>
      <c r="P79" s="155">
        <v>44875</v>
      </c>
      <c r="Q79" s="155" t="s">
        <v>289</v>
      </c>
      <c r="R79" s="155"/>
      <c r="S79" s="151" t="s">
        <v>47</v>
      </c>
      <c r="T79" s="151" t="s">
        <v>290</v>
      </c>
      <c r="U79" s="156"/>
      <c r="V79" s="151" t="s">
        <v>291</v>
      </c>
      <c r="W79" s="151"/>
      <c r="X79" s="151"/>
      <c r="Y79" s="156"/>
      <c r="Z79" s="156"/>
      <c r="AA79" s="156"/>
      <c r="AB79" s="156"/>
      <c r="AC79" s="156"/>
      <c r="AD79" s="158" t="s">
        <v>288</v>
      </c>
      <c r="AE79" s="161">
        <v>1500</v>
      </c>
      <c r="AF79" s="161">
        <v>1000</v>
      </c>
      <c r="AG79" s="155">
        <v>44868</v>
      </c>
      <c r="AH79" s="155">
        <v>44875</v>
      </c>
      <c r="AI79" s="155"/>
      <c r="AJ79" s="158">
        <v>44875</v>
      </c>
      <c r="AK79" s="211"/>
      <c r="AL79" s="158"/>
      <c r="AM79" s="1"/>
    </row>
    <row r="80" spans="1:48" ht="45" hidden="1" customHeight="1">
      <c r="A80" s="1"/>
      <c r="B80" s="159" t="s">
        <v>536</v>
      </c>
      <c r="C80" s="159" t="s">
        <v>152</v>
      </c>
      <c r="D80" s="159" t="s">
        <v>321</v>
      </c>
      <c r="E80" s="159" t="s">
        <v>537</v>
      </c>
      <c r="F80" s="159"/>
      <c r="G80" s="159" t="s">
        <v>296</v>
      </c>
      <c r="H80" s="159" t="s">
        <v>42</v>
      </c>
      <c r="I80" s="159">
        <v>61</v>
      </c>
      <c r="J80" s="151" t="s">
        <v>525</v>
      </c>
      <c r="K80" s="160">
        <v>44866</v>
      </c>
      <c r="L80" s="160" t="s">
        <v>288</v>
      </c>
      <c r="M80" s="155" t="s">
        <v>288</v>
      </c>
      <c r="N80" s="155" t="s">
        <v>288</v>
      </c>
      <c r="O80" s="155">
        <v>44888</v>
      </c>
      <c r="P80" s="155">
        <v>44889</v>
      </c>
      <c r="Q80" s="155" t="s">
        <v>289</v>
      </c>
      <c r="R80" s="155"/>
      <c r="S80" s="151" t="s">
        <v>47</v>
      </c>
      <c r="T80" s="151" t="s">
        <v>290</v>
      </c>
      <c r="U80" s="156"/>
      <c r="V80" s="151" t="s">
        <v>291</v>
      </c>
      <c r="W80" s="151"/>
      <c r="X80" s="151"/>
      <c r="Y80" s="156"/>
      <c r="Z80" s="156"/>
      <c r="AA80" s="156"/>
      <c r="AB80" s="156"/>
      <c r="AC80" s="156"/>
      <c r="AD80" s="155" t="s">
        <v>288</v>
      </c>
      <c r="AE80" s="161">
        <v>2000</v>
      </c>
      <c r="AF80" s="161">
        <v>2450</v>
      </c>
      <c r="AG80" s="155">
        <v>44874</v>
      </c>
      <c r="AH80" s="155">
        <v>44886</v>
      </c>
      <c r="AI80" s="155"/>
      <c r="AJ80" s="158">
        <v>44889</v>
      </c>
      <c r="AK80" s="211"/>
      <c r="AL80" s="158"/>
      <c r="AM80" s="1"/>
      <c r="AN80" s="1"/>
      <c r="AO80" s="1"/>
      <c r="AP80" s="1"/>
      <c r="AQ80" s="1"/>
      <c r="AR80" s="1"/>
      <c r="AS80" s="1"/>
      <c r="AT80" s="1"/>
      <c r="AU80" s="1"/>
      <c r="AV80" s="1"/>
    </row>
    <row r="81" spans="1:48" ht="45" hidden="1" customHeight="1">
      <c r="B81" s="159" t="s">
        <v>544</v>
      </c>
      <c r="C81" s="159" t="s">
        <v>117</v>
      </c>
      <c r="D81" s="25" t="s">
        <v>118</v>
      </c>
      <c r="E81" s="159" t="s">
        <v>545</v>
      </c>
      <c r="F81" s="159"/>
      <c r="G81" s="159" t="s">
        <v>296</v>
      </c>
      <c r="H81" s="159" t="s">
        <v>42</v>
      </c>
      <c r="I81" s="159" t="s">
        <v>546</v>
      </c>
      <c r="J81" s="151" t="s">
        <v>525</v>
      </c>
      <c r="K81" s="160">
        <v>44866</v>
      </c>
      <c r="L81" s="160" t="s">
        <v>288</v>
      </c>
      <c r="M81" s="155" t="s">
        <v>288</v>
      </c>
      <c r="N81" s="155" t="s">
        <v>288</v>
      </c>
      <c r="O81" s="155">
        <v>44890</v>
      </c>
      <c r="P81" s="155">
        <v>44891</v>
      </c>
      <c r="Q81" s="155" t="s">
        <v>289</v>
      </c>
      <c r="R81" s="155"/>
      <c r="S81" s="151" t="s">
        <v>47</v>
      </c>
      <c r="T81" s="151" t="s">
        <v>290</v>
      </c>
      <c r="U81" s="156"/>
      <c r="V81" s="151" t="s">
        <v>291</v>
      </c>
      <c r="W81" s="151"/>
      <c r="X81" s="151"/>
      <c r="Y81" s="156"/>
      <c r="Z81" s="156"/>
      <c r="AA81" s="156"/>
      <c r="AB81" s="156"/>
      <c r="AC81" s="156"/>
      <c r="AD81" s="155" t="s">
        <v>288</v>
      </c>
      <c r="AE81" s="161">
        <v>1850</v>
      </c>
      <c r="AF81" s="161">
        <v>2700</v>
      </c>
      <c r="AG81" s="155">
        <v>44866</v>
      </c>
      <c r="AH81" s="155">
        <v>44895</v>
      </c>
      <c r="AI81" s="155"/>
      <c r="AJ81" s="158">
        <v>44891</v>
      </c>
      <c r="AK81" s="211"/>
      <c r="AL81" s="158"/>
      <c r="AM81" s="1"/>
    </row>
    <row r="82" spans="1:48" ht="45" hidden="1" customHeight="1">
      <c r="A82" s="1"/>
      <c r="B82" s="159" t="s">
        <v>526</v>
      </c>
      <c r="C82" s="159" t="s">
        <v>117</v>
      </c>
      <c r="D82" s="25" t="s">
        <v>118</v>
      </c>
      <c r="E82" s="159" t="s">
        <v>527</v>
      </c>
      <c r="F82" s="159"/>
      <c r="G82" s="159" t="s">
        <v>107</v>
      </c>
      <c r="H82" s="159" t="s">
        <v>42</v>
      </c>
      <c r="I82" s="159" t="s">
        <v>528</v>
      </c>
      <c r="J82" s="151" t="s">
        <v>407</v>
      </c>
      <c r="K82" s="160">
        <v>44866</v>
      </c>
      <c r="L82" s="160" t="s">
        <v>288</v>
      </c>
      <c r="M82" s="155" t="s">
        <v>288</v>
      </c>
      <c r="N82" s="155" t="s">
        <v>288</v>
      </c>
      <c r="O82" s="155">
        <v>45241</v>
      </c>
      <c r="P82" s="155">
        <v>44877</v>
      </c>
      <c r="Q82" s="155" t="s">
        <v>289</v>
      </c>
      <c r="R82" s="155"/>
      <c r="S82" s="151" t="s">
        <v>47</v>
      </c>
      <c r="T82" s="151" t="s">
        <v>290</v>
      </c>
      <c r="U82" s="156"/>
      <c r="V82" s="151" t="s">
        <v>291</v>
      </c>
      <c r="W82" s="151"/>
      <c r="X82" s="151"/>
      <c r="Y82" s="156"/>
      <c r="Z82" s="156"/>
      <c r="AA82" s="156"/>
      <c r="AB82" s="156"/>
      <c r="AC82" s="156"/>
      <c r="AD82" s="155" t="s">
        <v>288</v>
      </c>
      <c r="AE82" s="161">
        <v>2200</v>
      </c>
      <c r="AF82" s="161">
        <v>1750</v>
      </c>
      <c r="AG82" s="155">
        <v>44874</v>
      </c>
      <c r="AH82" s="155">
        <v>44894</v>
      </c>
      <c r="AI82" s="155"/>
      <c r="AJ82" s="158">
        <v>44877</v>
      </c>
      <c r="AK82" s="211"/>
      <c r="AL82" s="158"/>
      <c r="AM82" s="1"/>
      <c r="AN82" s="1"/>
      <c r="AO82" s="1"/>
      <c r="AP82" s="1"/>
      <c r="AQ82" s="1"/>
      <c r="AR82" s="1"/>
      <c r="AS82" s="1"/>
      <c r="AT82" s="1"/>
      <c r="AU82" s="1"/>
      <c r="AV82" s="1"/>
    </row>
    <row r="83" spans="1:48" ht="45" hidden="1" customHeight="1">
      <c r="B83" s="159" t="s">
        <v>550</v>
      </c>
      <c r="C83" s="159" t="s">
        <v>551</v>
      </c>
      <c r="D83" s="159" t="s">
        <v>552</v>
      </c>
      <c r="E83" s="159" t="s">
        <v>553</v>
      </c>
      <c r="F83" s="159"/>
      <c r="G83" s="159" t="s">
        <v>301</v>
      </c>
      <c r="H83" s="159" t="s">
        <v>486</v>
      </c>
      <c r="I83" s="159">
        <v>161</v>
      </c>
      <c r="J83" s="151"/>
      <c r="K83" s="160">
        <v>44866</v>
      </c>
      <c r="L83" s="160" t="s">
        <v>288</v>
      </c>
      <c r="M83" s="155" t="s">
        <v>288</v>
      </c>
      <c r="N83" s="155" t="s">
        <v>288</v>
      </c>
      <c r="O83" s="155">
        <v>45258</v>
      </c>
      <c r="P83" s="155">
        <v>44894</v>
      </c>
      <c r="Q83" s="155" t="s">
        <v>289</v>
      </c>
      <c r="R83" s="155"/>
      <c r="S83" s="151" t="s">
        <v>47</v>
      </c>
      <c r="T83" s="151" t="s">
        <v>290</v>
      </c>
      <c r="U83" s="156"/>
      <c r="V83" s="151" t="s">
        <v>291</v>
      </c>
      <c r="W83" s="151"/>
      <c r="X83" s="151"/>
      <c r="Y83" s="156"/>
      <c r="Z83" s="156"/>
      <c r="AA83" s="156"/>
      <c r="AB83" s="156"/>
      <c r="AC83" s="156"/>
      <c r="AD83" s="155" t="s">
        <v>288</v>
      </c>
      <c r="AE83" s="161">
        <v>1050</v>
      </c>
      <c r="AF83" s="161">
        <v>2950</v>
      </c>
      <c r="AG83" s="155">
        <v>44858</v>
      </c>
      <c r="AH83" s="155">
        <v>44895</v>
      </c>
      <c r="AI83" s="155"/>
      <c r="AJ83" s="158">
        <v>44894</v>
      </c>
      <c r="AK83" s="211"/>
      <c r="AL83" s="158"/>
      <c r="AM83" s="1"/>
    </row>
    <row r="84" spans="1:48" ht="45" hidden="1" customHeight="1">
      <c r="A84" s="1"/>
      <c r="B84" s="159" t="s">
        <v>534</v>
      </c>
      <c r="C84" s="159" t="s">
        <v>54</v>
      </c>
      <c r="D84" s="159" t="s">
        <v>55</v>
      </c>
      <c r="E84" s="159" t="s">
        <v>535</v>
      </c>
      <c r="F84" s="159"/>
      <c r="G84" s="159" t="s">
        <v>296</v>
      </c>
      <c r="H84" s="159" t="s">
        <v>42</v>
      </c>
      <c r="I84" s="159">
        <v>61</v>
      </c>
      <c r="J84" s="151" t="s">
        <v>429</v>
      </c>
      <c r="K84" s="160">
        <v>44866</v>
      </c>
      <c r="L84" s="160" t="s">
        <v>288</v>
      </c>
      <c r="M84" s="155" t="s">
        <v>288</v>
      </c>
      <c r="N84" s="155" t="s">
        <v>288</v>
      </c>
      <c r="O84" s="155">
        <v>44880</v>
      </c>
      <c r="P84" s="155">
        <v>44881</v>
      </c>
      <c r="Q84" s="155" t="s">
        <v>289</v>
      </c>
      <c r="R84" s="155"/>
      <c r="S84" s="151" t="s">
        <v>47</v>
      </c>
      <c r="T84" s="151" t="s">
        <v>290</v>
      </c>
      <c r="U84" s="156"/>
      <c r="V84" s="151" t="s">
        <v>291</v>
      </c>
      <c r="W84" s="151"/>
      <c r="X84" s="151"/>
      <c r="Y84" s="156"/>
      <c r="Z84" s="156"/>
      <c r="AA84" s="156"/>
      <c r="AB84" s="156"/>
      <c r="AC84" s="156"/>
      <c r="AD84" s="155" t="s">
        <v>288</v>
      </c>
      <c r="AE84" s="161">
        <v>1250</v>
      </c>
      <c r="AF84" s="161">
        <v>2000</v>
      </c>
      <c r="AG84" s="155">
        <v>44860</v>
      </c>
      <c r="AH84" s="155">
        <v>44877</v>
      </c>
      <c r="AI84" s="155"/>
      <c r="AJ84" s="158">
        <v>44881</v>
      </c>
      <c r="AK84" s="211"/>
      <c r="AL84" s="158"/>
      <c r="AM84" s="1"/>
      <c r="AN84" s="1"/>
      <c r="AO84" s="1"/>
      <c r="AP84" s="1"/>
      <c r="AQ84" s="1"/>
      <c r="AR84" s="1"/>
      <c r="AS84" s="1"/>
      <c r="AT84" s="1"/>
      <c r="AU84" s="1"/>
      <c r="AV84" s="1"/>
    </row>
    <row r="85" spans="1:48" ht="45" hidden="1" customHeight="1">
      <c r="A85" s="1"/>
      <c r="B85" s="159" t="s">
        <v>521</v>
      </c>
      <c r="C85" s="159" t="s">
        <v>261</v>
      </c>
      <c r="D85" s="159" t="s">
        <v>262</v>
      </c>
      <c r="E85" s="159" t="s">
        <v>522</v>
      </c>
      <c r="F85" s="159"/>
      <c r="G85" s="159" t="s">
        <v>308</v>
      </c>
      <c r="H85" s="159" t="s">
        <v>42</v>
      </c>
      <c r="I85" s="159">
        <v>34</v>
      </c>
      <c r="J85" s="151" t="s">
        <v>429</v>
      </c>
      <c r="K85" s="160">
        <v>44866</v>
      </c>
      <c r="L85" s="160" t="s">
        <v>288</v>
      </c>
      <c r="M85" s="155" t="s">
        <v>288</v>
      </c>
      <c r="N85" s="155" t="s">
        <v>288</v>
      </c>
      <c r="O85" s="155">
        <v>45241</v>
      </c>
      <c r="P85" s="155">
        <v>44877</v>
      </c>
      <c r="Q85" s="155" t="s">
        <v>289</v>
      </c>
      <c r="R85" s="155"/>
      <c r="S85" s="151" t="s">
        <v>47</v>
      </c>
      <c r="T85" s="151" t="s">
        <v>290</v>
      </c>
      <c r="U85" s="156"/>
      <c r="V85" s="151" t="s">
        <v>85</v>
      </c>
      <c r="W85" s="151"/>
      <c r="X85" s="151"/>
      <c r="Y85" s="156"/>
      <c r="Z85" s="156"/>
      <c r="AA85" s="156"/>
      <c r="AB85" s="156"/>
      <c r="AC85" s="156"/>
      <c r="AD85" s="155" t="s">
        <v>288</v>
      </c>
      <c r="AE85" s="161">
        <v>1550</v>
      </c>
      <c r="AF85" s="161">
        <v>2550</v>
      </c>
      <c r="AG85" s="155">
        <v>44862</v>
      </c>
      <c r="AH85" s="155">
        <v>44877</v>
      </c>
      <c r="AI85" s="155"/>
      <c r="AJ85" s="158">
        <v>44877</v>
      </c>
      <c r="AK85" s="211"/>
      <c r="AL85" s="158"/>
      <c r="AM85" s="1"/>
      <c r="AN85" s="1"/>
      <c r="AO85" s="1"/>
      <c r="AP85" s="1"/>
      <c r="AQ85" s="1"/>
      <c r="AR85" s="1"/>
      <c r="AS85" s="1"/>
      <c r="AT85" s="1"/>
      <c r="AU85" s="1"/>
      <c r="AV85" s="1"/>
    </row>
    <row r="86" spans="1:48" ht="45" hidden="1" customHeight="1">
      <c r="A86" s="1"/>
      <c r="B86" s="159" t="s">
        <v>540</v>
      </c>
      <c r="C86" s="159" t="s">
        <v>261</v>
      </c>
      <c r="D86" s="159" t="s">
        <v>262</v>
      </c>
      <c r="E86" s="159" t="s">
        <v>541</v>
      </c>
      <c r="F86" s="159"/>
      <c r="G86" s="159" t="s">
        <v>308</v>
      </c>
      <c r="H86" s="159" t="s">
        <v>42</v>
      </c>
      <c r="I86" s="159">
        <v>51</v>
      </c>
      <c r="J86" s="151" t="s">
        <v>407</v>
      </c>
      <c r="K86" s="160">
        <v>44866</v>
      </c>
      <c r="L86" s="160" t="s">
        <v>288</v>
      </c>
      <c r="M86" s="155" t="s">
        <v>288</v>
      </c>
      <c r="N86" s="155" t="s">
        <v>288</v>
      </c>
      <c r="O86" s="155">
        <v>44889</v>
      </c>
      <c r="P86" s="155">
        <v>44890</v>
      </c>
      <c r="Q86" s="155" t="s">
        <v>289</v>
      </c>
      <c r="R86" s="155"/>
      <c r="S86" s="151" t="s">
        <v>47</v>
      </c>
      <c r="T86" s="151" t="s">
        <v>290</v>
      </c>
      <c r="U86" s="156"/>
      <c r="V86" s="151" t="s">
        <v>85</v>
      </c>
      <c r="W86" s="151"/>
      <c r="X86" s="151"/>
      <c r="Y86" s="156"/>
      <c r="Z86" s="156"/>
      <c r="AA86" s="156"/>
      <c r="AB86" s="156"/>
      <c r="AC86" s="156"/>
      <c r="AD86" s="155" t="s">
        <v>288</v>
      </c>
      <c r="AE86" s="161">
        <v>1350</v>
      </c>
      <c r="AF86" s="161">
        <v>1450</v>
      </c>
      <c r="AG86" s="155">
        <v>44874</v>
      </c>
      <c r="AH86" s="155">
        <v>44895</v>
      </c>
      <c r="AI86" s="155"/>
      <c r="AJ86" s="158">
        <v>44890</v>
      </c>
      <c r="AK86" s="211"/>
      <c r="AL86" s="158"/>
      <c r="AM86" s="1"/>
      <c r="AN86" s="1"/>
      <c r="AO86" s="1"/>
      <c r="AP86" s="1"/>
      <c r="AQ86" s="1"/>
      <c r="AR86" s="1"/>
      <c r="AS86" s="1"/>
      <c r="AT86" s="1"/>
      <c r="AU86" s="1"/>
      <c r="AV86" s="1"/>
    </row>
    <row r="87" spans="1:48" ht="45" hidden="1" customHeight="1">
      <c r="A87" s="1"/>
      <c r="B87" s="159" t="s">
        <v>508</v>
      </c>
      <c r="C87" s="159" t="s">
        <v>152</v>
      </c>
      <c r="D87" s="159" t="s">
        <v>321</v>
      </c>
      <c r="E87" s="159" t="s">
        <v>509</v>
      </c>
      <c r="F87" s="159"/>
      <c r="G87" s="159" t="s">
        <v>137</v>
      </c>
      <c r="H87" s="159" t="s">
        <v>42</v>
      </c>
      <c r="I87" s="159">
        <v>51</v>
      </c>
      <c r="J87" s="151" t="s">
        <v>429</v>
      </c>
      <c r="K87" s="160">
        <v>44866</v>
      </c>
      <c r="L87" s="160" t="s">
        <v>288</v>
      </c>
      <c r="M87" s="155" t="s">
        <v>288</v>
      </c>
      <c r="N87" s="155" t="s">
        <v>288</v>
      </c>
      <c r="O87" s="155">
        <v>44874</v>
      </c>
      <c r="P87" s="155">
        <v>44875</v>
      </c>
      <c r="Q87" s="155" t="s">
        <v>289</v>
      </c>
      <c r="R87" s="155"/>
      <c r="S87" s="151" t="s">
        <v>47</v>
      </c>
      <c r="T87" s="151" t="s">
        <v>290</v>
      </c>
      <c r="U87" s="156"/>
      <c r="V87" s="151" t="s">
        <v>291</v>
      </c>
      <c r="W87" s="151"/>
      <c r="X87" s="151"/>
      <c r="Y87" s="156"/>
      <c r="Z87" s="156"/>
      <c r="AA87" s="156"/>
      <c r="AB87" s="156"/>
      <c r="AC87" s="156"/>
      <c r="AD87" s="155" t="s">
        <v>288</v>
      </c>
      <c r="AE87" s="161">
        <v>2500</v>
      </c>
      <c r="AF87" s="161">
        <v>1700</v>
      </c>
      <c r="AG87" s="155">
        <v>44861</v>
      </c>
      <c r="AH87" s="155">
        <v>44877</v>
      </c>
      <c r="AI87" s="155"/>
      <c r="AJ87" s="158">
        <v>44875</v>
      </c>
      <c r="AK87" s="211"/>
      <c r="AL87" s="158"/>
      <c r="AM87" s="1"/>
      <c r="AN87" s="1"/>
      <c r="AO87" s="1"/>
      <c r="AP87" s="1"/>
      <c r="AQ87" s="1"/>
      <c r="AR87" s="1"/>
      <c r="AS87" s="1"/>
      <c r="AT87" s="1"/>
      <c r="AU87" s="1"/>
      <c r="AV87" s="1"/>
    </row>
    <row r="88" spans="1:48" ht="45" hidden="1" customHeight="1">
      <c r="A88" s="1"/>
      <c r="B88" s="159" t="s">
        <v>510</v>
      </c>
      <c r="C88" s="159" t="s">
        <v>152</v>
      </c>
      <c r="D88" s="159" t="s">
        <v>321</v>
      </c>
      <c r="E88" s="159" t="s">
        <v>511</v>
      </c>
      <c r="F88" s="159"/>
      <c r="G88" s="159" t="s">
        <v>446</v>
      </c>
      <c r="H88" s="159" t="s">
        <v>42</v>
      </c>
      <c r="I88" s="159">
        <v>41</v>
      </c>
      <c r="J88" s="151" t="s">
        <v>423</v>
      </c>
      <c r="K88" s="160">
        <v>44866</v>
      </c>
      <c r="L88" s="160" t="s">
        <v>288</v>
      </c>
      <c r="M88" s="155" t="s">
        <v>288</v>
      </c>
      <c r="N88" s="155" t="s">
        <v>288</v>
      </c>
      <c r="O88" s="155">
        <v>44874</v>
      </c>
      <c r="P88" s="155">
        <v>44875</v>
      </c>
      <c r="Q88" s="155" t="s">
        <v>289</v>
      </c>
      <c r="R88" s="155"/>
      <c r="S88" s="151" t="s">
        <v>47</v>
      </c>
      <c r="T88" s="151" t="s">
        <v>290</v>
      </c>
      <c r="U88" s="156"/>
      <c r="V88" s="151" t="s">
        <v>291</v>
      </c>
      <c r="W88" s="151"/>
      <c r="X88" s="151"/>
      <c r="Y88" s="156"/>
      <c r="Z88" s="156"/>
      <c r="AA88" s="156"/>
      <c r="AB88" s="156"/>
      <c r="AC88" s="156"/>
      <c r="AD88" s="158" t="s">
        <v>288</v>
      </c>
      <c r="AE88" s="161">
        <v>300</v>
      </c>
      <c r="AF88" s="161">
        <v>900</v>
      </c>
      <c r="AG88" s="155">
        <v>44858</v>
      </c>
      <c r="AH88" s="155">
        <v>44875</v>
      </c>
      <c r="AI88" s="155"/>
      <c r="AJ88" s="158">
        <v>44875</v>
      </c>
      <c r="AK88" s="211"/>
      <c r="AL88" s="158"/>
      <c r="AM88" s="1"/>
      <c r="AN88" s="1"/>
      <c r="AO88" s="1"/>
      <c r="AP88" s="1"/>
      <c r="AQ88" s="1"/>
      <c r="AR88" s="1"/>
      <c r="AS88" s="1"/>
      <c r="AT88" s="1"/>
      <c r="AU88" s="1"/>
      <c r="AV88" s="1"/>
    </row>
    <row r="89" spans="1:48" ht="45" hidden="1" customHeight="1">
      <c r="A89" s="1"/>
      <c r="B89" s="159" t="s">
        <v>542</v>
      </c>
      <c r="C89" s="159" t="s">
        <v>479</v>
      </c>
      <c r="D89" s="159" t="s">
        <v>480</v>
      </c>
      <c r="E89" s="159" t="s">
        <v>479</v>
      </c>
      <c r="F89" s="159"/>
      <c r="G89" s="159" t="s">
        <v>308</v>
      </c>
      <c r="H89" s="159" t="s">
        <v>42</v>
      </c>
      <c r="I89" s="159" t="s">
        <v>543</v>
      </c>
      <c r="J89" s="151" t="s">
        <v>429</v>
      </c>
      <c r="K89" s="160">
        <v>44866</v>
      </c>
      <c r="L89" s="160" t="s">
        <v>288</v>
      </c>
      <c r="M89" s="155" t="s">
        <v>288</v>
      </c>
      <c r="N89" s="155" t="s">
        <v>288</v>
      </c>
      <c r="O89" s="155">
        <v>44890</v>
      </c>
      <c r="P89" s="155">
        <v>44891</v>
      </c>
      <c r="Q89" s="155" t="s">
        <v>289</v>
      </c>
      <c r="R89" s="155"/>
      <c r="S89" s="151" t="s">
        <v>47</v>
      </c>
      <c r="T89" s="151" t="s">
        <v>290</v>
      </c>
      <c r="U89" s="156"/>
      <c r="V89" s="151" t="s">
        <v>85</v>
      </c>
      <c r="W89" s="151"/>
      <c r="X89" s="151"/>
      <c r="Y89" s="156"/>
      <c r="Z89" s="156"/>
      <c r="AA89" s="156"/>
      <c r="AB89" s="156"/>
      <c r="AC89" s="156"/>
      <c r="AD89" s="155" t="s">
        <v>288</v>
      </c>
      <c r="AE89" s="161">
        <v>1900</v>
      </c>
      <c r="AF89" s="161">
        <v>3750</v>
      </c>
      <c r="AG89" s="155">
        <v>44874</v>
      </c>
      <c r="AH89" s="155">
        <v>44892</v>
      </c>
      <c r="AI89" s="155"/>
      <c r="AJ89" s="158">
        <v>44891</v>
      </c>
      <c r="AK89" s="211"/>
      <c r="AL89" s="158"/>
      <c r="AM89" s="1"/>
      <c r="AN89" s="1"/>
      <c r="AO89" s="1"/>
      <c r="AP89" s="1"/>
      <c r="AQ89" s="1"/>
      <c r="AR89" s="1"/>
      <c r="AS89" s="1"/>
      <c r="AT89" s="1"/>
      <c r="AU89" s="1"/>
      <c r="AV89" s="1"/>
    </row>
    <row r="90" spans="1:48" ht="45" hidden="1" customHeight="1">
      <c r="B90" s="159" t="s">
        <v>532</v>
      </c>
      <c r="C90" s="159" t="s">
        <v>479</v>
      </c>
      <c r="D90" s="159" t="s">
        <v>480</v>
      </c>
      <c r="E90" s="159" t="s">
        <v>533</v>
      </c>
      <c r="F90" s="159"/>
      <c r="G90" s="159" t="s">
        <v>308</v>
      </c>
      <c r="H90" s="159" t="s">
        <v>42</v>
      </c>
      <c r="I90" s="159">
        <v>81</v>
      </c>
      <c r="J90" s="151" t="s">
        <v>429</v>
      </c>
      <c r="K90" s="160">
        <v>44866</v>
      </c>
      <c r="L90" s="160" t="s">
        <v>288</v>
      </c>
      <c r="M90" s="155" t="s">
        <v>288</v>
      </c>
      <c r="N90" s="155" t="s">
        <v>288</v>
      </c>
      <c r="O90" s="155">
        <v>45243</v>
      </c>
      <c r="P90" s="155">
        <v>44879</v>
      </c>
      <c r="Q90" s="155" t="s">
        <v>289</v>
      </c>
      <c r="R90" s="155"/>
      <c r="S90" s="151" t="s">
        <v>47</v>
      </c>
      <c r="T90" s="151" t="s">
        <v>290</v>
      </c>
      <c r="U90" s="156"/>
      <c r="V90" s="151" t="s">
        <v>85</v>
      </c>
      <c r="W90" s="151"/>
      <c r="X90" s="151"/>
      <c r="Y90" s="156"/>
      <c r="Z90" s="156"/>
      <c r="AA90" s="156"/>
      <c r="AB90" s="156"/>
      <c r="AC90" s="156"/>
      <c r="AD90" s="155" t="s">
        <v>288</v>
      </c>
      <c r="AE90" s="161">
        <v>300</v>
      </c>
      <c r="AF90" s="161">
        <v>700</v>
      </c>
      <c r="AG90" s="155">
        <v>44865</v>
      </c>
      <c r="AH90" s="155">
        <v>44884</v>
      </c>
      <c r="AI90" s="155"/>
      <c r="AJ90" s="158">
        <v>44879</v>
      </c>
      <c r="AK90" s="211"/>
      <c r="AL90" s="158"/>
      <c r="AM90" s="1"/>
    </row>
    <row r="91" spans="1:48" ht="45" hidden="1" customHeight="1">
      <c r="B91" s="159" t="s">
        <v>512</v>
      </c>
      <c r="C91" s="159" t="s">
        <v>479</v>
      </c>
      <c r="D91" s="159" t="s">
        <v>480</v>
      </c>
      <c r="E91" s="159" t="s">
        <v>513</v>
      </c>
      <c r="F91" s="159"/>
      <c r="G91" s="159" t="s">
        <v>308</v>
      </c>
      <c r="H91" s="159" t="s">
        <v>42</v>
      </c>
      <c r="I91" s="159" t="s">
        <v>514</v>
      </c>
      <c r="J91" s="151" t="s">
        <v>407</v>
      </c>
      <c r="K91" s="160">
        <v>44866</v>
      </c>
      <c r="L91" s="160" t="s">
        <v>288</v>
      </c>
      <c r="M91" s="155" t="s">
        <v>288</v>
      </c>
      <c r="N91" s="155" t="s">
        <v>288</v>
      </c>
      <c r="O91" s="155">
        <v>44874</v>
      </c>
      <c r="P91" s="155">
        <v>44875</v>
      </c>
      <c r="Q91" s="155" t="s">
        <v>289</v>
      </c>
      <c r="R91" s="155"/>
      <c r="S91" s="151" t="s">
        <v>47</v>
      </c>
      <c r="T91" s="151" t="s">
        <v>290</v>
      </c>
      <c r="U91" s="156"/>
      <c r="V91" s="151" t="s">
        <v>85</v>
      </c>
      <c r="W91" s="151"/>
      <c r="X91" s="151"/>
      <c r="Y91" s="156"/>
      <c r="Z91" s="156"/>
      <c r="AA91" s="156"/>
      <c r="AB91" s="156"/>
      <c r="AC91" s="156"/>
      <c r="AD91" s="155" t="s">
        <v>288</v>
      </c>
      <c r="AE91" s="161">
        <v>1000</v>
      </c>
      <c r="AF91" s="161">
        <v>1600</v>
      </c>
      <c r="AG91" s="155">
        <v>44871</v>
      </c>
      <c r="AH91" s="155">
        <v>44875</v>
      </c>
      <c r="AI91" s="155"/>
      <c r="AJ91" s="158">
        <v>44875</v>
      </c>
      <c r="AK91" s="211"/>
      <c r="AL91" s="158"/>
      <c r="AM91" s="1"/>
    </row>
    <row r="92" spans="1:48" ht="45" hidden="1" customHeight="1">
      <c r="B92" s="159" t="s">
        <v>523</v>
      </c>
      <c r="C92" s="159" t="s">
        <v>479</v>
      </c>
      <c r="D92" s="159" t="s">
        <v>480</v>
      </c>
      <c r="E92" s="159" t="s">
        <v>524</v>
      </c>
      <c r="F92" s="159"/>
      <c r="G92" s="159" t="s">
        <v>308</v>
      </c>
      <c r="H92" s="159" t="s">
        <v>42</v>
      </c>
      <c r="I92" s="159">
        <v>51</v>
      </c>
      <c r="J92" s="151" t="s">
        <v>525</v>
      </c>
      <c r="K92" s="160">
        <v>44866</v>
      </c>
      <c r="L92" s="160" t="s">
        <v>288</v>
      </c>
      <c r="M92" s="155" t="s">
        <v>288</v>
      </c>
      <c r="N92" s="155" t="s">
        <v>288</v>
      </c>
      <c r="O92" s="155">
        <v>45241</v>
      </c>
      <c r="P92" s="155">
        <v>44877</v>
      </c>
      <c r="Q92" s="155" t="s">
        <v>289</v>
      </c>
      <c r="R92" s="155"/>
      <c r="S92" s="151" t="s">
        <v>47</v>
      </c>
      <c r="T92" s="151" t="s">
        <v>290</v>
      </c>
      <c r="U92" s="156"/>
      <c r="V92" s="151" t="s">
        <v>85</v>
      </c>
      <c r="W92" s="151"/>
      <c r="X92" s="151"/>
      <c r="Y92" s="156"/>
      <c r="Z92" s="156"/>
      <c r="AA92" s="156"/>
      <c r="AB92" s="156"/>
      <c r="AC92" s="156"/>
      <c r="AD92" s="155" t="s">
        <v>288</v>
      </c>
      <c r="AE92" s="161">
        <v>200</v>
      </c>
      <c r="AF92" s="161">
        <v>500</v>
      </c>
      <c r="AG92" s="155">
        <v>44872</v>
      </c>
      <c r="AH92" s="155">
        <v>44881</v>
      </c>
      <c r="AI92" s="155"/>
      <c r="AJ92" s="158">
        <v>44877</v>
      </c>
      <c r="AK92" s="211"/>
      <c r="AL92" s="158"/>
      <c r="AM92" s="1"/>
    </row>
    <row r="93" spans="1:48" ht="45" hidden="1" customHeight="1">
      <c r="B93" s="159" t="s">
        <v>558</v>
      </c>
      <c r="C93" s="159" t="s">
        <v>410</v>
      </c>
      <c r="D93" s="159" t="s">
        <v>411</v>
      </c>
      <c r="E93" s="159" t="s">
        <v>559</v>
      </c>
      <c r="F93" s="159"/>
      <c r="G93" s="159" t="s">
        <v>107</v>
      </c>
      <c r="H93" s="159" t="s">
        <v>42</v>
      </c>
      <c r="I93" s="159">
        <v>131</v>
      </c>
      <c r="J93" s="151" t="s">
        <v>560</v>
      </c>
      <c r="K93" s="160">
        <v>44866</v>
      </c>
      <c r="L93" s="160" t="s">
        <v>288</v>
      </c>
      <c r="M93" s="155" t="s">
        <v>288</v>
      </c>
      <c r="N93" s="155" t="s">
        <v>288</v>
      </c>
      <c r="O93" s="155">
        <v>44894</v>
      </c>
      <c r="P93" s="155">
        <v>44895</v>
      </c>
      <c r="Q93" s="155" t="s">
        <v>289</v>
      </c>
      <c r="R93" s="155"/>
      <c r="S93" s="151" t="s">
        <v>47</v>
      </c>
      <c r="T93" s="151" t="s">
        <v>290</v>
      </c>
      <c r="U93" s="156"/>
      <c r="V93" s="151" t="s">
        <v>85</v>
      </c>
      <c r="W93" s="151"/>
      <c r="X93" s="151"/>
      <c r="Y93" s="156"/>
      <c r="Z93" s="156"/>
      <c r="AA93" s="156"/>
      <c r="AB93" s="156"/>
      <c r="AC93" s="156"/>
      <c r="AD93" s="155" t="s">
        <v>288</v>
      </c>
      <c r="AE93" s="161">
        <v>1900</v>
      </c>
      <c r="AF93" s="161">
        <v>2600</v>
      </c>
      <c r="AG93" s="155">
        <v>44874</v>
      </c>
      <c r="AH93" s="155">
        <v>44902</v>
      </c>
      <c r="AI93" s="155"/>
      <c r="AJ93" s="158">
        <v>44895</v>
      </c>
      <c r="AK93" s="211"/>
      <c r="AL93" s="158"/>
      <c r="AM93" s="1"/>
    </row>
    <row r="94" spans="1:48" ht="45" hidden="1" customHeight="1">
      <c r="A94" s="1"/>
      <c r="B94" s="159" t="s">
        <v>515</v>
      </c>
      <c r="C94" s="159" t="s">
        <v>516</v>
      </c>
      <c r="D94" s="159" t="s">
        <v>517</v>
      </c>
      <c r="E94" s="159" t="s">
        <v>517</v>
      </c>
      <c r="F94" s="159"/>
      <c r="G94" s="159" t="s">
        <v>518</v>
      </c>
      <c r="H94" s="159" t="s">
        <v>519</v>
      </c>
      <c r="I94" s="159">
        <v>1</v>
      </c>
      <c r="J94" s="151" t="s">
        <v>429</v>
      </c>
      <c r="K94" s="160">
        <v>44866</v>
      </c>
      <c r="L94" s="160" t="s">
        <v>288</v>
      </c>
      <c r="M94" s="155" t="s">
        <v>288</v>
      </c>
      <c r="N94" s="155" t="s">
        <v>288</v>
      </c>
      <c r="O94" s="155">
        <v>44874</v>
      </c>
      <c r="P94" s="155">
        <v>44875</v>
      </c>
      <c r="Q94" s="155" t="s">
        <v>289</v>
      </c>
      <c r="R94" s="155"/>
      <c r="S94" s="151" t="s">
        <v>47</v>
      </c>
      <c r="T94" s="151" t="s">
        <v>290</v>
      </c>
      <c r="U94" s="156" t="s">
        <v>520</v>
      </c>
      <c r="V94" s="151" t="s">
        <v>291</v>
      </c>
      <c r="W94" s="151"/>
      <c r="X94" s="151"/>
      <c r="Y94" s="156"/>
      <c r="Z94" s="156"/>
      <c r="AA94" s="156"/>
      <c r="AB94" s="156"/>
      <c r="AC94" s="156"/>
      <c r="AD94" s="155" t="s">
        <v>288</v>
      </c>
      <c r="AE94" s="161">
        <v>600</v>
      </c>
      <c r="AF94" s="161">
        <v>1250</v>
      </c>
      <c r="AG94" s="155">
        <v>44865</v>
      </c>
      <c r="AH94" s="155">
        <v>44875</v>
      </c>
      <c r="AI94" s="155"/>
      <c r="AJ94" s="158">
        <v>44875</v>
      </c>
      <c r="AK94" s="211"/>
      <c r="AL94" s="158"/>
      <c r="AM94" s="1"/>
      <c r="AN94" s="1"/>
      <c r="AO94" s="1"/>
      <c r="AP94" s="1"/>
      <c r="AQ94" s="1"/>
      <c r="AR94" s="1"/>
      <c r="AS94" s="1"/>
      <c r="AT94" s="1"/>
      <c r="AU94" s="1"/>
      <c r="AV94" s="1"/>
    </row>
    <row r="95" spans="1:48" ht="45" hidden="1" customHeight="1">
      <c r="B95" s="159" t="s">
        <v>554</v>
      </c>
      <c r="C95" s="159" t="s">
        <v>555</v>
      </c>
      <c r="D95" s="159" t="s">
        <v>556</v>
      </c>
      <c r="E95" s="159" t="s">
        <v>557</v>
      </c>
      <c r="F95" s="159"/>
      <c r="G95" s="159" t="s">
        <v>308</v>
      </c>
      <c r="H95" s="159" t="s">
        <v>42</v>
      </c>
      <c r="I95" s="159">
        <v>52</v>
      </c>
      <c r="J95" s="151" t="s">
        <v>525</v>
      </c>
      <c r="K95" s="160">
        <v>44866</v>
      </c>
      <c r="L95" s="160" t="s">
        <v>288</v>
      </c>
      <c r="M95" s="155" t="s">
        <v>288</v>
      </c>
      <c r="N95" s="155" t="s">
        <v>288</v>
      </c>
      <c r="O95" s="155">
        <v>45258</v>
      </c>
      <c r="P95" s="155">
        <v>44894</v>
      </c>
      <c r="Q95" s="155" t="s">
        <v>289</v>
      </c>
      <c r="R95" s="155"/>
      <c r="S95" s="151" t="s">
        <v>47</v>
      </c>
      <c r="T95" s="151" t="s">
        <v>290</v>
      </c>
      <c r="U95" s="156"/>
      <c r="V95" s="151" t="s">
        <v>85</v>
      </c>
      <c r="W95" s="151"/>
      <c r="X95" s="151"/>
      <c r="Y95" s="156"/>
      <c r="Z95" s="156"/>
      <c r="AA95" s="156"/>
      <c r="AB95" s="156"/>
      <c r="AC95" s="156"/>
      <c r="AD95" s="155" t="s">
        <v>288</v>
      </c>
      <c r="AE95" s="161">
        <v>3350</v>
      </c>
      <c r="AF95" s="161">
        <v>1600</v>
      </c>
      <c r="AG95" s="155">
        <v>44873</v>
      </c>
      <c r="AH95" s="155">
        <v>44891</v>
      </c>
      <c r="AI95" s="155"/>
      <c r="AJ95" s="158">
        <v>44894</v>
      </c>
      <c r="AK95" s="211"/>
      <c r="AL95" s="158"/>
      <c r="AM95" s="1"/>
    </row>
    <row r="96" spans="1:48" ht="45" hidden="1" customHeight="1">
      <c r="B96" s="159" t="s">
        <v>593</v>
      </c>
      <c r="C96" s="159" t="s">
        <v>305</v>
      </c>
      <c r="D96" s="159" t="s">
        <v>306</v>
      </c>
      <c r="E96" s="159" t="s">
        <v>594</v>
      </c>
      <c r="F96" s="159"/>
      <c r="G96" s="159" t="s">
        <v>391</v>
      </c>
      <c r="H96" s="159" t="s">
        <v>42</v>
      </c>
      <c r="I96" s="159">
        <v>51</v>
      </c>
      <c r="J96" s="151" t="s">
        <v>429</v>
      </c>
      <c r="K96" s="160">
        <v>44896</v>
      </c>
      <c r="L96" s="160" t="s">
        <v>288</v>
      </c>
      <c r="M96" s="155" t="s">
        <v>288</v>
      </c>
      <c r="N96" s="155" t="s">
        <v>288</v>
      </c>
      <c r="O96" s="155">
        <v>44910</v>
      </c>
      <c r="P96" s="155">
        <v>44911</v>
      </c>
      <c r="Q96" s="155" t="s">
        <v>289</v>
      </c>
      <c r="R96" s="155"/>
      <c r="S96" s="151" t="s">
        <v>47</v>
      </c>
      <c r="T96" s="151" t="s">
        <v>290</v>
      </c>
      <c r="U96" s="156"/>
      <c r="V96" s="151" t="s">
        <v>85</v>
      </c>
      <c r="W96" s="151"/>
      <c r="X96" s="151"/>
      <c r="Y96" s="156"/>
      <c r="Z96" s="156"/>
      <c r="AA96" s="156"/>
      <c r="AB96" s="156"/>
      <c r="AC96" s="156"/>
      <c r="AD96" s="155" t="s">
        <v>288</v>
      </c>
      <c r="AE96" s="161">
        <v>1190</v>
      </c>
      <c r="AF96" s="161">
        <v>1800</v>
      </c>
      <c r="AG96" s="155">
        <v>44900</v>
      </c>
      <c r="AH96" s="155">
        <v>44911</v>
      </c>
      <c r="AI96" s="155"/>
      <c r="AJ96" s="155">
        <v>44911</v>
      </c>
      <c r="AK96" s="172"/>
      <c r="AL96" s="155"/>
      <c r="AM96" s="1"/>
    </row>
    <row r="97" spans="1:48" ht="45" hidden="1" customHeight="1">
      <c r="B97" s="159" t="s">
        <v>589</v>
      </c>
      <c r="C97" s="159" t="s">
        <v>79</v>
      </c>
      <c r="D97" s="218" t="s">
        <v>80</v>
      </c>
      <c r="E97" s="159" t="s">
        <v>590</v>
      </c>
      <c r="F97" s="159"/>
      <c r="G97" s="159" t="s">
        <v>308</v>
      </c>
      <c r="H97" s="159" t="s">
        <v>42</v>
      </c>
      <c r="I97" s="159">
        <v>152</v>
      </c>
      <c r="J97" s="151" t="s">
        <v>429</v>
      </c>
      <c r="K97" s="160">
        <v>44896</v>
      </c>
      <c r="L97" s="160" t="s">
        <v>288</v>
      </c>
      <c r="M97" s="155" t="s">
        <v>288</v>
      </c>
      <c r="N97" s="155" t="s">
        <v>288</v>
      </c>
      <c r="O97" s="155">
        <v>44906</v>
      </c>
      <c r="P97" s="155">
        <v>44907</v>
      </c>
      <c r="Q97" s="155" t="s">
        <v>289</v>
      </c>
      <c r="R97" s="155"/>
      <c r="S97" s="151" t="s">
        <v>47</v>
      </c>
      <c r="T97" s="151" t="s">
        <v>48</v>
      </c>
      <c r="U97" s="156"/>
      <c r="V97" s="156" t="s">
        <v>291</v>
      </c>
      <c r="W97" s="151"/>
      <c r="X97" s="151"/>
      <c r="Y97" s="156"/>
      <c r="Z97" s="156"/>
      <c r="AA97" s="162"/>
      <c r="AB97" s="162"/>
      <c r="AC97" s="162"/>
      <c r="AD97" s="155" t="s">
        <v>288</v>
      </c>
      <c r="AE97" s="161">
        <v>1850</v>
      </c>
      <c r="AF97" s="161">
        <v>2150</v>
      </c>
      <c r="AG97" s="155">
        <v>44880</v>
      </c>
      <c r="AH97" s="155">
        <v>44907</v>
      </c>
      <c r="AI97" s="155"/>
      <c r="AJ97" s="158">
        <v>44907</v>
      </c>
      <c r="AK97" s="211"/>
      <c r="AL97" s="158"/>
      <c r="AM97" s="1"/>
    </row>
    <row r="98" spans="1:48" ht="45" hidden="1" customHeight="1">
      <c r="A98" s="1"/>
      <c r="B98" s="159" t="s">
        <v>609</v>
      </c>
      <c r="C98" s="159" t="s">
        <v>203</v>
      </c>
      <c r="D98" s="159" t="s">
        <v>204</v>
      </c>
      <c r="E98" s="159" t="s">
        <v>610</v>
      </c>
      <c r="F98" s="159"/>
      <c r="G98" s="159" t="s">
        <v>287</v>
      </c>
      <c r="H98" s="159" t="s">
        <v>42</v>
      </c>
      <c r="I98" s="159">
        <v>11</v>
      </c>
      <c r="J98" s="151" t="s">
        <v>429</v>
      </c>
      <c r="K98" s="160">
        <v>44896</v>
      </c>
      <c r="L98" s="160" t="s">
        <v>288</v>
      </c>
      <c r="M98" s="155" t="s">
        <v>288</v>
      </c>
      <c r="N98" s="155" t="s">
        <v>288</v>
      </c>
      <c r="O98" s="155">
        <v>45280</v>
      </c>
      <c r="P98" s="155">
        <v>44916</v>
      </c>
      <c r="Q98" s="155" t="s">
        <v>289</v>
      </c>
      <c r="R98" s="155"/>
      <c r="S98" s="151" t="s">
        <v>47</v>
      </c>
      <c r="T98" s="151" t="s">
        <v>290</v>
      </c>
      <c r="U98" s="156"/>
      <c r="V98" s="151" t="s">
        <v>85</v>
      </c>
      <c r="W98" s="151"/>
      <c r="X98" s="151"/>
      <c r="Y98" s="156"/>
      <c r="Z98" s="156"/>
      <c r="AA98" s="162"/>
      <c r="AB98" s="162"/>
      <c r="AC98" s="162"/>
      <c r="AD98" s="155" t="s">
        <v>288</v>
      </c>
      <c r="AE98" s="161">
        <v>3000</v>
      </c>
      <c r="AF98" s="161">
        <v>5500</v>
      </c>
      <c r="AG98" s="155">
        <v>44911</v>
      </c>
      <c r="AH98" s="155">
        <v>44923</v>
      </c>
      <c r="AI98" s="155"/>
      <c r="AJ98" s="158">
        <v>44916</v>
      </c>
      <c r="AK98" s="211"/>
      <c r="AL98" s="158"/>
      <c r="AM98" s="1"/>
      <c r="AN98" s="1"/>
      <c r="AO98" s="1"/>
      <c r="AP98" s="1"/>
      <c r="AQ98" s="1"/>
      <c r="AR98" s="1"/>
      <c r="AS98" s="1"/>
      <c r="AT98" s="1"/>
      <c r="AU98" s="1"/>
      <c r="AV98" s="1"/>
    </row>
    <row r="99" spans="1:48" ht="45" hidden="1" customHeight="1">
      <c r="B99" s="159" t="s">
        <v>603</v>
      </c>
      <c r="C99" s="159" t="s">
        <v>160</v>
      </c>
      <c r="D99" s="159" t="s">
        <v>161</v>
      </c>
      <c r="E99" s="159" t="s">
        <v>604</v>
      </c>
      <c r="F99" s="159"/>
      <c r="G99" s="159" t="s">
        <v>301</v>
      </c>
      <c r="H99" s="159" t="s">
        <v>42</v>
      </c>
      <c r="I99" s="159">
        <v>61</v>
      </c>
      <c r="J99" s="151" t="s">
        <v>429</v>
      </c>
      <c r="K99" s="160">
        <v>44896</v>
      </c>
      <c r="L99" s="160" t="s">
        <v>288</v>
      </c>
      <c r="M99" s="155" t="s">
        <v>288</v>
      </c>
      <c r="N99" s="155" t="s">
        <v>288</v>
      </c>
      <c r="O99" s="155">
        <v>44914</v>
      </c>
      <c r="P99" s="155">
        <v>44915</v>
      </c>
      <c r="Q99" s="155" t="s">
        <v>289</v>
      </c>
      <c r="R99" s="155"/>
      <c r="S99" s="151" t="s">
        <v>47</v>
      </c>
      <c r="T99" s="151" t="s">
        <v>290</v>
      </c>
      <c r="U99" s="156"/>
      <c r="V99" s="151" t="s">
        <v>291</v>
      </c>
      <c r="W99" s="151"/>
      <c r="X99" s="151"/>
      <c r="Y99" s="156"/>
      <c r="Z99" s="156"/>
      <c r="AA99" s="162"/>
      <c r="AB99" s="162"/>
      <c r="AC99" s="162"/>
      <c r="AD99" s="155" t="s">
        <v>288</v>
      </c>
      <c r="AE99" s="161">
        <v>3300</v>
      </c>
      <c r="AF99" s="161">
        <v>5070</v>
      </c>
      <c r="AG99" s="155">
        <v>44900</v>
      </c>
      <c r="AH99" s="155">
        <v>44915</v>
      </c>
      <c r="AI99" s="155"/>
      <c r="AJ99" s="158">
        <v>44915</v>
      </c>
      <c r="AK99" s="211"/>
      <c r="AL99" s="158"/>
      <c r="AM99" s="1"/>
    </row>
    <row r="100" spans="1:48" ht="45" hidden="1" customHeight="1">
      <c r="A100" s="1"/>
      <c r="B100" s="159" t="s">
        <v>615</v>
      </c>
      <c r="C100" s="159" t="s">
        <v>616</v>
      </c>
      <c r="D100" s="159" t="s">
        <v>354</v>
      </c>
      <c r="E100" s="159" t="s">
        <v>617</v>
      </c>
      <c r="F100" s="159"/>
      <c r="G100" s="159" t="s">
        <v>287</v>
      </c>
      <c r="H100" s="159" t="s">
        <v>42</v>
      </c>
      <c r="I100" s="159">
        <v>161</v>
      </c>
      <c r="J100" s="151" t="s">
        <v>429</v>
      </c>
      <c r="K100" s="160">
        <v>44896</v>
      </c>
      <c r="L100" s="160" t="s">
        <v>288</v>
      </c>
      <c r="M100" s="155" t="s">
        <v>288</v>
      </c>
      <c r="N100" s="155" t="s">
        <v>288</v>
      </c>
      <c r="O100" s="155">
        <v>45289</v>
      </c>
      <c r="P100" s="155">
        <v>45290</v>
      </c>
      <c r="Q100" s="155" t="s">
        <v>323</v>
      </c>
      <c r="R100" s="155"/>
      <c r="S100" s="151" t="s">
        <v>47</v>
      </c>
      <c r="T100" s="151" t="s">
        <v>48</v>
      </c>
      <c r="U100" s="156"/>
      <c r="V100" s="151" t="s">
        <v>291</v>
      </c>
      <c r="W100" s="151"/>
      <c r="X100" s="151"/>
      <c r="Y100" s="156"/>
      <c r="Z100" s="156"/>
      <c r="AA100" s="156"/>
      <c r="AB100" s="156"/>
      <c r="AC100" s="156"/>
      <c r="AD100" s="155" t="s">
        <v>288</v>
      </c>
      <c r="AE100" s="161">
        <v>200</v>
      </c>
      <c r="AF100" s="161">
        <v>4130</v>
      </c>
      <c r="AG100" s="155">
        <v>44890</v>
      </c>
      <c r="AH100" s="155">
        <v>44926</v>
      </c>
      <c r="AI100" s="155"/>
      <c r="AJ100" s="158">
        <v>44925</v>
      </c>
      <c r="AK100" s="211"/>
      <c r="AL100" s="158"/>
      <c r="AM100" s="1"/>
      <c r="AN100" s="1"/>
      <c r="AO100" s="1"/>
      <c r="AP100" s="1"/>
      <c r="AQ100" s="1"/>
      <c r="AR100" s="1"/>
      <c r="AS100" s="1"/>
      <c r="AT100" s="1"/>
      <c r="AU100" s="1"/>
      <c r="AV100" s="1"/>
    </row>
    <row r="101" spans="1:48" ht="45" hidden="1" customHeight="1">
      <c r="B101" s="159" t="s">
        <v>561</v>
      </c>
      <c r="C101" s="159" t="s">
        <v>336</v>
      </c>
      <c r="D101" s="159" t="s">
        <v>337</v>
      </c>
      <c r="E101" s="159" t="s">
        <v>562</v>
      </c>
      <c r="F101" s="159"/>
      <c r="G101" s="159" t="s">
        <v>287</v>
      </c>
      <c r="H101" s="159" t="s">
        <v>42</v>
      </c>
      <c r="I101" s="159">
        <v>102</v>
      </c>
      <c r="J101" s="151" t="s">
        <v>429</v>
      </c>
      <c r="K101" s="160">
        <v>44896</v>
      </c>
      <c r="L101" s="160" t="s">
        <v>288</v>
      </c>
      <c r="M101" s="155" t="s">
        <v>288</v>
      </c>
      <c r="N101" s="155" t="s">
        <v>288</v>
      </c>
      <c r="O101" s="155" t="s">
        <v>563</v>
      </c>
      <c r="P101" s="155">
        <v>44900</v>
      </c>
      <c r="Q101" s="155" t="s">
        <v>289</v>
      </c>
      <c r="R101" s="155"/>
      <c r="S101" s="151" t="s">
        <v>47</v>
      </c>
      <c r="T101" s="151" t="s">
        <v>290</v>
      </c>
      <c r="U101" s="156"/>
      <c r="V101" s="151" t="s">
        <v>291</v>
      </c>
      <c r="W101" s="151"/>
      <c r="X101" s="151"/>
      <c r="Y101" s="156"/>
      <c r="Z101" s="156"/>
      <c r="AA101" s="162"/>
      <c r="AB101" s="162"/>
      <c r="AC101" s="162"/>
      <c r="AD101" s="155" t="s">
        <v>288</v>
      </c>
      <c r="AE101" s="161">
        <v>300</v>
      </c>
      <c r="AF101" s="161">
        <v>1350</v>
      </c>
      <c r="AG101" s="155">
        <v>44884</v>
      </c>
      <c r="AH101" s="155">
        <v>44905</v>
      </c>
      <c r="AI101" s="155"/>
      <c r="AJ101" s="158">
        <v>44900</v>
      </c>
      <c r="AK101" s="211"/>
      <c r="AL101" s="158"/>
      <c r="AM101" s="1"/>
    </row>
    <row r="102" spans="1:48" ht="45" hidden="1" customHeight="1">
      <c r="A102" s="1"/>
      <c r="B102" s="159" t="s">
        <v>564</v>
      </c>
      <c r="C102" s="159" t="s">
        <v>336</v>
      </c>
      <c r="D102" s="159" t="s">
        <v>337</v>
      </c>
      <c r="E102" s="159" t="s">
        <v>565</v>
      </c>
      <c r="F102" s="159"/>
      <c r="G102" s="159" t="s">
        <v>287</v>
      </c>
      <c r="H102" s="159" t="s">
        <v>42</v>
      </c>
      <c r="I102" s="159">
        <v>111</v>
      </c>
      <c r="J102" s="151" t="s">
        <v>429</v>
      </c>
      <c r="K102" s="160">
        <v>44896</v>
      </c>
      <c r="L102" s="160" t="s">
        <v>288</v>
      </c>
      <c r="M102" s="155" t="s">
        <v>288</v>
      </c>
      <c r="N102" s="155" t="s">
        <v>288</v>
      </c>
      <c r="O102" s="155" t="s">
        <v>563</v>
      </c>
      <c r="P102" s="158">
        <v>44900</v>
      </c>
      <c r="Q102" s="155" t="s">
        <v>289</v>
      </c>
      <c r="R102" s="155"/>
      <c r="S102" s="151" t="s">
        <v>47</v>
      </c>
      <c r="T102" s="151" t="s">
        <v>290</v>
      </c>
      <c r="U102" s="156"/>
      <c r="V102" s="151" t="s">
        <v>85</v>
      </c>
      <c r="W102" s="151"/>
      <c r="X102" s="151"/>
      <c r="Y102" s="156"/>
      <c r="Z102" s="156"/>
      <c r="AA102" s="162"/>
      <c r="AB102" s="162"/>
      <c r="AC102" s="162"/>
      <c r="AD102" s="155" t="s">
        <v>288</v>
      </c>
      <c r="AE102" s="161">
        <v>400</v>
      </c>
      <c r="AF102" s="161">
        <v>500</v>
      </c>
      <c r="AG102" s="155">
        <v>44884</v>
      </c>
      <c r="AH102" s="155">
        <v>44905</v>
      </c>
      <c r="AI102" s="155"/>
      <c r="AJ102" s="158">
        <v>44900</v>
      </c>
      <c r="AK102" s="211"/>
      <c r="AL102" s="158"/>
      <c r="AM102" s="1"/>
      <c r="AN102" s="1"/>
      <c r="AO102" s="1"/>
      <c r="AP102" s="1"/>
      <c r="AQ102" s="1"/>
      <c r="AR102" s="1"/>
      <c r="AS102" s="1"/>
      <c r="AT102" s="1"/>
      <c r="AU102" s="1"/>
      <c r="AV102" s="1"/>
    </row>
    <row r="103" spans="1:48" ht="45" hidden="1" customHeight="1">
      <c r="B103" s="159" t="s">
        <v>576</v>
      </c>
      <c r="C103" s="159" t="s">
        <v>555</v>
      </c>
      <c r="D103" s="159" t="s">
        <v>556</v>
      </c>
      <c r="E103" s="159" t="s">
        <v>577</v>
      </c>
      <c r="F103" s="159"/>
      <c r="G103" s="159" t="s">
        <v>308</v>
      </c>
      <c r="H103" s="159" t="s">
        <v>42</v>
      </c>
      <c r="I103" s="159">
        <v>35</v>
      </c>
      <c r="J103" s="151" t="s">
        <v>429</v>
      </c>
      <c r="K103" s="160">
        <v>44896</v>
      </c>
      <c r="L103" s="160" t="s">
        <v>288</v>
      </c>
      <c r="M103" s="155" t="s">
        <v>288</v>
      </c>
      <c r="N103" s="155" t="s">
        <v>288</v>
      </c>
      <c r="O103" s="155">
        <v>44902</v>
      </c>
      <c r="P103" s="155">
        <v>44903</v>
      </c>
      <c r="Q103" s="155" t="s">
        <v>289</v>
      </c>
      <c r="R103" s="155"/>
      <c r="S103" s="151" t="s">
        <v>47</v>
      </c>
      <c r="T103" s="151" t="s">
        <v>290</v>
      </c>
      <c r="U103" s="156"/>
      <c r="V103" s="151" t="s">
        <v>85</v>
      </c>
      <c r="W103" s="151"/>
      <c r="X103" s="151"/>
      <c r="Y103" s="156"/>
      <c r="Z103" s="156"/>
      <c r="AA103" s="162"/>
      <c r="AB103" s="162"/>
      <c r="AC103" s="162"/>
      <c r="AD103" s="155" t="s">
        <v>288</v>
      </c>
      <c r="AE103" s="161">
        <v>3900</v>
      </c>
      <c r="AF103" s="161">
        <v>1700</v>
      </c>
      <c r="AG103" s="155">
        <v>44893</v>
      </c>
      <c r="AH103" s="155">
        <v>44905</v>
      </c>
      <c r="AI103" s="155"/>
      <c r="AJ103" s="158">
        <v>44903</v>
      </c>
      <c r="AK103" s="211"/>
      <c r="AL103" s="158"/>
      <c r="AM103" s="1"/>
    </row>
    <row r="104" spans="1:48" ht="45" hidden="1" customHeight="1">
      <c r="A104" s="1"/>
      <c r="B104" s="159" t="s">
        <v>599</v>
      </c>
      <c r="C104" s="159" t="s">
        <v>600</v>
      </c>
      <c r="D104" s="159" t="s">
        <v>601</v>
      </c>
      <c r="E104" s="159" t="s">
        <v>602</v>
      </c>
      <c r="F104" s="159"/>
      <c r="G104" s="159" t="s">
        <v>287</v>
      </c>
      <c r="H104" s="159" t="s">
        <v>42</v>
      </c>
      <c r="I104" s="159">
        <v>134</v>
      </c>
      <c r="J104" s="151" t="s">
        <v>429</v>
      </c>
      <c r="K104" s="160">
        <v>44896</v>
      </c>
      <c r="L104" s="160" t="s">
        <v>288</v>
      </c>
      <c r="M104" s="155" t="s">
        <v>288</v>
      </c>
      <c r="N104" s="155" t="s">
        <v>288</v>
      </c>
      <c r="O104" s="155">
        <v>44913</v>
      </c>
      <c r="P104" s="155">
        <v>44914</v>
      </c>
      <c r="Q104" s="155" t="s">
        <v>289</v>
      </c>
      <c r="R104" s="155"/>
      <c r="S104" s="151" t="s">
        <v>47</v>
      </c>
      <c r="T104" s="151" t="s">
        <v>290</v>
      </c>
      <c r="U104" s="156"/>
      <c r="V104" s="151" t="s">
        <v>85</v>
      </c>
      <c r="W104" s="151"/>
      <c r="X104" s="151"/>
      <c r="Y104" s="156"/>
      <c r="Z104" s="156"/>
      <c r="AA104" s="162"/>
      <c r="AB104" s="162"/>
      <c r="AC104" s="162"/>
      <c r="AD104" s="155" t="s">
        <v>288</v>
      </c>
      <c r="AE104" s="161">
        <v>2750</v>
      </c>
      <c r="AF104" s="161">
        <v>3500</v>
      </c>
      <c r="AG104" s="155">
        <v>44902</v>
      </c>
      <c r="AH104" s="155">
        <v>44919</v>
      </c>
      <c r="AI104" s="155"/>
      <c r="AJ104" s="158">
        <v>44914</v>
      </c>
      <c r="AK104" s="211"/>
      <c r="AL104" s="158"/>
      <c r="AM104" s="1"/>
      <c r="AN104" s="1"/>
      <c r="AO104" s="1"/>
      <c r="AP104" s="1"/>
      <c r="AQ104" s="1"/>
      <c r="AR104" s="1"/>
      <c r="AS104" s="1"/>
      <c r="AT104" s="1"/>
      <c r="AU104" s="1"/>
      <c r="AV104" s="1"/>
    </row>
    <row r="105" spans="1:48" ht="45" hidden="1" customHeight="1">
      <c r="B105" s="159" t="s">
        <v>595</v>
      </c>
      <c r="C105" s="159" t="s">
        <v>596</v>
      </c>
      <c r="D105" s="159" t="s">
        <v>597</v>
      </c>
      <c r="E105" s="159" t="s">
        <v>598</v>
      </c>
      <c r="F105" s="159"/>
      <c r="G105" s="159" t="s">
        <v>287</v>
      </c>
      <c r="H105" s="159" t="s">
        <v>42</v>
      </c>
      <c r="I105" s="159">
        <v>41</v>
      </c>
      <c r="J105" s="151" t="s">
        <v>429</v>
      </c>
      <c r="K105" s="160">
        <v>44896</v>
      </c>
      <c r="L105" s="160" t="s">
        <v>288</v>
      </c>
      <c r="M105" s="155" t="s">
        <v>288</v>
      </c>
      <c r="N105" s="155" t="s">
        <v>288</v>
      </c>
      <c r="O105" s="155">
        <v>44910</v>
      </c>
      <c r="P105" s="155">
        <v>44911</v>
      </c>
      <c r="Q105" s="155" t="s">
        <v>289</v>
      </c>
      <c r="R105" s="155"/>
      <c r="S105" s="151" t="s">
        <v>47</v>
      </c>
      <c r="T105" s="151" t="s">
        <v>290</v>
      </c>
      <c r="U105" s="156"/>
      <c r="V105" s="151" t="s">
        <v>291</v>
      </c>
      <c r="W105" s="151"/>
      <c r="X105" s="151"/>
      <c r="Y105" s="156"/>
      <c r="Z105" s="156"/>
      <c r="AA105" s="162"/>
      <c r="AB105" s="162"/>
      <c r="AC105" s="162"/>
      <c r="AD105" s="155" t="s">
        <v>288</v>
      </c>
      <c r="AE105" s="161">
        <v>1100</v>
      </c>
      <c r="AF105" s="161">
        <v>3300</v>
      </c>
      <c r="AG105" s="155">
        <v>44900</v>
      </c>
      <c r="AH105" s="155">
        <v>44911</v>
      </c>
      <c r="AI105" s="155"/>
      <c r="AJ105" s="155">
        <v>44911</v>
      </c>
      <c r="AK105" s="172"/>
      <c r="AL105" s="155"/>
      <c r="AM105" s="1"/>
    </row>
    <row r="106" spans="1:48" ht="45" hidden="1" customHeight="1">
      <c r="A106" s="1"/>
      <c r="B106" s="159" t="s">
        <v>618</v>
      </c>
      <c r="C106" s="159" t="s">
        <v>2249</v>
      </c>
      <c r="D106" s="159" t="s">
        <v>6874</v>
      </c>
      <c r="E106" s="159" t="s">
        <v>620</v>
      </c>
      <c r="F106" s="159"/>
      <c r="G106" s="159" t="s">
        <v>301</v>
      </c>
      <c r="H106" s="159" t="s">
        <v>42</v>
      </c>
      <c r="I106" s="159" t="s">
        <v>238</v>
      </c>
      <c r="J106" s="151" t="s">
        <v>429</v>
      </c>
      <c r="K106" s="160">
        <v>44896</v>
      </c>
      <c r="L106" s="160" t="s">
        <v>288</v>
      </c>
      <c r="M106" s="155" t="s">
        <v>288</v>
      </c>
      <c r="N106" s="155" t="s">
        <v>288</v>
      </c>
      <c r="O106" s="155">
        <v>45289</v>
      </c>
      <c r="P106" s="155">
        <v>45290</v>
      </c>
      <c r="Q106" s="155" t="s">
        <v>288</v>
      </c>
      <c r="R106" s="155"/>
      <c r="S106" s="151" t="s">
        <v>47</v>
      </c>
      <c r="T106" s="151" t="s">
        <v>290</v>
      </c>
      <c r="U106" s="156"/>
      <c r="V106" s="151" t="s">
        <v>291</v>
      </c>
      <c r="W106" s="151"/>
      <c r="X106" s="151"/>
      <c r="Y106" s="156"/>
      <c r="Z106" s="156"/>
      <c r="AA106" s="164"/>
      <c r="AB106" s="164"/>
      <c r="AC106" s="164"/>
      <c r="AD106" s="155" t="s">
        <v>288</v>
      </c>
      <c r="AE106" s="161">
        <v>2010</v>
      </c>
      <c r="AF106" s="161">
        <v>5700</v>
      </c>
      <c r="AG106" s="155">
        <v>44907</v>
      </c>
      <c r="AH106" s="155">
        <v>44926</v>
      </c>
      <c r="AI106" s="155"/>
      <c r="AJ106" s="155">
        <v>44925</v>
      </c>
      <c r="AK106" s="172"/>
      <c r="AL106" s="155"/>
      <c r="AM106" s="1"/>
      <c r="AN106" s="1"/>
      <c r="AO106" s="1"/>
      <c r="AP106" s="1"/>
      <c r="AQ106" s="1"/>
      <c r="AR106" s="1"/>
      <c r="AS106" s="1"/>
      <c r="AT106" s="1"/>
      <c r="AU106" s="1"/>
      <c r="AV106" s="1"/>
    </row>
    <row r="107" spans="1:48" ht="45" hidden="1" customHeight="1">
      <c r="A107" s="1"/>
      <c r="B107" s="159" t="s">
        <v>583</v>
      </c>
      <c r="C107" s="159" t="s">
        <v>410</v>
      </c>
      <c r="D107" s="159" t="s">
        <v>411</v>
      </c>
      <c r="E107" s="159" t="s">
        <v>584</v>
      </c>
      <c r="F107" s="159"/>
      <c r="G107" s="159" t="s">
        <v>107</v>
      </c>
      <c r="H107" s="159" t="s">
        <v>42</v>
      </c>
      <c r="I107" s="159">
        <v>164</v>
      </c>
      <c r="J107" s="151" t="s">
        <v>429</v>
      </c>
      <c r="K107" s="160">
        <v>44896</v>
      </c>
      <c r="L107" s="160" t="s">
        <v>288</v>
      </c>
      <c r="M107" s="155" t="s">
        <v>288</v>
      </c>
      <c r="N107" s="155" t="s">
        <v>288</v>
      </c>
      <c r="O107" s="155">
        <v>44904</v>
      </c>
      <c r="P107" s="155">
        <v>44905</v>
      </c>
      <c r="Q107" s="155" t="s">
        <v>289</v>
      </c>
      <c r="R107" s="155"/>
      <c r="S107" s="151" t="s">
        <v>47</v>
      </c>
      <c r="T107" s="151" t="s">
        <v>290</v>
      </c>
      <c r="U107" s="156"/>
      <c r="V107" s="151" t="s">
        <v>85</v>
      </c>
      <c r="W107" s="151"/>
      <c r="X107" s="151"/>
      <c r="Y107" s="156"/>
      <c r="Z107" s="156"/>
      <c r="AA107" s="156"/>
      <c r="AB107" s="156"/>
      <c r="AC107" s="156"/>
      <c r="AD107" s="155" t="s">
        <v>288</v>
      </c>
      <c r="AE107" s="161">
        <v>1900</v>
      </c>
      <c r="AF107" s="161">
        <v>500</v>
      </c>
      <c r="AG107" s="155">
        <v>44886</v>
      </c>
      <c r="AH107" s="155">
        <v>44905</v>
      </c>
      <c r="AI107" s="155"/>
      <c r="AJ107" s="158">
        <v>44905</v>
      </c>
      <c r="AK107" s="211"/>
      <c r="AL107" s="158"/>
      <c r="AM107" s="1"/>
      <c r="AN107" s="1"/>
      <c r="AO107" s="1"/>
      <c r="AP107" s="1"/>
      <c r="AQ107" s="1"/>
      <c r="AR107" s="1"/>
      <c r="AS107" s="1"/>
      <c r="AT107" s="1"/>
      <c r="AU107" s="1"/>
      <c r="AV107" s="1"/>
    </row>
    <row r="108" spans="1:48" ht="45" hidden="1" customHeight="1">
      <c r="B108" s="159" t="s">
        <v>585</v>
      </c>
      <c r="C108" s="159" t="s">
        <v>410</v>
      </c>
      <c r="D108" s="159" t="s">
        <v>411</v>
      </c>
      <c r="E108" s="159" t="s">
        <v>586</v>
      </c>
      <c r="F108" s="159"/>
      <c r="G108" s="159" t="s">
        <v>107</v>
      </c>
      <c r="H108" s="159" t="s">
        <v>42</v>
      </c>
      <c r="I108" s="159">
        <v>31</v>
      </c>
      <c r="J108" s="151" t="s">
        <v>429</v>
      </c>
      <c r="K108" s="160">
        <v>44896</v>
      </c>
      <c r="L108" s="160" t="s">
        <v>288</v>
      </c>
      <c r="M108" s="155" t="s">
        <v>288</v>
      </c>
      <c r="N108" s="155" t="s">
        <v>288</v>
      </c>
      <c r="O108" s="155">
        <v>44904</v>
      </c>
      <c r="P108" s="155">
        <v>44905</v>
      </c>
      <c r="Q108" s="155" t="s">
        <v>289</v>
      </c>
      <c r="R108" s="155"/>
      <c r="S108" s="151" t="s">
        <v>47</v>
      </c>
      <c r="T108" s="151" t="s">
        <v>290</v>
      </c>
      <c r="U108" s="156"/>
      <c r="V108" s="151" t="s">
        <v>85</v>
      </c>
      <c r="W108" s="151"/>
      <c r="X108" s="151"/>
      <c r="Y108" s="156"/>
      <c r="Z108" s="156"/>
      <c r="AA108" s="156"/>
      <c r="AB108" s="156"/>
      <c r="AC108" s="156"/>
      <c r="AD108" s="155" t="s">
        <v>288</v>
      </c>
      <c r="AE108" s="161">
        <v>1620</v>
      </c>
      <c r="AF108" s="161">
        <v>4500</v>
      </c>
      <c r="AG108" s="155">
        <v>44881</v>
      </c>
      <c r="AH108" s="155">
        <v>44905</v>
      </c>
      <c r="AI108" s="155"/>
      <c r="AJ108" s="158">
        <v>44905</v>
      </c>
      <c r="AK108" s="211"/>
      <c r="AL108" s="158"/>
      <c r="AM108" s="1"/>
    </row>
    <row r="109" spans="1:48" ht="45" hidden="1" customHeight="1">
      <c r="A109" s="1"/>
      <c r="B109" s="159" t="s">
        <v>578</v>
      </c>
      <c r="C109" s="159" t="s">
        <v>410</v>
      </c>
      <c r="D109" s="159" t="s">
        <v>411</v>
      </c>
      <c r="E109" s="159" t="s">
        <v>579</v>
      </c>
      <c r="F109" s="159"/>
      <c r="G109" s="159" t="s">
        <v>107</v>
      </c>
      <c r="H109" s="159" t="s">
        <v>42</v>
      </c>
      <c r="I109" s="159">
        <v>44</v>
      </c>
      <c r="J109" s="151" t="s">
        <v>429</v>
      </c>
      <c r="K109" s="160">
        <v>44896</v>
      </c>
      <c r="L109" s="160" t="s">
        <v>288</v>
      </c>
      <c r="M109" s="155" t="s">
        <v>288</v>
      </c>
      <c r="N109" s="155" t="s">
        <v>288</v>
      </c>
      <c r="O109" s="155">
        <v>44902</v>
      </c>
      <c r="P109" s="155">
        <v>44903</v>
      </c>
      <c r="Q109" s="155" t="s">
        <v>289</v>
      </c>
      <c r="R109" s="155"/>
      <c r="S109" s="151" t="s">
        <v>47</v>
      </c>
      <c r="T109" s="151" t="s">
        <v>290</v>
      </c>
      <c r="U109" s="156"/>
      <c r="V109" s="151" t="s">
        <v>85</v>
      </c>
      <c r="W109" s="151"/>
      <c r="X109" s="151"/>
      <c r="Y109" s="156"/>
      <c r="Z109" s="156"/>
      <c r="AA109" s="156"/>
      <c r="AB109" s="156"/>
      <c r="AC109" s="156"/>
      <c r="AD109" s="155" t="s">
        <v>288</v>
      </c>
      <c r="AE109" s="161">
        <v>2250</v>
      </c>
      <c r="AF109" s="161">
        <v>1600</v>
      </c>
      <c r="AG109" s="155">
        <v>44887</v>
      </c>
      <c r="AH109" s="155">
        <v>44903</v>
      </c>
      <c r="AI109" s="155"/>
      <c r="AJ109" s="158">
        <v>44903</v>
      </c>
      <c r="AK109" s="211"/>
      <c r="AL109" s="158"/>
      <c r="AM109" s="1"/>
      <c r="AN109" s="1"/>
      <c r="AO109" s="1"/>
      <c r="AP109" s="1"/>
      <c r="AQ109" s="1"/>
      <c r="AR109" s="1"/>
      <c r="AS109" s="1"/>
      <c r="AT109" s="1"/>
      <c r="AU109" s="1"/>
      <c r="AV109" s="1"/>
    </row>
    <row r="110" spans="1:48" ht="45" hidden="1" customHeight="1">
      <c r="A110" s="1"/>
      <c r="B110" s="159" t="s">
        <v>568</v>
      </c>
      <c r="C110" s="159" t="s">
        <v>410</v>
      </c>
      <c r="D110" s="159" t="s">
        <v>411</v>
      </c>
      <c r="E110" s="159" t="s">
        <v>569</v>
      </c>
      <c r="F110" s="159"/>
      <c r="G110" s="159" t="s">
        <v>308</v>
      </c>
      <c r="H110" s="159" t="s">
        <v>42</v>
      </c>
      <c r="I110" s="159">
        <v>141</v>
      </c>
      <c r="J110" s="151" t="s">
        <v>429</v>
      </c>
      <c r="K110" s="160">
        <v>44896</v>
      </c>
      <c r="L110" s="160" t="s">
        <v>288</v>
      </c>
      <c r="M110" s="155" t="s">
        <v>288</v>
      </c>
      <c r="N110" s="155" t="s">
        <v>288</v>
      </c>
      <c r="O110" s="155">
        <v>44900</v>
      </c>
      <c r="P110" s="155">
        <v>44901</v>
      </c>
      <c r="Q110" s="155" t="s">
        <v>289</v>
      </c>
      <c r="R110" s="155"/>
      <c r="S110" s="151" t="s">
        <v>47</v>
      </c>
      <c r="T110" s="151" t="s">
        <v>290</v>
      </c>
      <c r="U110" s="156"/>
      <c r="V110" s="151" t="s">
        <v>85</v>
      </c>
      <c r="W110" s="151"/>
      <c r="X110" s="151"/>
      <c r="Y110" s="156"/>
      <c r="Z110" s="156"/>
      <c r="AA110" s="156"/>
      <c r="AB110" s="156"/>
      <c r="AC110" s="156"/>
      <c r="AD110" s="155" t="s">
        <v>288</v>
      </c>
      <c r="AE110" s="161">
        <v>1800</v>
      </c>
      <c r="AF110" s="161">
        <v>900</v>
      </c>
      <c r="AG110" s="155">
        <v>44880</v>
      </c>
      <c r="AH110" s="155">
        <v>44902</v>
      </c>
      <c r="AI110" s="155"/>
      <c r="AJ110" s="158">
        <v>44901</v>
      </c>
      <c r="AK110" s="211"/>
      <c r="AL110" s="158"/>
      <c r="AM110" s="1"/>
      <c r="AN110" s="1"/>
      <c r="AO110" s="1"/>
      <c r="AP110" s="1"/>
      <c r="AQ110" s="1"/>
      <c r="AR110" s="1"/>
      <c r="AS110" s="1"/>
      <c r="AT110" s="1"/>
      <c r="AU110" s="1"/>
      <c r="AV110" s="1"/>
    </row>
    <row r="111" spans="1:48" ht="45" hidden="1" customHeight="1">
      <c r="A111" s="1"/>
      <c r="B111" s="159" t="s">
        <v>605</v>
      </c>
      <c r="C111" s="159" t="s">
        <v>606</v>
      </c>
      <c r="D111" s="159" t="s">
        <v>607</v>
      </c>
      <c r="E111" s="159" t="s">
        <v>608</v>
      </c>
      <c r="F111" s="159"/>
      <c r="G111" s="159" t="s">
        <v>308</v>
      </c>
      <c r="H111" s="159" t="s">
        <v>42</v>
      </c>
      <c r="I111" s="159">
        <v>21</v>
      </c>
      <c r="J111" s="151" t="s">
        <v>429</v>
      </c>
      <c r="K111" s="160">
        <v>44896</v>
      </c>
      <c r="L111" s="160" t="s">
        <v>288</v>
      </c>
      <c r="M111" s="155" t="s">
        <v>288</v>
      </c>
      <c r="N111" s="155" t="s">
        <v>288</v>
      </c>
      <c r="O111" s="155">
        <v>44914</v>
      </c>
      <c r="P111" s="155">
        <v>44915</v>
      </c>
      <c r="Q111" s="155" t="s">
        <v>289</v>
      </c>
      <c r="R111" s="155"/>
      <c r="S111" s="151" t="s">
        <v>47</v>
      </c>
      <c r="T111" s="151" t="s">
        <v>290</v>
      </c>
      <c r="U111" s="156"/>
      <c r="V111" s="151" t="s">
        <v>85</v>
      </c>
      <c r="W111" s="151"/>
      <c r="X111" s="151"/>
      <c r="Y111" s="156"/>
      <c r="Z111" s="156"/>
      <c r="AA111" s="162"/>
      <c r="AB111" s="162"/>
      <c r="AC111" s="162"/>
      <c r="AD111" s="155" t="s">
        <v>288</v>
      </c>
      <c r="AE111" s="161">
        <v>2700</v>
      </c>
      <c r="AF111" s="161">
        <v>3600</v>
      </c>
      <c r="AG111" s="155">
        <v>44902</v>
      </c>
      <c r="AH111" s="155">
        <v>44921</v>
      </c>
      <c r="AI111" s="155"/>
      <c r="AJ111" s="158">
        <v>44915</v>
      </c>
      <c r="AK111" s="211"/>
      <c r="AL111" s="158"/>
      <c r="AM111" s="1"/>
      <c r="AN111" s="1"/>
      <c r="AO111" s="1"/>
      <c r="AP111" s="1"/>
      <c r="AQ111" s="1"/>
      <c r="AR111" s="1"/>
      <c r="AS111" s="1"/>
      <c r="AT111" s="1"/>
      <c r="AU111" s="1"/>
      <c r="AV111" s="1"/>
    </row>
    <row r="112" spans="1:48" ht="45" hidden="1" customHeight="1">
      <c r="A112" s="1"/>
      <c r="B112" s="159" t="s">
        <v>574</v>
      </c>
      <c r="C112" s="159" t="s">
        <v>410</v>
      </c>
      <c r="D112" s="159" t="s">
        <v>411</v>
      </c>
      <c r="E112" s="159" t="s">
        <v>575</v>
      </c>
      <c r="F112" s="159"/>
      <c r="G112" s="159" t="s">
        <v>107</v>
      </c>
      <c r="H112" s="159" t="s">
        <v>42</v>
      </c>
      <c r="I112" s="159">
        <v>74</v>
      </c>
      <c r="J112" s="151" t="s">
        <v>429</v>
      </c>
      <c r="K112" s="160">
        <v>44896</v>
      </c>
      <c r="L112" s="160" t="s">
        <v>288</v>
      </c>
      <c r="M112" s="155" t="s">
        <v>288</v>
      </c>
      <c r="N112" s="155" t="s">
        <v>288</v>
      </c>
      <c r="O112" s="155">
        <v>44901</v>
      </c>
      <c r="P112" s="155">
        <v>44902</v>
      </c>
      <c r="Q112" s="155" t="s">
        <v>289</v>
      </c>
      <c r="R112" s="155"/>
      <c r="S112" s="151" t="s">
        <v>47</v>
      </c>
      <c r="T112" s="151" t="s">
        <v>290</v>
      </c>
      <c r="U112" s="156"/>
      <c r="V112" s="151" t="s">
        <v>85</v>
      </c>
      <c r="W112" s="151"/>
      <c r="X112" s="151"/>
      <c r="Y112" s="156"/>
      <c r="Z112" s="156"/>
      <c r="AA112" s="156"/>
      <c r="AB112" s="156"/>
      <c r="AC112" s="156"/>
      <c r="AD112" s="155" t="s">
        <v>288</v>
      </c>
      <c r="AE112" s="161">
        <v>300</v>
      </c>
      <c r="AF112" s="161">
        <v>1200</v>
      </c>
      <c r="AG112" s="155">
        <v>44886</v>
      </c>
      <c r="AH112" s="155">
        <v>44902</v>
      </c>
      <c r="AI112" s="155"/>
      <c r="AJ112" s="158">
        <v>44902</v>
      </c>
      <c r="AK112" s="211"/>
      <c r="AL112" s="158"/>
      <c r="AM112" s="1"/>
      <c r="AN112" s="1"/>
      <c r="AO112" s="1"/>
      <c r="AP112" s="1"/>
      <c r="AQ112" s="1"/>
      <c r="AR112" s="1"/>
      <c r="AS112" s="1"/>
      <c r="AT112" s="1"/>
      <c r="AU112" s="1"/>
      <c r="AV112" s="1"/>
    </row>
    <row r="113" spans="1:48" ht="45" hidden="1" customHeight="1">
      <c r="A113" s="1"/>
      <c r="B113" s="159" t="s">
        <v>566</v>
      </c>
      <c r="C113" s="159" t="s">
        <v>410</v>
      </c>
      <c r="D113" s="159" t="s">
        <v>411</v>
      </c>
      <c r="E113" s="159" t="s">
        <v>567</v>
      </c>
      <c r="F113" s="159"/>
      <c r="G113" s="159" t="s">
        <v>308</v>
      </c>
      <c r="H113" s="159" t="s">
        <v>42</v>
      </c>
      <c r="I113" s="159">
        <v>61</v>
      </c>
      <c r="J113" s="151" t="s">
        <v>429</v>
      </c>
      <c r="K113" s="160">
        <v>44896</v>
      </c>
      <c r="L113" s="160" t="s">
        <v>288</v>
      </c>
      <c r="M113" s="155" t="s">
        <v>288</v>
      </c>
      <c r="N113" s="155" t="s">
        <v>288</v>
      </c>
      <c r="O113" s="155" t="s">
        <v>563</v>
      </c>
      <c r="P113" s="155">
        <v>44900</v>
      </c>
      <c r="Q113" s="155" t="s">
        <v>289</v>
      </c>
      <c r="R113" s="155"/>
      <c r="S113" s="151" t="s">
        <v>47</v>
      </c>
      <c r="T113" s="151" t="s">
        <v>290</v>
      </c>
      <c r="U113" s="156"/>
      <c r="V113" s="151" t="s">
        <v>85</v>
      </c>
      <c r="W113" s="151"/>
      <c r="X113" s="151"/>
      <c r="Y113" s="156"/>
      <c r="Z113" s="156"/>
      <c r="AA113" s="156"/>
      <c r="AB113" s="156"/>
      <c r="AC113" s="156"/>
      <c r="AD113" s="155" t="s">
        <v>288</v>
      </c>
      <c r="AE113" s="161">
        <v>800</v>
      </c>
      <c r="AF113" s="161">
        <v>4200</v>
      </c>
      <c r="AG113" s="155">
        <v>44890</v>
      </c>
      <c r="AH113" s="155">
        <v>44905</v>
      </c>
      <c r="AI113" s="155"/>
      <c r="AJ113" s="158">
        <v>44900</v>
      </c>
      <c r="AK113" s="211"/>
      <c r="AL113" s="158"/>
      <c r="AM113" s="1"/>
      <c r="AN113" s="1"/>
      <c r="AO113" s="1"/>
      <c r="AP113" s="1"/>
      <c r="AQ113" s="1"/>
      <c r="AR113" s="1"/>
      <c r="AS113" s="1"/>
      <c r="AT113" s="1"/>
      <c r="AU113" s="1"/>
      <c r="AV113" s="1"/>
    </row>
    <row r="114" spans="1:48" ht="45" hidden="1" customHeight="1">
      <c r="B114" s="159" t="s">
        <v>570</v>
      </c>
      <c r="C114" s="159" t="s">
        <v>571</v>
      </c>
      <c r="D114" s="159" t="s">
        <v>572</v>
      </c>
      <c r="E114" s="159" t="s">
        <v>573</v>
      </c>
      <c r="F114" s="159"/>
      <c r="G114" s="159" t="s">
        <v>446</v>
      </c>
      <c r="H114" s="159" t="s">
        <v>42</v>
      </c>
      <c r="I114" s="159">
        <v>71</v>
      </c>
      <c r="J114" s="151" t="s">
        <v>429</v>
      </c>
      <c r="K114" s="160">
        <v>44896</v>
      </c>
      <c r="L114" s="160" t="s">
        <v>288</v>
      </c>
      <c r="M114" s="155" t="s">
        <v>288</v>
      </c>
      <c r="N114" s="155" t="s">
        <v>288</v>
      </c>
      <c r="O114" s="155">
        <v>44900</v>
      </c>
      <c r="P114" s="155">
        <v>44901</v>
      </c>
      <c r="Q114" s="155" t="s">
        <v>289</v>
      </c>
      <c r="R114" s="155"/>
      <c r="S114" s="151" t="s">
        <v>47</v>
      </c>
      <c r="T114" s="151" t="s">
        <v>290</v>
      </c>
      <c r="U114" s="156"/>
      <c r="V114" s="151" t="s">
        <v>85</v>
      </c>
      <c r="W114" s="151"/>
      <c r="X114" s="151"/>
      <c r="Y114" s="156"/>
      <c r="Z114" s="156"/>
      <c r="AA114" s="162"/>
      <c r="AB114" s="162"/>
      <c r="AC114" s="162"/>
      <c r="AD114" s="155" t="s">
        <v>288</v>
      </c>
      <c r="AE114" s="161">
        <v>3600</v>
      </c>
      <c r="AF114" s="161">
        <v>1000</v>
      </c>
      <c r="AG114" s="155">
        <v>44893</v>
      </c>
      <c r="AH114" s="155">
        <v>44905</v>
      </c>
      <c r="AI114" s="155"/>
      <c r="AJ114" s="158">
        <v>44901</v>
      </c>
      <c r="AK114" s="211"/>
      <c r="AL114" s="158"/>
      <c r="AM114" s="1"/>
    </row>
    <row r="115" spans="1:48" ht="45" hidden="1" customHeight="1">
      <c r="A115" s="1"/>
      <c r="B115" s="159" t="s">
        <v>587</v>
      </c>
      <c r="C115" s="159" t="s">
        <v>571</v>
      </c>
      <c r="D115" s="159" t="s">
        <v>572</v>
      </c>
      <c r="E115" s="159" t="s">
        <v>588</v>
      </c>
      <c r="F115" s="159"/>
      <c r="G115" s="159"/>
      <c r="H115" s="159" t="s">
        <v>42</v>
      </c>
      <c r="I115" s="159"/>
      <c r="J115" s="151" t="s">
        <v>429</v>
      </c>
      <c r="K115" s="160">
        <v>44896</v>
      </c>
      <c r="L115" s="160" t="s">
        <v>288</v>
      </c>
      <c r="M115" s="155" t="s">
        <v>288</v>
      </c>
      <c r="N115" s="155" t="s">
        <v>288</v>
      </c>
      <c r="O115" s="155">
        <v>44904</v>
      </c>
      <c r="P115" s="155">
        <v>44905</v>
      </c>
      <c r="Q115" s="155" t="s">
        <v>289</v>
      </c>
      <c r="R115" s="155"/>
      <c r="S115" s="151" t="s">
        <v>47</v>
      </c>
      <c r="T115" s="151" t="s">
        <v>290</v>
      </c>
      <c r="U115" s="156"/>
      <c r="V115" s="151" t="s">
        <v>85</v>
      </c>
      <c r="W115" s="151"/>
      <c r="X115" s="151"/>
      <c r="Y115" s="156"/>
      <c r="Z115" s="156"/>
      <c r="AA115" s="162"/>
      <c r="AB115" s="162"/>
      <c r="AC115" s="162"/>
      <c r="AD115" s="155" t="s">
        <v>288</v>
      </c>
      <c r="AE115" s="161">
        <v>600</v>
      </c>
      <c r="AF115" s="161">
        <v>1900</v>
      </c>
      <c r="AG115" s="155">
        <v>44893</v>
      </c>
      <c r="AH115" s="155">
        <v>44908</v>
      </c>
      <c r="AI115" s="155"/>
      <c r="AJ115" s="158">
        <v>44905</v>
      </c>
      <c r="AK115" s="211"/>
      <c r="AL115" s="158"/>
      <c r="AM115" s="1"/>
      <c r="AN115" s="1"/>
      <c r="AO115" s="1"/>
      <c r="AP115" s="1"/>
      <c r="AQ115" s="1"/>
      <c r="AR115" s="1"/>
      <c r="AS115" s="1"/>
      <c r="AT115" s="1"/>
      <c r="AU115" s="1"/>
      <c r="AV115" s="1"/>
    </row>
    <row r="116" spans="1:48" ht="45" hidden="1" customHeight="1">
      <c r="A116" s="1"/>
      <c r="B116" s="159" t="s">
        <v>580</v>
      </c>
      <c r="C116" s="159" t="s">
        <v>571</v>
      </c>
      <c r="D116" s="159" t="s">
        <v>572</v>
      </c>
      <c r="E116" s="159" t="s">
        <v>581</v>
      </c>
      <c r="F116" s="159"/>
      <c r="G116" s="159"/>
      <c r="H116" s="159" t="s">
        <v>42</v>
      </c>
      <c r="I116" s="159" t="s">
        <v>582</v>
      </c>
      <c r="J116" s="151" t="s">
        <v>429</v>
      </c>
      <c r="K116" s="160">
        <v>44896</v>
      </c>
      <c r="L116" s="160" t="s">
        <v>288</v>
      </c>
      <c r="M116" s="155" t="s">
        <v>288</v>
      </c>
      <c r="N116" s="155" t="s">
        <v>288</v>
      </c>
      <c r="O116" s="155">
        <v>44902</v>
      </c>
      <c r="P116" s="155">
        <v>44903</v>
      </c>
      <c r="Q116" s="155" t="s">
        <v>289</v>
      </c>
      <c r="R116" s="155"/>
      <c r="S116" s="151" t="s">
        <v>47</v>
      </c>
      <c r="T116" s="151" t="s">
        <v>290</v>
      </c>
      <c r="U116" s="156"/>
      <c r="V116" s="151" t="s">
        <v>85</v>
      </c>
      <c r="W116" s="151"/>
      <c r="X116" s="151"/>
      <c r="Y116" s="156"/>
      <c r="Z116" s="156"/>
      <c r="AA116" s="162"/>
      <c r="AB116" s="162"/>
      <c r="AC116" s="162"/>
      <c r="AD116" s="155" t="s">
        <v>288</v>
      </c>
      <c r="AE116" s="161">
        <v>700</v>
      </c>
      <c r="AF116" s="161">
        <v>1350</v>
      </c>
      <c r="AG116" s="155">
        <v>44889</v>
      </c>
      <c r="AH116" s="155">
        <v>44907</v>
      </c>
      <c r="AI116" s="155"/>
      <c r="AJ116" s="158">
        <v>44903</v>
      </c>
      <c r="AK116" s="211"/>
      <c r="AL116" s="158"/>
      <c r="AM116" s="1"/>
      <c r="AN116" s="1"/>
      <c r="AO116" s="1"/>
      <c r="AP116" s="1"/>
      <c r="AQ116" s="1"/>
      <c r="AR116" s="1"/>
      <c r="AS116" s="1"/>
      <c r="AT116" s="1"/>
      <c r="AU116" s="1"/>
      <c r="AV116" s="1"/>
    </row>
    <row r="117" spans="1:48" ht="45" hidden="1" customHeight="1">
      <c r="A117" s="1"/>
      <c r="B117" s="159" t="s">
        <v>591</v>
      </c>
      <c r="C117" s="159" t="s">
        <v>54</v>
      </c>
      <c r="D117" s="159" t="s">
        <v>55</v>
      </c>
      <c r="E117" s="159" t="s">
        <v>592</v>
      </c>
      <c r="F117" s="159"/>
      <c r="G117" s="159" t="s">
        <v>296</v>
      </c>
      <c r="H117" s="159" t="s">
        <v>42</v>
      </c>
      <c r="I117" s="159">
        <v>121</v>
      </c>
      <c r="J117" s="151" t="s">
        <v>429</v>
      </c>
      <c r="K117" s="160">
        <v>44896</v>
      </c>
      <c r="L117" s="160" t="s">
        <v>288</v>
      </c>
      <c r="M117" s="155" t="s">
        <v>288</v>
      </c>
      <c r="N117" s="155" t="s">
        <v>288</v>
      </c>
      <c r="O117" s="155">
        <v>44906</v>
      </c>
      <c r="P117" s="155">
        <v>44907</v>
      </c>
      <c r="Q117" s="155" t="s">
        <v>289</v>
      </c>
      <c r="R117" s="155"/>
      <c r="S117" s="151" t="s">
        <v>47</v>
      </c>
      <c r="T117" s="151" t="s">
        <v>290</v>
      </c>
      <c r="U117" s="156"/>
      <c r="V117" s="151" t="s">
        <v>291</v>
      </c>
      <c r="W117" s="151"/>
      <c r="X117" s="151"/>
      <c r="Y117" s="156"/>
      <c r="Z117" s="156"/>
      <c r="AA117" s="162"/>
      <c r="AB117" s="162"/>
      <c r="AC117" s="162"/>
      <c r="AD117" s="155" t="s">
        <v>288</v>
      </c>
      <c r="AE117" s="161">
        <v>1850</v>
      </c>
      <c r="AF117" s="161">
        <v>600</v>
      </c>
      <c r="AG117" s="155">
        <v>44881</v>
      </c>
      <c r="AH117" s="155">
        <v>44908</v>
      </c>
      <c r="AI117" s="155"/>
      <c r="AJ117" s="158">
        <v>44907</v>
      </c>
      <c r="AK117" s="211"/>
      <c r="AL117" s="158"/>
      <c r="AM117" s="1"/>
      <c r="AN117" s="1"/>
      <c r="AO117" s="1"/>
      <c r="AP117" s="1"/>
      <c r="AQ117" s="1"/>
      <c r="AR117" s="1"/>
      <c r="AS117" s="1"/>
      <c r="AT117" s="1"/>
      <c r="AU117" s="1"/>
      <c r="AV117" s="1"/>
    </row>
    <row r="118" spans="1:48" ht="45" hidden="1" customHeight="1">
      <c r="B118" s="159" t="s">
        <v>693</v>
      </c>
      <c r="C118" s="159" t="s">
        <v>305</v>
      </c>
      <c r="D118" s="159" t="s">
        <v>306</v>
      </c>
      <c r="E118" s="159" t="s">
        <v>694</v>
      </c>
      <c r="F118" s="163"/>
      <c r="G118" s="163" t="s">
        <v>391</v>
      </c>
      <c r="H118" s="163" t="s">
        <v>42</v>
      </c>
      <c r="I118" s="163">
        <v>52</v>
      </c>
      <c r="J118" s="151"/>
      <c r="K118" s="160">
        <v>44927</v>
      </c>
      <c r="L118" s="160" t="s">
        <v>288</v>
      </c>
      <c r="M118" s="155" t="s">
        <v>288</v>
      </c>
      <c r="N118" s="155" t="s">
        <v>288</v>
      </c>
      <c r="O118" s="155">
        <v>44946</v>
      </c>
      <c r="P118" s="155">
        <v>44949</v>
      </c>
      <c r="Q118" s="155" t="s">
        <v>289</v>
      </c>
      <c r="R118" s="155"/>
      <c r="S118" s="151" t="s">
        <v>47</v>
      </c>
      <c r="T118" s="151" t="s">
        <v>48</v>
      </c>
      <c r="U118" s="156">
        <v>51</v>
      </c>
      <c r="V118" s="156" t="s">
        <v>291</v>
      </c>
      <c r="W118" s="151"/>
      <c r="X118" s="151"/>
      <c r="Y118" s="156" t="s">
        <v>634</v>
      </c>
      <c r="Z118" s="156"/>
      <c r="AA118" s="151"/>
      <c r="AB118" s="151"/>
      <c r="AC118" s="151"/>
      <c r="AD118" s="155" t="s">
        <v>288</v>
      </c>
      <c r="AE118" s="161">
        <v>1800</v>
      </c>
      <c r="AF118" s="161">
        <v>800</v>
      </c>
      <c r="AG118" s="155">
        <v>44953</v>
      </c>
      <c r="AH118" s="155">
        <v>44958</v>
      </c>
      <c r="AI118" s="155"/>
      <c r="AJ118" s="155">
        <v>44957</v>
      </c>
      <c r="AK118" s="172"/>
      <c r="AL118" s="155"/>
      <c r="AM118" s="1"/>
    </row>
    <row r="119" spans="1:48" ht="45" hidden="1" customHeight="1">
      <c r="B119" s="159" t="s">
        <v>682</v>
      </c>
      <c r="C119" s="159" t="s">
        <v>88</v>
      </c>
      <c r="D119" s="159" t="s">
        <v>89</v>
      </c>
      <c r="E119" s="159" t="s">
        <v>683</v>
      </c>
      <c r="F119" s="159"/>
      <c r="G119" s="159" t="s">
        <v>391</v>
      </c>
      <c r="H119" s="159" t="s">
        <v>42</v>
      </c>
      <c r="I119" s="159">
        <v>205</v>
      </c>
      <c r="J119" s="151" t="s">
        <v>429</v>
      </c>
      <c r="K119" s="160">
        <v>44927</v>
      </c>
      <c r="L119" s="160" t="s">
        <v>288</v>
      </c>
      <c r="M119" s="155" t="s">
        <v>288</v>
      </c>
      <c r="N119" s="155" t="s">
        <v>288</v>
      </c>
      <c r="O119" s="155">
        <v>44950</v>
      </c>
      <c r="P119" s="158">
        <v>44951</v>
      </c>
      <c r="Q119" s="155" t="s">
        <v>289</v>
      </c>
      <c r="R119" s="155"/>
      <c r="S119" s="151" t="s">
        <v>47</v>
      </c>
      <c r="T119" s="151" t="s">
        <v>290</v>
      </c>
      <c r="U119" s="156"/>
      <c r="V119" s="151" t="s">
        <v>291</v>
      </c>
      <c r="W119" s="151"/>
      <c r="X119" s="151"/>
      <c r="Y119" s="156" t="s">
        <v>624</v>
      </c>
      <c r="Z119" s="156"/>
      <c r="AA119" s="156"/>
      <c r="AB119" s="156"/>
      <c r="AC119" s="156"/>
      <c r="AD119" s="155" t="s">
        <v>288</v>
      </c>
      <c r="AE119" s="161">
        <v>1800</v>
      </c>
      <c r="AF119" s="161">
        <v>700</v>
      </c>
      <c r="AG119" s="155">
        <v>44945</v>
      </c>
      <c r="AH119" s="155">
        <v>44954</v>
      </c>
      <c r="AI119" s="155"/>
      <c r="AJ119" s="158">
        <v>44951</v>
      </c>
      <c r="AK119" s="211"/>
      <c r="AL119" s="158"/>
      <c r="AM119" s="1"/>
    </row>
    <row r="120" spans="1:48" ht="45" hidden="1" customHeight="1">
      <c r="A120" s="1"/>
      <c r="B120" s="159" t="s">
        <v>629</v>
      </c>
      <c r="C120" s="159" t="s">
        <v>311</v>
      </c>
      <c r="D120" s="159" t="s">
        <v>312</v>
      </c>
      <c r="E120" s="159" t="s">
        <v>630</v>
      </c>
      <c r="F120" s="159"/>
      <c r="G120" s="159" t="s">
        <v>308</v>
      </c>
      <c r="H120" s="159" t="s">
        <v>42</v>
      </c>
      <c r="I120" s="159">
        <v>107</v>
      </c>
      <c r="J120" s="151"/>
      <c r="K120" s="160">
        <v>44927</v>
      </c>
      <c r="L120" s="160" t="s">
        <v>288</v>
      </c>
      <c r="M120" s="155" t="s">
        <v>288</v>
      </c>
      <c r="N120" s="155" t="s">
        <v>288</v>
      </c>
      <c r="O120" s="158">
        <v>44931</v>
      </c>
      <c r="P120" s="158">
        <v>44932</v>
      </c>
      <c r="Q120" s="155" t="s">
        <v>289</v>
      </c>
      <c r="R120" s="155"/>
      <c r="S120" s="151" t="s">
        <v>47</v>
      </c>
      <c r="T120" s="151" t="s">
        <v>290</v>
      </c>
      <c r="U120" s="156"/>
      <c r="V120" s="151" t="s">
        <v>85</v>
      </c>
      <c r="W120" s="151"/>
      <c r="X120" s="151"/>
      <c r="Y120" s="156" t="s">
        <v>631</v>
      </c>
      <c r="Z120" s="156"/>
      <c r="AA120" s="156"/>
      <c r="AB120" s="156"/>
      <c r="AC120" s="156"/>
      <c r="AD120" s="155" t="s">
        <v>288</v>
      </c>
      <c r="AE120" s="161">
        <v>3300</v>
      </c>
      <c r="AF120" s="161">
        <v>700</v>
      </c>
      <c r="AG120" s="155">
        <v>44928</v>
      </c>
      <c r="AH120" s="155">
        <v>44939</v>
      </c>
      <c r="AI120" s="155"/>
      <c r="AJ120" s="158">
        <v>44932</v>
      </c>
      <c r="AK120" s="211"/>
      <c r="AL120" s="158"/>
      <c r="AM120" s="1"/>
      <c r="AN120" s="1"/>
      <c r="AO120" s="1"/>
      <c r="AP120" s="1"/>
      <c r="AQ120" s="1"/>
      <c r="AR120" s="1"/>
      <c r="AS120" s="1"/>
      <c r="AT120" s="1"/>
      <c r="AU120" s="1"/>
      <c r="AV120" s="1"/>
    </row>
    <row r="121" spans="1:48" ht="45" hidden="1" customHeight="1">
      <c r="B121" s="159" t="s">
        <v>684</v>
      </c>
      <c r="C121" s="159" t="s">
        <v>380</v>
      </c>
      <c r="D121" s="159" t="s">
        <v>685</v>
      </c>
      <c r="E121" s="159" t="s">
        <v>686</v>
      </c>
      <c r="F121" s="159"/>
      <c r="G121" s="159" t="s">
        <v>287</v>
      </c>
      <c r="H121" s="159" t="s">
        <v>42</v>
      </c>
      <c r="I121" s="159">
        <v>26</v>
      </c>
      <c r="J121" s="151"/>
      <c r="K121" s="160">
        <v>44927</v>
      </c>
      <c r="L121" s="160" t="s">
        <v>288</v>
      </c>
      <c r="M121" s="155" t="s">
        <v>288</v>
      </c>
      <c r="N121" s="155" t="s">
        <v>288</v>
      </c>
      <c r="O121" s="155">
        <v>44949</v>
      </c>
      <c r="P121" s="155">
        <v>44954</v>
      </c>
      <c r="Q121" s="155" t="s">
        <v>289</v>
      </c>
      <c r="R121" s="155"/>
      <c r="S121" s="151" t="s">
        <v>47</v>
      </c>
      <c r="T121" s="151" t="s">
        <v>290</v>
      </c>
      <c r="U121" s="156"/>
      <c r="V121" s="156" t="s">
        <v>85</v>
      </c>
      <c r="W121" s="151"/>
      <c r="X121" s="151"/>
      <c r="Y121" s="156"/>
      <c r="Z121" s="156"/>
      <c r="AA121" s="156"/>
      <c r="AB121" s="156"/>
      <c r="AC121" s="156"/>
      <c r="AD121" s="155" t="s">
        <v>288</v>
      </c>
      <c r="AE121" s="161">
        <v>2900</v>
      </c>
      <c r="AF121" s="161">
        <v>4900</v>
      </c>
      <c r="AG121" s="155">
        <v>44945</v>
      </c>
      <c r="AH121" s="155">
        <v>44954</v>
      </c>
      <c r="AI121" s="155"/>
      <c r="AJ121" s="155">
        <v>44954</v>
      </c>
      <c r="AK121" s="172"/>
      <c r="AL121" s="155"/>
      <c r="AM121" s="1"/>
    </row>
    <row r="122" spans="1:48" ht="45" hidden="1" customHeight="1">
      <c r="A122" s="1"/>
      <c r="B122" s="159" t="s">
        <v>673</v>
      </c>
      <c r="C122" s="159" t="s">
        <v>674</v>
      </c>
      <c r="D122" s="159" t="s">
        <v>675</v>
      </c>
      <c r="E122" s="159" t="s">
        <v>676</v>
      </c>
      <c r="F122" s="159"/>
      <c r="G122" s="159" t="s">
        <v>308</v>
      </c>
      <c r="H122" s="159" t="s">
        <v>833</v>
      </c>
      <c r="I122" s="159">
        <v>212</v>
      </c>
      <c r="J122" s="151" t="s">
        <v>429</v>
      </c>
      <c r="K122" s="160">
        <v>44927</v>
      </c>
      <c r="L122" s="160" t="s">
        <v>288</v>
      </c>
      <c r="M122" s="155" t="s">
        <v>288</v>
      </c>
      <c r="N122" s="155" t="s">
        <v>288</v>
      </c>
      <c r="O122" s="155">
        <v>44946</v>
      </c>
      <c r="P122" s="155">
        <v>44950</v>
      </c>
      <c r="Q122" s="155" t="s">
        <v>289</v>
      </c>
      <c r="R122" s="155"/>
      <c r="S122" s="151" t="s">
        <v>47</v>
      </c>
      <c r="T122" s="151" t="s">
        <v>290</v>
      </c>
      <c r="U122" s="156"/>
      <c r="V122" s="151" t="s">
        <v>85</v>
      </c>
      <c r="W122" s="151" t="s">
        <v>650</v>
      </c>
      <c r="X122" s="151"/>
      <c r="Y122" s="156" t="s">
        <v>51</v>
      </c>
      <c r="Z122" s="156" t="s">
        <v>634</v>
      </c>
      <c r="AA122" s="156"/>
      <c r="AB122" s="156"/>
      <c r="AC122" s="156"/>
      <c r="AD122" s="155" t="s">
        <v>288</v>
      </c>
      <c r="AE122" s="161">
        <v>2300</v>
      </c>
      <c r="AF122" s="161">
        <v>1700</v>
      </c>
      <c r="AG122" s="155">
        <v>44943</v>
      </c>
      <c r="AH122" s="155">
        <v>44953</v>
      </c>
      <c r="AI122" s="155"/>
      <c r="AJ122" s="158">
        <v>44950</v>
      </c>
      <c r="AK122" s="211"/>
      <c r="AL122" s="158"/>
      <c r="AM122" s="1"/>
      <c r="AN122" s="1"/>
      <c r="AO122" s="1"/>
      <c r="AP122" s="1"/>
      <c r="AQ122" s="1"/>
      <c r="AR122" s="1"/>
      <c r="AS122" s="1"/>
      <c r="AT122" s="1"/>
      <c r="AU122" s="1"/>
      <c r="AV122" s="1"/>
    </row>
    <row r="123" spans="1:48" ht="45" hidden="1" customHeight="1">
      <c r="A123" s="1"/>
      <c r="B123" s="159" t="s">
        <v>632</v>
      </c>
      <c r="C123" s="159" t="s">
        <v>425</v>
      </c>
      <c r="D123" s="218" t="s">
        <v>6858</v>
      </c>
      <c r="E123" s="159" t="s">
        <v>633</v>
      </c>
      <c r="F123" s="159"/>
      <c r="G123" s="159" t="s">
        <v>308</v>
      </c>
      <c r="H123" s="159" t="s">
        <v>427</v>
      </c>
      <c r="I123" s="159">
        <v>13</v>
      </c>
      <c r="J123" s="151"/>
      <c r="K123" s="160">
        <v>44927</v>
      </c>
      <c r="L123" s="160" t="s">
        <v>288</v>
      </c>
      <c r="M123" s="155" t="s">
        <v>288</v>
      </c>
      <c r="N123" s="155" t="s">
        <v>288</v>
      </c>
      <c r="O123" s="158">
        <v>44931</v>
      </c>
      <c r="P123" s="158">
        <v>44932</v>
      </c>
      <c r="Q123" s="155" t="s">
        <v>289</v>
      </c>
      <c r="R123" s="155"/>
      <c r="S123" s="151" t="s">
        <v>47</v>
      </c>
      <c r="T123" s="151" t="s">
        <v>290</v>
      </c>
      <c r="U123" s="156"/>
      <c r="V123" s="151" t="s">
        <v>85</v>
      </c>
      <c r="W123" s="151"/>
      <c r="X123" s="151"/>
      <c r="Y123" s="156" t="s">
        <v>634</v>
      </c>
      <c r="Z123" s="156"/>
      <c r="AA123" s="156"/>
      <c r="AB123" s="156"/>
      <c r="AC123" s="156"/>
      <c r="AD123" s="155" t="s">
        <v>635</v>
      </c>
      <c r="AE123" s="161">
        <v>2300</v>
      </c>
      <c r="AF123" s="161">
        <v>3300</v>
      </c>
      <c r="AG123" s="155">
        <v>44916</v>
      </c>
      <c r="AH123" s="155">
        <v>44932</v>
      </c>
      <c r="AI123" s="155"/>
      <c r="AJ123" s="158">
        <v>44932</v>
      </c>
      <c r="AK123" s="211"/>
      <c r="AL123" s="158"/>
      <c r="AM123" s="1"/>
      <c r="AN123" s="1"/>
      <c r="AO123" s="1"/>
      <c r="AP123" s="1"/>
      <c r="AQ123" s="1"/>
      <c r="AR123" s="1"/>
      <c r="AS123" s="1"/>
      <c r="AT123" s="1"/>
      <c r="AU123" s="1"/>
      <c r="AV123" s="1"/>
    </row>
    <row r="124" spans="1:48" ht="45" hidden="1" customHeight="1">
      <c r="B124" s="159" t="s">
        <v>625</v>
      </c>
      <c r="C124" s="159" t="s">
        <v>425</v>
      </c>
      <c r="D124" s="159" t="s">
        <v>626</v>
      </c>
      <c r="E124" s="159" t="s">
        <v>627</v>
      </c>
      <c r="F124" s="159"/>
      <c r="G124" s="159" t="s">
        <v>287</v>
      </c>
      <c r="H124" s="159" t="s">
        <v>519</v>
      </c>
      <c r="I124" s="159">
        <v>71</v>
      </c>
      <c r="J124" s="151" t="s">
        <v>525</v>
      </c>
      <c r="K124" s="160">
        <v>44927</v>
      </c>
      <c r="L124" s="160" t="s">
        <v>288</v>
      </c>
      <c r="M124" s="155" t="s">
        <v>288</v>
      </c>
      <c r="N124" s="155" t="s">
        <v>288</v>
      </c>
      <c r="O124" s="155">
        <v>44930</v>
      </c>
      <c r="P124" s="158">
        <v>44931</v>
      </c>
      <c r="Q124" s="155" t="s">
        <v>289</v>
      </c>
      <c r="R124" s="155"/>
      <c r="S124" s="151" t="s">
        <v>47</v>
      </c>
      <c r="T124" s="151" t="s">
        <v>290</v>
      </c>
      <c r="U124" s="156"/>
      <c r="V124" s="151" t="s">
        <v>85</v>
      </c>
      <c r="W124" s="151" t="s">
        <v>628</v>
      </c>
      <c r="X124" s="151"/>
      <c r="Y124" s="156" t="s">
        <v>628</v>
      </c>
      <c r="Z124" s="156"/>
      <c r="AA124" s="156"/>
      <c r="AB124" s="156"/>
      <c r="AC124" s="156"/>
      <c r="AD124" s="155" t="s">
        <v>288</v>
      </c>
      <c r="AE124" s="161">
        <v>1600</v>
      </c>
      <c r="AF124" s="161">
        <v>2300</v>
      </c>
      <c r="AG124" s="155">
        <v>44918</v>
      </c>
      <c r="AH124" s="155">
        <v>44933</v>
      </c>
      <c r="AI124" s="155"/>
      <c r="AJ124" s="158">
        <v>44931</v>
      </c>
      <c r="AK124" s="211"/>
      <c r="AL124" s="158"/>
      <c r="AM124" s="1"/>
    </row>
    <row r="125" spans="1:48" ht="45" hidden="1" customHeight="1">
      <c r="A125" s="1"/>
      <c r="B125" s="159" t="s">
        <v>636</v>
      </c>
      <c r="C125" s="159" t="s">
        <v>248</v>
      </c>
      <c r="D125" s="159" t="s">
        <v>517</v>
      </c>
      <c r="E125" s="159" t="s">
        <v>637</v>
      </c>
      <c r="F125" s="159"/>
      <c r="G125" s="159" t="s">
        <v>287</v>
      </c>
      <c r="H125" s="159" t="s">
        <v>519</v>
      </c>
      <c r="I125" s="159">
        <v>51</v>
      </c>
      <c r="J125" s="151"/>
      <c r="K125" s="160">
        <v>44927</v>
      </c>
      <c r="L125" s="160" t="s">
        <v>288</v>
      </c>
      <c r="M125" s="155" t="s">
        <v>288</v>
      </c>
      <c r="N125" s="155" t="s">
        <v>288</v>
      </c>
      <c r="O125" s="158">
        <v>44931</v>
      </c>
      <c r="P125" s="158">
        <v>44932</v>
      </c>
      <c r="Q125" s="155" t="s">
        <v>289</v>
      </c>
      <c r="R125" s="155"/>
      <c r="S125" s="151" t="s">
        <v>47</v>
      </c>
      <c r="T125" s="151" t="s">
        <v>290</v>
      </c>
      <c r="U125" s="156"/>
      <c r="V125" s="151" t="s">
        <v>85</v>
      </c>
      <c r="W125" s="151" t="s">
        <v>628</v>
      </c>
      <c r="X125" s="151"/>
      <c r="Y125" s="156" t="s">
        <v>624</v>
      </c>
      <c r="Z125" s="156"/>
      <c r="AA125" s="156" t="s">
        <v>638</v>
      </c>
      <c r="AB125" s="156"/>
      <c r="AC125" s="156"/>
      <c r="AD125" s="155" t="s">
        <v>635</v>
      </c>
      <c r="AE125" s="161">
        <v>2800</v>
      </c>
      <c r="AF125" s="161">
        <v>4300</v>
      </c>
      <c r="AG125" s="155">
        <v>44928</v>
      </c>
      <c r="AH125" s="155">
        <v>44939</v>
      </c>
      <c r="AI125" s="155"/>
      <c r="AJ125" s="158">
        <v>44932</v>
      </c>
      <c r="AK125" s="211"/>
      <c r="AL125" s="158"/>
      <c r="AM125" s="1"/>
      <c r="AN125" s="1"/>
      <c r="AO125" s="1"/>
      <c r="AP125" s="1"/>
      <c r="AQ125" s="1"/>
      <c r="AR125" s="1"/>
      <c r="AS125" s="1"/>
      <c r="AT125" s="1"/>
      <c r="AU125" s="1"/>
      <c r="AV125" s="1"/>
    </row>
    <row r="126" spans="1:48" ht="45" hidden="1" customHeight="1">
      <c r="A126" s="1"/>
      <c r="B126" s="159" t="s">
        <v>639</v>
      </c>
      <c r="C126" s="159" t="s">
        <v>293</v>
      </c>
      <c r="D126" s="159" t="s">
        <v>294</v>
      </c>
      <c r="E126" s="159" t="s">
        <v>383</v>
      </c>
      <c r="F126" s="159"/>
      <c r="G126" s="159" t="s">
        <v>296</v>
      </c>
      <c r="H126" s="159" t="s">
        <v>42</v>
      </c>
      <c r="I126" s="159">
        <v>106</v>
      </c>
      <c r="J126" s="151"/>
      <c r="K126" s="160">
        <v>44927</v>
      </c>
      <c r="L126" s="160" t="s">
        <v>288</v>
      </c>
      <c r="M126" s="155" t="s">
        <v>288</v>
      </c>
      <c r="N126" s="155" t="s">
        <v>288</v>
      </c>
      <c r="O126" s="158">
        <v>44935</v>
      </c>
      <c r="P126" s="158">
        <v>44936</v>
      </c>
      <c r="Q126" s="155" t="s">
        <v>289</v>
      </c>
      <c r="R126" s="155"/>
      <c r="S126" s="151" t="s">
        <v>47</v>
      </c>
      <c r="T126" s="151" t="s">
        <v>290</v>
      </c>
      <c r="U126" s="156"/>
      <c r="V126" s="151" t="s">
        <v>291</v>
      </c>
      <c r="W126" s="151"/>
      <c r="X126" s="151"/>
      <c r="Y126" s="156" t="s">
        <v>631</v>
      </c>
      <c r="Z126" s="156"/>
      <c r="AA126" s="156"/>
      <c r="AB126" s="156"/>
      <c r="AC126" s="156"/>
      <c r="AD126" s="155" t="s">
        <v>288</v>
      </c>
      <c r="AE126" s="161">
        <v>1100</v>
      </c>
      <c r="AF126" s="161">
        <v>500</v>
      </c>
      <c r="AG126" s="155">
        <v>44914</v>
      </c>
      <c r="AH126" s="155">
        <v>44939</v>
      </c>
      <c r="AI126" s="155"/>
      <c r="AJ126" s="158">
        <v>44936</v>
      </c>
      <c r="AK126" s="211"/>
      <c r="AL126" s="158"/>
      <c r="AM126" s="1"/>
      <c r="AN126" s="1"/>
      <c r="AO126" s="1"/>
      <c r="AP126" s="1"/>
      <c r="AQ126" s="1"/>
      <c r="AR126" s="1"/>
      <c r="AS126" s="1"/>
      <c r="AT126" s="1"/>
      <c r="AU126" s="1"/>
      <c r="AV126" s="1"/>
    </row>
    <row r="127" spans="1:48" ht="45" hidden="1" customHeight="1">
      <c r="A127" s="1"/>
      <c r="B127" s="159" t="s">
        <v>695</v>
      </c>
      <c r="C127" s="159" t="s">
        <v>37</v>
      </c>
      <c r="D127" s="159" t="s">
        <v>38</v>
      </c>
      <c r="E127" s="159" t="s">
        <v>696</v>
      </c>
      <c r="F127" s="159"/>
      <c r="G127" s="159" t="s">
        <v>308</v>
      </c>
      <c r="H127" s="159" t="s">
        <v>42</v>
      </c>
      <c r="I127" s="159">
        <v>132</v>
      </c>
      <c r="J127" s="151"/>
      <c r="K127" s="160">
        <v>44927</v>
      </c>
      <c r="L127" s="160" t="s">
        <v>288</v>
      </c>
      <c r="M127" s="155" t="s">
        <v>288</v>
      </c>
      <c r="N127" s="155" t="s">
        <v>288</v>
      </c>
      <c r="O127" s="155">
        <v>44953</v>
      </c>
      <c r="P127" s="158">
        <v>44957</v>
      </c>
      <c r="Q127" s="155" t="s">
        <v>289</v>
      </c>
      <c r="R127" s="155"/>
      <c r="S127" s="151" t="s">
        <v>47</v>
      </c>
      <c r="T127" s="151" t="s">
        <v>290</v>
      </c>
      <c r="U127" s="156" t="s">
        <v>697</v>
      </c>
      <c r="V127" s="151" t="s">
        <v>291</v>
      </c>
      <c r="W127" s="151"/>
      <c r="X127" s="151"/>
      <c r="Y127" s="156" t="s">
        <v>646</v>
      </c>
      <c r="Z127" s="156"/>
      <c r="AA127" s="156"/>
      <c r="AB127" s="156"/>
      <c r="AC127" s="156"/>
      <c r="AD127" s="155" t="s">
        <v>635</v>
      </c>
      <c r="AE127" s="161">
        <v>3500</v>
      </c>
      <c r="AF127" s="161">
        <v>2200</v>
      </c>
      <c r="AG127" s="155">
        <v>44946</v>
      </c>
      <c r="AH127" s="155">
        <v>44957</v>
      </c>
      <c r="AI127" s="155"/>
      <c r="AJ127" s="158">
        <v>44957</v>
      </c>
      <c r="AK127" s="211"/>
      <c r="AL127" s="158"/>
      <c r="AM127" s="1"/>
      <c r="AN127" s="1"/>
      <c r="AO127" s="1"/>
      <c r="AP127" s="1"/>
      <c r="AQ127" s="1"/>
      <c r="AR127" s="1"/>
      <c r="AS127" s="1"/>
      <c r="AT127" s="1"/>
      <c r="AU127" s="1"/>
      <c r="AV127" s="1"/>
    </row>
    <row r="128" spans="1:48" ht="45" hidden="1" customHeight="1">
      <c r="B128" s="159" t="s">
        <v>657</v>
      </c>
      <c r="C128" s="159" t="s">
        <v>496</v>
      </c>
      <c r="D128" s="159" t="s">
        <v>497</v>
      </c>
      <c r="E128" s="159" t="s">
        <v>658</v>
      </c>
      <c r="F128" s="159"/>
      <c r="G128" s="159" t="s">
        <v>287</v>
      </c>
      <c r="H128" s="159" t="s">
        <v>486</v>
      </c>
      <c r="I128" s="159">
        <v>191</v>
      </c>
      <c r="J128" s="151" t="s">
        <v>525</v>
      </c>
      <c r="K128" s="160">
        <v>44927</v>
      </c>
      <c r="L128" s="160" t="s">
        <v>288</v>
      </c>
      <c r="M128" s="155" t="s">
        <v>288</v>
      </c>
      <c r="N128" s="155" t="s">
        <v>288</v>
      </c>
      <c r="O128" s="155">
        <v>44943</v>
      </c>
      <c r="P128" s="158">
        <v>44944</v>
      </c>
      <c r="Q128" s="155" t="s">
        <v>289</v>
      </c>
      <c r="R128" s="155"/>
      <c r="S128" s="151" t="s">
        <v>47</v>
      </c>
      <c r="T128" s="151" t="s">
        <v>290</v>
      </c>
      <c r="U128" s="156"/>
      <c r="V128" s="151" t="s">
        <v>85</v>
      </c>
      <c r="W128" s="151" t="s">
        <v>659</v>
      </c>
      <c r="X128" s="151"/>
      <c r="Y128" s="156" t="s">
        <v>614</v>
      </c>
      <c r="Z128" s="156"/>
      <c r="AA128" s="156"/>
      <c r="AB128" s="156"/>
      <c r="AC128" s="156"/>
      <c r="AD128" s="155" t="s">
        <v>288</v>
      </c>
      <c r="AE128" s="161">
        <v>2800</v>
      </c>
      <c r="AF128" s="161">
        <v>2100</v>
      </c>
      <c r="AG128" s="155">
        <v>44567</v>
      </c>
      <c r="AH128" s="155">
        <v>44581</v>
      </c>
      <c r="AI128" s="155"/>
      <c r="AJ128" s="158">
        <v>44944</v>
      </c>
      <c r="AK128" s="211"/>
      <c r="AL128" s="158"/>
      <c r="AM128" s="1"/>
    </row>
    <row r="129" spans="1:48" ht="45" hidden="1" customHeight="1">
      <c r="A129" s="1"/>
      <c r="B129" s="159" t="s">
        <v>664</v>
      </c>
      <c r="C129" s="159" t="s">
        <v>54</v>
      </c>
      <c r="D129" s="159" t="s">
        <v>55</v>
      </c>
      <c r="E129" s="159" t="s">
        <v>665</v>
      </c>
      <c r="F129" s="159"/>
      <c r="G129" s="159" t="s">
        <v>391</v>
      </c>
      <c r="H129" s="159" t="s">
        <v>42</v>
      </c>
      <c r="I129" s="159">
        <v>51</v>
      </c>
      <c r="J129" s="151"/>
      <c r="K129" s="160">
        <v>44927</v>
      </c>
      <c r="L129" s="160" t="s">
        <v>288</v>
      </c>
      <c r="M129" s="155" t="s">
        <v>288</v>
      </c>
      <c r="N129" s="155" t="s">
        <v>288</v>
      </c>
      <c r="O129" s="155">
        <v>44977</v>
      </c>
      <c r="P129" s="158">
        <v>44947</v>
      </c>
      <c r="Q129" s="155" t="s">
        <v>289</v>
      </c>
      <c r="R129" s="155"/>
      <c r="S129" s="151" t="s">
        <v>47</v>
      </c>
      <c r="T129" s="151" t="s">
        <v>290</v>
      </c>
      <c r="U129" s="156"/>
      <c r="V129" s="151" t="s">
        <v>85</v>
      </c>
      <c r="W129" s="151"/>
      <c r="X129" s="151"/>
      <c r="Y129" s="156" t="s">
        <v>666</v>
      </c>
      <c r="Z129" s="156"/>
      <c r="AA129" s="156"/>
      <c r="AB129" s="156"/>
      <c r="AC129" s="156"/>
      <c r="AD129" s="155" t="s">
        <v>288</v>
      </c>
      <c r="AE129" s="161">
        <v>400</v>
      </c>
      <c r="AF129" s="161">
        <v>800</v>
      </c>
      <c r="AG129" s="155">
        <v>44944</v>
      </c>
      <c r="AH129" s="155">
        <v>44950</v>
      </c>
      <c r="AI129" s="155"/>
      <c r="AJ129" s="158">
        <v>44947</v>
      </c>
      <c r="AK129" s="211"/>
      <c r="AL129" s="158"/>
      <c r="AM129" s="1"/>
      <c r="AN129" s="1"/>
      <c r="AO129" s="1"/>
      <c r="AP129" s="1"/>
      <c r="AQ129" s="1"/>
      <c r="AR129" s="1"/>
      <c r="AS129" s="1"/>
      <c r="AT129" s="1"/>
      <c r="AU129" s="1"/>
      <c r="AV129" s="1"/>
    </row>
    <row r="130" spans="1:48" ht="45" hidden="1" customHeight="1">
      <c r="A130" s="1"/>
      <c r="B130" s="159" t="s">
        <v>690</v>
      </c>
      <c r="C130" s="159" t="s">
        <v>373</v>
      </c>
      <c r="D130" s="159" t="s">
        <v>374</v>
      </c>
      <c r="E130" s="159" t="s">
        <v>691</v>
      </c>
      <c r="F130" s="159"/>
      <c r="G130" s="159" t="s">
        <v>692</v>
      </c>
      <c r="H130" s="159" t="s">
        <v>42</v>
      </c>
      <c r="I130" s="159" t="s">
        <v>346</v>
      </c>
      <c r="J130" s="151"/>
      <c r="K130" s="160">
        <v>44927</v>
      </c>
      <c r="L130" s="160" t="s">
        <v>288</v>
      </c>
      <c r="M130" s="155" t="s">
        <v>288</v>
      </c>
      <c r="N130" s="155" t="s">
        <v>288</v>
      </c>
      <c r="O130" s="155">
        <v>44953</v>
      </c>
      <c r="P130" s="158">
        <v>44956</v>
      </c>
      <c r="Q130" s="155" t="s">
        <v>289</v>
      </c>
      <c r="R130" s="155"/>
      <c r="S130" s="151" t="s">
        <v>47</v>
      </c>
      <c r="T130" s="151" t="s">
        <v>290</v>
      </c>
      <c r="U130" s="156"/>
      <c r="V130" s="151" t="s">
        <v>291</v>
      </c>
      <c r="W130" s="151"/>
      <c r="X130" s="151"/>
      <c r="Y130" s="156"/>
      <c r="Z130" s="156"/>
      <c r="AA130" s="156"/>
      <c r="AB130" s="156"/>
      <c r="AC130" s="156"/>
      <c r="AD130" s="155" t="s">
        <v>288</v>
      </c>
      <c r="AE130" s="161">
        <v>1350</v>
      </c>
      <c r="AF130" s="161">
        <v>5300</v>
      </c>
      <c r="AG130" s="155">
        <v>44938</v>
      </c>
      <c r="AH130" s="155">
        <v>44957</v>
      </c>
      <c r="AI130" s="155"/>
      <c r="AJ130" s="158">
        <v>44956</v>
      </c>
      <c r="AK130" s="211"/>
      <c r="AL130" s="158"/>
      <c r="AM130" s="1"/>
      <c r="AN130" s="1"/>
      <c r="AO130" s="1"/>
      <c r="AP130" s="1"/>
      <c r="AQ130" s="1"/>
      <c r="AR130" s="1"/>
      <c r="AS130" s="1"/>
      <c r="AT130" s="1"/>
      <c r="AU130" s="1"/>
      <c r="AV130" s="1"/>
    </row>
    <row r="131" spans="1:48" ht="45" hidden="1" customHeight="1">
      <c r="A131" s="1"/>
      <c r="B131" s="159" t="s">
        <v>677</v>
      </c>
      <c r="C131" s="159" t="s">
        <v>678</v>
      </c>
      <c r="D131" s="159" t="s">
        <v>679</v>
      </c>
      <c r="E131" s="159" t="s">
        <v>680</v>
      </c>
      <c r="F131" s="159"/>
      <c r="G131" s="159" t="s">
        <v>287</v>
      </c>
      <c r="H131" s="159" t="s">
        <v>427</v>
      </c>
      <c r="I131" s="159">
        <v>31</v>
      </c>
      <c r="J131" s="151"/>
      <c r="K131" s="160">
        <v>44927</v>
      </c>
      <c r="L131" s="160" t="s">
        <v>288</v>
      </c>
      <c r="M131" s="155" t="s">
        <v>288</v>
      </c>
      <c r="N131" s="155" t="s">
        <v>288</v>
      </c>
      <c r="O131" s="155">
        <v>44949</v>
      </c>
      <c r="P131" s="158">
        <v>44950</v>
      </c>
      <c r="Q131" s="155" t="s">
        <v>289</v>
      </c>
      <c r="R131" s="155"/>
      <c r="S131" s="151" t="s">
        <v>47</v>
      </c>
      <c r="T131" s="151" t="s">
        <v>290</v>
      </c>
      <c r="U131" s="156"/>
      <c r="V131" s="151" t="s">
        <v>85</v>
      </c>
      <c r="W131" s="151" t="s">
        <v>681</v>
      </c>
      <c r="X131" s="151"/>
      <c r="Y131" s="156" t="s">
        <v>666</v>
      </c>
      <c r="Z131" s="156"/>
      <c r="AA131" s="156"/>
      <c r="AB131" s="156"/>
      <c r="AC131" s="156"/>
      <c r="AD131" s="155" t="s">
        <v>288</v>
      </c>
      <c r="AE131" s="161">
        <v>3300</v>
      </c>
      <c r="AF131" s="161">
        <v>500</v>
      </c>
      <c r="AG131" s="155">
        <v>44941</v>
      </c>
      <c r="AH131" s="155">
        <v>44954</v>
      </c>
      <c r="AI131" s="155"/>
      <c r="AJ131" s="158">
        <v>44950</v>
      </c>
      <c r="AK131" s="211"/>
      <c r="AL131" s="158"/>
      <c r="AM131" s="1"/>
      <c r="AN131" s="1"/>
      <c r="AO131" s="1"/>
      <c r="AP131" s="1"/>
      <c r="AQ131" s="1"/>
      <c r="AR131" s="1"/>
      <c r="AS131" s="1"/>
      <c r="AT131" s="1"/>
      <c r="AU131" s="1"/>
      <c r="AV131" s="1"/>
    </row>
    <row r="132" spans="1:48" ht="45" hidden="1" customHeight="1">
      <c r="A132" s="1"/>
      <c r="B132" s="159" t="s">
        <v>687</v>
      </c>
      <c r="C132" s="159" t="s">
        <v>555</v>
      </c>
      <c r="D132" s="159" t="s">
        <v>556</v>
      </c>
      <c r="E132" s="159" t="s">
        <v>688</v>
      </c>
      <c r="F132" s="159"/>
      <c r="G132" s="159" t="s">
        <v>391</v>
      </c>
      <c r="H132" s="159" t="s">
        <v>42</v>
      </c>
      <c r="I132" s="159">
        <v>61</v>
      </c>
      <c r="J132" s="151"/>
      <c r="K132" s="160">
        <v>44927</v>
      </c>
      <c r="L132" s="160" t="s">
        <v>288</v>
      </c>
      <c r="M132" s="155" t="s">
        <v>288</v>
      </c>
      <c r="N132" s="155" t="s">
        <v>288</v>
      </c>
      <c r="O132" s="155">
        <v>44953</v>
      </c>
      <c r="P132" s="155">
        <v>44954</v>
      </c>
      <c r="Q132" s="155" t="s">
        <v>289</v>
      </c>
      <c r="R132" s="155"/>
      <c r="S132" s="151" t="s">
        <v>47</v>
      </c>
      <c r="T132" s="151" t="s">
        <v>290</v>
      </c>
      <c r="U132" s="156"/>
      <c r="V132" s="151" t="s">
        <v>291</v>
      </c>
      <c r="W132" s="151" t="s">
        <v>689</v>
      </c>
      <c r="X132" s="151"/>
      <c r="Y132" s="156" t="s">
        <v>646</v>
      </c>
      <c r="Z132" s="156"/>
      <c r="AA132" s="156"/>
      <c r="AB132" s="156"/>
      <c r="AC132" s="156"/>
      <c r="AD132" s="155" t="s">
        <v>288</v>
      </c>
      <c r="AE132" s="161">
        <v>400</v>
      </c>
      <c r="AF132" s="161">
        <v>4000</v>
      </c>
      <c r="AG132" s="155">
        <v>44938</v>
      </c>
      <c r="AH132" s="155">
        <v>44954</v>
      </c>
      <c r="AI132" s="155"/>
      <c r="AJ132" s="155">
        <v>44954</v>
      </c>
      <c r="AK132" s="172"/>
      <c r="AL132" s="155"/>
      <c r="AM132" s="1"/>
      <c r="AN132" s="1"/>
      <c r="AO132" s="1"/>
      <c r="AP132" s="1"/>
      <c r="AQ132" s="1"/>
      <c r="AR132" s="1"/>
      <c r="AS132" s="1"/>
      <c r="AT132" s="1"/>
      <c r="AU132" s="1"/>
      <c r="AV132" s="1"/>
    </row>
    <row r="133" spans="1:48" ht="45" hidden="1" customHeight="1">
      <c r="A133" s="1"/>
      <c r="B133" s="159" t="s">
        <v>667</v>
      </c>
      <c r="C133" s="159" t="s">
        <v>37</v>
      </c>
      <c r="D133" s="159" t="s">
        <v>38</v>
      </c>
      <c r="E133" s="159" t="s">
        <v>668</v>
      </c>
      <c r="F133" s="159"/>
      <c r="G133" s="159" t="s">
        <v>287</v>
      </c>
      <c r="H133" s="159" t="s">
        <v>42</v>
      </c>
      <c r="I133" s="159">
        <v>58</v>
      </c>
      <c r="J133" s="151"/>
      <c r="K133" s="160">
        <v>44927</v>
      </c>
      <c r="L133" s="160" t="s">
        <v>288</v>
      </c>
      <c r="M133" s="155" t="s">
        <v>288</v>
      </c>
      <c r="N133" s="155" t="s">
        <v>288</v>
      </c>
      <c r="O133" s="155">
        <v>44977</v>
      </c>
      <c r="P133" s="158">
        <v>44947</v>
      </c>
      <c r="Q133" s="155" t="s">
        <v>289</v>
      </c>
      <c r="R133" s="155"/>
      <c r="S133" s="151" t="s">
        <v>47</v>
      </c>
      <c r="T133" s="151" t="s">
        <v>290</v>
      </c>
      <c r="U133" s="156"/>
      <c r="V133" s="151" t="s">
        <v>291</v>
      </c>
      <c r="W133" s="151" t="s">
        <v>669</v>
      </c>
      <c r="X133" s="151"/>
      <c r="Y133" s="156" t="s">
        <v>646</v>
      </c>
      <c r="Z133" s="156"/>
      <c r="AA133" s="156"/>
      <c r="AB133" s="156"/>
      <c r="AC133" s="156"/>
      <c r="AD133" s="155" t="s">
        <v>288</v>
      </c>
      <c r="AE133" s="161">
        <v>2350</v>
      </c>
      <c r="AF133" s="161">
        <v>1400</v>
      </c>
      <c r="AG133" s="155">
        <v>44938</v>
      </c>
      <c r="AH133" s="155">
        <v>44951</v>
      </c>
      <c r="AI133" s="155"/>
      <c r="AJ133" s="158">
        <v>44947</v>
      </c>
      <c r="AK133" s="211"/>
      <c r="AL133" s="158"/>
      <c r="AM133" s="1"/>
      <c r="AN133" s="1"/>
      <c r="AO133" s="1"/>
      <c r="AP133" s="1"/>
      <c r="AQ133" s="1"/>
      <c r="AR133" s="1"/>
      <c r="AS133" s="1"/>
      <c r="AT133" s="1"/>
      <c r="AU133" s="1"/>
      <c r="AV133" s="1"/>
    </row>
    <row r="134" spans="1:48" ht="45" hidden="1" customHeight="1">
      <c r="A134" s="1"/>
      <c r="B134" s="159" t="s">
        <v>670</v>
      </c>
      <c r="C134" s="159" t="s">
        <v>668</v>
      </c>
      <c r="D134" s="159" t="s">
        <v>671</v>
      </c>
      <c r="E134" s="159" t="s">
        <v>672</v>
      </c>
      <c r="F134" s="159"/>
      <c r="G134" s="159" t="s">
        <v>287</v>
      </c>
      <c r="H134" s="159" t="s">
        <v>42</v>
      </c>
      <c r="I134" s="159">
        <v>82</v>
      </c>
      <c r="J134" s="151"/>
      <c r="K134" s="160">
        <v>44927</v>
      </c>
      <c r="L134" s="160" t="s">
        <v>288</v>
      </c>
      <c r="M134" s="155" t="s">
        <v>288</v>
      </c>
      <c r="N134" s="155" t="s">
        <v>288</v>
      </c>
      <c r="O134" s="155">
        <v>44977</v>
      </c>
      <c r="P134" s="158">
        <v>44947</v>
      </c>
      <c r="Q134" s="155" t="s">
        <v>289</v>
      </c>
      <c r="R134" s="155"/>
      <c r="S134" s="151" t="s">
        <v>47</v>
      </c>
      <c r="T134" s="151" t="s">
        <v>290</v>
      </c>
      <c r="U134" s="156"/>
      <c r="V134" s="151" t="s">
        <v>291</v>
      </c>
      <c r="W134" s="151"/>
      <c r="X134" s="151"/>
      <c r="Y134" s="156" t="s">
        <v>634</v>
      </c>
      <c r="Z134" s="156"/>
      <c r="AA134" s="156"/>
      <c r="AB134" s="156"/>
      <c r="AC134" s="156"/>
      <c r="AD134" s="155" t="s">
        <v>288</v>
      </c>
      <c r="AE134" s="161">
        <v>1500</v>
      </c>
      <c r="AF134" s="161">
        <v>3700</v>
      </c>
      <c r="AG134" s="155">
        <v>44939</v>
      </c>
      <c r="AH134" s="155">
        <v>44952</v>
      </c>
      <c r="AI134" s="155"/>
      <c r="AJ134" s="158">
        <v>44947</v>
      </c>
      <c r="AK134" s="211"/>
      <c r="AL134" s="158"/>
      <c r="AM134" s="1"/>
      <c r="AN134" s="1"/>
      <c r="AO134" s="1"/>
      <c r="AP134" s="1"/>
      <c r="AQ134" s="1"/>
      <c r="AR134" s="1"/>
      <c r="AS134" s="1"/>
      <c r="AT134" s="1"/>
      <c r="AU134" s="1"/>
      <c r="AV134" s="1"/>
    </row>
    <row r="135" spans="1:48" ht="45" hidden="1" customHeight="1">
      <c r="B135" s="159" t="s">
        <v>621</v>
      </c>
      <c r="C135" s="159" t="s">
        <v>88</v>
      </c>
      <c r="D135" s="159" t="s">
        <v>89</v>
      </c>
      <c r="E135" s="159" t="s">
        <v>622</v>
      </c>
      <c r="F135" s="159"/>
      <c r="G135" s="159" t="s">
        <v>391</v>
      </c>
      <c r="H135" s="159" t="s">
        <v>42</v>
      </c>
      <c r="I135" s="159">
        <v>291</v>
      </c>
      <c r="J135" s="151"/>
      <c r="K135" s="160">
        <v>44927</v>
      </c>
      <c r="L135" s="160" t="s">
        <v>288</v>
      </c>
      <c r="M135" s="155" t="s">
        <v>288</v>
      </c>
      <c r="N135" s="155" t="s">
        <v>288</v>
      </c>
      <c r="O135" s="158">
        <v>44929</v>
      </c>
      <c r="P135" s="158">
        <v>44929</v>
      </c>
      <c r="Q135" s="155" t="s">
        <v>289</v>
      </c>
      <c r="R135" s="155"/>
      <c r="S135" s="151" t="s">
        <v>47</v>
      </c>
      <c r="T135" s="151" t="s">
        <v>290</v>
      </c>
      <c r="U135" s="156"/>
      <c r="V135" s="151" t="s">
        <v>85</v>
      </c>
      <c r="W135" s="151" t="s">
        <v>623</v>
      </c>
      <c r="X135" s="151"/>
      <c r="Y135" s="156" t="s">
        <v>624</v>
      </c>
      <c r="Z135" s="156"/>
      <c r="AA135" s="156"/>
      <c r="AB135" s="156"/>
      <c r="AC135" s="156"/>
      <c r="AD135" s="155" t="s">
        <v>288</v>
      </c>
      <c r="AE135" s="161">
        <v>1900</v>
      </c>
      <c r="AF135" s="161">
        <v>100</v>
      </c>
      <c r="AG135" s="155">
        <v>44910</v>
      </c>
      <c r="AH135" s="155">
        <v>44932</v>
      </c>
      <c r="AI135" s="155"/>
      <c r="AJ135" s="158">
        <v>44929</v>
      </c>
      <c r="AK135" s="211"/>
      <c r="AL135" s="158"/>
      <c r="AM135" s="1"/>
    </row>
    <row r="136" spans="1:48" ht="45" hidden="1" customHeight="1">
      <c r="A136" s="1"/>
      <c r="B136" s="159" t="s">
        <v>660</v>
      </c>
      <c r="C136" s="159" t="s">
        <v>606</v>
      </c>
      <c r="D136" s="159" t="s">
        <v>661</v>
      </c>
      <c r="E136" s="159" t="s">
        <v>662</v>
      </c>
      <c r="F136" s="159"/>
      <c r="G136" s="159" t="s">
        <v>301</v>
      </c>
      <c r="H136" s="159" t="s">
        <v>42</v>
      </c>
      <c r="I136" s="159"/>
      <c r="J136" s="151"/>
      <c r="K136" s="160">
        <v>44927</v>
      </c>
      <c r="L136" s="160" t="s">
        <v>288</v>
      </c>
      <c r="M136" s="155" t="s">
        <v>288</v>
      </c>
      <c r="N136" s="155" t="s">
        <v>288</v>
      </c>
      <c r="O136" s="155">
        <v>44943</v>
      </c>
      <c r="P136" s="158">
        <v>44945</v>
      </c>
      <c r="Q136" s="155" t="s">
        <v>289</v>
      </c>
      <c r="R136" s="155"/>
      <c r="S136" s="151" t="s">
        <v>47</v>
      </c>
      <c r="T136" s="151" t="s">
        <v>48</v>
      </c>
      <c r="U136" s="156"/>
      <c r="V136" s="151" t="s">
        <v>291</v>
      </c>
      <c r="W136" s="151"/>
      <c r="X136" s="151"/>
      <c r="Y136" s="156" t="s">
        <v>634</v>
      </c>
      <c r="Z136" s="156"/>
      <c r="AA136" s="156" t="s">
        <v>663</v>
      </c>
      <c r="AB136" s="156"/>
      <c r="AC136" s="156"/>
      <c r="AD136" s="155" t="s">
        <v>288</v>
      </c>
      <c r="AE136" s="161">
        <v>1850</v>
      </c>
      <c r="AF136" s="161">
        <v>3850</v>
      </c>
      <c r="AG136" s="155">
        <v>44928</v>
      </c>
      <c r="AH136" s="155">
        <v>44946</v>
      </c>
      <c r="AI136" s="155"/>
      <c r="AJ136" s="158">
        <v>44945</v>
      </c>
      <c r="AK136" s="211"/>
      <c r="AL136" s="158"/>
      <c r="AM136" s="1"/>
      <c r="AN136" s="1"/>
      <c r="AO136" s="1"/>
      <c r="AP136" s="1"/>
      <c r="AQ136" s="1"/>
      <c r="AR136" s="1"/>
      <c r="AS136" s="1"/>
      <c r="AT136" s="1"/>
      <c r="AU136" s="1"/>
      <c r="AV136" s="1"/>
    </row>
    <row r="137" spans="1:48" ht="45" hidden="1" customHeight="1">
      <c r="A137" s="1"/>
      <c r="B137" s="159" t="s">
        <v>611</v>
      </c>
      <c r="C137" s="159" t="s">
        <v>298</v>
      </c>
      <c r="D137" s="159" t="s">
        <v>299</v>
      </c>
      <c r="E137" s="159" t="s">
        <v>612</v>
      </c>
      <c r="F137" s="159"/>
      <c r="G137" s="159" t="s">
        <v>308</v>
      </c>
      <c r="H137" s="159" t="s">
        <v>42</v>
      </c>
      <c r="I137" s="159">
        <v>111</v>
      </c>
      <c r="J137" s="151"/>
      <c r="K137" s="160">
        <v>44927</v>
      </c>
      <c r="L137" s="160" t="s">
        <v>288</v>
      </c>
      <c r="M137" s="155" t="s">
        <v>288</v>
      </c>
      <c r="N137" s="155" t="s">
        <v>288</v>
      </c>
      <c r="O137" s="155">
        <v>44923</v>
      </c>
      <c r="P137" s="158">
        <v>44924</v>
      </c>
      <c r="Q137" s="155" t="s">
        <v>289</v>
      </c>
      <c r="R137" s="155"/>
      <c r="S137" s="151" t="s">
        <v>47</v>
      </c>
      <c r="T137" s="151" t="s">
        <v>290</v>
      </c>
      <c r="U137" s="156"/>
      <c r="V137" s="156" t="s">
        <v>291</v>
      </c>
      <c r="W137" s="151" t="s">
        <v>613</v>
      </c>
      <c r="X137" s="151"/>
      <c r="Y137" s="156" t="s">
        <v>614</v>
      </c>
      <c r="Z137" s="156"/>
      <c r="AA137" s="156"/>
      <c r="AB137" s="156"/>
      <c r="AC137" s="156"/>
      <c r="AD137" s="155" t="s">
        <v>288</v>
      </c>
      <c r="AE137" s="161">
        <v>2200</v>
      </c>
      <c r="AF137" s="161">
        <v>2900</v>
      </c>
      <c r="AG137" s="155">
        <v>44910</v>
      </c>
      <c r="AH137" s="155">
        <v>44933</v>
      </c>
      <c r="AI137" s="155"/>
      <c r="AJ137" s="158">
        <v>44924</v>
      </c>
      <c r="AK137" s="211"/>
      <c r="AL137" s="158"/>
      <c r="AM137" s="1"/>
      <c r="AN137" s="1"/>
      <c r="AO137" s="1"/>
      <c r="AP137" s="1"/>
      <c r="AQ137" s="1"/>
      <c r="AR137" s="1"/>
      <c r="AS137" s="1"/>
      <c r="AT137" s="1"/>
      <c r="AU137" s="1"/>
      <c r="AV137" s="1"/>
    </row>
    <row r="138" spans="1:48" ht="45" hidden="1" customHeight="1">
      <c r="B138" s="159" t="s">
        <v>640</v>
      </c>
      <c r="C138" s="159" t="s">
        <v>641</v>
      </c>
      <c r="D138" s="159" t="s">
        <v>642</v>
      </c>
      <c r="E138" s="159" t="s">
        <v>643</v>
      </c>
      <c r="F138" s="159"/>
      <c r="G138" s="159" t="s">
        <v>287</v>
      </c>
      <c r="H138" s="159" t="s">
        <v>42</v>
      </c>
      <c r="I138" s="159">
        <v>11</v>
      </c>
      <c r="J138" s="151"/>
      <c r="K138" s="160">
        <v>44958</v>
      </c>
      <c r="L138" s="160" t="s">
        <v>288</v>
      </c>
      <c r="M138" s="155" t="s">
        <v>288</v>
      </c>
      <c r="N138" s="155" t="s">
        <v>288</v>
      </c>
      <c r="O138" s="158">
        <v>44941</v>
      </c>
      <c r="P138" s="158">
        <v>44942</v>
      </c>
      <c r="Q138" s="155" t="s">
        <v>289</v>
      </c>
      <c r="R138" s="155"/>
      <c r="S138" s="151" t="s">
        <v>47</v>
      </c>
      <c r="T138" s="151" t="s">
        <v>290</v>
      </c>
      <c r="U138" s="156" t="s">
        <v>644</v>
      </c>
      <c r="V138" s="151" t="s">
        <v>291</v>
      </c>
      <c r="W138" s="151" t="s">
        <v>645</v>
      </c>
      <c r="X138" s="151"/>
      <c r="Y138" s="156" t="s">
        <v>646</v>
      </c>
      <c r="Z138" s="156"/>
      <c r="AA138" s="156"/>
      <c r="AB138" s="156"/>
      <c r="AC138" s="156"/>
      <c r="AD138" s="155" t="s">
        <v>635</v>
      </c>
      <c r="AE138" s="161">
        <v>5400</v>
      </c>
      <c r="AF138" s="161">
        <v>2200</v>
      </c>
      <c r="AG138" s="155">
        <v>44958</v>
      </c>
      <c r="AH138" s="155">
        <v>44979</v>
      </c>
      <c r="AI138" s="155"/>
      <c r="AJ138" s="158">
        <v>44942</v>
      </c>
      <c r="AK138" s="211"/>
      <c r="AL138" s="158"/>
      <c r="AM138" s="1"/>
    </row>
    <row r="139" spans="1:48" ht="45" hidden="1" customHeight="1">
      <c r="B139" s="159" t="s">
        <v>710</v>
      </c>
      <c r="C139" s="159" t="s">
        <v>711</v>
      </c>
      <c r="D139" s="159" t="s">
        <v>712</v>
      </c>
      <c r="E139" s="159" t="s">
        <v>713</v>
      </c>
      <c r="F139" s="159"/>
      <c r="G139" s="159" t="s">
        <v>287</v>
      </c>
      <c r="H139" s="159" t="s">
        <v>42</v>
      </c>
      <c r="I139" s="159">
        <v>63</v>
      </c>
      <c r="J139" s="151"/>
      <c r="K139" s="160">
        <v>44958</v>
      </c>
      <c r="L139" s="160" t="s">
        <v>288</v>
      </c>
      <c r="M139" s="155" t="s">
        <v>323</v>
      </c>
      <c r="N139" s="155" t="s">
        <v>288</v>
      </c>
      <c r="O139" s="155">
        <v>44965</v>
      </c>
      <c r="P139" s="155">
        <v>44966</v>
      </c>
      <c r="Q139" s="155" t="s">
        <v>289</v>
      </c>
      <c r="R139" s="155"/>
      <c r="S139" s="151" t="s">
        <v>47</v>
      </c>
      <c r="T139" s="151" t="s">
        <v>290</v>
      </c>
      <c r="U139" s="156"/>
      <c r="V139" s="151" t="s">
        <v>85</v>
      </c>
      <c r="W139" s="151" t="s">
        <v>650</v>
      </c>
      <c r="X139" s="151" t="s">
        <v>651</v>
      </c>
      <c r="Y139" s="156" t="s">
        <v>714</v>
      </c>
      <c r="Z139" s="156"/>
      <c r="AA139" s="156" t="s">
        <v>652</v>
      </c>
      <c r="AB139" s="156"/>
      <c r="AC139" s="156"/>
      <c r="AD139" s="155" t="s">
        <v>288</v>
      </c>
      <c r="AE139" s="161">
        <v>1300</v>
      </c>
      <c r="AF139" s="161">
        <v>1500</v>
      </c>
      <c r="AG139" s="155">
        <v>44958</v>
      </c>
      <c r="AH139" s="155">
        <v>44971</v>
      </c>
      <c r="AI139" s="155"/>
      <c r="AJ139" s="158">
        <v>44966</v>
      </c>
      <c r="AK139" s="211"/>
      <c r="AL139" s="158"/>
      <c r="AM139" s="1"/>
    </row>
    <row r="140" spans="1:48" ht="45" customHeight="1">
      <c r="B140" s="159" t="s">
        <v>647</v>
      </c>
      <c r="C140" s="159" t="s">
        <v>142</v>
      </c>
      <c r="D140" s="159" t="s">
        <v>143</v>
      </c>
      <c r="E140" s="159" t="s">
        <v>648</v>
      </c>
      <c r="F140" s="159"/>
      <c r="G140" s="159" t="s">
        <v>391</v>
      </c>
      <c r="H140" s="159" t="s">
        <v>42</v>
      </c>
      <c r="I140" s="159">
        <v>11</v>
      </c>
      <c r="J140" s="151"/>
      <c r="K140" s="160">
        <v>44958</v>
      </c>
      <c r="L140" s="160" t="s">
        <v>288</v>
      </c>
      <c r="M140" s="155" t="s">
        <v>323</v>
      </c>
      <c r="N140" s="155" t="s">
        <v>288</v>
      </c>
      <c r="O140" s="158">
        <v>44941</v>
      </c>
      <c r="P140" s="158">
        <v>44942</v>
      </c>
      <c r="Q140" s="155" t="s">
        <v>289</v>
      </c>
      <c r="R140" s="155"/>
      <c r="S140" s="151" t="s">
        <v>47</v>
      </c>
      <c r="T140" s="151" t="s">
        <v>48</v>
      </c>
      <c r="U140" s="156" t="s">
        <v>649</v>
      </c>
      <c r="V140" s="151" t="s">
        <v>291</v>
      </c>
      <c r="W140" s="151" t="s">
        <v>650</v>
      </c>
      <c r="X140" s="151" t="s">
        <v>651</v>
      </c>
      <c r="Y140" s="156" t="s">
        <v>646</v>
      </c>
      <c r="Z140" s="156"/>
      <c r="AA140" s="156" t="s">
        <v>652</v>
      </c>
      <c r="AB140" s="156"/>
      <c r="AC140" s="156"/>
      <c r="AD140" s="155" t="s">
        <v>635</v>
      </c>
      <c r="AE140" s="161">
        <v>5800</v>
      </c>
      <c r="AF140" s="161">
        <v>1300</v>
      </c>
      <c r="AG140" s="155">
        <v>44959</v>
      </c>
      <c r="AH140" s="155">
        <v>44971</v>
      </c>
      <c r="AI140" s="155"/>
      <c r="AJ140" s="158">
        <v>44942</v>
      </c>
      <c r="AK140" s="211"/>
      <c r="AL140" s="158"/>
      <c r="AM140" s="1"/>
    </row>
    <row r="141" spans="1:48" ht="45" hidden="1" customHeight="1">
      <c r="B141" s="159" t="s">
        <v>698</v>
      </c>
      <c r="C141" s="159" t="s">
        <v>674</v>
      </c>
      <c r="D141" s="159" t="s">
        <v>699</v>
      </c>
      <c r="E141" s="159" t="s">
        <v>700</v>
      </c>
      <c r="F141" s="159"/>
      <c r="G141" s="159" t="s">
        <v>296</v>
      </c>
      <c r="H141" s="159" t="s">
        <v>833</v>
      </c>
      <c r="I141" s="159">
        <v>91</v>
      </c>
      <c r="J141" s="151" t="s">
        <v>525</v>
      </c>
      <c r="K141" s="160">
        <v>44958</v>
      </c>
      <c r="L141" s="160" t="s">
        <v>288</v>
      </c>
      <c r="M141" s="155" t="s">
        <v>288</v>
      </c>
      <c r="N141" s="155" t="s">
        <v>288</v>
      </c>
      <c r="O141" s="155">
        <v>44956</v>
      </c>
      <c r="P141" s="158">
        <v>44958</v>
      </c>
      <c r="Q141" s="155" t="s">
        <v>289</v>
      </c>
      <c r="R141" s="155"/>
      <c r="S141" s="151" t="s">
        <v>47</v>
      </c>
      <c r="T141" s="151" t="s">
        <v>48</v>
      </c>
      <c r="U141" s="156"/>
      <c r="V141" s="151"/>
      <c r="W141" s="151"/>
      <c r="X141" s="151"/>
      <c r="Y141" s="156"/>
      <c r="Z141" s="156"/>
      <c r="AA141" s="156" t="s">
        <v>652</v>
      </c>
      <c r="AB141" s="156"/>
      <c r="AC141" s="156"/>
      <c r="AD141" s="155" t="s">
        <v>635</v>
      </c>
      <c r="AE141" s="161">
        <v>500</v>
      </c>
      <c r="AF141" s="161">
        <v>1800</v>
      </c>
      <c r="AG141" s="155">
        <v>44959</v>
      </c>
      <c r="AH141" s="155">
        <v>44961</v>
      </c>
      <c r="AI141" s="155"/>
      <c r="AJ141" s="158">
        <v>44958</v>
      </c>
      <c r="AK141" s="211"/>
      <c r="AL141" s="158"/>
      <c r="AM141" s="1"/>
    </row>
    <row r="142" spans="1:48" ht="45" hidden="1" customHeight="1">
      <c r="B142" s="159" t="s">
        <v>730</v>
      </c>
      <c r="C142" s="159" t="s">
        <v>731</v>
      </c>
      <c r="D142" s="159" t="s">
        <v>732</v>
      </c>
      <c r="E142" s="159" t="s">
        <v>733</v>
      </c>
      <c r="F142" s="159"/>
      <c r="G142" s="159" t="s">
        <v>287</v>
      </c>
      <c r="H142" s="159" t="s">
        <v>427</v>
      </c>
      <c r="I142" s="159" t="s">
        <v>734</v>
      </c>
      <c r="J142" s="151"/>
      <c r="K142" s="160">
        <v>44958</v>
      </c>
      <c r="L142" s="160" t="s">
        <v>288</v>
      </c>
      <c r="M142" s="155" t="s">
        <v>288</v>
      </c>
      <c r="N142" s="155" t="s">
        <v>288</v>
      </c>
      <c r="O142" s="155">
        <v>44984</v>
      </c>
      <c r="P142" s="155">
        <v>44985</v>
      </c>
      <c r="Q142" s="155" t="s">
        <v>289</v>
      </c>
      <c r="R142" s="155"/>
      <c r="S142" s="151" t="s">
        <v>47</v>
      </c>
      <c r="T142" s="151" t="s">
        <v>48</v>
      </c>
      <c r="U142" s="156" t="s">
        <v>735</v>
      </c>
      <c r="V142" s="156"/>
      <c r="W142" s="151" t="s">
        <v>681</v>
      </c>
      <c r="X142" s="156" t="s">
        <v>708</v>
      </c>
      <c r="Y142" s="156" t="s">
        <v>714</v>
      </c>
      <c r="Z142" s="156"/>
      <c r="AA142" s="156"/>
      <c r="AB142" s="156"/>
      <c r="AC142" s="156"/>
      <c r="AD142" s="155" t="s">
        <v>635</v>
      </c>
      <c r="AE142" s="161">
        <v>4000</v>
      </c>
      <c r="AF142" s="161">
        <v>16700</v>
      </c>
      <c r="AG142" s="155">
        <v>44959</v>
      </c>
      <c r="AH142" s="155">
        <v>44985</v>
      </c>
      <c r="AI142" s="155"/>
      <c r="AJ142" s="155">
        <v>44985</v>
      </c>
      <c r="AK142" s="172"/>
      <c r="AL142" s="155"/>
      <c r="AM142" s="1"/>
    </row>
    <row r="143" spans="1:48" ht="45" hidden="1" customHeight="1">
      <c r="A143" s="1"/>
      <c r="B143" s="159" t="s">
        <v>728</v>
      </c>
      <c r="C143" s="159" t="s">
        <v>674</v>
      </c>
      <c r="D143" s="159" t="s">
        <v>699</v>
      </c>
      <c r="E143" s="159" t="s">
        <v>729</v>
      </c>
      <c r="F143" s="159"/>
      <c r="G143" s="159" t="s">
        <v>296</v>
      </c>
      <c r="H143" s="159" t="s">
        <v>833</v>
      </c>
      <c r="I143" s="159">
        <v>191</v>
      </c>
      <c r="J143" s="151" t="s">
        <v>525</v>
      </c>
      <c r="K143" s="160">
        <v>44958</v>
      </c>
      <c r="L143" s="160" t="s">
        <v>288</v>
      </c>
      <c r="M143" s="155" t="s">
        <v>288</v>
      </c>
      <c r="N143" s="155" t="s">
        <v>288</v>
      </c>
      <c r="O143" s="155">
        <v>44983</v>
      </c>
      <c r="P143" s="155">
        <v>44984</v>
      </c>
      <c r="Q143" s="155" t="s">
        <v>289</v>
      </c>
      <c r="R143" s="155"/>
      <c r="S143" s="151" t="s">
        <v>47</v>
      </c>
      <c r="T143" s="151" t="s">
        <v>290</v>
      </c>
      <c r="U143" s="156"/>
      <c r="V143" s="151" t="s">
        <v>85</v>
      </c>
      <c r="W143" s="151" t="s">
        <v>645</v>
      </c>
      <c r="X143" s="151"/>
      <c r="Y143" s="156" t="s">
        <v>714</v>
      </c>
      <c r="Z143" s="156"/>
      <c r="AA143" s="156"/>
      <c r="AB143" s="156"/>
      <c r="AC143" s="156"/>
      <c r="AD143" s="155">
        <v>45212</v>
      </c>
      <c r="AE143" s="161">
        <v>2500</v>
      </c>
      <c r="AF143" s="161">
        <v>4000</v>
      </c>
      <c r="AG143" s="155">
        <v>44958</v>
      </c>
      <c r="AH143" s="155">
        <v>44985</v>
      </c>
      <c r="AI143" s="155"/>
      <c r="AJ143" s="158">
        <v>44984</v>
      </c>
      <c r="AK143" s="211"/>
      <c r="AL143" s="158"/>
      <c r="AM143" s="1"/>
      <c r="AN143" s="1"/>
      <c r="AO143" s="1"/>
      <c r="AP143" s="1"/>
      <c r="AQ143" s="1"/>
      <c r="AR143" s="1"/>
      <c r="AS143" s="1"/>
      <c r="AT143" s="1"/>
      <c r="AU143" s="1"/>
      <c r="AV143" s="1"/>
    </row>
    <row r="144" spans="1:48" ht="45" hidden="1" customHeight="1">
      <c r="B144" s="159" t="s">
        <v>719</v>
      </c>
      <c r="C144" s="159" t="s">
        <v>425</v>
      </c>
      <c r="D144" s="159" t="s">
        <v>626</v>
      </c>
      <c r="E144" s="159" t="s">
        <v>720</v>
      </c>
      <c r="F144" s="159"/>
      <c r="G144" s="159" t="s">
        <v>287</v>
      </c>
      <c r="H144" s="159" t="s">
        <v>519</v>
      </c>
      <c r="I144" s="159">
        <v>21</v>
      </c>
      <c r="J144" s="151"/>
      <c r="K144" s="160">
        <v>44958</v>
      </c>
      <c r="L144" s="160" t="s">
        <v>288</v>
      </c>
      <c r="M144" s="155" t="s">
        <v>288</v>
      </c>
      <c r="N144" s="155" t="s">
        <v>288</v>
      </c>
      <c r="O144" s="155">
        <v>44970</v>
      </c>
      <c r="P144" s="155">
        <v>44971</v>
      </c>
      <c r="Q144" s="155" t="s">
        <v>289</v>
      </c>
      <c r="R144" s="155"/>
      <c r="S144" s="151" t="s">
        <v>47</v>
      </c>
      <c r="T144" s="151" t="s">
        <v>290</v>
      </c>
      <c r="U144" s="156" t="s">
        <v>638</v>
      </c>
      <c r="V144" s="151" t="s">
        <v>85</v>
      </c>
      <c r="W144" s="151" t="s">
        <v>721</v>
      </c>
      <c r="X144" s="151"/>
      <c r="Y144" s="156" t="s">
        <v>722</v>
      </c>
      <c r="Z144" s="156"/>
      <c r="AA144" s="156"/>
      <c r="AB144" s="156"/>
      <c r="AC144" s="156"/>
      <c r="AD144" s="155" t="s">
        <v>635</v>
      </c>
      <c r="AE144" s="161">
        <v>3000</v>
      </c>
      <c r="AF144" s="161">
        <v>4000</v>
      </c>
      <c r="AG144" s="155">
        <v>44959</v>
      </c>
      <c r="AH144" s="155">
        <v>44985</v>
      </c>
      <c r="AI144" s="155"/>
      <c r="AJ144" s="155">
        <v>44971</v>
      </c>
      <c r="AK144" s="172"/>
      <c r="AL144" s="155"/>
      <c r="AM144" s="1"/>
    </row>
    <row r="145" spans="1:48" ht="45" hidden="1" customHeight="1">
      <c r="B145" s="159" t="s">
        <v>723</v>
      </c>
      <c r="C145" s="159" t="s">
        <v>152</v>
      </c>
      <c r="D145" s="159" t="s">
        <v>321</v>
      </c>
      <c r="E145" s="159" t="s">
        <v>724</v>
      </c>
      <c r="F145" s="159"/>
      <c r="G145" s="159" t="s">
        <v>137</v>
      </c>
      <c r="H145" s="159" t="s">
        <v>42</v>
      </c>
      <c r="I145" s="159">
        <v>21</v>
      </c>
      <c r="J145" s="151"/>
      <c r="K145" s="160">
        <v>44958</v>
      </c>
      <c r="L145" s="160" t="s">
        <v>288</v>
      </c>
      <c r="M145" s="155" t="s">
        <v>288</v>
      </c>
      <c r="N145" s="155" t="s">
        <v>288</v>
      </c>
      <c r="O145" s="155">
        <v>44973</v>
      </c>
      <c r="P145" s="155">
        <v>44974</v>
      </c>
      <c r="Q145" s="155" t="s">
        <v>289</v>
      </c>
      <c r="R145" s="155"/>
      <c r="S145" s="151" t="s">
        <v>47</v>
      </c>
      <c r="T145" s="151" t="s">
        <v>290</v>
      </c>
      <c r="U145" s="156"/>
      <c r="V145" s="151" t="s">
        <v>85</v>
      </c>
      <c r="W145" s="151" t="s">
        <v>659</v>
      </c>
      <c r="X145" s="151"/>
      <c r="Y145" s="156" t="s">
        <v>656</v>
      </c>
      <c r="Z145" s="156"/>
      <c r="AA145" s="156"/>
      <c r="AB145" s="156"/>
      <c r="AC145" s="156"/>
      <c r="AD145" s="155" t="s">
        <v>288</v>
      </c>
      <c r="AE145" s="161">
        <v>1000</v>
      </c>
      <c r="AF145" s="161">
        <v>800</v>
      </c>
      <c r="AG145" s="155">
        <v>44959</v>
      </c>
      <c r="AH145" s="155">
        <v>44980</v>
      </c>
      <c r="AI145" s="155"/>
      <c r="AJ145" s="155">
        <v>44974</v>
      </c>
      <c r="AK145" s="172"/>
      <c r="AL145" s="155"/>
      <c r="AM145" s="1"/>
    </row>
    <row r="146" spans="1:48" ht="45" hidden="1" customHeight="1">
      <c r="A146" s="1"/>
      <c r="B146" s="159" t="s">
        <v>715</v>
      </c>
      <c r="C146" s="159" t="s">
        <v>315</v>
      </c>
      <c r="D146" s="159" t="s">
        <v>316</v>
      </c>
      <c r="E146" s="159" t="s">
        <v>315</v>
      </c>
      <c r="F146" s="159"/>
      <c r="G146" s="159" t="s">
        <v>308</v>
      </c>
      <c r="H146" s="159" t="s">
        <v>42</v>
      </c>
      <c r="I146" s="159">
        <v>61</v>
      </c>
      <c r="J146" s="151"/>
      <c r="K146" s="160">
        <v>44958</v>
      </c>
      <c r="L146" s="160" t="s">
        <v>288</v>
      </c>
      <c r="M146" s="155" t="s">
        <v>288</v>
      </c>
      <c r="N146" s="155" t="s">
        <v>288</v>
      </c>
      <c r="O146" s="155">
        <v>44963</v>
      </c>
      <c r="P146" s="155">
        <v>44966</v>
      </c>
      <c r="Q146" s="155" t="s">
        <v>289</v>
      </c>
      <c r="R146" s="155"/>
      <c r="S146" s="151" t="s">
        <v>47</v>
      </c>
      <c r="T146" s="151" t="s">
        <v>290</v>
      </c>
      <c r="U146" s="156"/>
      <c r="V146" s="151" t="s">
        <v>291</v>
      </c>
      <c r="W146" s="151" t="s">
        <v>645</v>
      </c>
      <c r="X146" s="151"/>
      <c r="Y146" s="156" t="s">
        <v>714</v>
      </c>
      <c r="Z146" s="156"/>
      <c r="AA146" s="156"/>
      <c r="AB146" s="156"/>
      <c r="AC146" s="156"/>
      <c r="AD146" s="155" t="s">
        <v>288</v>
      </c>
      <c r="AE146" s="161">
        <v>2000</v>
      </c>
      <c r="AF146" s="161">
        <v>3000</v>
      </c>
      <c r="AG146" s="155">
        <v>44961</v>
      </c>
      <c r="AH146" s="155">
        <v>44977</v>
      </c>
      <c r="AI146" s="155"/>
      <c r="AJ146" s="158">
        <v>44966</v>
      </c>
      <c r="AK146" s="211"/>
      <c r="AL146" s="158"/>
      <c r="AM146" s="1"/>
      <c r="AN146" s="1"/>
      <c r="AO146" s="1"/>
      <c r="AP146" s="1"/>
      <c r="AQ146" s="1"/>
      <c r="AR146" s="1"/>
      <c r="AS146" s="1"/>
      <c r="AT146" s="1"/>
      <c r="AU146" s="1"/>
      <c r="AV146" s="1"/>
    </row>
    <row r="147" spans="1:48" ht="45" hidden="1" customHeight="1">
      <c r="A147" s="1"/>
      <c r="B147" s="159" t="s">
        <v>725</v>
      </c>
      <c r="C147" s="159" t="s">
        <v>674</v>
      </c>
      <c r="D147" s="159" t="s">
        <v>699</v>
      </c>
      <c r="E147" s="159" t="s">
        <v>726</v>
      </c>
      <c r="F147" s="159"/>
      <c r="G147" s="159" t="s">
        <v>296</v>
      </c>
      <c r="H147" s="159" t="s">
        <v>833</v>
      </c>
      <c r="I147" s="159">
        <v>221</v>
      </c>
      <c r="J147" s="151"/>
      <c r="K147" s="160">
        <v>44958</v>
      </c>
      <c r="L147" s="160" t="s">
        <v>288</v>
      </c>
      <c r="M147" s="155" t="s">
        <v>288</v>
      </c>
      <c r="N147" s="155" t="s">
        <v>288</v>
      </c>
      <c r="O147" s="155">
        <v>44973</v>
      </c>
      <c r="P147" s="155">
        <v>44974</v>
      </c>
      <c r="Q147" s="155" t="s">
        <v>289</v>
      </c>
      <c r="R147" s="155"/>
      <c r="S147" s="151" t="s">
        <v>47</v>
      </c>
      <c r="T147" s="151" t="s">
        <v>290</v>
      </c>
      <c r="U147" s="156"/>
      <c r="V147" s="151" t="s">
        <v>85</v>
      </c>
      <c r="W147" s="151" t="s">
        <v>727</v>
      </c>
      <c r="X147" s="151"/>
      <c r="Y147" s="156" t="s">
        <v>714</v>
      </c>
      <c r="Z147" s="156"/>
      <c r="AA147" s="165"/>
      <c r="AB147" s="165"/>
      <c r="AC147" s="165"/>
      <c r="AD147" s="158">
        <v>45212</v>
      </c>
      <c r="AE147" s="161">
        <v>1600</v>
      </c>
      <c r="AF147" s="161">
        <v>2400</v>
      </c>
      <c r="AG147" s="155">
        <v>44958</v>
      </c>
      <c r="AH147" s="155">
        <v>44975</v>
      </c>
      <c r="AI147" s="155"/>
      <c r="AJ147" s="155">
        <v>44974</v>
      </c>
      <c r="AK147" s="172"/>
      <c r="AL147" s="155"/>
      <c r="AM147" s="1"/>
      <c r="AN147" s="1"/>
      <c r="AO147" s="1"/>
      <c r="AP147" s="1"/>
      <c r="AQ147" s="1"/>
      <c r="AR147" s="1"/>
      <c r="AS147" s="1"/>
      <c r="AT147" s="1"/>
      <c r="AU147" s="1"/>
      <c r="AV147" s="1"/>
    </row>
    <row r="148" spans="1:48" ht="45" hidden="1" customHeight="1">
      <c r="A148" s="1"/>
      <c r="B148" s="159" t="s">
        <v>704</v>
      </c>
      <c r="C148" s="159" t="s">
        <v>705</v>
      </c>
      <c r="D148" s="159" t="s">
        <v>706</v>
      </c>
      <c r="E148" s="159" t="s">
        <v>707</v>
      </c>
      <c r="F148" s="159"/>
      <c r="G148" s="159" t="s">
        <v>301</v>
      </c>
      <c r="H148" s="159" t="s">
        <v>486</v>
      </c>
      <c r="I148" s="159">
        <v>151</v>
      </c>
      <c r="J148" s="151"/>
      <c r="K148" s="160">
        <v>44958</v>
      </c>
      <c r="L148" s="160" t="s">
        <v>288</v>
      </c>
      <c r="M148" s="155" t="s">
        <v>288</v>
      </c>
      <c r="N148" s="155" t="s">
        <v>288</v>
      </c>
      <c r="O148" s="155">
        <v>44961</v>
      </c>
      <c r="P148" s="158">
        <v>44964</v>
      </c>
      <c r="Q148" s="155" t="s">
        <v>289</v>
      </c>
      <c r="R148" s="155"/>
      <c r="S148" s="151" t="s">
        <v>47</v>
      </c>
      <c r="T148" s="151" t="s">
        <v>290</v>
      </c>
      <c r="U148" s="156"/>
      <c r="V148" s="151" t="s">
        <v>85</v>
      </c>
      <c r="W148" s="151" t="s">
        <v>708</v>
      </c>
      <c r="X148" s="151"/>
      <c r="Y148" s="156" t="s">
        <v>646</v>
      </c>
      <c r="Z148" s="156"/>
      <c r="AA148" s="156"/>
      <c r="AB148" s="156"/>
      <c r="AC148" s="156"/>
      <c r="AD148" s="155" t="s">
        <v>635</v>
      </c>
      <c r="AE148" s="161">
        <v>1200</v>
      </c>
      <c r="AF148" s="161">
        <v>1800</v>
      </c>
      <c r="AG148" s="155">
        <v>44959</v>
      </c>
      <c r="AH148" s="155" t="s">
        <v>709</v>
      </c>
      <c r="AI148" s="155"/>
      <c r="AJ148" s="158">
        <v>44964</v>
      </c>
      <c r="AK148" s="211"/>
      <c r="AL148" s="158"/>
      <c r="AM148" s="1"/>
      <c r="AN148" s="1"/>
      <c r="AO148" s="1"/>
      <c r="AP148" s="1"/>
      <c r="AQ148" s="1"/>
      <c r="AR148" s="1"/>
      <c r="AS148" s="1"/>
      <c r="AT148" s="1"/>
      <c r="AU148" s="1"/>
      <c r="AV148" s="1"/>
    </row>
    <row r="149" spans="1:48" ht="45" hidden="1" customHeight="1">
      <c r="B149" s="159" t="s">
        <v>701</v>
      </c>
      <c r="C149" s="159" t="s">
        <v>555</v>
      </c>
      <c r="D149" s="159" t="s">
        <v>556</v>
      </c>
      <c r="E149" s="159" t="s">
        <v>702</v>
      </c>
      <c r="F149" s="159"/>
      <c r="G149" s="159" t="s">
        <v>391</v>
      </c>
      <c r="H149" s="159" t="s">
        <v>42</v>
      </c>
      <c r="I149" s="159">
        <v>58</v>
      </c>
      <c r="J149" s="151"/>
      <c r="K149" s="160">
        <v>44958</v>
      </c>
      <c r="L149" s="160" t="s">
        <v>288</v>
      </c>
      <c r="M149" s="155" t="s">
        <v>288</v>
      </c>
      <c r="N149" s="155" t="s">
        <v>288</v>
      </c>
      <c r="O149" s="155">
        <v>44957</v>
      </c>
      <c r="P149" s="155">
        <v>44958</v>
      </c>
      <c r="Q149" s="155" t="s">
        <v>289</v>
      </c>
      <c r="R149" s="155"/>
      <c r="S149" s="151" t="s">
        <v>47</v>
      </c>
      <c r="T149" s="151" t="s">
        <v>290</v>
      </c>
      <c r="U149" s="156" t="s">
        <v>703</v>
      </c>
      <c r="V149" s="151" t="s">
        <v>291</v>
      </c>
      <c r="W149" s="151"/>
      <c r="X149" s="151"/>
      <c r="Y149" s="156"/>
      <c r="Z149" s="156"/>
      <c r="AA149" s="156"/>
      <c r="AB149" s="156"/>
      <c r="AC149" s="156"/>
      <c r="AD149" s="155" t="s">
        <v>288</v>
      </c>
      <c r="AE149" s="161">
        <v>300</v>
      </c>
      <c r="AF149" s="161">
        <v>2200</v>
      </c>
      <c r="AG149" s="155">
        <v>44954</v>
      </c>
      <c r="AH149" s="155">
        <v>44959</v>
      </c>
      <c r="AI149" s="155"/>
      <c r="AJ149" s="158">
        <v>44958</v>
      </c>
      <c r="AK149" s="211"/>
      <c r="AL149" s="158"/>
      <c r="AM149" s="1"/>
    </row>
    <row r="150" spans="1:48" ht="45" hidden="1" customHeight="1">
      <c r="B150" s="159" t="s">
        <v>653</v>
      </c>
      <c r="C150" s="159" t="s">
        <v>606</v>
      </c>
      <c r="D150" s="159" t="s">
        <v>607</v>
      </c>
      <c r="E150" s="159" t="s">
        <v>654</v>
      </c>
      <c r="F150" s="159"/>
      <c r="G150" s="159" t="s">
        <v>391</v>
      </c>
      <c r="H150" s="159" t="s">
        <v>42</v>
      </c>
      <c r="I150" s="159">
        <v>7</v>
      </c>
      <c r="J150" s="151"/>
      <c r="K150" s="160">
        <v>44958</v>
      </c>
      <c r="L150" s="160" t="s">
        <v>288</v>
      </c>
      <c r="M150" s="155" t="s">
        <v>288</v>
      </c>
      <c r="N150" s="155" t="s">
        <v>288</v>
      </c>
      <c r="O150" s="158">
        <v>44941</v>
      </c>
      <c r="P150" s="158">
        <v>44942</v>
      </c>
      <c r="Q150" s="155" t="s">
        <v>289</v>
      </c>
      <c r="R150" s="155"/>
      <c r="S150" s="151" t="s">
        <v>47</v>
      </c>
      <c r="T150" s="151" t="s">
        <v>290</v>
      </c>
      <c r="U150" s="156"/>
      <c r="V150" s="156" t="s">
        <v>291</v>
      </c>
      <c r="W150" s="151" t="s">
        <v>655</v>
      </c>
      <c r="X150" s="151"/>
      <c r="Y150" s="156" t="s">
        <v>656</v>
      </c>
      <c r="Z150" s="156"/>
      <c r="AA150" s="156"/>
      <c r="AB150" s="156"/>
      <c r="AC150" s="156"/>
      <c r="AD150" s="155" t="s">
        <v>635</v>
      </c>
      <c r="AE150" s="161">
        <v>400</v>
      </c>
      <c r="AF150" s="161">
        <v>800</v>
      </c>
      <c r="AG150" s="155">
        <v>44971</v>
      </c>
      <c r="AH150" s="155">
        <v>44974</v>
      </c>
      <c r="AI150" s="155"/>
      <c r="AJ150" s="158">
        <v>44942</v>
      </c>
      <c r="AK150" s="211"/>
      <c r="AL150" s="158"/>
      <c r="AM150" s="1"/>
    </row>
    <row r="151" spans="1:48" ht="45" hidden="1" customHeight="1">
      <c r="B151" s="159" t="s">
        <v>716</v>
      </c>
      <c r="C151" s="159" t="s">
        <v>243</v>
      </c>
      <c r="D151" s="159" t="s">
        <v>242</v>
      </c>
      <c r="E151" s="159" t="s">
        <v>717</v>
      </c>
      <c r="F151" s="159"/>
      <c r="G151" s="159" t="s">
        <v>287</v>
      </c>
      <c r="H151" s="159" t="s">
        <v>42</v>
      </c>
      <c r="I151" s="159"/>
      <c r="J151" s="151" t="s">
        <v>429</v>
      </c>
      <c r="K151" s="160">
        <v>44958</v>
      </c>
      <c r="L151" s="160" t="s">
        <v>288</v>
      </c>
      <c r="M151" s="155" t="s">
        <v>288</v>
      </c>
      <c r="N151" s="155" t="s">
        <v>288</v>
      </c>
      <c r="O151" s="155">
        <v>44965</v>
      </c>
      <c r="P151" s="155">
        <v>44966</v>
      </c>
      <c r="Q151" s="155" t="s">
        <v>289</v>
      </c>
      <c r="R151" s="155"/>
      <c r="S151" s="151" t="s">
        <v>47</v>
      </c>
      <c r="T151" s="151" t="s">
        <v>290</v>
      </c>
      <c r="U151" s="156"/>
      <c r="V151" s="151" t="s">
        <v>85</v>
      </c>
      <c r="W151" s="151" t="s">
        <v>650</v>
      </c>
      <c r="X151" s="151"/>
      <c r="Y151" s="156" t="s">
        <v>656</v>
      </c>
      <c r="Z151" s="156"/>
      <c r="AA151" s="156" t="s">
        <v>718</v>
      </c>
      <c r="AB151" s="156"/>
      <c r="AC151" s="156"/>
      <c r="AD151" s="155" t="s">
        <v>635</v>
      </c>
      <c r="AE151" s="161">
        <v>0</v>
      </c>
      <c r="AF151" s="161">
        <v>900</v>
      </c>
      <c r="AG151" s="155">
        <v>44965</v>
      </c>
      <c r="AH151" s="155">
        <v>44966</v>
      </c>
      <c r="AI151" s="155"/>
      <c r="AJ151" s="155">
        <v>44966</v>
      </c>
      <c r="AK151" s="172"/>
      <c r="AL151" s="155"/>
      <c r="AM151" s="1"/>
    </row>
    <row r="152" spans="1:48" ht="45" hidden="1" customHeight="1">
      <c r="A152" s="1"/>
      <c r="B152" s="159" t="s">
        <v>769</v>
      </c>
      <c r="C152" s="159" t="s">
        <v>770</v>
      </c>
      <c r="D152" s="159" t="s">
        <v>771</v>
      </c>
      <c r="E152" s="159" t="s">
        <v>772</v>
      </c>
      <c r="F152" s="159"/>
      <c r="G152" s="159" t="s">
        <v>308</v>
      </c>
      <c r="H152" s="159" t="s">
        <v>747</v>
      </c>
      <c r="I152" s="159">
        <v>51</v>
      </c>
      <c r="J152" s="151"/>
      <c r="K152" s="160">
        <v>44986</v>
      </c>
      <c r="L152" s="160" t="s">
        <v>288</v>
      </c>
      <c r="M152" s="155" t="s">
        <v>288</v>
      </c>
      <c r="N152" s="155" t="s">
        <v>288</v>
      </c>
      <c r="O152" s="155">
        <v>45015</v>
      </c>
      <c r="P152" s="155">
        <v>45016</v>
      </c>
      <c r="Q152" s="155" t="s">
        <v>289</v>
      </c>
      <c r="R152" s="155"/>
      <c r="S152" s="151" t="s">
        <v>47</v>
      </c>
      <c r="T152" s="151" t="s">
        <v>290</v>
      </c>
      <c r="U152" s="156" t="s">
        <v>773</v>
      </c>
      <c r="V152" s="151" t="s">
        <v>85</v>
      </c>
      <c r="W152" s="151" t="s">
        <v>708</v>
      </c>
      <c r="X152" s="151"/>
      <c r="Y152" s="156" t="s">
        <v>774</v>
      </c>
      <c r="Z152" s="156"/>
      <c r="AA152" s="156"/>
      <c r="AB152" s="156"/>
      <c r="AC152" s="156"/>
      <c r="AD152" s="155">
        <v>45042</v>
      </c>
      <c r="AE152" s="161">
        <v>2100</v>
      </c>
      <c r="AF152" s="161">
        <v>900</v>
      </c>
      <c r="AG152" s="155">
        <v>45001</v>
      </c>
      <c r="AH152" s="155">
        <v>45016</v>
      </c>
      <c r="AI152" s="155"/>
      <c r="AJ152" s="155">
        <v>45016</v>
      </c>
      <c r="AK152" s="172"/>
      <c r="AL152" s="155"/>
      <c r="AM152" s="1"/>
      <c r="AN152" s="1"/>
      <c r="AO152" s="1"/>
      <c r="AP152" s="1"/>
      <c r="AQ152" s="1"/>
      <c r="AR152" s="1"/>
      <c r="AS152" s="1"/>
      <c r="AT152" s="1"/>
      <c r="AU152" s="1"/>
      <c r="AV152" s="1"/>
    </row>
    <row r="153" spans="1:48" ht="45" hidden="1" customHeight="1">
      <c r="A153" s="1"/>
      <c r="B153" s="159" t="s">
        <v>775</v>
      </c>
      <c r="C153" s="159" t="s">
        <v>770</v>
      </c>
      <c r="D153" s="159" t="s">
        <v>771</v>
      </c>
      <c r="E153" s="159" t="s">
        <v>776</v>
      </c>
      <c r="F153" s="159"/>
      <c r="G153" s="159" t="s">
        <v>308</v>
      </c>
      <c r="H153" s="159" t="s">
        <v>747</v>
      </c>
      <c r="I153" s="159">
        <v>21</v>
      </c>
      <c r="J153" s="151"/>
      <c r="K153" s="160">
        <v>44986</v>
      </c>
      <c r="L153" s="160" t="s">
        <v>288</v>
      </c>
      <c r="M153" s="155" t="s">
        <v>288</v>
      </c>
      <c r="N153" s="155" t="s">
        <v>288</v>
      </c>
      <c r="O153" s="155">
        <v>45046</v>
      </c>
      <c r="P153" s="155">
        <v>45016</v>
      </c>
      <c r="Q153" s="155" t="s">
        <v>289</v>
      </c>
      <c r="R153" s="155"/>
      <c r="S153" s="151" t="s">
        <v>47</v>
      </c>
      <c r="T153" s="151" t="s">
        <v>290</v>
      </c>
      <c r="U153" s="156" t="s">
        <v>773</v>
      </c>
      <c r="V153" s="151" t="s">
        <v>85</v>
      </c>
      <c r="W153" s="151" t="s">
        <v>708</v>
      </c>
      <c r="X153" s="151"/>
      <c r="Y153" s="156" t="s">
        <v>774</v>
      </c>
      <c r="Z153" s="156"/>
      <c r="AA153" s="156"/>
      <c r="AB153" s="156"/>
      <c r="AC153" s="156"/>
      <c r="AD153" s="155">
        <v>45042</v>
      </c>
      <c r="AE153" s="161">
        <v>2000</v>
      </c>
      <c r="AF153" s="161">
        <v>900</v>
      </c>
      <c r="AG153" s="155">
        <v>45001</v>
      </c>
      <c r="AH153" s="155">
        <v>45016</v>
      </c>
      <c r="AI153" s="155"/>
      <c r="AJ153" s="155">
        <v>45016</v>
      </c>
      <c r="AK153" s="172"/>
      <c r="AL153" s="155"/>
      <c r="AM153" s="1"/>
      <c r="AN153" s="1"/>
      <c r="AO153" s="1"/>
      <c r="AP153" s="1"/>
      <c r="AQ153" s="1"/>
      <c r="AR153" s="1"/>
      <c r="AS153" s="1"/>
      <c r="AT153" s="1"/>
      <c r="AU153" s="1"/>
      <c r="AV153" s="1"/>
    </row>
    <row r="154" spans="1:48" ht="45" hidden="1" customHeight="1">
      <c r="A154" s="1"/>
      <c r="B154" s="159" t="s">
        <v>736</v>
      </c>
      <c r="C154" s="159" t="s">
        <v>737</v>
      </c>
      <c r="D154" s="159" t="s">
        <v>738</v>
      </c>
      <c r="E154" s="159" t="s">
        <v>739</v>
      </c>
      <c r="F154" s="159"/>
      <c r="G154" s="159" t="s">
        <v>287</v>
      </c>
      <c r="H154" s="159" t="s">
        <v>740</v>
      </c>
      <c r="I154" s="159">
        <v>44</v>
      </c>
      <c r="J154" s="151"/>
      <c r="K154" s="160">
        <v>44986</v>
      </c>
      <c r="L154" s="160" t="s">
        <v>288</v>
      </c>
      <c r="M154" s="155" t="s">
        <v>288</v>
      </c>
      <c r="N154" s="155" t="s">
        <v>288</v>
      </c>
      <c r="O154" s="155">
        <v>44984</v>
      </c>
      <c r="P154" s="155">
        <v>44985</v>
      </c>
      <c r="Q154" s="155" t="s">
        <v>289</v>
      </c>
      <c r="R154" s="155"/>
      <c r="S154" s="151" t="s">
        <v>47</v>
      </c>
      <c r="T154" s="151" t="s">
        <v>290</v>
      </c>
      <c r="U154" s="162" t="s">
        <v>741</v>
      </c>
      <c r="V154" s="151" t="s">
        <v>85</v>
      </c>
      <c r="W154" s="151" t="s">
        <v>708</v>
      </c>
      <c r="X154" s="151"/>
      <c r="Y154" s="156" t="s">
        <v>742</v>
      </c>
      <c r="Z154" s="156"/>
      <c r="AA154" s="156"/>
      <c r="AB154" s="156"/>
      <c r="AC154" s="156"/>
      <c r="AD154" s="155" t="s">
        <v>635</v>
      </c>
      <c r="AE154" s="161">
        <v>3200</v>
      </c>
      <c r="AF154" s="161">
        <v>1900</v>
      </c>
      <c r="AG154" s="155">
        <v>44984</v>
      </c>
      <c r="AH154" s="155">
        <v>44991</v>
      </c>
      <c r="AI154" s="155"/>
      <c r="AJ154" s="155">
        <v>44991</v>
      </c>
      <c r="AK154" s="172"/>
      <c r="AL154" s="155"/>
      <c r="AM154" s="1"/>
      <c r="AN154" s="1"/>
      <c r="AO154" s="1"/>
      <c r="AP154" s="1"/>
      <c r="AQ154" s="1"/>
      <c r="AR154" s="1"/>
      <c r="AS154" s="1"/>
      <c r="AT154" s="1"/>
      <c r="AU154" s="1"/>
      <c r="AV154" s="1"/>
    </row>
    <row r="155" spans="1:48" ht="45" hidden="1" customHeight="1">
      <c r="B155" s="159" t="s">
        <v>777</v>
      </c>
      <c r="C155" s="159" t="s">
        <v>248</v>
      </c>
      <c r="D155" s="159" t="s">
        <v>778</v>
      </c>
      <c r="E155" s="159" t="s">
        <v>779</v>
      </c>
      <c r="F155" s="159"/>
      <c r="G155" s="159" t="s">
        <v>308</v>
      </c>
      <c r="H155" s="159" t="s">
        <v>740</v>
      </c>
      <c r="I155" s="159">
        <v>42</v>
      </c>
      <c r="J155" s="151"/>
      <c r="K155" s="160">
        <v>44986</v>
      </c>
      <c r="L155" s="160" t="s">
        <v>288</v>
      </c>
      <c r="M155" s="155" t="s">
        <v>288</v>
      </c>
      <c r="N155" s="155" t="s">
        <v>288</v>
      </c>
      <c r="O155" s="155">
        <v>44984</v>
      </c>
      <c r="P155" s="155">
        <v>44985</v>
      </c>
      <c r="Q155" s="155" t="s">
        <v>289</v>
      </c>
      <c r="R155" s="155"/>
      <c r="S155" s="151" t="s">
        <v>47</v>
      </c>
      <c r="T155" s="151" t="s">
        <v>290</v>
      </c>
      <c r="U155" s="156" t="s">
        <v>780</v>
      </c>
      <c r="V155" s="151" t="s">
        <v>85</v>
      </c>
      <c r="W155" s="151" t="s">
        <v>708</v>
      </c>
      <c r="X155" s="151"/>
      <c r="Y155" s="156" t="s">
        <v>781</v>
      </c>
      <c r="Z155" s="156"/>
      <c r="AA155" s="156"/>
      <c r="AB155" s="156"/>
      <c r="AC155" s="156"/>
      <c r="AD155" s="155" t="s">
        <v>635</v>
      </c>
      <c r="AE155" s="161">
        <v>3600</v>
      </c>
      <c r="AF155" s="161">
        <v>3550</v>
      </c>
      <c r="AG155" s="155">
        <v>44984</v>
      </c>
      <c r="AH155" s="155">
        <v>45016</v>
      </c>
      <c r="AI155" s="155"/>
      <c r="AJ155" s="155">
        <v>45016</v>
      </c>
      <c r="AK155" s="172"/>
      <c r="AL155" s="155"/>
      <c r="AM155" s="1"/>
    </row>
    <row r="156" spans="1:48" ht="45" hidden="1" customHeight="1">
      <c r="B156" s="159" t="s">
        <v>743</v>
      </c>
      <c r="C156" s="159" t="s">
        <v>744</v>
      </c>
      <c r="D156" s="159" t="s">
        <v>745</v>
      </c>
      <c r="E156" s="159" t="s">
        <v>746</v>
      </c>
      <c r="F156" s="159"/>
      <c r="G156" s="159" t="s">
        <v>296</v>
      </c>
      <c r="H156" s="159" t="s">
        <v>747</v>
      </c>
      <c r="I156" s="159">
        <v>12</v>
      </c>
      <c r="J156" s="151"/>
      <c r="K156" s="160">
        <v>44986</v>
      </c>
      <c r="L156" s="160" t="s">
        <v>288</v>
      </c>
      <c r="M156" s="155" t="s">
        <v>288</v>
      </c>
      <c r="N156" s="155" t="s">
        <v>288</v>
      </c>
      <c r="O156" s="155">
        <v>44991</v>
      </c>
      <c r="P156" s="155">
        <v>44999</v>
      </c>
      <c r="Q156" s="155" t="s">
        <v>289</v>
      </c>
      <c r="R156" s="155"/>
      <c r="S156" s="151" t="s">
        <v>47</v>
      </c>
      <c r="T156" s="151" t="s">
        <v>290</v>
      </c>
      <c r="U156" s="156" t="s">
        <v>748</v>
      </c>
      <c r="V156" s="151" t="s">
        <v>85</v>
      </c>
      <c r="W156" s="151" t="s">
        <v>708</v>
      </c>
      <c r="X156" s="151" t="s">
        <v>749</v>
      </c>
      <c r="Y156" s="166" t="s">
        <v>646</v>
      </c>
      <c r="Z156" s="156"/>
      <c r="AA156" s="156"/>
      <c r="AB156" s="156"/>
      <c r="AC156" s="156"/>
      <c r="AD156" s="155" t="s">
        <v>635</v>
      </c>
      <c r="AE156" s="161">
        <v>600</v>
      </c>
      <c r="AF156" s="161">
        <v>4400</v>
      </c>
      <c r="AG156" s="155">
        <v>44984</v>
      </c>
      <c r="AH156" s="155">
        <v>45016</v>
      </c>
      <c r="AI156" s="155"/>
      <c r="AJ156" s="155">
        <v>44999</v>
      </c>
      <c r="AK156" s="172"/>
      <c r="AL156" s="155"/>
      <c r="AM156" s="1"/>
    </row>
    <row r="157" spans="1:48" ht="45" hidden="1" customHeight="1">
      <c r="A157" s="1"/>
      <c r="B157" s="159" t="s">
        <v>782</v>
      </c>
      <c r="C157" s="159" t="s">
        <v>783</v>
      </c>
      <c r="D157" s="159" t="s">
        <v>784</v>
      </c>
      <c r="E157" s="159" t="s">
        <v>785</v>
      </c>
      <c r="F157" s="159"/>
      <c r="G157" s="159"/>
      <c r="H157" s="159" t="s">
        <v>786</v>
      </c>
      <c r="I157" s="159"/>
      <c r="J157" s="151"/>
      <c r="K157" s="160">
        <v>44986</v>
      </c>
      <c r="L157" s="160" t="s">
        <v>288</v>
      </c>
      <c r="M157" s="155" t="s">
        <v>288</v>
      </c>
      <c r="N157" s="155" t="s">
        <v>288</v>
      </c>
      <c r="O157" s="155">
        <v>45015</v>
      </c>
      <c r="P157" s="155">
        <v>45015</v>
      </c>
      <c r="Q157" s="155" t="s">
        <v>289</v>
      </c>
      <c r="R157" s="155"/>
      <c r="S157" s="151" t="s">
        <v>47</v>
      </c>
      <c r="T157" s="151" t="s">
        <v>290</v>
      </c>
      <c r="U157" s="156" t="s">
        <v>787</v>
      </c>
      <c r="V157" s="151" t="s">
        <v>85</v>
      </c>
      <c r="W157" s="151" t="s">
        <v>659</v>
      </c>
      <c r="X157" s="151" t="s">
        <v>655</v>
      </c>
      <c r="Y157" s="156" t="s">
        <v>646</v>
      </c>
      <c r="Z157" s="156" t="s">
        <v>788</v>
      </c>
      <c r="AA157" s="156" t="s">
        <v>789</v>
      </c>
      <c r="AB157" s="156"/>
      <c r="AC157" s="156"/>
      <c r="AD157" s="155">
        <v>45042</v>
      </c>
      <c r="AE157" s="161">
        <v>0</v>
      </c>
      <c r="AF157" s="161">
        <v>5800</v>
      </c>
      <c r="AG157" s="155">
        <v>45000</v>
      </c>
      <c r="AH157" s="155">
        <v>45012</v>
      </c>
      <c r="AI157" s="155"/>
      <c r="AJ157" s="155">
        <v>45016</v>
      </c>
      <c r="AK157" s="172"/>
      <c r="AL157" s="155"/>
      <c r="AM157" s="1"/>
      <c r="AN157" s="1"/>
      <c r="AO157" s="1"/>
      <c r="AP157" s="1"/>
      <c r="AQ157" s="1"/>
      <c r="AR157" s="1"/>
      <c r="AS157" s="1"/>
      <c r="AT157" s="1"/>
      <c r="AU157" s="1"/>
      <c r="AV157" s="1"/>
    </row>
    <row r="158" spans="1:48" ht="45" hidden="1" customHeight="1">
      <c r="A158" s="1"/>
      <c r="B158" s="159" t="s">
        <v>790</v>
      </c>
      <c r="C158" s="159" t="s">
        <v>479</v>
      </c>
      <c r="D158" s="159" t="s">
        <v>480</v>
      </c>
      <c r="E158" s="159" t="s">
        <v>791</v>
      </c>
      <c r="F158" s="159"/>
      <c r="G158" s="159" t="s">
        <v>308</v>
      </c>
      <c r="H158" s="159" t="s">
        <v>42</v>
      </c>
      <c r="I158" s="159" t="s">
        <v>792</v>
      </c>
      <c r="J158" s="151"/>
      <c r="K158" s="160">
        <v>44986</v>
      </c>
      <c r="L158" s="160" t="s">
        <v>288</v>
      </c>
      <c r="M158" s="155" t="s">
        <v>323</v>
      </c>
      <c r="N158" s="155" t="s">
        <v>288</v>
      </c>
      <c r="O158" s="155">
        <v>45001</v>
      </c>
      <c r="P158" s="155">
        <v>45008</v>
      </c>
      <c r="Q158" s="155" t="s">
        <v>289</v>
      </c>
      <c r="R158" s="155"/>
      <c r="S158" s="151" t="s">
        <v>47</v>
      </c>
      <c r="T158" s="151" t="s">
        <v>48</v>
      </c>
      <c r="U158" s="156" t="s">
        <v>793</v>
      </c>
      <c r="V158" s="151" t="s">
        <v>291</v>
      </c>
      <c r="W158" s="151" t="s">
        <v>689</v>
      </c>
      <c r="X158" s="151"/>
      <c r="Y158" s="156" t="s">
        <v>628</v>
      </c>
      <c r="Z158" s="156"/>
      <c r="AA158" s="156"/>
      <c r="AB158" s="156"/>
      <c r="AC158" s="156"/>
      <c r="AD158" s="155">
        <v>45042</v>
      </c>
      <c r="AE158" s="167">
        <v>2600</v>
      </c>
      <c r="AF158" s="161">
        <v>900</v>
      </c>
      <c r="AG158" s="155">
        <v>45005</v>
      </c>
      <c r="AH158" s="155">
        <v>45016</v>
      </c>
      <c r="AI158" s="155"/>
      <c r="AJ158" s="155">
        <v>45016</v>
      </c>
      <c r="AK158" s="172"/>
      <c r="AL158" s="155"/>
      <c r="AM158" s="1"/>
      <c r="AN158" s="1"/>
      <c r="AO158" s="1"/>
      <c r="AP158" s="1"/>
      <c r="AQ158" s="1"/>
      <c r="AR158" s="1"/>
      <c r="AS158" s="1"/>
      <c r="AT158" s="1"/>
      <c r="AU158" s="1"/>
      <c r="AV158" s="1"/>
    </row>
    <row r="159" spans="1:48" ht="45" hidden="1" customHeight="1">
      <c r="A159" s="1"/>
      <c r="B159" s="159" t="s">
        <v>750</v>
      </c>
      <c r="C159" s="159" t="s">
        <v>744</v>
      </c>
      <c r="D159" s="159" t="s">
        <v>745</v>
      </c>
      <c r="E159" s="159" t="s">
        <v>751</v>
      </c>
      <c r="F159" s="159"/>
      <c r="G159" s="159" t="s">
        <v>296</v>
      </c>
      <c r="H159" s="159" t="s">
        <v>747</v>
      </c>
      <c r="I159" s="159">
        <v>111</v>
      </c>
      <c r="J159" s="151"/>
      <c r="K159" s="160">
        <v>44986</v>
      </c>
      <c r="L159" s="160" t="s">
        <v>288</v>
      </c>
      <c r="M159" s="155" t="s">
        <v>288</v>
      </c>
      <c r="N159" s="155" t="s">
        <v>288</v>
      </c>
      <c r="O159" s="155">
        <v>44991</v>
      </c>
      <c r="P159" s="155">
        <v>44999</v>
      </c>
      <c r="Q159" s="155" t="s">
        <v>289</v>
      </c>
      <c r="R159" s="155"/>
      <c r="S159" s="151" t="s">
        <v>47</v>
      </c>
      <c r="T159" s="151" t="s">
        <v>290</v>
      </c>
      <c r="U159" s="156" t="s">
        <v>752</v>
      </c>
      <c r="V159" s="151" t="s">
        <v>85</v>
      </c>
      <c r="W159" s="151" t="s">
        <v>645</v>
      </c>
      <c r="X159" s="151"/>
      <c r="Y159" s="166" t="s">
        <v>51</v>
      </c>
      <c r="Z159" s="156"/>
      <c r="AA159" s="156"/>
      <c r="AB159" s="156"/>
      <c r="AC159" s="156"/>
      <c r="AD159" s="155" t="s">
        <v>635</v>
      </c>
      <c r="AE159" s="161">
        <v>2000</v>
      </c>
      <c r="AF159" s="161">
        <v>2500</v>
      </c>
      <c r="AG159" s="155">
        <v>44984</v>
      </c>
      <c r="AH159" s="155">
        <v>45016</v>
      </c>
      <c r="AI159" s="155"/>
      <c r="AJ159" s="155">
        <v>44999</v>
      </c>
      <c r="AK159" s="172"/>
      <c r="AL159" s="155"/>
      <c r="AM159" s="1"/>
      <c r="AN159" s="1"/>
      <c r="AO159" s="1"/>
      <c r="AP159" s="1"/>
      <c r="AQ159" s="1"/>
      <c r="AR159" s="1"/>
      <c r="AS159" s="1"/>
      <c r="AT159" s="1"/>
      <c r="AU159" s="1"/>
      <c r="AV159" s="1"/>
    </row>
    <row r="160" spans="1:48" ht="45" hidden="1" customHeight="1">
      <c r="B160" s="159" t="s">
        <v>753</v>
      </c>
      <c r="C160" s="159" t="s">
        <v>606</v>
      </c>
      <c r="D160" s="159" t="s">
        <v>607</v>
      </c>
      <c r="E160" s="159" t="s">
        <v>754</v>
      </c>
      <c r="F160" s="159"/>
      <c r="G160" s="159" t="s">
        <v>301</v>
      </c>
      <c r="H160" s="159" t="s">
        <v>42</v>
      </c>
      <c r="I160" s="159" t="s">
        <v>755</v>
      </c>
      <c r="J160" s="151"/>
      <c r="K160" s="160">
        <v>44986</v>
      </c>
      <c r="L160" s="160" t="s">
        <v>288</v>
      </c>
      <c r="M160" s="155" t="s">
        <v>323</v>
      </c>
      <c r="N160" s="155" t="s">
        <v>288</v>
      </c>
      <c r="O160" s="155">
        <v>45001</v>
      </c>
      <c r="P160" s="155">
        <v>45008</v>
      </c>
      <c r="Q160" s="155" t="s">
        <v>289</v>
      </c>
      <c r="R160" s="155"/>
      <c r="S160" s="151" t="s">
        <v>47</v>
      </c>
      <c r="T160" s="151" t="s">
        <v>48</v>
      </c>
      <c r="U160" s="156" t="s">
        <v>756</v>
      </c>
      <c r="V160" s="156" t="s">
        <v>291</v>
      </c>
      <c r="W160" s="151" t="s">
        <v>650</v>
      </c>
      <c r="X160" s="151"/>
      <c r="Y160" s="156" t="s">
        <v>757</v>
      </c>
      <c r="Z160" s="156" t="s">
        <v>758</v>
      </c>
      <c r="AA160" s="156" t="s">
        <v>759</v>
      </c>
      <c r="AB160" s="156"/>
      <c r="AC160" s="156"/>
      <c r="AD160" s="155" t="s">
        <v>635</v>
      </c>
      <c r="AE160" s="161">
        <v>1700</v>
      </c>
      <c r="AF160" s="161">
        <v>3700</v>
      </c>
      <c r="AG160" s="155">
        <v>45001</v>
      </c>
      <c r="AH160" s="155">
        <v>45008</v>
      </c>
      <c r="AI160" s="155"/>
      <c r="AJ160" s="155">
        <v>45009</v>
      </c>
      <c r="AK160" s="172"/>
      <c r="AL160" s="155"/>
      <c r="AM160" s="1"/>
    </row>
    <row r="161" spans="1:48" ht="45" hidden="1" customHeight="1">
      <c r="B161" s="159" t="s">
        <v>760</v>
      </c>
      <c r="C161" s="159" t="s">
        <v>606</v>
      </c>
      <c r="D161" s="159" t="s">
        <v>607</v>
      </c>
      <c r="E161" s="159" t="s">
        <v>761</v>
      </c>
      <c r="F161" s="159"/>
      <c r="G161" s="159" t="s">
        <v>301</v>
      </c>
      <c r="H161" s="159" t="s">
        <v>42</v>
      </c>
      <c r="I161" s="159" t="s">
        <v>762</v>
      </c>
      <c r="J161" s="151"/>
      <c r="K161" s="160">
        <v>44986</v>
      </c>
      <c r="L161" s="160" t="s">
        <v>288</v>
      </c>
      <c r="M161" s="155" t="s">
        <v>323</v>
      </c>
      <c r="N161" s="155" t="s">
        <v>288</v>
      </c>
      <c r="O161" s="155">
        <v>45001</v>
      </c>
      <c r="P161" s="155">
        <v>45008</v>
      </c>
      <c r="Q161" s="155" t="s">
        <v>289</v>
      </c>
      <c r="R161" s="155"/>
      <c r="S161" s="151" t="s">
        <v>47</v>
      </c>
      <c r="T161" s="151" t="s">
        <v>48</v>
      </c>
      <c r="U161" s="156" t="s">
        <v>763</v>
      </c>
      <c r="V161" s="151" t="s">
        <v>291</v>
      </c>
      <c r="W161" s="151"/>
      <c r="X161" s="151"/>
      <c r="Y161" s="156"/>
      <c r="Z161" s="156"/>
      <c r="AA161" s="156" t="s">
        <v>759</v>
      </c>
      <c r="AB161" s="156"/>
      <c r="AC161" s="156"/>
      <c r="AD161" s="155" t="s">
        <v>635</v>
      </c>
      <c r="AE161" s="161">
        <v>1000</v>
      </c>
      <c r="AF161" s="161">
        <v>2900</v>
      </c>
      <c r="AG161" s="155">
        <v>45028</v>
      </c>
      <c r="AH161" s="155">
        <v>45045</v>
      </c>
      <c r="AI161" s="155"/>
      <c r="AJ161" s="155">
        <v>45009</v>
      </c>
      <c r="AK161" s="172"/>
      <c r="AL161" s="155"/>
      <c r="AM161" s="1"/>
    </row>
    <row r="162" spans="1:48" ht="45" hidden="1" customHeight="1">
      <c r="A162" s="1"/>
      <c r="B162" s="159" t="s">
        <v>764</v>
      </c>
      <c r="C162" s="159" t="s">
        <v>606</v>
      </c>
      <c r="D162" s="159" t="s">
        <v>607</v>
      </c>
      <c r="E162" s="159" t="s">
        <v>765</v>
      </c>
      <c r="F162" s="159"/>
      <c r="G162" s="159" t="s">
        <v>301</v>
      </c>
      <c r="H162" s="159" t="s">
        <v>42</v>
      </c>
      <c r="I162" s="159">
        <v>3</v>
      </c>
      <c r="J162" s="151"/>
      <c r="K162" s="160">
        <v>44986</v>
      </c>
      <c r="L162" s="160" t="s">
        <v>288</v>
      </c>
      <c r="M162" s="155" t="s">
        <v>323</v>
      </c>
      <c r="N162" s="155" t="s">
        <v>288</v>
      </c>
      <c r="O162" s="155">
        <v>45001</v>
      </c>
      <c r="P162" s="155">
        <v>45008</v>
      </c>
      <c r="Q162" s="155" t="s">
        <v>289</v>
      </c>
      <c r="R162" s="155"/>
      <c r="S162" s="151" t="s">
        <v>47</v>
      </c>
      <c r="T162" s="151" t="s">
        <v>48</v>
      </c>
      <c r="U162" s="156" t="s">
        <v>766</v>
      </c>
      <c r="V162" s="151" t="s">
        <v>291</v>
      </c>
      <c r="W162" s="151" t="s">
        <v>767</v>
      </c>
      <c r="X162" s="151"/>
      <c r="Y162" s="156" t="s">
        <v>768</v>
      </c>
      <c r="Z162" s="156"/>
      <c r="AA162" s="156" t="s">
        <v>759</v>
      </c>
      <c r="AB162" s="156"/>
      <c r="AC162" s="156"/>
      <c r="AD162" s="155" t="s">
        <v>635</v>
      </c>
      <c r="AE162" s="161">
        <v>1200</v>
      </c>
      <c r="AF162" s="161">
        <v>3500</v>
      </c>
      <c r="AG162" s="155">
        <v>45001</v>
      </c>
      <c r="AH162" s="155">
        <v>45008</v>
      </c>
      <c r="AI162" s="155"/>
      <c r="AJ162" s="155">
        <v>45009</v>
      </c>
      <c r="AK162" s="172"/>
      <c r="AL162" s="155"/>
      <c r="AM162" s="1"/>
      <c r="AN162" s="1"/>
      <c r="AO162" s="1"/>
      <c r="AP162" s="1"/>
      <c r="AQ162" s="1"/>
      <c r="AR162" s="1"/>
      <c r="AS162" s="1"/>
      <c r="AT162" s="1"/>
      <c r="AU162" s="1"/>
      <c r="AV162" s="1"/>
    </row>
    <row r="163" spans="1:48" ht="45" hidden="1" customHeight="1">
      <c r="B163" s="159" t="s">
        <v>810</v>
      </c>
      <c r="C163" s="159" t="s">
        <v>328</v>
      </c>
      <c r="D163" s="159" t="s">
        <v>329</v>
      </c>
      <c r="E163" s="159" t="s">
        <v>111</v>
      </c>
      <c r="F163" s="159"/>
      <c r="G163" s="159" t="s">
        <v>308</v>
      </c>
      <c r="H163" s="159" t="s">
        <v>42</v>
      </c>
      <c r="I163" s="159" t="s">
        <v>811</v>
      </c>
      <c r="J163" s="151"/>
      <c r="K163" s="160">
        <v>45017</v>
      </c>
      <c r="L163" s="160" t="s">
        <v>288</v>
      </c>
      <c r="M163" s="155" t="s">
        <v>288</v>
      </c>
      <c r="N163" s="155" t="s">
        <v>288</v>
      </c>
      <c r="O163" s="155">
        <v>45030</v>
      </c>
      <c r="P163" s="155">
        <v>45033</v>
      </c>
      <c r="Q163" s="155" t="s">
        <v>289</v>
      </c>
      <c r="R163" s="155"/>
      <c r="S163" s="151" t="s">
        <v>47</v>
      </c>
      <c r="T163" s="151" t="s">
        <v>290</v>
      </c>
      <c r="U163" s="156"/>
      <c r="V163" s="151" t="s">
        <v>291</v>
      </c>
      <c r="W163" s="156" t="s">
        <v>812</v>
      </c>
      <c r="X163" s="151"/>
      <c r="Y163" s="156" t="s">
        <v>788</v>
      </c>
      <c r="Z163" s="156"/>
      <c r="AA163" s="156" t="s">
        <v>813</v>
      </c>
      <c r="AB163" s="156"/>
      <c r="AC163" s="156"/>
      <c r="AD163" s="155">
        <v>45043</v>
      </c>
      <c r="AE163" s="161">
        <v>1800</v>
      </c>
      <c r="AF163" s="161">
        <v>3900</v>
      </c>
      <c r="AG163" s="155">
        <v>45026</v>
      </c>
      <c r="AH163" s="155">
        <v>45038</v>
      </c>
      <c r="AI163" s="155"/>
      <c r="AJ163" s="155">
        <v>45038</v>
      </c>
      <c r="AK163" s="172"/>
      <c r="AL163" s="155"/>
      <c r="AM163" s="1"/>
    </row>
    <row r="164" spans="1:48" ht="45" hidden="1" customHeight="1">
      <c r="B164" s="159" t="s">
        <v>794</v>
      </c>
      <c r="C164" s="159" t="s">
        <v>267</v>
      </c>
      <c r="D164" s="159" t="s">
        <v>268</v>
      </c>
      <c r="E164" s="159" t="s">
        <v>795</v>
      </c>
      <c r="F164" s="159"/>
      <c r="G164" s="159" t="s">
        <v>296</v>
      </c>
      <c r="H164" s="159" t="s">
        <v>42</v>
      </c>
      <c r="I164" s="159">
        <v>161</v>
      </c>
      <c r="J164" s="151"/>
      <c r="K164" s="160">
        <v>45017</v>
      </c>
      <c r="L164" s="160" t="s">
        <v>288</v>
      </c>
      <c r="M164" s="155" t="s">
        <v>288</v>
      </c>
      <c r="N164" s="155" t="s">
        <v>288</v>
      </c>
      <c r="O164" s="155">
        <v>45027</v>
      </c>
      <c r="P164" s="155">
        <v>45028</v>
      </c>
      <c r="Q164" s="155" t="s">
        <v>289</v>
      </c>
      <c r="R164" s="155"/>
      <c r="S164" s="151" t="s">
        <v>47</v>
      </c>
      <c r="T164" s="151" t="s">
        <v>48</v>
      </c>
      <c r="U164" s="156" t="s">
        <v>796</v>
      </c>
      <c r="V164" s="151" t="s">
        <v>291</v>
      </c>
      <c r="W164" s="151" t="s">
        <v>51</v>
      </c>
      <c r="X164" s="151"/>
      <c r="Y164" s="156" t="s">
        <v>51</v>
      </c>
      <c r="Z164" s="156"/>
      <c r="AA164" s="156" t="s">
        <v>797</v>
      </c>
      <c r="AB164" s="156"/>
      <c r="AC164" s="156"/>
      <c r="AD164" s="155">
        <v>45043</v>
      </c>
      <c r="AE164" s="161">
        <v>2420</v>
      </c>
      <c r="AF164" s="161">
        <v>600</v>
      </c>
      <c r="AG164" s="155">
        <v>45022</v>
      </c>
      <c r="AH164" s="155">
        <v>45028</v>
      </c>
      <c r="AI164" s="155"/>
      <c r="AJ164" s="155">
        <v>45022</v>
      </c>
      <c r="AK164" s="172"/>
      <c r="AL164" s="155"/>
      <c r="AM164" s="1"/>
    </row>
    <row r="165" spans="1:48" ht="45" hidden="1" customHeight="1">
      <c r="B165" s="159" t="s">
        <v>829</v>
      </c>
      <c r="C165" s="159" t="s">
        <v>830</v>
      </c>
      <c r="D165" s="159" t="s">
        <v>831</v>
      </c>
      <c r="E165" s="159" t="s">
        <v>832</v>
      </c>
      <c r="F165" s="159"/>
      <c r="G165" s="159" t="s">
        <v>308</v>
      </c>
      <c r="H165" s="159" t="s">
        <v>833</v>
      </c>
      <c r="I165" s="159">
        <v>21</v>
      </c>
      <c r="J165" s="151"/>
      <c r="K165" s="160">
        <v>45017</v>
      </c>
      <c r="L165" s="160" t="s">
        <v>288</v>
      </c>
      <c r="M165" s="155" t="s">
        <v>288</v>
      </c>
      <c r="N165" s="155" t="s">
        <v>288</v>
      </c>
      <c r="O165" s="155">
        <v>45044</v>
      </c>
      <c r="P165" s="155">
        <v>45045</v>
      </c>
      <c r="Q165" s="155" t="s">
        <v>289</v>
      </c>
      <c r="R165" s="155"/>
      <c r="S165" s="151" t="s">
        <v>47</v>
      </c>
      <c r="T165" s="151" t="s">
        <v>290</v>
      </c>
      <c r="U165" s="156"/>
      <c r="V165" s="151" t="s">
        <v>85</v>
      </c>
      <c r="W165" s="151" t="s">
        <v>51</v>
      </c>
      <c r="X165" s="151"/>
      <c r="Y165" s="156" t="s">
        <v>51</v>
      </c>
      <c r="Z165" s="156"/>
      <c r="AA165" s="164"/>
      <c r="AB165" s="164"/>
      <c r="AC165" s="164"/>
      <c r="AD165" s="155">
        <v>45072</v>
      </c>
      <c r="AE165" s="161">
        <v>2300</v>
      </c>
      <c r="AF165" s="161">
        <v>2000</v>
      </c>
      <c r="AG165" s="155">
        <v>45033</v>
      </c>
      <c r="AH165" s="155">
        <v>45044</v>
      </c>
      <c r="AI165" s="155"/>
      <c r="AJ165" s="155">
        <v>45045</v>
      </c>
      <c r="AK165" s="172"/>
      <c r="AL165" s="155"/>
      <c r="AM165" s="1"/>
    </row>
    <row r="166" spans="1:48" ht="45" hidden="1" customHeight="1">
      <c r="B166" s="159" t="s">
        <v>823</v>
      </c>
      <c r="C166" s="159" t="s">
        <v>772</v>
      </c>
      <c r="D166" s="159" t="s">
        <v>824</v>
      </c>
      <c r="E166" s="159" t="s">
        <v>825</v>
      </c>
      <c r="F166" s="159"/>
      <c r="G166" s="159"/>
      <c r="H166" s="159" t="s">
        <v>747</v>
      </c>
      <c r="I166" s="159">
        <v>21</v>
      </c>
      <c r="J166" s="151"/>
      <c r="K166" s="160">
        <v>45017</v>
      </c>
      <c r="L166" s="160" t="s">
        <v>288</v>
      </c>
      <c r="M166" s="155" t="s">
        <v>288</v>
      </c>
      <c r="N166" s="155" t="s">
        <v>288</v>
      </c>
      <c r="O166" s="155">
        <v>45035</v>
      </c>
      <c r="P166" s="155">
        <v>45038</v>
      </c>
      <c r="Q166" s="155" t="s">
        <v>289</v>
      </c>
      <c r="R166" s="155"/>
      <c r="S166" s="151" t="s">
        <v>47</v>
      </c>
      <c r="T166" s="151" t="s">
        <v>290</v>
      </c>
      <c r="U166" s="156"/>
      <c r="V166" s="151" t="s">
        <v>85</v>
      </c>
      <c r="W166" s="157" t="s">
        <v>650</v>
      </c>
      <c r="X166" s="157"/>
      <c r="Y166" s="158" t="s">
        <v>826</v>
      </c>
      <c r="Z166" s="158" t="s">
        <v>827</v>
      </c>
      <c r="AA166" s="156" t="s">
        <v>828</v>
      </c>
      <c r="AB166" s="156"/>
      <c r="AC166" s="156"/>
      <c r="AD166" s="155">
        <v>45098</v>
      </c>
      <c r="AE166" s="161">
        <v>1499</v>
      </c>
      <c r="AF166" s="161">
        <v>6446.7</v>
      </c>
      <c r="AG166" s="155">
        <v>45035</v>
      </c>
      <c r="AH166" s="155">
        <v>45043</v>
      </c>
      <c r="AI166" s="155"/>
      <c r="AJ166" s="158">
        <v>45043</v>
      </c>
      <c r="AK166" s="211"/>
      <c r="AL166" s="158"/>
      <c r="AM166" s="1"/>
    </row>
    <row r="167" spans="1:48" ht="45" hidden="1" customHeight="1">
      <c r="B167" s="159" t="s">
        <v>834</v>
      </c>
      <c r="C167" s="159" t="s">
        <v>88</v>
      </c>
      <c r="D167" s="159" t="s">
        <v>89</v>
      </c>
      <c r="E167" s="159" t="s">
        <v>835</v>
      </c>
      <c r="F167" s="159"/>
      <c r="G167" s="159" t="s">
        <v>446</v>
      </c>
      <c r="H167" s="159" t="s">
        <v>42</v>
      </c>
      <c r="I167" s="159">
        <v>261</v>
      </c>
      <c r="J167" s="151"/>
      <c r="K167" s="160">
        <v>45017</v>
      </c>
      <c r="L167" s="160" t="s">
        <v>288</v>
      </c>
      <c r="M167" s="155" t="s">
        <v>288</v>
      </c>
      <c r="N167" s="155" t="s">
        <v>288</v>
      </c>
      <c r="O167" s="155">
        <v>45044</v>
      </c>
      <c r="P167" s="155">
        <v>45045</v>
      </c>
      <c r="Q167" s="155" t="s">
        <v>289</v>
      </c>
      <c r="R167" s="155"/>
      <c r="S167" s="151" t="s">
        <v>47</v>
      </c>
      <c r="T167" s="151" t="s">
        <v>290</v>
      </c>
      <c r="U167" s="156"/>
      <c r="V167" s="151" t="s">
        <v>85</v>
      </c>
      <c r="W167" s="151" t="s">
        <v>807</v>
      </c>
      <c r="X167" s="151" t="s">
        <v>836</v>
      </c>
      <c r="Y167" s="156" t="s">
        <v>51</v>
      </c>
      <c r="Z167" s="156"/>
      <c r="AA167" s="156" t="s">
        <v>837</v>
      </c>
      <c r="AB167" s="156"/>
      <c r="AC167" s="156"/>
      <c r="AD167" s="155">
        <v>45072</v>
      </c>
      <c r="AE167" s="161">
        <v>1900</v>
      </c>
      <c r="AF167" s="161">
        <v>1600</v>
      </c>
      <c r="AG167" s="155">
        <v>45036</v>
      </c>
      <c r="AH167" s="155">
        <v>45046</v>
      </c>
      <c r="AI167" s="155"/>
      <c r="AJ167" s="155">
        <v>45045</v>
      </c>
      <c r="AK167" s="172"/>
      <c r="AL167" s="155"/>
      <c r="AM167" s="1"/>
    </row>
    <row r="168" spans="1:48" ht="45" hidden="1" customHeight="1">
      <c r="B168" s="159" t="s">
        <v>805</v>
      </c>
      <c r="C168" s="159" t="s">
        <v>232</v>
      </c>
      <c r="D168" s="25" t="s">
        <v>8519</v>
      </c>
      <c r="E168" s="159" t="s">
        <v>806</v>
      </c>
      <c r="F168" s="159"/>
      <c r="G168" s="159" t="s">
        <v>137</v>
      </c>
      <c r="H168" s="159" t="s">
        <v>42</v>
      </c>
      <c r="I168" s="159">
        <v>222</v>
      </c>
      <c r="J168" s="151"/>
      <c r="K168" s="160">
        <v>45017</v>
      </c>
      <c r="L168" s="160" t="s">
        <v>288</v>
      </c>
      <c r="M168" s="155" t="s">
        <v>288</v>
      </c>
      <c r="N168" s="155" t="s">
        <v>288</v>
      </c>
      <c r="O168" s="155">
        <v>45030</v>
      </c>
      <c r="P168" s="155">
        <v>45030</v>
      </c>
      <c r="Q168" s="155" t="s">
        <v>289</v>
      </c>
      <c r="R168" s="155"/>
      <c r="S168" s="151" t="s">
        <v>47</v>
      </c>
      <c r="T168" s="151" t="s">
        <v>290</v>
      </c>
      <c r="U168" s="156"/>
      <c r="V168" s="151" t="s">
        <v>85</v>
      </c>
      <c r="W168" s="151" t="s">
        <v>807</v>
      </c>
      <c r="X168" s="151"/>
      <c r="Y168" s="156" t="s">
        <v>51</v>
      </c>
      <c r="Z168" s="156"/>
      <c r="AA168" s="156" t="s">
        <v>808</v>
      </c>
      <c r="AB168" s="156"/>
      <c r="AC168" s="156"/>
      <c r="AD168" s="155">
        <v>45043</v>
      </c>
      <c r="AE168" s="161">
        <v>400</v>
      </c>
      <c r="AF168" s="161">
        <v>800</v>
      </c>
      <c r="AG168" s="155" t="s">
        <v>809</v>
      </c>
      <c r="AH168" s="155">
        <v>45037</v>
      </c>
      <c r="AI168" s="155"/>
      <c r="AJ168" s="155">
        <v>45037</v>
      </c>
      <c r="AK168" s="172"/>
      <c r="AL168" s="155"/>
      <c r="AM168" s="1">
        <v>45021</v>
      </c>
    </row>
    <row r="169" spans="1:48" ht="45" hidden="1" customHeight="1">
      <c r="A169" s="1"/>
      <c r="B169" s="159" t="s">
        <v>803</v>
      </c>
      <c r="C169" s="159" t="s">
        <v>150</v>
      </c>
      <c r="D169" s="159" t="s">
        <v>151</v>
      </c>
      <c r="E169" s="159" t="s">
        <v>261</v>
      </c>
      <c r="F169" s="159"/>
      <c r="G169" s="159" t="s">
        <v>308</v>
      </c>
      <c r="H169" s="159" t="s">
        <v>42</v>
      </c>
      <c r="I169" s="159" t="s">
        <v>477</v>
      </c>
      <c r="J169" s="151"/>
      <c r="K169" s="160">
        <v>45017</v>
      </c>
      <c r="L169" s="160" t="s">
        <v>288</v>
      </c>
      <c r="M169" s="155" t="s">
        <v>323</v>
      </c>
      <c r="N169" s="155" t="s">
        <v>323</v>
      </c>
      <c r="O169" s="155" t="s">
        <v>800</v>
      </c>
      <c r="P169" s="155">
        <v>45034</v>
      </c>
      <c r="Q169" s="155" t="s">
        <v>289</v>
      </c>
      <c r="R169" s="155"/>
      <c r="S169" s="151" t="s">
        <v>47</v>
      </c>
      <c r="T169" s="151" t="s">
        <v>48</v>
      </c>
      <c r="U169" s="156" t="s">
        <v>804</v>
      </c>
      <c r="V169" s="151" t="s">
        <v>291</v>
      </c>
      <c r="W169" s="151" t="s">
        <v>51</v>
      </c>
      <c r="X169" s="151"/>
      <c r="Y169" s="156" t="s">
        <v>51</v>
      </c>
      <c r="Z169" s="156"/>
      <c r="AA169" s="156" t="s">
        <v>759</v>
      </c>
      <c r="AB169" s="156"/>
      <c r="AC169" s="156"/>
      <c r="AD169" s="155">
        <v>45042</v>
      </c>
      <c r="AE169" s="161">
        <v>1050</v>
      </c>
      <c r="AF169" s="161">
        <v>1900</v>
      </c>
      <c r="AG169" s="155">
        <v>45022</v>
      </c>
      <c r="AH169" s="155">
        <v>45034</v>
      </c>
      <c r="AI169" s="155"/>
      <c r="AJ169" s="155">
        <v>45030</v>
      </c>
      <c r="AK169" s="172"/>
      <c r="AL169" s="155"/>
      <c r="AM169" s="1"/>
      <c r="AN169" s="1"/>
      <c r="AO169" s="1"/>
      <c r="AP169" s="1"/>
      <c r="AQ169" s="1"/>
      <c r="AR169" s="1"/>
      <c r="AS169" s="1"/>
      <c r="AT169" s="1"/>
      <c r="AU169" s="1"/>
      <c r="AV169" s="1"/>
    </row>
    <row r="170" spans="1:48" ht="45" hidden="1" customHeight="1">
      <c r="A170" s="1"/>
      <c r="B170" s="159" t="s">
        <v>798</v>
      </c>
      <c r="C170" s="159" t="s">
        <v>261</v>
      </c>
      <c r="D170" s="159" t="s">
        <v>262</v>
      </c>
      <c r="E170" s="159" t="s">
        <v>799</v>
      </c>
      <c r="F170" s="159"/>
      <c r="G170" s="159"/>
      <c r="H170" s="159" t="s">
        <v>42</v>
      </c>
      <c r="I170" s="159"/>
      <c r="J170" s="151"/>
      <c r="K170" s="160">
        <v>45017</v>
      </c>
      <c r="L170" s="160" t="s">
        <v>288</v>
      </c>
      <c r="M170" s="155" t="s">
        <v>288</v>
      </c>
      <c r="N170" s="155" t="s">
        <v>288</v>
      </c>
      <c r="O170" s="155" t="s">
        <v>800</v>
      </c>
      <c r="P170" s="155">
        <v>45034</v>
      </c>
      <c r="Q170" s="155" t="s">
        <v>289</v>
      </c>
      <c r="R170" s="155"/>
      <c r="S170" s="151" t="s">
        <v>47</v>
      </c>
      <c r="T170" s="151" t="s">
        <v>48</v>
      </c>
      <c r="U170" s="156"/>
      <c r="V170" s="151" t="s">
        <v>291</v>
      </c>
      <c r="W170" s="151" t="s">
        <v>689</v>
      </c>
      <c r="X170" s="151"/>
      <c r="Y170" s="156" t="s">
        <v>788</v>
      </c>
      <c r="Z170" s="156"/>
      <c r="AA170" s="156"/>
      <c r="AB170" s="156"/>
      <c r="AC170" s="156"/>
      <c r="AD170" s="155">
        <v>45042</v>
      </c>
      <c r="AE170" s="167">
        <v>1800</v>
      </c>
      <c r="AF170" s="161">
        <v>2000</v>
      </c>
      <c r="AG170" s="155">
        <v>45022</v>
      </c>
      <c r="AH170" s="155">
        <v>45034</v>
      </c>
      <c r="AI170" s="155"/>
      <c r="AJ170" s="155">
        <v>45028</v>
      </c>
      <c r="AK170" s="172"/>
      <c r="AL170" s="155"/>
      <c r="AM170" s="1"/>
      <c r="AN170" s="1"/>
      <c r="AO170" s="1"/>
      <c r="AP170" s="1"/>
      <c r="AQ170" s="1"/>
      <c r="AR170" s="1"/>
      <c r="AS170" s="1"/>
      <c r="AT170" s="1"/>
      <c r="AU170" s="1"/>
      <c r="AV170" s="1"/>
    </row>
    <row r="171" spans="1:48" ht="45" hidden="1" customHeight="1">
      <c r="B171" s="159" t="s">
        <v>801</v>
      </c>
      <c r="C171" s="159" t="s">
        <v>373</v>
      </c>
      <c r="D171" s="159" t="s">
        <v>374</v>
      </c>
      <c r="E171" s="159" t="s">
        <v>802</v>
      </c>
      <c r="F171" s="159"/>
      <c r="G171" s="159" t="s">
        <v>107</v>
      </c>
      <c r="H171" s="159" t="s">
        <v>42</v>
      </c>
      <c r="I171" s="159">
        <v>191</v>
      </c>
      <c r="J171" s="151"/>
      <c r="K171" s="160">
        <v>45017</v>
      </c>
      <c r="L171" s="160" t="s">
        <v>288</v>
      </c>
      <c r="M171" s="155" t="s">
        <v>288</v>
      </c>
      <c r="N171" s="155" t="s">
        <v>288</v>
      </c>
      <c r="O171" s="155">
        <v>45027</v>
      </c>
      <c r="P171" s="155">
        <v>45028</v>
      </c>
      <c r="Q171" s="155" t="s">
        <v>289</v>
      </c>
      <c r="R171" s="155"/>
      <c r="S171" s="151" t="s">
        <v>47</v>
      </c>
      <c r="T171" s="151" t="s">
        <v>48</v>
      </c>
      <c r="U171" s="156"/>
      <c r="V171" s="151" t="s">
        <v>291</v>
      </c>
      <c r="W171" s="151" t="s">
        <v>650</v>
      </c>
      <c r="X171" s="151"/>
      <c r="Y171" s="156" t="s">
        <v>781</v>
      </c>
      <c r="Z171" s="156"/>
      <c r="AA171" s="156"/>
      <c r="AB171" s="156"/>
      <c r="AC171" s="156"/>
      <c r="AD171" s="155">
        <v>45042</v>
      </c>
      <c r="AE171" s="167">
        <v>1900</v>
      </c>
      <c r="AF171" s="161">
        <v>100</v>
      </c>
      <c r="AG171" s="155">
        <v>45022</v>
      </c>
      <c r="AH171" s="155">
        <v>45028</v>
      </c>
      <c r="AI171" s="155"/>
      <c r="AJ171" s="155">
        <v>45028</v>
      </c>
      <c r="AK171" s="172"/>
      <c r="AL171" s="155"/>
      <c r="AM171" s="1"/>
    </row>
    <row r="172" spans="1:48" ht="45" hidden="1" customHeight="1">
      <c r="B172" s="159" t="s">
        <v>871</v>
      </c>
      <c r="C172" s="159" t="s">
        <v>79</v>
      </c>
      <c r="D172" s="218" t="s">
        <v>80</v>
      </c>
      <c r="E172" s="159" t="s">
        <v>872</v>
      </c>
      <c r="F172" s="159"/>
      <c r="G172" s="159" t="s">
        <v>107</v>
      </c>
      <c r="H172" s="159" t="s">
        <v>42</v>
      </c>
      <c r="I172" s="159" t="s">
        <v>873</v>
      </c>
      <c r="J172" s="151"/>
      <c r="K172" s="160">
        <v>45047</v>
      </c>
      <c r="L172" s="160" t="s">
        <v>288</v>
      </c>
      <c r="M172" s="155" t="s">
        <v>288</v>
      </c>
      <c r="N172" s="155" t="s">
        <v>288</v>
      </c>
      <c r="O172" s="155">
        <v>45072</v>
      </c>
      <c r="P172" s="155">
        <v>45074</v>
      </c>
      <c r="Q172" s="155" t="s">
        <v>289</v>
      </c>
      <c r="R172" s="155"/>
      <c r="S172" s="151" t="s">
        <v>47</v>
      </c>
      <c r="T172" s="151" t="s">
        <v>290</v>
      </c>
      <c r="U172" s="156"/>
      <c r="V172" s="151" t="s">
        <v>291</v>
      </c>
      <c r="W172" s="151" t="s">
        <v>874</v>
      </c>
      <c r="X172" s="151"/>
      <c r="Y172" s="156" t="s">
        <v>51</v>
      </c>
      <c r="Z172" s="156" t="s">
        <v>875</v>
      </c>
      <c r="AA172" s="164"/>
      <c r="AB172" s="164"/>
      <c r="AC172" s="164"/>
      <c r="AD172" s="155">
        <v>45103</v>
      </c>
      <c r="AE172" s="161">
        <v>2000</v>
      </c>
      <c r="AF172" s="161">
        <v>3400</v>
      </c>
      <c r="AG172" s="155">
        <v>45068</v>
      </c>
      <c r="AH172" s="155">
        <v>45076</v>
      </c>
      <c r="AI172" s="155"/>
      <c r="AJ172" s="158">
        <v>45077</v>
      </c>
      <c r="AK172" s="211"/>
      <c r="AL172" s="158"/>
      <c r="AM172" s="1"/>
    </row>
    <row r="173" spans="1:48" ht="45" hidden="1" customHeight="1">
      <c r="B173" s="159" t="s">
        <v>814</v>
      </c>
      <c r="C173" s="159" t="s">
        <v>248</v>
      </c>
      <c r="D173" s="159" t="s">
        <v>815</v>
      </c>
      <c r="E173" s="159" t="s">
        <v>816</v>
      </c>
      <c r="F173" s="159"/>
      <c r="G173" s="159" t="s">
        <v>308</v>
      </c>
      <c r="H173" s="159" t="s">
        <v>817</v>
      </c>
      <c r="I173" s="159">
        <v>71</v>
      </c>
      <c r="J173" s="151"/>
      <c r="K173" s="160">
        <v>45047</v>
      </c>
      <c r="L173" s="160" t="s">
        <v>288</v>
      </c>
      <c r="M173" s="155" t="s">
        <v>288</v>
      </c>
      <c r="N173" s="155" t="s">
        <v>288</v>
      </c>
      <c r="O173" s="155">
        <v>45042</v>
      </c>
      <c r="P173" s="155">
        <v>45042</v>
      </c>
      <c r="Q173" s="155" t="s">
        <v>289</v>
      </c>
      <c r="R173" s="155"/>
      <c r="S173" s="151" t="s">
        <v>47</v>
      </c>
      <c r="T173" s="151" t="s">
        <v>290</v>
      </c>
      <c r="U173" s="156" t="s">
        <v>818</v>
      </c>
      <c r="V173" s="151" t="s">
        <v>85</v>
      </c>
      <c r="W173" s="151" t="s">
        <v>721</v>
      </c>
      <c r="X173" s="151"/>
      <c r="Y173" s="156" t="s">
        <v>788</v>
      </c>
      <c r="Z173" s="156"/>
      <c r="AA173" s="164"/>
      <c r="AB173" s="164"/>
      <c r="AC173" s="164"/>
      <c r="AD173" s="155">
        <v>45075</v>
      </c>
      <c r="AE173" s="161">
        <v>600</v>
      </c>
      <c r="AF173" s="161">
        <v>4100</v>
      </c>
      <c r="AG173" s="155">
        <v>45036</v>
      </c>
      <c r="AH173" s="155">
        <v>45046</v>
      </c>
      <c r="AI173" s="155"/>
      <c r="AJ173" s="155">
        <v>45042</v>
      </c>
      <c r="AK173" s="172"/>
      <c r="AL173" s="155"/>
      <c r="AM173" s="1"/>
    </row>
    <row r="174" spans="1:48" ht="45" hidden="1" customHeight="1">
      <c r="B174" s="159" t="s">
        <v>838</v>
      </c>
      <c r="C174" s="159" t="s">
        <v>248</v>
      </c>
      <c r="D174" s="159" t="s">
        <v>815</v>
      </c>
      <c r="E174" s="159" t="s">
        <v>839</v>
      </c>
      <c r="F174" s="159"/>
      <c r="G174" s="159" t="s">
        <v>308</v>
      </c>
      <c r="H174" s="159" t="s">
        <v>817</v>
      </c>
      <c r="I174" s="159">
        <v>83</v>
      </c>
      <c r="J174" s="151"/>
      <c r="K174" s="160">
        <v>45047</v>
      </c>
      <c r="L174" s="160" t="s">
        <v>288</v>
      </c>
      <c r="M174" s="155" t="s">
        <v>288</v>
      </c>
      <c r="N174" s="155" t="s">
        <v>288</v>
      </c>
      <c r="O174" s="155">
        <v>45042</v>
      </c>
      <c r="P174" s="155">
        <v>45046</v>
      </c>
      <c r="Q174" s="155" t="s">
        <v>289</v>
      </c>
      <c r="R174" s="155"/>
      <c r="S174" s="151" t="s">
        <v>47</v>
      </c>
      <c r="T174" s="151" t="s">
        <v>290</v>
      </c>
      <c r="U174" s="156" t="s">
        <v>840</v>
      </c>
      <c r="V174" s="151" t="s">
        <v>85</v>
      </c>
      <c r="W174" s="151" t="s">
        <v>721</v>
      </c>
      <c r="X174" s="151"/>
      <c r="Y174" s="156" t="s">
        <v>788</v>
      </c>
      <c r="Z174" s="156"/>
      <c r="AA174" s="164"/>
      <c r="AB174" s="164"/>
      <c r="AC174" s="164"/>
      <c r="AD174" s="155">
        <v>45075</v>
      </c>
      <c r="AE174" s="161">
        <v>4300</v>
      </c>
      <c r="AF174" s="161">
        <v>3000</v>
      </c>
      <c r="AG174" s="155">
        <v>45036</v>
      </c>
      <c r="AH174" s="155">
        <v>45046</v>
      </c>
      <c r="AI174" s="155"/>
      <c r="AJ174" s="155">
        <v>45046</v>
      </c>
      <c r="AK174" s="172"/>
      <c r="AL174" s="155"/>
      <c r="AM174" s="1"/>
    </row>
    <row r="175" spans="1:48" ht="45" hidden="1" customHeight="1">
      <c r="B175" s="159" t="s">
        <v>876</v>
      </c>
      <c r="C175" s="159" t="s">
        <v>425</v>
      </c>
      <c r="D175" s="159" t="s">
        <v>877</v>
      </c>
      <c r="E175" s="159" t="s">
        <v>878</v>
      </c>
      <c r="F175" s="159"/>
      <c r="G175" s="159" t="s">
        <v>446</v>
      </c>
      <c r="H175" s="159" t="s">
        <v>817</v>
      </c>
      <c r="I175" s="159">
        <v>83</v>
      </c>
      <c r="J175" s="151"/>
      <c r="K175" s="160">
        <v>45047</v>
      </c>
      <c r="L175" s="160" t="s">
        <v>288</v>
      </c>
      <c r="M175" s="155" t="s">
        <v>288</v>
      </c>
      <c r="N175" s="155" t="s">
        <v>288</v>
      </c>
      <c r="O175" s="155">
        <v>45067</v>
      </c>
      <c r="P175" s="155">
        <v>45069</v>
      </c>
      <c r="Q175" s="155" t="s">
        <v>289</v>
      </c>
      <c r="R175" s="155"/>
      <c r="S175" s="151" t="s">
        <v>47</v>
      </c>
      <c r="T175" s="151" t="s">
        <v>290</v>
      </c>
      <c r="U175" s="156" t="s">
        <v>879</v>
      </c>
      <c r="V175" s="151" t="s">
        <v>85</v>
      </c>
      <c r="W175" s="36" t="s">
        <v>67</v>
      </c>
      <c r="X175" s="157"/>
      <c r="Y175" s="158" t="s">
        <v>826</v>
      </c>
      <c r="Z175" s="158"/>
      <c r="AA175" s="158"/>
      <c r="AB175" s="158"/>
      <c r="AC175" s="158"/>
      <c r="AD175" s="155">
        <v>45119</v>
      </c>
      <c r="AE175" s="161">
        <v>6200</v>
      </c>
      <c r="AF175" s="161">
        <v>7000</v>
      </c>
      <c r="AG175" s="155">
        <v>45067</v>
      </c>
      <c r="AH175" s="155">
        <v>45072</v>
      </c>
      <c r="AI175" s="155"/>
      <c r="AJ175" s="158">
        <v>45077</v>
      </c>
      <c r="AK175" s="211"/>
      <c r="AL175" s="158"/>
      <c r="AM175" s="1"/>
    </row>
    <row r="176" spans="1:48" ht="45" hidden="1" customHeight="1">
      <c r="B176" s="159" t="s">
        <v>880</v>
      </c>
      <c r="C176" s="159" t="s">
        <v>425</v>
      </c>
      <c r="D176" s="159" t="s">
        <v>881</v>
      </c>
      <c r="E176" s="159" t="s">
        <v>882</v>
      </c>
      <c r="F176" s="159"/>
      <c r="G176" s="159" t="s">
        <v>308</v>
      </c>
      <c r="H176" s="159" t="s">
        <v>883</v>
      </c>
      <c r="I176" s="159">
        <v>22</v>
      </c>
      <c r="J176" s="151"/>
      <c r="K176" s="160">
        <v>45047</v>
      </c>
      <c r="L176" s="160" t="s">
        <v>288</v>
      </c>
      <c r="M176" s="155" t="s">
        <v>288</v>
      </c>
      <c r="N176" s="155" t="s">
        <v>288</v>
      </c>
      <c r="O176" s="155">
        <v>45072</v>
      </c>
      <c r="P176" s="155">
        <v>45074</v>
      </c>
      <c r="Q176" s="155" t="s">
        <v>289</v>
      </c>
      <c r="R176" s="155"/>
      <c r="S176" s="151" t="s">
        <v>47</v>
      </c>
      <c r="T176" s="151" t="s">
        <v>290</v>
      </c>
      <c r="U176" s="156" t="s">
        <v>884</v>
      </c>
      <c r="V176" s="151" t="s">
        <v>85</v>
      </c>
      <c r="W176" s="157" t="s">
        <v>650</v>
      </c>
      <c r="X176" s="157"/>
      <c r="Y176" s="158" t="s">
        <v>51</v>
      </c>
      <c r="Z176" s="158"/>
      <c r="AA176" s="158"/>
      <c r="AB176" s="158"/>
      <c r="AC176" s="158"/>
      <c r="AD176" s="155">
        <v>45121</v>
      </c>
      <c r="AE176" s="161">
        <v>2140</v>
      </c>
      <c r="AF176" s="161">
        <v>4950</v>
      </c>
      <c r="AG176" s="155">
        <v>45072</v>
      </c>
      <c r="AH176" s="155">
        <v>45077</v>
      </c>
      <c r="AI176" s="155"/>
      <c r="AJ176" s="158">
        <v>45077</v>
      </c>
      <c r="AK176" s="211"/>
      <c r="AL176" s="158"/>
      <c r="AM176" s="1"/>
    </row>
    <row r="177" spans="1:48" ht="45" hidden="1" customHeight="1">
      <c r="B177" s="159" t="s">
        <v>860</v>
      </c>
      <c r="C177" s="159" t="s">
        <v>731</v>
      </c>
      <c r="D177" s="162" t="s">
        <v>732</v>
      </c>
      <c r="E177" s="159" t="s">
        <v>731</v>
      </c>
      <c r="F177" s="159"/>
      <c r="G177" s="159" t="s">
        <v>308</v>
      </c>
      <c r="H177" s="159" t="s">
        <v>427</v>
      </c>
      <c r="I177" s="159">
        <v>61</v>
      </c>
      <c r="J177" s="151"/>
      <c r="K177" s="160">
        <v>45047</v>
      </c>
      <c r="L177" s="160" t="s">
        <v>288</v>
      </c>
      <c r="M177" s="155" t="s">
        <v>288</v>
      </c>
      <c r="N177" s="155" t="s">
        <v>288</v>
      </c>
      <c r="O177" s="155">
        <v>45057</v>
      </c>
      <c r="P177" s="155">
        <v>45073</v>
      </c>
      <c r="Q177" s="155" t="s">
        <v>289</v>
      </c>
      <c r="R177" s="155"/>
      <c r="S177" s="151" t="s">
        <v>47</v>
      </c>
      <c r="T177" s="151" t="s">
        <v>48</v>
      </c>
      <c r="U177" s="156"/>
      <c r="V177" s="151" t="s">
        <v>85</v>
      </c>
      <c r="W177" s="151" t="s">
        <v>51</v>
      </c>
      <c r="X177" s="151"/>
      <c r="Y177" s="156" t="s">
        <v>51</v>
      </c>
      <c r="Z177" s="156"/>
      <c r="AA177" s="164"/>
      <c r="AB177" s="164"/>
      <c r="AC177" s="164"/>
      <c r="AD177" s="155">
        <v>45098</v>
      </c>
      <c r="AE177" s="161">
        <v>1600</v>
      </c>
      <c r="AF177" s="161">
        <v>2700</v>
      </c>
      <c r="AG177" s="155">
        <v>45057</v>
      </c>
      <c r="AH177" s="155">
        <v>45076</v>
      </c>
      <c r="AI177" s="155"/>
      <c r="AJ177" s="155">
        <v>45073</v>
      </c>
      <c r="AK177" s="172"/>
      <c r="AL177" s="155"/>
      <c r="AM177" s="1"/>
    </row>
    <row r="178" spans="1:48" ht="45" hidden="1" customHeight="1">
      <c r="B178" s="159" t="s">
        <v>841</v>
      </c>
      <c r="C178" s="159" t="s">
        <v>293</v>
      </c>
      <c r="D178" s="162" t="s">
        <v>842</v>
      </c>
      <c r="E178" s="159" t="s">
        <v>843</v>
      </c>
      <c r="F178" s="159"/>
      <c r="G178" s="159" t="s">
        <v>287</v>
      </c>
      <c r="H178" s="159" t="s">
        <v>42</v>
      </c>
      <c r="I178" s="159">
        <v>12</v>
      </c>
      <c r="J178" s="151"/>
      <c r="K178" s="160">
        <v>45047</v>
      </c>
      <c r="L178" s="160" t="s">
        <v>288</v>
      </c>
      <c r="M178" s="155" t="s">
        <v>288</v>
      </c>
      <c r="N178" s="155" t="s">
        <v>288</v>
      </c>
      <c r="O178" s="155">
        <v>45052</v>
      </c>
      <c r="P178" s="155">
        <v>45055</v>
      </c>
      <c r="Q178" s="155" t="s">
        <v>289</v>
      </c>
      <c r="R178" s="155"/>
      <c r="S178" s="151" t="s">
        <v>47</v>
      </c>
      <c r="T178" s="151" t="s">
        <v>290</v>
      </c>
      <c r="U178" s="156"/>
      <c r="V178" s="151" t="s">
        <v>85</v>
      </c>
      <c r="W178" s="151" t="s">
        <v>844</v>
      </c>
      <c r="X178" s="151"/>
      <c r="Y178" s="156" t="s">
        <v>51</v>
      </c>
      <c r="Z178" s="156"/>
      <c r="AA178" s="164"/>
      <c r="AB178" s="164"/>
      <c r="AC178" s="164"/>
      <c r="AD178" s="155">
        <v>45064</v>
      </c>
      <c r="AE178" s="161">
        <v>400</v>
      </c>
      <c r="AF178" s="161">
        <v>1100</v>
      </c>
      <c r="AG178" s="155">
        <v>45048</v>
      </c>
      <c r="AH178" s="155">
        <v>45058</v>
      </c>
      <c r="AI178" s="155"/>
      <c r="AJ178" s="155">
        <v>45058</v>
      </c>
      <c r="AK178" s="172"/>
      <c r="AL178" s="155"/>
      <c r="AM178" s="1"/>
    </row>
    <row r="179" spans="1:48" ht="45" hidden="1" customHeight="1">
      <c r="B179" s="159" t="s">
        <v>857</v>
      </c>
      <c r="C179" s="159" t="s">
        <v>203</v>
      </c>
      <c r="D179" s="162" t="s">
        <v>204</v>
      </c>
      <c r="E179" s="159" t="s">
        <v>858</v>
      </c>
      <c r="F179" s="159"/>
      <c r="G179" s="159" t="s">
        <v>308</v>
      </c>
      <c r="H179" s="159" t="s">
        <v>42</v>
      </c>
      <c r="I179" s="159" t="s">
        <v>859</v>
      </c>
      <c r="J179" s="151"/>
      <c r="K179" s="160">
        <v>45047</v>
      </c>
      <c r="L179" s="160" t="s">
        <v>288</v>
      </c>
      <c r="M179" s="155" t="s">
        <v>288</v>
      </c>
      <c r="N179" s="155" t="s">
        <v>288</v>
      </c>
      <c r="O179" s="155">
        <v>45056</v>
      </c>
      <c r="P179" s="155">
        <v>45072</v>
      </c>
      <c r="Q179" s="155" t="s">
        <v>289</v>
      </c>
      <c r="R179" s="155"/>
      <c r="S179" s="151" t="s">
        <v>47</v>
      </c>
      <c r="T179" s="151" t="s">
        <v>290</v>
      </c>
      <c r="U179" s="156"/>
      <c r="V179" s="151" t="s">
        <v>291</v>
      </c>
      <c r="W179" s="151" t="s">
        <v>807</v>
      </c>
      <c r="X179" s="151"/>
      <c r="Y179" s="156" t="s">
        <v>774</v>
      </c>
      <c r="Z179" s="156"/>
      <c r="AA179" s="164"/>
      <c r="AB179" s="164"/>
      <c r="AC179" s="164"/>
      <c r="AD179" s="155">
        <v>45098</v>
      </c>
      <c r="AE179" s="161">
        <v>2600</v>
      </c>
      <c r="AF179" s="161">
        <v>9510</v>
      </c>
      <c r="AG179" s="155">
        <v>45048</v>
      </c>
      <c r="AH179" s="155">
        <v>45069</v>
      </c>
      <c r="AI179" s="155"/>
      <c r="AJ179" s="155">
        <v>45072</v>
      </c>
      <c r="AK179" s="172"/>
      <c r="AL179" s="155"/>
      <c r="AM179" s="59"/>
    </row>
    <row r="180" spans="1:48" ht="45" hidden="1" customHeight="1">
      <c r="B180" s="159" t="s">
        <v>885</v>
      </c>
      <c r="C180" s="159" t="s">
        <v>203</v>
      </c>
      <c r="D180" s="159" t="s">
        <v>204</v>
      </c>
      <c r="E180" s="159" t="s">
        <v>886</v>
      </c>
      <c r="F180" s="159"/>
      <c r="G180" s="159" t="s">
        <v>296</v>
      </c>
      <c r="H180" s="159" t="s">
        <v>42</v>
      </c>
      <c r="I180" s="159">
        <v>172</v>
      </c>
      <c r="J180" s="151"/>
      <c r="K180" s="160">
        <v>45047</v>
      </c>
      <c r="L180" s="160" t="s">
        <v>288</v>
      </c>
      <c r="M180" s="155" t="s">
        <v>288</v>
      </c>
      <c r="N180" s="155" t="s">
        <v>288</v>
      </c>
      <c r="O180" s="155">
        <v>45068</v>
      </c>
      <c r="P180" s="155">
        <v>45077</v>
      </c>
      <c r="Q180" s="155" t="s">
        <v>289</v>
      </c>
      <c r="R180" s="155"/>
      <c r="S180" s="151" t="s">
        <v>47</v>
      </c>
      <c r="T180" s="151" t="s">
        <v>290</v>
      </c>
      <c r="U180" s="156"/>
      <c r="V180" s="151" t="s">
        <v>291</v>
      </c>
      <c r="W180" s="151" t="s">
        <v>863</v>
      </c>
      <c r="X180" s="151"/>
      <c r="Y180" s="156" t="s">
        <v>863</v>
      </c>
      <c r="Z180" s="156"/>
      <c r="AA180" s="164"/>
      <c r="AB180" s="164"/>
      <c r="AC180" s="164"/>
      <c r="AD180" s="155">
        <v>45100</v>
      </c>
      <c r="AE180" s="161">
        <v>1700</v>
      </c>
      <c r="AF180" s="161">
        <v>3700</v>
      </c>
      <c r="AG180" s="155">
        <v>45068</v>
      </c>
      <c r="AH180" s="155">
        <v>45075</v>
      </c>
      <c r="AI180" s="155"/>
      <c r="AJ180" s="155">
        <v>45077</v>
      </c>
      <c r="AK180" s="172"/>
      <c r="AL180" s="155"/>
      <c r="AM180" s="1"/>
    </row>
    <row r="181" spans="1:48" ht="45" hidden="1" customHeight="1">
      <c r="A181" s="1"/>
      <c r="B181" s="159" t="s">
        <v>852</v>
      </c>
      <c r="C181" s="159" t="s">
        <v>853</v>
      </c>
      <c r="D181" s="159" t="s">
        <v>854</v>
      </c>
      <c r="E181" s="159" t="s">
        <v>855</v>
      </c>
      <c r="F181" s="159"/>
      <c r="G181" s="159" t="s">
        <v>287</v>
      </c>
      <c r="H181" s="159" t="s">
        <v>427</v>
      </c>
      <c r="I181" s="159">
        <v>44</v>
      </c>
      <c r="J181" s="151"/>
      <c r="K181" s="160">
        <v>45047</v>
      </c>
      <c r="L181" s="160" t="s">
        <v>288</v>
      </c>
      <c r="M181" s="155" t="s">
        <v>288</v>
      </c>
      <c r="N181" s="155" t="s">
        <v>288</v>
      </c>
      <c r="O181" s="155">
        <v>45059</v>
      </c>
      <c r="P181" s="155">
        <v>45071</v>
      </c>
      <c r="Q181" s="155" t="s">
        <v>289</v>
      </c>
      <c r="R181" s="155"/>
      <c r="S181" s="151" t="s">
        <v>47</v>
      </c>
      <c r="T181" s="151" t="s">
        <v>290</v>
      </c>
      <c r="U181" s="156"/>
      <c r="V181" s="151" t="s">
        <v>85</v>
      </c>
      <c r="W181" s="151" t="s">
        <v>51</v>
      </c>
      <c r="X181" s="151" t="s">
        <v>856</v>
      </c>
      <c r="Y181" s="156" t="s">
        <v>51</v>
      </c>
      <c r="Z181" s="156"/>
      <c r="AA181" s="164"/>
      <c r="AB181" s="164"/>
      <c r="AC181" s="164"/>
      <c r="AD181" s="155">
        <v>45075</v>
      </c>
      <c r="AE181" s="161">
        <v>1600</v>
      </c>
      <c r="AF181" s="161">
        <v>4000</v>
      </c>
      <c r="AG181" s="155">
        <v>45059</v>
      </c>
      <c r="AH181" s="155">
        <v>45076</v>
      </c>
      <c r="AI181" s="155"/>
      <c r="AJ181" s="155">
        <v>45071</v>
      </c>
      <c r="AK181" s="172"/>
      <c r="AL181" s="155"/>
      <c r="AM181" s="1"/>
      <c r="AN181" s="1"/>
      <c r="AO181" s="1"/>
      <c r="AP181" s="1"/>
      <c r="AQ181" s="1"/>
      <c r="AR181" s="1"/>
      <c r="AS181" s="1"/>
      <c r="AT181" s="1"/>
      <c r="AU181" s="1"/>
      <c r="AV181" s="1"/>
    </row>
    <row r="182" spans="1:48" ht="45" hidden="1" customHeight="1">
      <c r="A182" s="1"/>
      <c r="B182" s="159" t="s">
        <v>902</v>
      </c>
      <c r="C182" s="159" t="s">
        <v>261</v>
      </c>
      <c r="D182" s="159" t="s">
        <v>262</v>
      </c>
      <c r="E182" s="159" t="s">
        <v>903</v>
      </c>
      <c r="F182" s="159"/>
      <c r="G182" s="159" t="s">
        <v>446</v>
      </c>
      <c r="H182" s="159" t="s">
        <v>42</v>
      </c>
      <c r="I182" s="159">
        <v>32</v>
      </c>
      <c r="J182" s="151"/>
      <c r="K182" s="160">
        <v>45047</v>
      </c>
      <c r="L182" s="160" t="s">
        <v>288</v>
      </c>
      <c r="M182" s="155" t="s">
        <v>288</v>
      </c>
      <c r="N182" s="155" t="s">
        <v>288</v>
      </c>
      <c r="O182" s="155">
        <v>45075</v>
      </c>
      <c r="P182" s="155">
        <v>45076</v>
      </c>
      <c r="Q182" s="155" t="s">
        <v>289</v>
      </c>
      <c r="R182" s="155"/>
      <c r="S182" s="151" t="s">
        <v>47</v>
      </c>
      <c r="T182" s="151" t="s">
        <v>290</v>
      </c>
      <c r="U182" s="156" t="s">
        <v>904</v>
      </c>
      <c r="V182" s="151" t="s">
        <v>85</v>
      </c>
      <c r="W182" s="151" t="s">
        <v>895</v>
      </c>
      <c r="X182" s="151" t="s">
        <v>896</v>
      </c>
      <c r="Y182" s="156" t="s">
        <v>714</v>
      </c>
      <c r="Z182" s="156" t="s">
        <v>774</v>
      </c>
      <c r="AA182" s="164"/>
      <c r="AB182" s="164"/>
      <c r="AC182" s="164"/>
      <c r="AD182" s="155">
        <v>45121</v>
      </c>
      <c r="AE182" s="161">
        <v>3620</v>
      </c>
      <c r="AF182" s="161">
        <v>4660</v>
      </c>
      <c r="AG182" s="155">
        <v>45075</v>
      </c>
      <c r="AH182" s="155">
        <v>45087</v>
      </c>
      <c r="AI182" s="155"/>
      <c r="AJ182" s="155">
        <v>45098</v>
      </c>
      <c r="AK182" s="172"/>
      <c r="AL182" s="155"/>
      <c r="AM182" s="1"/>
      <c r="AN182" s="1"/>
      <c r="AO182" s="1"/>
      <c r="AP182" s="1"/>
      <c r="AQ182" s="1"/>
      <c r="AR182" s="1"/>
      <c r="AS182" s="1"/>
      <c r="AT182" s="1"/>
      <c r="AU182" s="1"/>
      <c r="AV182" s="1"/>
    </row>
    <row r="183" spans="1:48" ht="45" hidden="1" customHeight="1">
      <c r="B183" s="159" t="s">
        <v>849</v>
      </c>
      <c r="C183" s="159" t="s">
        <v>104</v>
      </c>
      <c r="D183" s="159" t="s">
        <v>105</v>
      </c>
      <c r="E183" s="159" t="s">
        <v>850</v>
      </c>
      <c r="F183" s="159"/>
      <c r="G183" s="159" t="s">
        <v>391</v>
      </c>
      <c r="H183" s="159" t="s">
        <v>42</v>
      </c>
      <c r="I183" s="159" t="s">
        <v>7751</v>
      </c>
      <c r="J183" s="151"/>
      <c r="K183" s="160">
        <v>45047</v>
      </c>
      <c r="L183" s="160" t="s">
        <v>288</v>
      </c>
      <c r="M183" s="155" t="s">
        <v>288</v>
      </c>
      <c r="N183" s="155" t="s">
        <v>288</v>
      </c>
      <c r="O183" s="155">
        <v>45064</v>
      </c>
      <c r="P183" s="155">
        <v>45066</v>
      </c>
      <c r="Q183" s="155" t="s">
        <v>289</v>
      </c>
      <c r="R183" s="155"/>
      <c r="S183" s="151" t="s">
        <v>47</v>
      </c>
      <c r="T183" s="151" t="s">
        <v>290</v>
      </c>
      <c r="U183" s="156"/>
      <c r="V183" s="151" t="s">
        <v>85</v>
      </c>
      <c r="W183" s="151" t="s">
        <v>851</v>
      </c>
      <c r="X183" s="151"/>
      <c r="Y183" s="156" t="s">
        <v>714</v>
      </c>
      <c r="Z183" s="156"/>
      <c r="AA183" s="164"/>
      <c r="AB183" s="164"/>
      <c r="AC183" s="164"/>
      <c r="AD183" s="155">
        <v>45100</v>
      </c>
      <c r="AE183" s="161">
        <v>2700</v>
      </c>
      <c r="AF183" s="161">
        <v>6400</v>
      </c>
      <c r="AG183" s="155">
        <v>45044</v>
      </c>
      <c r="AH183" s="155">
        <v>45069</v>
      </c>
      <c r="AI183" s="155"/>
      <c r="AJ183" s="155">
        <v>45066</v>
      </c>
      <c r="AK183" s="172"/>
      <c r="AL183" s="155"/>
      <c r="AM183" s="1"/>
    </row>
    <row r="184" spans="1:48" ht="45" hidden="1" customHeight="1">
      <c r="A184" s="1"/>
      <c r="B184" s="159" t="s">
        <v>845</v>
      </c>
      <c r="C184" s="159" t="s">
        <v>705</v>
      </c>
      <c r="D184" s="159" t="s">
        <v>706</v>
      </c>
      <c r="E184" s="159" t="s">
        <v>846</v>
      </c>
      <c r="F184" s="159"/>
      <c r="G184" s="159" t="s">
        <v>287</v>
      </c>
      <c r="H184" s="159" t="s">
        <v>486</v>
      </c>
      <c r="I184" s="159">
        <v>82</v>
      </c>
      <c r="J184" s="151"/>
      <c r="K184" s="160">
        <v>45047</v>
      </c>
      <c r="L184" s="160" t="s">
        <v>288</v>
      </c>
      <c r="M184" s="155" t="s">
        <v>288</v>
      </c>
      <c r="N184" s="155" t="s">
        <v>288</v>
      </c>
      <c r="O184" s="155">
        <v>45062</v>
      </c>
      <c r="P184" s="155">
        <v>45062</v>
      </c>
      <c r="Q184" s="155" t="s">
        <v>289</v>
      </c>
      <c r="R184" s="155"/>
      <c r="S184" s="151" t="s">
        <v>47</v>
      </c>
      <c r="T184" s="151" t="s">
        <v>290</v>
      </c>
      <c r="U184" s="156"/>
      <c r="V184" s="151" t="s">
        <v>85</v>
      </c>
      <c r="W184" s="151" t="s">
        <v>681</v>
      </c>
      <c r="X184" s="151"/>
      <c r="Y184" s="156" t="s">
        <v>714</v>
      </c>
      <c r="Z184" s="156" t="s">
        <v>774</v>
      </c>
      <c r="AA184" s="164"/>
      <c r="AB184" s="164"/>
      <c r="AC184" s="164"/>
      <c r="AD184" s="155">
        <v>45103</v>
      </c>
      <c r="AE184" s="161">
        <v>900</v>
      </c>
      <c r="AF184" s="161">
        <v>3200</v>
      </c>
      <c r="AG184" s="155">
        <v>45044</v>
      </c>
      <c r="AH184" s="155">
        <v>45064</v>
      </c>
      <c r="AI184" s="155"/>
      <c r="AJ184" s="155">
        <v>45062</v>
      </c>
      <c r="AK184" s="172"/>
      <c r="AL184" s="155"/>
      <c r="AM184" s="1"/>
      <c r="AN184" s="1"/>
      <c r="AO184" s="1"/>
      <c r="AP184" s="1"/>
      <c r="AQ184" s="1"/>
      <c r="AR184" s="1"/>
      <c r="AS184" s="1"/>
      <c r="AT184" s="1"/>
      <c r="AU184" s="1"/>
      <c r="AV184" s="1"/>
    </row>
    <row r="185" spans="1:48" ht="45" hidden="1" customHeight="1">
      <c r="B185" s="159" t="s">
        <v>861</v>
      </c>
      <c r="C185" s="159" t="s">
        <v>668</v>
      </c>
      <c r="D185" s="159" t="s">
        <v>671</v>
      </c>
      <c r="E185" s="159" t="s">
        <v>862</v>
      </c>
      <c r="F185" s="159"/>
      <c r="G185" s="159" t="s">
        <v>308</v>
      </c>
      <c r="H185" s="159" t="s">
        <v>42</v>
      </c>
      <c r="I185" s="159" t="s">
        <v>417</v>
      </c>
      <c r="J185" s="151"/>
      <c r="K185" s="160">
        <v>45047</v>
      </c>
      <c r="L185" s="160" t="s">
        <v>288</v>
      </c>
      <c r="M185" s="155" t="s">
        <v>288</v>
      </c>
      <c r="N185" s="155" t="s">
        <v>288</v>
      </c>
      <c r="O185" s="155">
        <v>45068</v>
      </c>
      <c r="P185" s="155">
        <v>45075</v>
      </c>
      <c r="Q185" s="155" t="s">
        <v>289</v>
      </c>
      <c r="R185" s="155"/>
      <c r="S185" s="151" t="s">
        <v>47</v>
      </c>
      <c r="T185" s="151" t="s">
        <v>290</v>
      </c>
      <c r="U185" s="156"/>
      <c r="V185" s="151" t="s">
        <v>85</v>
      </c>
      <c r="W185" s="151" t="s">
        <v>863</v>
      </c>
      <c r="X185" s="151"/>
      <c r="Y185" s="156" t="s">
        <v>864</v>
      </c>
      <c r="Z185" s="156" t="s">
        <v>863</v>
      </c>
      <c r="AA185" s="164"/>
      <c r="AB185" s="164"/>
      <c r="AC185" s="164"/>
      <c r="AD185" s="155">
        <v>45100</v>
      </c>
      <c r="AE185" s="161">
        <v>1300</v>
      </c>
      <c r="AF185" s="161">
        <v>4300</v>
      </c>
      <c r="AG185" s="155">
        <v>45068</v>
      </c>
      <c r="AH185" s="155">
        <v>45073</v>
      </c>
      <c r="AI185" s="155"/>
      <c r="AJ185" s="155">
        <v>45075</v>
      </c>
      <c r="AK185" s="172"/>
      <c r="AL185" s="155"/>
      <c r="AM185" s="1"/>
    </row>
    <row r="186" spans="1:48" ht="45" hidden="1" customHeight="1">
      <c r="B186" s="159" t="s">
        <v>819</v>
      </c>
      <c r="C186" s="159" t="s">
        <v>820</v>
      </c>
      <c r="D186" s="159" t="s">
        <v>821</v>
      </c>
      <c r="E186" s="159" t="s">
        <v>821</v>
      </c>
      <c r="F186" s="159"/>
      <c r="G186" s="159" t="s">
        <v>301</v>
      </c>
      <c r="H186" s="159" t="s">
        <v>822</v>
      </c>
      <c r="I186" s="159" t="s">
        <v>346</v>
      </c>
      <c r="J186" s="151"/>
      <c r="K186" s="160">
        <v>45047</v>
      </c>
      <c r="L186" s="160" t="s">
        <v>288</v>
      </c>
      <c r="M186" s="155" t="s">
        <v>288</v>
      </c>
      <c r="N186" s="155" t="s">
        <v>288</v>
      </c>
      <c r="O186" s="155">
        <v>45039</v>
      </c>
      <c r="P186" s="155">
        <v>45042</v>
      </c>
      <c r="Q186" s="155" t="s">
        <v>289</v>
      </c>
      <c r="R186" s="155"/>
      <c r="S186" s="151" t="s">
        <v>47</v>
      </c>
      <c r="T186" s="151" t="s">
        <v>290</v>
      </c>
      <c r="U186" s="156"/>
      <c r="V186" s="151" t="s">
        <v>85</v>
      </c>
      <c r="W186" s="151" t="s">
        <v>650</v>
      </c>
      <c r="X186" s="151"/>
      <c r="Y186" s="156" t="s">
        <v>646</v>
      </c>
      <c r="Z186" s="156"/>
      <c r="AA186" s="164"/>
      <c r="AB186" s="164"/>
      <c r="AC186" s="164"/>
      <c r="AD186" s="155">
        <v>45072</v>
      </c>
      <c r="AE186" s="161">
        <v>1200</v>
      </c>
      <c r="AF186" s="161">
        <v>7300</v>
      </c>
      <c r="AG186" s="155">
        <v>45036</v>
      </c>
      <c r="AH186" s="155">
        <v>45046</v>
      </c>
      <c r="AI186" s="155"/>
      <c r="AJ186" s="155">
        <v>45042</v>
      </c>
      <c r="AK186" s="172"/>
      <c r="AL186" s="155"/>
      <c r="AM186" s="1"/>
    </row>
    <row r="187" spans="1:48" ht="45" hidden="1" customHeight="1">
      <c r="B187" s="159" t="s">
        <v>847</v>
      </c>
      <c r="C187" s="159" t="s">
        <v>606</v>
      </c>
      <c r="D187" s="159" t="s">
        <v>607</v>
      </c>
      <c r="E187" s="159" t="s">
        <v>606</v>
      </c>
      <c r="F187" s="159"/>
      <c r="G187" s="159" t="s">
        <v>308</v>
      </c>
      <c r="H187" s="159" t="s">
        <v>42</v>
      </c>
      <c r="I187" s="159" t="s">
        <v>283</v>
      </c>
      <c r="J187" s="151"/>
      <c r="K187" s="160">
        <v>45047</v>
      </c>
      <c r="L187" s="160" t="s">
        <v>288</v>
      </c>
      <c r="M187" s="155" t="s">
        <v>288</v>
      </c>
      <c r="N187" s="155" t="s">
        <v>288</v>
      </c>
      <c r="O187" s="155">
        <v>45059</v>
      </c>
      <c r="P187" s="155">
        <v>45062</v>
      </c>
      <c r="Q187" s="155" t="s">
        <v>289</v>
      </c>
      <c r="R187" s="155"/>
      <c r="S187" s="151" t="s">
        <v>47</v>
      </c>
      <c r="T187" s="151" t="s">
        <v>290</v>
      </c>
      <c r="U187" s="156"/>
      <c r="V187" s="156" t="s">
        <v>85</v>
      </c>
      <c r="W187" s="151" t="s">
        <v>844</v>
      </c>
      <c r="X187" s="151" t="s">
        <v>836</v>
      </c>
      <c r="Y187" s="156" t="s">
        <v>51</v>
      </c>
      <c r="Z187" s="156"/>
      <c r="AA187" s="156"/>
      <c r="AB187" s="156"/>
      <c r="AC187" s="156"/>
      <c r="AD187" s="155">
        <v>45100</v>
      </c>
      <c r="AE187" s="161">
        <v>1410</v>
      </c>
      <c r="AF187" s="161" t="s">
        <v>848</v>
      </c>
      <c r="AG187" s="155">
        <v>45028</v>
      </c>
      <c r="AH187" s="155">
        <v>45064</v>
      </c>
      <c r="AI187" s="155"/>
      <c r="AJ187" s="155">
        <v>45062</v>
      </c>
      <c r="AK187" s="172"/>
      <c r="AL187" s="155"/>
      <c r="AM187" s="1"/>
    </row>
    <row r="188" spans="1:48" ht="45" hidden="1" customHeight="1">
      <c r="A188" s="1"/>
      <c r="B188" s="159" t="s">
        <v>865</v>
      </c>
      <c r="C188" s="159" t="s">
        <v>380</v>
      </c>
      <c r="D188" s="159" t="s">
        <v>685</v>
      </c>
      <c r="E188" s="159" t="s">
        <v>866</v>
      </c>
      <c r="F188" s="159"/>
      <c r="G188" s="159" t="s">
        <v>391</v>
      </c>
      <c r="H188" s="159" t="s">
        <v>42</v>
      </c>
      <c r="I188" s="159" t="s">
        <v>867</v>
      </c>
      <c r="J188" s="151"/>
      <c r="K188" s="160">
        <v>45047</v>
      </c>
      <c r="L188" s="160" t="s">
        <v>288</v>
      </c>
      <c r="M188" s="155" t="s">
        <v>288</v>
      </c>
      <c r="N188" s="155" t="s">
        <v>288</v>
      </c>
      <c r="O188" s="155" t="s">
        <v>868</v>
      </c>
      <c r="P188" s="155">
        <v>45075</v>
      </c>
      <c r="Q188" s="155" t="s">
        <v>289</v>
      </c>
      <c r="R188" s="155"/>
      <c r="S188" s="151" t="s">
        <v>47</v>
      </c>
      <c r="T188" s="151" t="s">
        <v>290</v>
      </c>
      <c r="U188" s="156"/>
      <c r="V188" s="151" t="s">
        <v>85</v>
      </c>
      <c r="W188" s="151" t="s">
        <v>851</v>
      </c>
      <c r="X188" s="151"/>
      <c r="Y188" s="156" t="s">
        <v>869</v>
      </c>
      <c r="Z188" s="156"/>
      <c r="AA188" s="164" t="s">
        <v>870</v>
      </c>
      <c r="AB188" s="164"/>
      <c r="AC188" s="164"/>
      <c r="AD188" s="155">
        <v>45100</v>
      </c>
      <c r="AE188" s="161">
        <v>2300</v>
      </c>
      <c r="AF188" s="161">
        <v>2400</v>
      </c>
      <c r="AG188" s="155">
        <v>45068</v>
      </c>
      <c r="AH188" s="155">
        <v>45076</v>
      </c>
      <c r="AI188" s="155"/>
      <c r="AJ188" s="155">
        <v>45075</v>
      </c>
      <c r="AK188" s="172"/>
      <c r="AL188" s="155"/>
      <c r="AM188" s="1"/>
      <c r="AN188" s="1"/>
      <c r="AO188" s="1"/>
      <c r="AP188" s="1"/>
      <c r="AQ188" s="1"/>
      <c r="AR188" s="1"/>
      <c r="AS188" s="1"/>
      <c r="AT188" s="1"/>
      <c r="AU188" s="1"/>
      <c r="AV188" s="1"/>
    </row>
    <row r="189" spans="1:48" ht="45" hidden="1" customHeight="1">
      <c r="B189" s="159" t="s">
        <v>887</v>
      </c>
      <c r="C189" s="159" t="s">
        <v>267</v>
      </c>
      <c r="D189" s="159" t="s">
        <v>268</v>
      </c>
      <c r="E189" s="159" t="s">
        <v>888</v>
      </c>
      <c r="F189" s="159"/>
      <c r="G189" s="159" t="s">
        <v>296</v>
      </c>
      <c r="H189" s="159" t="s">
        <v>42</v>
      </c>
      <c r="I189" s="159" t="s">
        <v>531</v>
      </c>
      <c r="J189" s="151"/>
      <c r="K189" s="160">
        <v>45078</v>
      </c>
      <c r="L189" s="160" t="s">
        <v>288</v>
      </c>
      <c r="M189" s="155" t="s">
        <v>288</v>
      </c>
      <c r="N189" s="155" t="s">
        <v>288</v>
      </c>
      <c r="O189" s="155">
        <v>45079</v>
      </c>
      <c r="P189" s="155">
        <v>45082</v>
      </c>
      <c r="Q189" s="155" t="s">
        <v>289</v>
      </c>
      <c r="R189" s="155"/>
      <c r="S189" s="151" t="s">
        <v>47</v>
      </c>
      <c r="T189" s="151" t="s">
        <v>48</v>
      </c>
      <c r="U189" s="156" t="s">
        <v>889</v>
      </c>
      <c r="V189" s="151" t="s">
        <v>85</v>
      </c>
      <c r="W189" s="151" t="s">
        <v>689</v>
      </c>
      <c r="X189" s="151"/>
      <c r="Y189" s="156" t="s">
        <v>51</v>
      </c>
      <c r="Z189" s="156"/>
      <c r="AA189" s="168"/>
      <c r="AB189" s="168"/>
      <c r="AC189" s="168"/>
      <c r="AD189" s="155">
        <v>45100</v>
      </c>
      <c r="AE189" s="161">
        <v>500</v>
      </c>
      <c r="AF189" s="161">
        <v>1720</v>
      </c>
      <c r="AG189" s="155">
        <v>45079</v>
      </c>
      <c r="AH189" s="155">
        <v>45084</v>
      </c>
      <c r="AI189" s="155"/>
      <c r="AJ189" s="158">
        <v>45085</v>
      </c>
      <c r="AK189" s="211"/>
      <c r="AL189" s="158"/>
      <c r="AM189" s="1"/>
    </row>
    <row r="190" spans="1:48" ht="45" hidden="1" customHeight="1">
      <c r="A190" s="1"/>
      <c r="B190" s="159" t="s">
        <v>957</v>
      </c>
      <c r="C190" s="159" t="s">
        <v>772</v>
      </c>
      <c r="D190" s="159" t="s">
        <v>958</v>
      </c>
      <c r="E190" s="159" t="s">
        <v>959</v>
      </c>
      <c r="F190" s="159"/>
      <c r="G190" s="159" t="s">
        <v>287</v>
      </c>
      <c r="H190" s="159" t="s">
        <v>908</v>
      </c>
      <c r="I190" s="159" t="s">
        <v>960</v>
      </c>
      <c r="J190" s="151"/>
      <c r="K190" s="160">
        <v>45078</v>
      </c>
      <c r="L190" s="160" t="s">
        <v>288</v>
      </c>
      <c r="M190" s="155" t="s">
        <v>288</v>
      </c>
      <c r="N190" s="155" t="s">
        <v>288</v>
      </c>
      <c r="O190" s="155">
        <v>45114</v>
      </c>
      <c r="P190" s="155">
        <v>45132</v>
      </c>
      <c r="Q190" s="155" t="s">
        <v>289</v>
      </c>
      <c r="R190" s="155"/>
      <c r="S190" s="151" t="s">
        <v>47</v>
      </c>
      <c r="T190" s="151" t="s">
        <v>290</v>
      </c>
      <c r="U190" s="156" t="s">
        <v>961</v>
      </c>
      <c r="V190" s="151" t="s">
        <v>85</v>
      </c>
      <c r="W190" s="151" t="s">
        <v>727</v>
      </c>
      <c r="X190" s="151"/>
      <c r="Y190" s="156" t="s">
        <v>774</v>
      </c>
      <c r="Z190" s="156"/>
      <c r="AA190" s="168"/>
      <c r="AB190" s="168"/>
      <c r="AC190" s="168"/>
      <c r="AD190" s="155">
        <v>45163</v>
      </c>
      <c r="AE190" s="161">
        <v>1000</v>
      </c>
      <c r="AF190" s="161">
        <v>2660</v>
      </c>
      <c r="AG190" s="155">
        <v>45110</v>
      </c>
      <c r="AH190" s="155">
        <v>45126</v>
      </c>
      <c r="AI190" s="155"/>
      <c r="AJ190" s="158">
        <v>45132</v>
      </c>
      <c r="AK190" s="211"/>
      <c r="AL190" s="158"/>
      <c r="AM190" s="1"/>
      <c r="AN190" s="1"/>
      <c r="AO190" s="1"/>
      <c r="AP190" s="1"/>
      <c r="AQ190" s="1"/>
      <c r="AR190" s="1"/>
      <c r="AS190" s="1"/>
      <c r="AT190" s="1"/>
      <c r="AU190" s="1"/>
      <c r="AV190" s="1"/>
    </row>
    <row r="191" spans="1:48" ht="45" hidden="1" customHeight="1">
      <c r="B191" s="159" t="s">
        <v>905</v>
      </c>
      <c r="C191" s="159" t="s">
        <v>770</v>
      </c>
      <c r="D191" s="159" t="s">
        <v>906</v>
      </c>
      <c r="E191" s="159" t="s">
        <v>907</v>
      </c>
      <c r="F191" s="159"/>
      <c r="G191" s="159" t="s">
        <v>308</v>
      </c>
      <c r="H191" s="159" t="s">
        <v>908</v>
      </c>
      <c r="I191" s="159" t="s">
        <v>514</v>
      </c>
      <c r="J191" s="151"/>
      <c r="K191" s="160">
        <v>45078</v>
      </c>
      <c r="L191" s="160" t="s">
        <v>288</v>
      </c>
      <c r="M191" s="155" t="s">
        <v>288</v>
      </c>
      <c r="N191" s="155" t="s">
        <v>288</v>
      </c>
      <c r="O191" s="155">
        <v>45098</v>
      </c>
      <c r="P191" s="155">
        <v>45101</v>
      </c>
      <c r="Q191" s="155" t="s">
        <v>289</v>
      </c>
      <c r="R191" s="155"/>
      <c r="S191" s="151" t="s">
        <v>47</v>
      </c>
      <c r="T191" s="151" t="s">
        <v>290</v>
      </c>
      <c r="U191" s="156" t="s">
        <v>909</v>
      </c>
      <c r="V191" s="151" t="s">
        <v>85</v>
      </c>
      <c r="W191" s="151" t="s">
        <v>863</v>
      </c>
      <c r="X191" s="151"/>
      <c r="Y191" s="156" t="s">
        <v>863</v>
      </c>
      <c r="Z191" s="156"/>
      <c r="AA191" s="168"/>
      <c r="AB191" s="168"/>
      <c r="AC191" s="168"/>
      <c r="AD191" s="155">
        <v>45131</v>
      </c>
      <c r="AE191" s="161">
        <v>1400</v>
      </c>
      <c r="AF191" s="161">
        <v>2100</v>
      </c>
      <c r="AG191" s="155">
        <v>45098</v>
      </c>
      <c r="AH191" s="155">
        <v>45101</v>
      </c>
      <c r="AI191" s="155"/>
      <c r="AJ191" s="158">
        <v>45101</v>
      </c>
      <c r="AK191" s="211"/>
      <c r="AL191" s="158"/>
      <c r="AM191" s="1"/>
    </row>
    <row r="192" spans="1:48" ht="45" hidden="1" customHeight="1">
      <c r="B192" s="159" t="s">
        <v>890</v>
      </c>
      <c r="C192" s="159" t="s">
        <v>425</v>
      </c>
      <c r="D192" s="159" t="s">
        <v>484</v>
      </c>
      <c r="E192" s="159" t="s">
        <v>891</v>
      </c>
      <c r="F192" s="159"/>
      <c r="G192" s="159" t="s">
        <v>308</v>
      </c>
      <c r="H192" s="159" t="s">
        <v>486</v>
      </c>
      <c r="I192" s="159">
        <v>111</v>
      </c>
      <c r="J192" s="151"/>
      <c r="K192" s="160">
        <v>45078</v>
      </c>
      <c r="L192" s="160" t="s">
        <v>288</v>
      </c>
      <c r="M192" s="155" t="s">
        <v>288</v>
      </c>
      <c r="N192" s="155" t="s">
        <v>288</v>
      </c>
      <c r="O192" s="155">
        <v>45079</v>
      </c>
      <c r="P192" s="155">
        <v>45082</v>
      </c>
      <c r="Q192" s="155" t="s">
        <v>289</v>
      </c>
      <c r="R192" s="155"/>
      <c r="S192" s="151" t="s">
        <v>47</v>
      </c>
      <c r="T192" s="151" t="s">
        <v>290</v>
      </c>
      <c r="U192" s="156" t="s">
        <v>889</v>
      </c>
      <c r="V192" s="151" t="s">
        <v>85</v>
      </c>
      <c r="W192" s="151" t="s">
        <v>51</v>
      </c>
      <c r="X192" s="151"/>
      <c r="Y192" s="156" t="s">
        <v>51</v>
      </c>
      <c r="Z192" s="156"/>
      <c r="AA192" s="156"/>
      <c r="AB192" s="156"/>
      <c r="AC192" s="156"/>
      <c r="AD192" s="155">
        <v>45103</v>
      </c>
      <c r="AE192" s="161">
        <v>500</v>
      </c>
      <c r="AF192" s="161">
        <v>2100</v>
      </c>
      <c r="AG192" s="155">
        <v>45079</v>
      </c>
      <c r="AH192" s="155">
        <v>45089</v>
      </c>
      <c r="AI192" s="155"/>
      <c r="AJ192" s="158">
        <v>45085</v>
      </c>
      <c r="AK192" s="211"/>
      <c r="AL192" s="158"/>
      <c r="AM192" s="1"/>
    </row>
    <row r="193" spans="1:48" ht="45" hidden="1" customHeight="1">
      <c r="B193" s="159" t="s">
        <v>910</v>
      </c>
      <c r="C193" s="159" t="s">
        <v>425</v>
      </c>
      <c r="D193" s="218" t="s">
        <v>6858</v>
      </c>
      <c r="E193" s="159" t="s">
        <v>911</v>
      </c>
      <c r="F193" s="159"/>
      <c r="G193" s="159" t="s">
        <v>446</v>
      </c>
      <c r="H193" s="159" t="s">
        <v>427</v>
      </c>
      <c r="I193" s="159" t="s">
        <v>912</v>
      </c>
      <c r="J193" s="151"/>
      <c r="K193" s="160">
        <v>45078</v>
      </c>
      <c r="L193" s="160" t="s">
        <v>288</v>
      </c>
      <c r="M193" s="155" t="s">
        <v>288</v>
      </c>
      <c r="N193" s="155" t="s">
        <v>288</v>
      </c>
      <c r="O193" s="155">
        <v>45103</v>
      </c>
      <c r="P193" s="155">
        <v>45103</v>
      </c>
      <c r="Q193" s="155" t="s">
        <v>289</v>
      </c>
      <c r="R193" s="155"/>
      <c r="S193" s="151" t="s">
        <v>47</v>
      </c>
      <c r="T193" s="151" t="s">
        <v>48</v>
      </c>
      <c r="U193" s="156" t="s">
        <v>913</v>
      </c>
      <c r="V193" s="151"/>
      <c r="W193" s="151" t="s">
        <v>721</v>
      </c>
      <c r="X193" s="151"/>
      <c r="Y193" s="156" t="s">
        <v>914</v>
      </c>
      <c r="Z193" s="156" t="s">
        <v>774</v>
      </c>
      <c r="AA193" s="168"/>
      <c r="AB193" s="168"/>
      <c r="AC193" s="168"/>
      <c r="AD193" s="155">
        <v>45121</v>
      </c>
      <c r="AE193" s="161">
        <v>1200</v>
      </c>
      <c r="AF193" s="161"/>
      <c r="AG193" s="155">
        <v>45083</v>
      </c>
      <c r="AH193" s="155">
        <v>45103</v>
      </c>
      <c r="AI193" s="155"/>
      <c r="AJ193" s="158">
        <v>45103</v>
      </c>
      <c r="AK193" s="211"/>
      <c r="AL193" s="158"/>
      <c r="AM193" s="1"/>
    </row>
    <row r="194" spans="1:48" ht="45" hidden="1" customHeight="1">
      <c r="A194" s="1"/>
      <c r="B194" s="159" t="s">
        <v>915</v>
      </c>
      <c r="C194" s="159" t="s">
        <v>425</v>
      </c>
      <c r="D194" s="218" t="s">
        <v>6858</v>
      </c>
      <c r="E194" s="159" t="s">
        <v>916</v>
      </c>
      <c r="F194" s="159"/>
      <c r="G194" s="159" t="s">
        <v>446</v>
      </c>
      <c r="H194" s="159" t="s">
        <v>427</v>
      </c>
      <c r="I194" s="159" t="s">
        <v>917</v>
      </c>
      <c r="J194" s="151"/>
      <c r="K194" s="160">
        <v>45078</v>
      </c>
      <c r="L194" s="160" t="s">
        <v>288</v>
      </c>
      <c r="M194" s="155" t="s">
        <v>288</v>
      </c>
      <c r="N194" s="155" t="s">
        <v>288</v>
      </c>
      <c r="O194" s="155">
        <v>45083</v>
      </c>
      <c r="P194" s="155">
        <v>45103</v>
      </c>
      <c r="Q194" s="155" t="s">
        <v>289</v>
      </c>
      <c r="R194" s="155"/>
      <c r="S194" s="151" t="s">
        <v>47</v>
      </c>
      <c r="T194" s="151" t="s">
        <v>48</v>
      </c>
      <c r="U194" s="156" t="s">
        <v>918</v>
      </c>
      <c r="V194" s="151"/>
      <c r="W194" s="151" t="s">
        <v>919</v>
      </c>
      <c r="X194" s="151" t="s">
        <v>920</v>
      </c>
      <c r="Y194" s="156" t="s">
        <v>921</v>
      </c>
      <c r="Z194" s="156" t="s">
        <v>922</v>
      </c>
      <c r="AA194" s="168" t="s">
        <v>923</v>
      </c>
      <c r="AB194" s="168"/>
      <c r="AC194" s="168"/>
      <c r="AD194" s="155">
        <v>45121</v>
      </c>
      <c r="AE194" s="161">
        <v>7800</v>
      </c>
      <c r="AF194" s="161">
        <v>2500</v>
      </c>
      <c r="AG194" s="155">
        <v>45083</v>
      </c>
      <c r="AH194" s="155">
        <v>45103</v>
      </c>
      <c r="AI194" s="155"/>
      <c r="AJ194" s="158">
        <v>45103</v>
      </c>
      <c r="AK194" s="211"/>
      <c r="AL194" s="158"/>
      <c r="AM194" s="1"/>
      <c r="AN194" s="1"/>
      <c r="AO194" s="1"/>
      <c r="AP194" s="1"/>
      <c r="AQ194" s="1"/>
      <c r="AR194" s="1"/>
      <c r="AS194" s="1"/>
      <c r="AT194" s="1"/>
      <c r="AU194" s="1"/>
      <c r="AV194" s="1"/>
    </row>
    <row r="195" spans="1:48" ht="45" hidden="1" customHeight="1">
      <c r="B195" s="159" t="s">
        <v>927</v>
      </c>
      <c r="C195" s="159" t="s">
        <v>731</v>
      </c>
      <c r="D195" s="159" t="s">
        <v>732</v>
      </c>
      <c r="E195" s="159" t="s">
        <v>928</v>
      </c>
      <c r="F195" s="159"/>
      <c r="G195" s="159" t="s">
        <v>296</v>
      </c>
      <c r="H195" s="159" t="s">
        <v>427</v>
      </c>
      <c r="I195" s="159">
        <v>31</v>
      </c>
      <c r="J195" s="151"/>
      <c r="K195" s="160">
        <v>45078</v>
      </c>
      <c r="L195" s="160" t="s">
        <v>288</v>
      </c>
      <c r="M195" s="155" t="s">
        <v>288</v>
      </c>
      <c r="N195" s="155" t="s">
        <v>288</v>
      </c>
      <c r="O195" s="155">
        <v>45097</v>
      </c>
      <c r="P195" s="155">
        <v>45106</v>
      </c>
      <c r="Q195" s="155" t="s">
        <v>289</v>
      </c>
      <c r="R195" s="155"/>
      <c r="S195" s="151" t="s">
        <v>47</v>
      </c>
      <c r="T195" s="151" t="s">
        <v>48</v>
      </c>
      <c r="U195" s="156" t="s">
        <v>929</v>
      </c>
      <c r="V195" s="151"/>
      <c r="W195" s="151" t="s">
        <v>681</v>
      </c>
      <c r="X195" s="151"/>
      <c r="Y195" s="156" t="s">
        <v>774</v>
      </c>
      <c r="Z195" s="156"/>
      <c r="AA195" s="168"/>
      <c r="AB195" s="168"/>
      <c r="AC195" s="168"/>
      <c r="AD195" s="155">
        <v>45134</v>
      </c>
      <c r="AE195" s="161">
        <v>2900</v>
      </c>
      <c r="AF195" s="161">
        <v>2100</v>
      </c>
      <c r="AG195" s="155">
        <v>45097</v>
      </c>
      <c r="AH195" s="155">
        <v>45105</v>
      </c>
      <c r="AI195" s="155"/>
      <c r="AJ195" s="158">
        <v>45106</v>
      </c>
      <c r="AK195" s="211"/>
      <c r="AL195" s="158"/>
      <c r="AM195" s="1"/>
    </row>
    <row r="196" spans="1:48" ht="45" hidden="1" customHeight="1">
      <c r="B196" s="159" t="s">
        <v>948</v>
      </c>
      <c r="C196" s="159" t="s">
        <v>949</v>
      </c>
      <c r="D196" s="159" t="s">
        <v>950</v>
      </c>
      <c r="E196" s="159" t="s">
        <v>951</v>
      </c>
      <c r="F196" s="159"/>
      <c r="G196" s="159" t="s">
        <v>308</v>
      </c>
      <c r="H196" s="159" t="s">
        <v>427</v>
      </c>
      <c r="I196" s="159">
        <v>72</v>
      </c>
      <c r="J196" s="151"/>
      <c r="K196" s="160">
        <v>45078</v>
      </c>
      <c r="L196" s="160" t="s">
        <v>288</v>
      </c>
      <c r="M196" s="155" t="s">
        <v>288</v>
      </c>
      <c r="N196" s="155" t="s">
        <v>288</v>
      </c>
      <c r="O196" s="155">
        <v>45127</v>
      </c>
      <c r="P196" s="155">
        <v>45127</v>
      </c>
      <c r="Q196" s="155" t="s">
        <v>289</v>
      </c>
      <c r="R196" s="155"/>
      <c r="S196" s="151" t="s">
        <v>47</v>
      </c>
      <c r="T196" s="151" t="s">
        <v>48</v>
      </c>
      <c r="U196" s="156" t="s">
        <v>952</v>
      </c>
      <c r="V196" s="151" t="s">
        <v>291</v>
      </c>
      <c r="W196" s="36" t="s">
        <v>67</v>
      </c>
      <c r="X196" s="151"/>
      <c r="Y196" s="156" t="s">
        <v>51</v>
      </c>
      <c r="Z196" s="156"/>
      <c r="AA196" s="168" t="s">
        <v>953</v>
      </c>
      <c r="AB196" s="168"/>
      <c r="AC196" s="168"/>
      <c r="AD196" s="155">
        <v>45134</v>
      </c>
      <c r="AE196" s="161">
        <v>2300</v>
      </c>
      <c r="AF196" s="161">
        <v>5100</v>
      </c>
      <c r="AG196" s="155">
        <v>45097</v>
      </c>
      <c r="AH196" s="155">
        <v>45126</v>
      </c>
      <c r="AI196" s="155"/>
      <c r="AJ196" s="158">
        <v>45127</v>
      </c>
      <c r="AK196" s="211"/>
      <c r="AL196" s="158"/>
      <c r="AM196" s="1"/>
    </row>
    <row r="197" spans="1:48" ht="45" hidden="1" customHeight="1">
      <c r="B197" s="159" t="s">
        <v>930</v>
      </c>
      <c r="C197" s="159" t="s">
        <v>311</v>
      </c>
      <c r="D197" s="159" t="s">
        <v>312</v>
      </c>
      <c r="E197" s="159" t="s">
        <v>931</v>
      </c>
      <c r="F197" s="159"/>
      <c r="G197" s="159" t="s">
        <v>296</v>
      </c>
      <c r="H197" s="159" t="s">
        <v>42</v>
      </c>
      <c r="I197" s="159" t="s">
        <v>417</v>
      </c>
      <c r="J197" s="151"/>
      <c r="K197" s="160">
        <v>45078</v>
      </c>
      <c r="L197" s="160" t="s">
        <v>288</v>
      </c>
      <c r="M197" s="155" t="s">
        <v>288</v>
      </c>
      <c r="N197" s="155" t="s">
        <v>288</v>
      </c>
      <c r="O197" s="155">
        <v>45090</v>
      </c>
      <c r="P197" s="155">
        <v>45106</v>
      </c>
      <c r="Q197" s="155" t="s">
        <v>289</v>
      </c>
      <c r="R197" s="155"/>
      <c r="S197" s="151" t="s">
        <v>47</v>
      </c>
      <c r="T197" s="151" t="s">
        <v>290</v>
      </c>
      <c r="U197" s="156" t="s">
        <v>932</v>
      </c>
      <c r="V197" s="151" t="s">
        <v>291</v>
      </c>
      <c r="W197" s="151" t="s">
        <v>844</v>
      </c>
      <c r="X197" s="151"/>
      <c r="Y197" s="156" t="s">
        <v>51</v>
      </c>
      <c r="Z197" s="156"/>
      <c r="AA197" s="168"/>
      <c r="AB197" s="168"/>
      <c r="AC197" s="168"/>
      <c r="AD197" s="155">
        <v>45121</v>
      </c>
      <c r="AE197" s="161">
        <v>1100</v>
      </c>
      <c r="AF197" s="161">
        <v>1900</v>
      </c>
      <c r="AG197" s="155">
        <v>45090</v>
      </c>
      <c r="AH197" s="155">
        <v>45105</v>
      </c>
      <c r="AI197" s="155"/>
      <c r="AJ197" s="158">
        <v>45106</v>
      </c>
      <c r="AK197" s="211"/>
      <c r="AL197" s="158"/>
      <c r="AM197" s="1"/>
    </row>
    <row r="198" spans="1:48" ht="45" hidden="1" customHeight="1">
      <c r="B198" s="159" t="s">
        <v>933</v>
      </c>
      <c r="C198" s="159" t="s">
        <v>160</v>
      </c>
      <c r="D198" s="159" t="s">
        <v>161</v>
      </c>
      <c r="E198" s="159" t="s">
        <v>934</v>
      </c>
      <c r="F198" s="159"/>
      <c r="G198" s="159" t="s">
        <v>308</v>
      </c>
      <c r="H198" s="159" t="s">
        <v>42</v>
      </c>
      <c r="I198" s="159">
        <v>53</v>
      </c>
      <c r="J198" s="151"/>
      <c r="K198" s="160">
        <v>45078</v>
      </c>
      <c r="L198" s="160" t="s">
        <v>288</v>
      </c>
      <c r="M198" s="155" t="s">
        <v>288</v>
      </c>
      <c r="N198" s="155" t="s">
        <v>288</v>
      </c>
      <c r="O198" s="155">
        <v>45099</v>
      </c>
      <c r="P198" s="155">
        <v>45107</v>
      </c>
      <c r="Q198" s="155" t="s">
        <v>289</v>
      </c>
      <c r="R198" s="155"/>
      <c r="S198" s="151" t="s">
        <v>47</v>
      </c>
      <c r="T198" s="151" t="s">
        <v>290</v>
      </c>
      <c r="U198" s="156" t="s">
        <v>935</v>
      </c>
      <c r="V198" s="151" t="s">
        <v>85</v>
      </c>
      <c r="W198" s="151" t="s">
        <v>851</v>
      </c>
      <c r="X198" s="151"/>
      <c r="Y198" s="156" t="s">
        <v>714</v>
      </c>
      <c r="Z198" s="162"/>
      <c r="AA198" s="168"/>
      <c r="AB198" s="168"/>
      <c r="AC198" s="168"/>
      <c r="AD198" s="155">
        <v>45121</v>
      </c>
      <c r="AE198" s="161">
        <v>1200</v>
      </c>
      <c r="AF198" s="161">
        <v>3300</v>
      </c>
      <c r="AG198" s="155">
        <v>45091</v>
      </c>
      <c r="AH198" s="155">
        <v>45103</v>
      </c>
      <c r="AI198" s="155"/>
      <c r="AJ198" s="158">
        <v>45107</v>
      </c>
      <c r="AK198" s="211"/>
      <c r="AL198" s="158"/>
      <c r="AM198" s="1"/>
    </row>
    <row r="199" spans="1:48" ht="45" hidden="1" customHeight="1">
      <c r="A199" s="1"/>
      <c r="B199" s="159" t="s">
        <v>892</v>
      </c>
      <c r="C199" s="159" t="s">
        <v>232</v>
      </c>
      <c r="D199" s="25" t="s">
        <v>8519</v>
      </c>
      <c r="E199" s="159" t="s">
        <v>893</v>
      </c>
      <c r="F199" s="159"/>
      <c r="G199" s="159" t="s">
        <v>137</v>
      </c>
      <c r="H199" s="159" t="s">
        <v>42</v>
      </c>
      <c r="I199" s="159" t="s">
        <v>894</v>
      </c>
      <c r="J199" s="151"/>
      <c r="K199" s="160">
        <v>45078</v>
      </c>
      <c r="L199" s="160" t="s">
        <v>288</v>
      </c>
      <c r="M199" s="155" t="s">
        <v>288</v>
      </c>
      <c r="N199" s="155" t="s">
        <v>288</v>
      </c>
      <c r="O199" s="155">
        <v>45079</v>
      </c>
      <c r="P199" s="155">
        <v>45082</v>
      </c>
      <c r="Q199" s="155" t="s">
        <v>289</v>
      </c>
      <c r="R199" s="155"/>
      <c r="S199" s="151" t="s">
        <v>47</v>
      </c>
      <c r="T199" s="151" t="s">
        <v>290</v>
      </c>
      <c r="U199" s="156" t="s">
        <v>889</v>
      </c>
      <c r="V199" s="151" t="s">
        <v>291</v>
      </c>
      <c r="W199" s="151" t="s">
        <v>895</v>
      </c>
      <c r="X199" s="151" t="s">
        <v>896</v>
      </c>
      <c r="Y199" s="156" t="s">
        <v>864</v>
      </c>
      <c r="Z199" s="156"/>
      <c r="AA199" s="164" t="s">
        <v>897</v>
      </c>
      <c r="AB199" s="164"/>
      <c r="AC199" s="164"/>
      <c r="AD199" s="155">
        <v>45103</v>
      </c>
      <c r="AE199" s="161">
        <v>2520</v>
      </c>
      <c r="AF199" s="161">
        <v>3030</v>
      </c>
      <c r="AG199" s="155">
        <v>45079</v>
      </c>
      <c r="AH199" s="155">
        <v>45089</v>
      </c>
      <c r="AI199" s="155"/>
      <c r="AJ199" s="158">
        <v>45089</v>
      </c>
      <c r="AK199" s="211"/>
      <c r="AL199" s="158"/>
      <c r="AM199" s="1"/>
      <c r="AN199" s="1"/>
      <c r="AO199" s="1"/>
      <c r="AP199" s="1"/>
      <c r="AQ199" s="1"/>
      <c r="AR199" s="1"/>
      <c r="AS199" s="1"/>
      <c r="AT199" s="1"/>
      <c r="AU199" s="1"/>
      <c r="AV199" s="1"/>
    </row>
    <row r="200" spans="1:48" ht="45" hidden="1" customHeight="1">
      <c r="B200" s="159" t="s">
        <v>966</v>
      </c>
      <c r="C200" s="159" t="s">
        <v>248</v>
      </c>
      <c r="D200" s="159" t="s">
        <v>967</v>
      </c>
      <c r="E200" s="159" t="s">
        <v>968</v>
      </c>
      <c r="F200" s="159"/>
      <c r="G200" s="159" t="s">
        <v>301</v>
      </c>
      <c r="H200" s="159" t="s">
        <v>486</v>
      </c>
      <c r="I200" s="159" t="s">
        <v>417</v>
      </c>
      <c r="J200" s="151"/>
      <c r="K200" s="160">
        <v>45078</v>
      </c>
      <c r="L200" s="160" t="s">
        <v>288</v>
      </c>
      <c r="M200" s="155" t="s">
        <v>288</v>
      </c>
      <c r="N200" s="155" t="s">
        <v>288</v>
      </c>
      <c r="O200" s="155">
        <v>45133</v>
      </c>
      <c r="P200" s="155">
        <v>45134</v>
      </c>
      <c r="Q200" s="155" t="s">
        <v>289</v>
      </c>
      <c r="R200" s="155"/>
      <c r="S200" s="151" t="s">
        <v>47</v>
      </c>
      <c r="T200" s="151" t="s">
        <v>48</v>
      </c>
      <c r="U200" s="156" t="s">
        <v>969</v>
      </c>
      <c r="V200" s="151"/>
      <c r="W200" s="151" t="s">
        <v>650</v>
      </c>
      <c r="X200" s="151"/>
      <c r="Y200" s="156" t="s">
        <v>970</v>
      </c>
      <c r="Z200" s="162"/>
      <c r="AA200" s="168"/>
      <c r="AB200" s="168"/>
      <c r="AC200" s="168"/>
      <c r="AD200" s="155">
        <v>45163</v>
      </c>
      <c r="AE200" s="161">
        <v>1240</v>
      </c>
      <c r="AF200" s="161">
        <v>2450</v>
      </c>
      <c r="AG200" s="155">
        <v>45117</v>
      </c>
      <c r="AH200" s="155">
        <v>45135</v>
      </c>
      <c r="AI200" s="155"/>
      <c r="AJ200" s="158">
        <v>45134</v>
      </c>
      <c r="AK200" s="211"/>
      <c r="AL200" s="158"/>
      <c r="AM200" s="1"/>
    </row>
    <row r="201" spans="1:48" ht="45" hidden="1" customHeight="1">
      <c r="B201" s="159" t="s">
        <v>924</v>
      </c>
      <c r="C201" s="159" t="s">
        <v>606</v>
      </c>
      <c r="D201" s="159" t="s">
        <v>607</v>
      </c>
      <c r="E201" s="159" t="s">
        <v>925</v>
      </c>
      <c r="F201" s="159"/>
      <c r="G201" s="159" t="s">
        <v>107</v>
      </c>
      <c r="H201" s="159" t="s">
        <v>42</v>
      </c>
      <c r="I201" s="159">
        <v>34</v>
      </c>
      <c r="J201" s="151"/>
      <c r="K201" s="160">
        <v>45078</v>
      </c>
      <c r="L201" s="160" t="s">
        <v>288</v>
      </c>
      <c r="M201" s="155" t="s">
        <v>288</v>
      </c>
      <c r="N201" s="155" t="s">
        <v>288</v>
      </c>
      <c r="O201" s="155">
        <v>45103</v>
      </c>
      <c r="P201" s="155">
        <v>45105</v>
      </c>
      <c r="Q201" s="155" t="s">
        <v>289</v>
      </c>
      <c r="R201" s="155"/>
      <c r="S201" s="151" t="s">
        <v>47</v>
      </c>
      <c r="T201" s="151" t="s">
        <v>290</v>
      </c>
      <c r="U201" s="156" t="s">
        <v>926</v>
      </c>
      <c r="V201" s="156" t="s">
        <v>85</v>
      </c>
      <c r="W201" s="151" t="s">
        <v>689</v>
      </c>
      <c r="X201" s="151"/>
      <c r="Y201" s="156" t="s">
        <v>864</v>
      </c>
      <c r="Z201" s="156"/>
      <c r="AA201" s="168"/>
      <c r="AB201" s="168"/>
      <c r="AC201" s="168"/>
      <c r="AD201" s="155">
        <v>45121</v>
      </c>
      <c r="AE201" s="161">
        <v>700</v>
      </c>
      <c r="AF201" s="161">
        <v>500</v>
      </c>
      <c r="AG201" s="155">
        <v>45103</v>
      </c>
      <c r="AH201" s="155">
        <v>45105</v>
      </c>
      <c r="AI201" s="155"/>
      <c r="AJ201" s="158">
        <v>45105</v>
      </c>
      <c r="AK201" s="211"/>
      <c r="AL201" s="158"/>
      <c r="AM201" s="1"/>
    </row>
    <row r="202" spans="1:48" ht="45" hidden="1" customHeight="1">
      <c r="B202" s="159" t="s">
        <v>936</v>
      </c>
      <c r="C202" s="159" t="s">
        <v>37</v>
      </c>
      <c r="D202" s="159" t="s">
        <v>38</v>
      </c>
      <c r="E202" s="159" t="s">
        <v>937</v>
      </c>
      <c r="F202" s="159"/>
      <c r="G202" s="159" t="s">
        <v>296</v>
      </c>
      <c r="H202" s="159" t="s">
        <v>42</v>
      </c>
      <c r="I202" s="159">
        <v>23</v>
      </c>
      <c r="J202" s="151"/>
      <c r="K202" s="160">
        <v>45078</v>
      </c>
      <c r="L202" s="160" t="s">
        <v>288</v>
      </c>
      <c r="M202" s="155" t="s">
        <v>288</v>
      </c>
      <c r="N202" s="155" t="s">
        <v>288</v>
      </c>
      <c r="O202" s="155">
        <v>45097</v>
      </c>
      <c r="P202" s="155">
        <v>45110</v>
      </c>
      <c r="Q202" s="155" t="s">
        <v>289</v>
      </c>
      <c r="R202" s="155"/>
      <c r="S202" s="151" t="s">
        <v>47</v>
      </c>
      <c r="T202" s="151" t="s">
        <v>290</v>
      </c>
      <c r="U202" s="156" t="s">
        <v>938</v>
      </c>
      <c r="V202" s="151" t="s">
        <v>85</v>
      </c>
      <c r="W202" s="151" t="s">
        <v>851</v>
      </c>
      <c r="X202" s="151"/>
      <c r="Y202" s="156" t="s">
        <v>714</v>
      </c>
      <c r="Z202" s="156"/>
      <c r="AA202" s="168" t="s">
        <v>939</v>
      </c>
      <c r="AB202" s="168"/>
      <c r="AC202" s="168"/>
      <c r="AD202" s="155">
        <v>45121</v>
      </c>
      <c r="AE202" s="161">
        <v>4000</v>
      </c>
      <c r="AF202" s="161">
        <v>400</v>
      </c>
      <c r="AG202" s="155">
        <v>45106</v>
      </c>
      <c r="AH202" s="155">
        <v>45111</v>
      </c>
      <c r="AI202" s="155"/>
      <c r="AJ202" s="158">
        <v>45110</v>
      </c>
      <c r="AK202" s="211"/>
      <c r="AL202" s="158"/>
      <c r="AM202" s="1"/>
    </row>
    <row r="203" spans="1:48" ht="45" hidden="1" customHeight="1">
      <c r="A203" s="1"/>
      <c r="B203" s="159" t="s">
        <v>898</v>
      </c>
      <c r="C203" s="159" t="s">
        <v>606</v>
      </c>
      <c r="D203" s="159" t="s">
        <v>607</v>
      </c>
      <c r="E203" s="159" t="s">
        <v>899</v>
      </c>
      <c r="F203" s="159"/>
      <c r="G203" s="159" t="s">
        <v>391</v>
      </c>
      <c r="H203" s="159" t="s">
        <v>42</v>
      </c>
      <c r="I203" s="159">
        <v>41</v>
      </c>
      <c r="J203" s="151"/>
      <c r="K203" s="160">
        <v>45078</v>
      </c>
      <c r="L203" s="160" t="s">
        <v>288</v>
      </c>
      <c r="M203" s="155" t="s">
        <v>900</v>
      </c>
      <c r="N203" s="155" t="s">
        <v>288</v>
      </c>
      <c r="O203" s="155">
        <v>45089</v>
      </c>
      <c r="P203" s="155">
        <v>45091</v>
      </c>
      <c r="Q203" s="155" t="s">
        <v>289</v>
      </c>
      <c r="R203" s="155"/>
      <c r="S203" s="151" t="s">
        <v>47</v>
      </c>
      <c r="T203" s="151" t="s">
        <v>290</v>
      </c>
      <c r="U203" s="156" t="s">
        <v>901</v>
      </c>
      <c r="V203" s="156" t="s">
        <v>85</v>
      </c>
      <c r="W203" s="151" t="s">
        <v>851</v>
      </c>
      <c r="X203" s="151"/>
      <c r="Y203" s="156" t="s">
        <v>51</v>
      </c>
      <c r="Z203" s="156"/>
      <c r="AA203" s="164" t="s">
        <v>897</v>
      </c>
      <c r="AB203" s="164"/>
      <c r="AC203" s="164"/>
      <c r="AD203" s="155">
        <v>45121</v>
      </c>
      <c r="AE203" s="161">
        <v>1520</v>
      </c>
      <c r="AF203" s="161">
        <v>600</v>
      </c>
      <c r="AG203" s="155">
        <v>45086</v>
      </c>
      <c r="AH203" s="155">
        <v>45090</v>
      </c>
      <c r="AI203" s="155"/>
      <c r="AJ203" s="158">
        <v>45091</v>
      </c>
      <c r="AK203" s="211"/>
      <c r="AL203" s="158"/>
      <c r="AM203" s="1"/>
      <c r="AN203" s="1"/>
      <c r="AO203" s="1"/>
      <c r="AP203" s="1"/>
      <c r="AQ203" s="1"/>
      <c r="AR203" s="1"/>
      <c r="AS203" s="1"/>
      <c r="AT203" s="1"/>
      <c r="AU203" s="1"/>
      <c r="AV203" s="1"/>
    </row>
    <row r="204" spans="1:48" ht="45" hidden="1" customHeight="1">
      <c r="A204" s="1"/>
      <c r="B204" s="159" t="s">
        <v>1127</v>
      </c>
      <c r="C204" s="159" t="s">
        <v>380</v>
      </c>
      <c r="D204" s="159" t="s">
        <v>685</v>
      </c>
      <c r="E204" s="159" t="s">
        <v>1128</v>
      </c>
      <c r="F204" s="159"/>
      <c r="G204" s="159" t="s">
        <v>296</v>
      </c>
      <c r="H204" s="159" t="s">
        <v>42</v>
      </c>
      <c r="I204" s="159"/>
      <c r="J204" s="151"/>
      <c r="K204" s="160">
        <v>45078</v>
      </c>
      <c r="L204" s="160" t="s">
        <v>288</v>
      </c>
      <c r="M204" s="155" t="s">
        <v>288</v>
      </c>
      <c r="N204" s="155" t="s">
        <v>288</v>
      </c>
      <c r="O204" s="155">
        <v>45300</v>
      </c>
      <c r="P204" s="155">
        <v>45301</v>
      </c>
      <c r="Q204" s="155" t="s">
        <v>289</v>
      </c>
      <c r="R204" s="155"/>
      <c r="S204" s="151" t="s">
        <v>47</v>
      </c>
      <c r="T204" s="151" t="s">
        <v>48</v>
      </c>
      <c r="U204" s="156" t="s">
        <v>1129</v>
      </c>
      <c r="V204" s="151" t="s">
        <v>85</v>
      </c>
      <c r="W204" s="151" t="s">
        <v>1130</v>
      </c>
      <c r="X204" s="151"/>
      <c r="Y204" s="156" t="s">
        <v>51</v>
      </c>
      <c r="Z204" s="156" t="s">
        <v>869</v>
      </c>
      <c r="AA204" s="168"/>
      <c r="AB204" s="168"/>
      <c r="AC204" s="168"/>
      <c r="AD204" s="155" t="s">
        <v>288</v>
      </c>
      <c r="AE204" s="157">
        <v>250</v>
      </c>
      <c r="AF204" s="157">
        <v>700</v>
      </c>
      <c r="AG204" s="155">
        <v>45300</v>
      </c>
      <c r="AH204" s="155">
        <v>45302</v>
      </c>
      <c r="AI204" s="155"/>
      <c r="AJ204" s="158">
        <v>45302</v>
      </c>
      <c r="AK204" s="211"/>
      <c r="AL204" s="158"/>
      <c r="AM204" s="1"/>
      <c r="AN204" s="1"/>
      <c r="AO204" s="1"/>
      <c r="AP204" s="1"/>
      <c r="AQ204" s="1"/>
      <c r="AR204" s="1"/>
      <c r="AS204" s="1"/>
      <c r="AT204" s="1"/>
      <c r="AU204" s="1"/>
      <c r="AV204" s="1"/>
    </row>
    <row r="205" spans="1:48" ht="45" hidden="1" customHeight="1">
      <c r="B205" s="159" t="s">
        <v>945</v>
      </c>
      <c r="C205" s="159" t="s">
        <v>305</v>
      </c>
      <c r="D205" s="159" t="s">
        <v>306</v>
      </c>
      <c r="E205" s="159" t="s">
        <v>946</v>
      </c>
      <c r="F205" s="159"/>
      <c r="G205" s="159" t="s">
        <v>446</v>
      </c>
      <c r="H205" s="159" t="s">
        <v>42</v>
      </c>
      <c r="I205" s="159">
        <v>61</v>
      </c>
      <c r="J205" s="151"/>
      <c r="K205" s="160">
        <v>45108</v>
      </c>
      <c r="L205" s="160" t="s">
        <v>288</v>
      </c>
      <c r="M205" s="155" t="s">
        <v>288</v>
      </c>
      <c r="N205" s="155" t="s">
        <v>288</v>
      </c>
      <c r="O205" s="155">
        <v>45121</v>
      </c>
      <c r="P205" s="155">
        <v>45122</v>
      </c>
      <c r="Q205" s="155" t="s">
        <v>289</v>
      </c>
      <c r="R205" s="155"/>
      <c r="S205" s="151" t="s">
        <v>47</v>
      </c>
      <c r="T205" s="151" t="s">
        <v>48</v>
      </c>
      <c r="U205" s="156" t="s">
        <v>947</v>
      </c>
      <c r="V205" s="151" t="s">
        <v>291</v>
      </c>
      <c r="W205" s="151" t="s">
        <v>836</v>
      </c>
      <c r="X205" s="151"/>
      <c r="Y205" s="156" t="s">
        <v>943</v>
      </c>
      <c r="Z205" s="156"/>
      <c r="AA205" s="168" t="s">
        <v>944</v>
      </c>
      <c r="AB205" s="168"/>
      <c r="AC205" s="168"/>
      <c r="AD205" s="155">
        <v>45134</v>
      </c>
      <c r="AE205" s="161">
        <v>1000</v>
      </c>
      <c r="AF205" s="161">
        <v>500</v>
      </c>
      <c r="AG205" s="155">
        <v>45107</v>
      </c>
      <c r="AH205" s="155">
        <v>45115</v>
      </c>
      <c r="AI205" s="155"/>
      <c r="AJ205" s="158">
        <v>45122</v>
      </c>
      <c r="AK205" s="211"/>
      <c r="AL205" s="158"/>
      <c r="AM205" s="1"/>
    </row>
    <row r="206" spans="1:48" ht="45" hidden="1" customHeight="1">
      <c r="A206" s="1"/>
      <c r="B206" s="159" t="s">
        <v>978</v>
      </c>
      <c r="C206" s="159" t="s">
        <v>979</v>
      </c>
      <c r="D206" s="169" t="s">
        <v>980</v>
      </c>
      <c r="E206" s="159" t="s">
        <v>981</v>
      </c>
      <c r="F206" s="159"/>
      <c r="G206" s="159" t="s">
        <v>107</v>
      </c>
      <c r="H206" s="159" t="s">
        <v>982</v>
      </c>
      <c r="I206" s="159">
        <v>211</v>
      </c>
      <c r="J206" s="151"/>
      <c r="K206" s="160">
        <v>45108</v>
      </c>
      <c r="L206" s="160" t="s">
        <v>288</v>
      </c>
      <c r="M206" s="155" t="s">
        <v>288</v>
      </c>
      <c r="N206" s="155" t="s">
        <v>288</v>
      </c>
      <c r="O206" s="155">
        <v>45138</v>
      </c>
      <c r="P206" s="155">
        <v>45138</v>
      </c>
      <c r="Q206" s="155" t="s">
        <v>289</v>
      </c>
      <c r="R206" s="155"/>
      <c r="S206" s="151" t="s">
        <v>47</v>
      </c>
      <c r="T206" s="151" t="s">
        <v>48</v>
      </c>
      <c r="U206" s="156" t="s">
        <v>983</v>
      </c>
      <c r="V206" s="151" t="s">
        <v>291</v>
      </c>
      <c r="W206" s="36" t="s">
        <v>67</v>
      </c>
      <c r="X206" s="151"/>
      <c r="Y206" s="156" t="s">
        <v>984</v>
      </c>
      <c r="Z206" s="162"/>
      <c r="AA206" s="168"/>
      <c r="AB206" s="168"/>
      <c r="AC206" s="168"/>
      <c r="AD206" s="155">
        <v>45163</v>
      </c>
      <c r="AE206" s="161">
        <v>2900</v>
      </c>
      <c r="AF206" s="161">
        <v>700</v>
      </c>
      <c r="AG206" s="155">
        <v>45131</v>
      </c>
      <c r="AH206" s="155">
        <v>45138</v>
      </c>
      <c r="AI206" s="155"/>
      <c r="AJ206" s="158">
        <v>45138</v>
      </c>
      <c r="AK206" s="211"/>
      <c r="AL206" s="158"/>
      <c r="AM206" s="1"/>
      <c r="AN206" s="1"/>
      <c r="AO206" s="1"/>
      <c r="AP206" s="1"/>
      <c r="AQ206" s="1"/>
      <c r="AR206" s="1"/>
      <c r="AS206" s="1"/>
      <c r="AT206" s="1"/>
      <c r="AU206" s="1"/>
      <c r="AV206" s="1"/>
    </row>
    <row r="207" spans="1:48" ht="45" hidden="1" customHeight="1">
      <c r="A207" s="1"/>
      <c r="B207" s="159" t="s">
        <v>985</v>
      </c>
      <c r="C207" s="159" t="s">
        <v>353</v>
      </c>
      <c r="D207" s="159" t="s">
        <v>354</v>
      </c>
      <c r="E207" s="159" t="s">
        <v>986</v>
      </c>
      <c r="F207" s="159"/>
      <c r="G207" s="159" t="s">
        <v>308</v>
      </c>
      <c r="H207" s="159" t="s">
        <v>42</v>
      </c>
      <c r="I207" s="159">
        <v>135</v>
      </c>
      <c r="J207" s="151"/>
      <c r="K207" s="160">
        <v>45108</v>
      </c>
      <c r="L207" s="160" t="s">
        <v>288</v>
      </c>
      <c r="M207" s="155" t="s">
        <v>288</v>
      </c>
      <c r="N207" s="155" t="s">
        <v>288</v>
      </c>
      <c r="O207" s="155">
        <v>45138</v>
      </c>
      <c r="P207" s="155">
        <v>45138</v>
      </c>
      <c r="Q207" s="155" t="s">
        <v>289</v>
      </c>
      <c r="R207" s="155"/>
      <c r="S207" s="151" t="s">
        <v>47</v>
      </c>
      <c r="T207" s="151" t="s">
        <v>48</v>
      </c>
      <c r="U207" s="156" t="s">
        <v>987</v>
      </c>
      <c r="V207" s="151" t="s">
        <v>291</v>
      </c>
      <c r="W207" s="151" t="s">
        <v>943</v>
      </c>
      <c r="X207" s="151"/>
      <c r="Y207" s="151" t="s">
        <v>943</v>
      </c>
      <c r="Z207" s="162"/>
      <c r="AA207" s="168"/>
      <c r="AB207" s="168"/>
      <c r="AC207" s="168"/>
      <c r="AD207" s="155">
        <v>45163</v>
      </c>
      <c r="AE207" s="161">
        <v>1500</v>
      </c>
      <c r="AF207" s="161">
        <v>2300</v>
      </c>
      <c r="AG207" s="155">
        <v>45126</v>
      </c>
      <c r="AH207" s="155">
        <v>45133</v>
      </c>
      <c r="AI207" s="155"/>
      <c r="AJ207" s="158">
        <v>45138</v>
      </c>
      <c r="AK207" s="211"/>
      <c r="AL207" s="158"/>
      <c r="AM207" s="1"/>
      <c r="AN207" s="1"/>
      <c r="AO207" s="1"/>
      <c r="AP207" s="1"/>
      <c r="AQ207" s="1"/>
      <c r="AR207" s="1"/>
      <c r="AS207" s="1"/>
      <c r="AT207" s="1"/>
      <c r="AU207" s="1"/>
      <c r="AV207" s="1"/>
    </row>
    <row r="208" spans="1:48" ht="45" hidden="1" customHeight="1">
      <c r="A208" s="1"/>
      <c r="B208" s="159" t="s">
        <v>940</v>
      </c>
      <c r="C208" s="159" t="s">
        <v>223</v>
      </c>
      <c r="D208" s="159" t="s">
        <v>224</v>
      </c>
      <c r="E208" s="159" t="s">
        <v>941</v>
      </c>
      <c r="F208" s="159"/>
      <c r="G208" s="159" t="s">
        <v>296</v>
      </c>
      <c r="H208" s="159" t="s">
        <v>42</v>
      </c>
      <c r="I208" s="159">
        <v>61</v>
      </c>
      <c r="J208" s="151"/>
      <c r="K208" s="160">
        <v>45108</v>
      </c>
      <c r="L208" s="160" t="s">
        <v>288</v>
      </c>
      <c r="M208" s="155" t="s">
        <v>288</v>
      </c>
      <c r="N208" s="155" t="s">
        <v>288</v>
      </c>
      <c r="O208" s="155">
        <v>45121</v>
      </c>
      <c r="P208" s="155">
        <v>45121</v>
      </c>
      <c r="Q208" s="155" t="s">
        <v>289</v>
      </c>
      <c r="R208" s="155"/>
      <c r="S208" s="151" t="s">
        <v>47</v>
      </c>
      <c r="T208" s="151" t="s">
        <v>290</v>
      </c>
      <c r="U208" s="156" t="s">
        <v>942</v>
      </c>
      <c r="V208" s="151" t="s">
        <v>85</v>
      </c>
      <c r="W208" s="151" t="s">
        <v>836</v>
      </c>
      <c r="X208" s="151"/>
      <c r="Y208" s="156" t="s">
        <v>943</v>
      </c>
      <c r="Z208" s="156"/>
      <c r="AA208" s="168" t="s">
        <v>944</v>
      </c>
      <c r="AB208" s="168"/>
      <c r="AC208" s="168"/>
      <c r="AD208" s="155">
        <v>45131</v>
      </c>
      <c r="AE208" s="161">
        <v>200</v>
      </c>
      <c r="AF208" s="161">
        <v>600</v>
      </c>
      <c r="AG208" s="155">
        <v>45107</v>
      </c>
      <c r="AH208" s="155">
        <v>45115</v>
      </c>
      <c r="AI208" s="155"/>
      <c r="AJ208" s="158">
        <v>45121</v>
      </c>
      <c r="AK208" s="211"/>
      <c r="AL208" s="158"/>
      <c r="AM208" s="1"/>
      <c r="AN208" s="1"/>
      <c r="AO208" s="1"/>
      <c r="AP208" s="1"/>
      <c r="AQ208" s="1"/>
      <c r="AR208" s="1"/>
      <c r="AS208" s="1"/>
      <c r="AT208" s="1"/>
      <c r="AU208" s="1"/>
      <c r="AV208" s="1"/>
    </row>
    <row r="209" spans="1:48" ht="45" hidden="1" customHeight="1">
      <c r="A209" s="1"/>
      <c r="B209" s="159" t="s">
        <v>954</v>
      </c>
      <c r="C209" s="159" t="s">
        <v>88</v>
      </c>
      <c r="D209" s="159" t="s">
        <v>89</v>
      </c>
      <c r="E209" s="159" t="s">
        <v>955</v>
      </c>
      <c r="F209" s="159"/>
      <c r="G209" s="159" t="s">
        <v>446</v>
      </c>
      <c r="H209" s="159" t="s">
        <v>42</v>
      </c>
      <c r="I209" s="159">
        <v>43</v>
      </c>
      <c r="J209" s="151"/>
      <c r="K209" s="160">
        <v>45108</v>
      </c>
      <c r="L209" s="160" t="s">
        <v>288</v>
      </c>
      <c r="M209" s="155" t="s">
        <v>288</v>
      </c>
      <c r="N209" s="155" t="s">
        <v>288</v>
      </c>
      <c r="O209" s="155">
        <v>45127</v>
      </c>
      <c r="P209" s="155">
        <v>45128</v>
      </c>
      <c r="Q209" s="155" t="s">
        <v>289</v>
      </c>
      <c r="R209" s="155"/>
      <c r="S209" s="151" t="s">
        <v>47</v>
      </c>
      <c r="T209" s="151" t="s">
        <v>48</v>
      </c>
      <c r="U209" s="156" t="s">
        <v>956</v>
      </c>
      <c r="V209" s="151" t="s">
        <v>85</v>
      </c>
      <c r="W209" s="151" t="s">
        <v>943</v>
      </c>
      <c r="X209" s="151"/>
      <c r="Y209" s="156" t="s">
        <v>943</v>
      </c>
      <c r="Z209" s="162"/>
      <c r="AA209" s="168"/>
      <c r="AB209" s="168"/>
      <c r="AC209" s="168"/>
      <c r="AD209" s="155">
        <v>45131</v>
      </c>
      <c r="AE209" s="161">
        <v>4900</v>
      </c>
      <c r="AF209" s="161">
        <v>1800</v>
      </c>
      <c r="AG209" s="155">
        <v>45125</v>
      </c>
      <c r="AH209" s="155">
        <v>45136</v>
      </c>
      <c r="AI209" s="155"/>
      <c r="AJ209" s="158">
        <v>45128</v>
      </c>
      <c r="AK209" s="211"/>
      <c r="AL209" s="158"/>
      <c r="AM209" s="1"/>
      <c r="AN209" s="1"/>
      <c r="AO209" s="1"/>
      <c r="AP209" s="1"/>
      <c r="AQ209" s="1"/>
      <c r="AR209" s="1"/>
      <c r="AS209" s="1"/>
      <c r="AT209" s="1"/>
      <c r="AU209" s="1"/>
      <c r="AV209" s="1"/>
    </row>
    <row r="210" spans="1:48" ht="45" hidden="1" customHeight="1">
      <c r="A210" s="1"/>
      <c r="B210" s="159" t="s">
        <v>971</v>
      </c>
      <c r="C210" s="159" t="s">
        <v>37</v>
      </c>
      <c r="D210" s="159" t="s">
        <v>38</v>
      </c>
      <c r="E210" s="159" t="s">
        <v>972</v>
      </c>
      <c r="F210" s="159"/>
      <c r="G210" s="159" t="s">
        <v>391</v>
      </c>
      <c r="H210" s="159" t="s">
        <v>42</v>
      </c>
      <c r="I210" s="159">
        <v>71</v>
      </c>
      <c r="J210" s="151"/>
      <c r="K210" s="160">
        <v>45108</v>
      </c>
      <c r="L210" s="160" t="s">
        <v>288</v>
      </c>
      <c r="M210" s="155" t="s">
        <v>288</v>
      </c>
      <c r="N210" s="155" t="s">
        <v>288</v>
      </c>
      <c r="O210" s="155">
        <v>45133</v>
      </c>
      <c r="P210" s="155">
        <v>45134</v>
      </c>
      <c r="Q210" s="155" t="s">
        <v>289</v>
      </c>
      <c r="R210" s="155"/>
      <c r="S210" s="151" t="s">
        <v>47</v>
      </c>
      <c r="T210" s="151" t="s">
        <v>48</v>
      </c>
      <c r="U210" s="156" t="s">
        <v>973</v>
      </c>
      <c r="V210" s="151" t="s">
        <v>85</v>
      </c>
      <c r="W210" s="151" t="s">
        <v>727</v>
      </c>
      <c r="X210" s="151"/>
      <c r="Y210" s="156" t="s">
        <v>51</v>
      </c>
      <c r="Z210" s="156"/>
      <c r="AA210" s="168"/>
      <c r="AB210" s="168"/>
      <c r="AC210" s="168"/>
      <c r="AD210" s="155">
        <v>45132</v>
      </c>
      <c r="AE210" s="161">
        <v>300</v>
      </c>
      <c r="AF210" s="161">
        <v>2800</v>
      </c>
      <c r="AG210" s="155">
        <v>45117</v>
      </c>
      <c r="AH210" s="155">
        <v>45134</v>
      </c>
      <c r="AI210" s="155"/>
      <c r="AJ210" s="158">
        <v>45134</v>
      </c>
      <c r="AK210" s="211"/>
      <c r="AL210" s="158"/>
      <c r="AM210" s="1"/>
      <c r="AN210" s="1"/>
      <c r="AO210" s="1"/>
      <c r="AP210" s="1"/>
      <c r="AQ210" s="1"/>
      <c r="AR210" s="1"/>
      <c r="AS210" s="1"/>
      <c r="AT210" s="1"/>
      <c r="AU210" s="1"/>
      <c r="AV210" s="1"/>
    </row>
    <row r="211" spans="1:48" ht="45" hidden="1" customHeight="1">
      <c r="A211" s="1"/>
      <c r="B211" s="159" t="s">
        <v>962</v>
      </c>
      <c r="C211" s="159" t="s">
        <v>668</v>
      </c>
      <c r="D211" s="159" t="s">
        <v>671</v>
      </c>
      <c r="E211" s="159" t="s">
        <v>963</v>
      </c>
      <c r="F211" s="159"/>
      <c r="G211" s="159" t="s">
        <v>296</v>
      </c>
      <c r="H211" s="159" t="s">
        <v>42</v>
      </c>
      <c r="I211" s="159">
        <v>34</v>
      </c>
      <c r="J211" s="151"/>
      <c r="K211" s="160">
        <v>45108</v>
      </c>
      <c r="L211" s="160" t="s">
        <v>288</v>
      </c>
      <c r="M211" s="155" t="s">
        <v>288</v>
      </c>
      <c r="N211" s="155" t="s">
        <v>288</v>
      </c>
      <c r="O211" s="155">
        <v>45133</v>
      </c>
      <c r="P211" s="155">
        <v>45133</v>
      </c>
      <c r="Q211" s="155" t="s">
        <v>289</v>
      </c>
      <c r="R211" s="155"/>
      <c r="S211" s="151" t="s">
        <v>47</v>
      </c>
      <c r="T211" s="151" t="s">
        <v>48</v>
      </c>
      <c r="U211" s="156" t="s">
        <v>964</v>
      </c>
      <c r="V211" s="151" t="s">
        <v>291</v>
      </c>
      <c r="W211" s="151" t="s">
        <v>851</v>
      </c>
      <c r="X211" s="151"/>
      <c r="Y211" s="156" t="s">
        <v>714</v>
      </c>
      <c r="Z211" s="156"/>
      <c r="AA211" s="168" t="s">
        <v>965</v>
      </c>
      <c r="AB211" s="168"/>
      <c r="AC211" s="168"/>
      <c r="AD211" s="155">
        <v>45163</v>
      </c>
      <c r="AE211" s="161">
        <v>6000</v>
      </c>
      <c r="AF211" s="161">
        <v>10600</v>
      </c>
      <c r="AG211" s="155">
        <v>45112</v>
      </c>
      <c r="AH211" s="155">
        <v>45135</v>
      </c>
      <c r="AI211" s="155"/>
      <c r="AJ211" s="158">
        <v>45133</v>
      </c>
      <c r="AK211" s="211"/>
      <c r="AL211" s="158"/>
      <c r="AM211" s="1"/>
      <c r="AN211" s="1"/>
      <c r="AO211" s="1"/>
      <c r="AP211" s="1"/>
      <c r="AQ211" s="1"/>
      <c r="AR211" s="1"/>
      <c r="AS211" s="1"/>
      <c r="AT211" s="1"/>
      <c r="AU211" s="1"/>
      <c r="AV211" s="1"/>
    </row>
    <row r="212" spans="1:48" ht="45" hidden="1" customHeight="1">
      <c r="A212" s="1"/>
      <c r="B212" s="159" t="s">
        <v>974</v>
      </c>
      <c r="C212" s="159" t="s">
        <v>380</v>
      </c>
      <c r="D212" s="159" t="s">
        <v>685</v>
      </c>
      <c r="E212" s="159" t="s">
        <v>975</v>
      </c>
      <c r="F212" s="159"/>
      <c r="G212" s="159" t="s">
        <v>391</v>
      </c>
      <c r="H212" s="159" t="s">
        <v>42</v>
      </c>
      <c r="I212" s="159" t="s">
        <v>153</v>
      </c>
      <c r="J212" s="151"/>
      <c r="K212" s="160">
        <v>45108</v>
      </c>
      <c r="L212" s="160" t="s">
        <v>288</v>
      </c>
      <c r="M212" s="155" t="s">
        <v>288</v>
      </c>
      <c r="N212" s="155" t="s">
        <v>288</v>
      </c>
      <c r="O212" s="155">
        <v>45134</v>
      </c>
      <c r="P212" s="155">
        <v>45134</v>
      </c>
      <c r="Q212" s="155" t="s">
        <v>289</v>
      </c>
      <c r="R212" s="155"/>
      <c r="S212" s="151" t="s">
        <v>47</v>
      </c>
      <c r="T212" s="151" t="s">
        <v>48</v>
      </c>
      <c r="U212" s="156" t="s">
        <v>976</v>
      </c>
      <c r="V212" s="151" t="s">
        <v>291</v>
      </c>
      <c r="W212" s="151" t="s">
        <v>844</v>
      </c>
      <c r="X212" s="151"/>
      <c r="Y212" s="156" t="s">
        <v>51</v>
      </c>
      <c r="Z212" s="156"/>
      <c r="AA212" s="168" t="s">
        <v>977</v>
      </c>
      <c r="AB212" s="168"/>
      <c r="AC212" s="168"/>
      <c r="AD212" s="155">
        <v>45132</v>
      </c>
      <c r="AE212" s="161">
        <v>800</v>
      </c>
      <c r="AF212" s="161">
        <v>4100</v>
      </c>
      <c r="AG212" s="155">
        <v>45106</v>
      </c>
      <c r="AH212" s="155">
        <v>45134</v>
      </c>
      <c r="AI212" s="155"/>
      <c r="AJ212" s="158">
        <v>45134</v>
      </c>
      <c r="AK212" s="211"/>
      <c r="AL212" s="158"/>
      <c r="AM212" s="1"/>
      <c r="AN212" s="1"/>
      <c r="AO212" s="1"/>
      <c r="AP212" s="1"/>
      <c r="AQ212" s="1"/>
      <c r="AR212" s="1"/>
      <c r="AS212" s="1"/>
      <c r="AT212" s="1"/>
      <c r="AU212" s="1"/>
      <c r="AV212" s="1"/>
    </row>
    <row r="213" spans="1:48" ht="45" hidden="1" customHeight="1">
      <c r="B213" s="159" t="s">
        <v>1071</v>
      </c>
      <c r="C213" s="169" t="s">
        <v>248</v>
      </c>
      <c r="D213" s="169" t="s">
        <v>1056</v>
      </c>
      <c r="E213" s="159" t="s">
        <v>1072</v>
      </c>
      <c r="F213" s="159"/>
      <c r="G213" s="159" t="s">
        <v>296</v>
      </c>
      <c r="H213" s="159" t="s">
        <v>817</v>
      </c>
      <c r="I213" s="159" t="s">
        <v>1073</v>
      </c>
      <c r="J213" s="151"/>
      <c r="K213" s="160">
        <v>45139</v>
      </c>
      <c r="L213" s="160" t="s">
        <v>288</v>
      </c>
      <c r="M213" s="155" t="s">
        <v>288</v>
      </c>
      <c r="N213" s="155" t="s">
        <v>288</v>
      </c>
      <c r="O213" s="155">
        <v>45170</v>
      </c>
      <c r="P213" s="155">
        <v>45195</v>
      </c>
      <c r="Q213" s="155" t="s">
        <v>289</v>
      </c>
      <c r="R213" s="155"/>
      <c r="S213" s="151" t="s">
        <v>47</v>
      </c>
      <c r="T213" s="151" t="s">
        <v>48</v>
      </c>
      <c r="U213" s="156" t="s">
        <v>1074</v>
      </c>
      <c r="V213" s="151"/>
      <c r="W213" s="36" t="s">
        <v>67</v>
      </c>
      <c r="X213" s="151"/>
      <c r="Y213" s="156" t="s">
        <v>51</v>
      </c>
      <c r="Z213" s="156" t="s">
        <v>1060</v>
      </c>
      <c r="AA213" s="168"/>
      <c r="AB213" s="168"/>
      <c r="AC213" s="168"/>
      <c r="AD213" s="155">
        <v>45222</v>
      </c>
      <c r="AE213" s="161">
        <v>2400</v>
      </c>
      <c r="AF213" s="161">
        <v>8900</v>
      </c>
      <c r="AG213" s="155">
        <v>45153</v>
      </c>
      <c r="AH213" s="155">
        <v>45169</v>
      </c>
      <c r="AI213" s="155"/>
      <c r="AJ213" s="158">
        <v>45195</v>
      </c>
      <c r="AK213" s="211"/>
      <c r="AL213" s="158"/>
      <c r="AM213" s="1"/>
    </row>
    <row r="214" spans="1:48" ht="45" hidden="1" customHeight="1">
      <c r="B214" s="159" t="s">
        <v>1034</v>
      </c>
      <c r="C214" s="169" t="s">
        <v>1024</v>
      </c>
      <c r="D214" s="169" t="s">
        <v>1025</v>
      </c>
      <c r="E214" s="159" t="s">
        <v>1035</v>
      </c>
      <c r="F214" s="159"/>
      <c r="G214" s="159" t="s">
        <v>137</v>
      </c>
      <c r="H214" s="159" t="s">
        <v>1027</v>
      </c>
      <c r="I214" s="159">
        <v>172</v>
      </c>
      <c r="J214" s="151"/>
      <c r="K214" s="160">
        <v>45139</v>
      </c>
      <c r="L214" s="160" t="s">
        <v>288</v>
      </c>
      <c r="M214" s="155" t="s">
        <v>288</v>
      </c>
      <c r="N214" s="155" t="s">
        <v>288</v>
      </c>
      <c r="O214" s="155">
        <v>45157</v>
      </c>
      <c r="P214" s="155">
        <v>45168</v>
      </c>
      <c r="Q214" s="155" t="s">
        <v>289</v>
      </c>
      <c r="R214" s="155"/>
      <c r="S214" s="151" t="s">
        <v>47</v>
      </c>
      <c r="T214" s="151" t="s">
        <v>48</v>
      </c>
      <c r="U214" s="156" t="s">
        <v>1036</v>
      </c>
      <c r="V214" s="151" t="s">
        <v>85</v>
      </c>
      <c r="W214" s="151" t="s">
        <v>1033</v>
      </c>
      <c r="X214" s="151"/>
      <c r="Y214" s="156" t="s">
        <v>864</v>
      </c>
      <c r="Z214" s="156"/>
      <c r="AA214" s="168"/>
      <c r="AB214" s="168"/>
      <c r="AC214" s="168"/>
      <c r="AD214" s="155">
        <v>45184</v>
      </c>
      <c r="AE214" s="161">
        <v>1800</v>
      </c>
      <c r="AF214" s="161">
        <v>5000</v>
      </c>
      <c r="AG214" s="155">
        <v>45154</v>
      </c>
      <c r="AH214" s="155">
        <v>45167</v>
      </c>
      <c r="AI214" s="155"/>
      <c r="AJ214" s="158">
        <v>45168</v>
      </c>
      <c r="AK214" s="211"/>
      <c r="AL214" s="158"/>
      <c r="AM214" s="1"/>
    </row>
    <row r="215" spans="1:48" ht="45" hidden="1" customHeight="1">
      <c r="B215" s="159" t="s">
        <v>1055</v>
      </c>
      <c r="C215" s="169" t="s">
        <v>248</v>
      </c>
      <c r="D215" s="169" t="s">
        <v>1056</v>
      </c>
      <c r="E215" s="159" t="s">
        <v>1057</v>
      </c>
      <c r="F215" s="159"/>
      <c r="G215" s="159" t="s">
        <v>296</v>
      </c>
      <c r="H215" s="159" t="s">
        <v>817</v>
      </c>
      <c r="I215" s="159" t="s">
        <v>1058</v>
      </c>
      <c r="J215" s="151"/>
      <c r="K215" s="160">
        <v>45139</v>
      </c>
      <c r="L215" s="160" t="s">
        <v>288</v>
      </c>
      <c r="M215" s="155"/>
      <c r="N215" s="155"/>
      <c r="O215" s="155"/>
      <c r="P215" s="155"/>
      <c r="Q215" s="155" t="s">
        <v>289</v>
      </c>
      <c r="R215" s="155"/>
      <c r="S215" s="151" t="s">
        <v>47</v>
      </c>
      <c r="T215" s="151" t="s">
        <v>48</v>
      </c>
      <c r="U215" s="156" t="s">
        <v>1059</v>
      </c>
      <c r="V215" s="151" t="s">
        <v>85</v>
      </c>
      <c r="W215" s="36" t="s">
        <v>67</v>
      </c>
      <c r="X215" s="151"/>
      <c r="Y215" s="151" t="s">
        <v>1060</v>
      </c>
      <c r="Z215" s="156"/>
      <c r="AA215" s="168"/>
      <c r="AB215" s="168"/>
      <c r="AC215" s="168"/>
      <c r="AD215" s="155">
        <v>45184</v>
      </c>
      <c r="AE215" s="161">
        <v>1700</v>
      </c>
      <c r="AF215" s="161">
        <v>8100</v>
      </c>
      <c r="AG215" s="155">
        <v>45154</v>
      </c>
      <c r="AH215" s="155">
        <v>45170</v>
      </c>
      <c r="AI215" s="155"/>
      <c r="AJ215" s="158">
        <v>45177</v>
      </c>
      <c r="AK215" s="211"/>
      <c r="AL215" s="158"/>
      <c r="AM215" s="1"/>
    </row>
    <row r="216" spans="1:48" ht="45" hidden="1" customHeight="1">
      <c r="B216" s="159" t="s">
        <v>1052</v>
      </c>
      <c r="C216" s="159" t="s">
        <v>111</v>
      </c>
      <c r="D216" s="159" t="s">
        <v>112</v>
      </c>
      <c r="E216" s="159" t="s">
        <v>1053</v>
      </c>
      <c r="F216" s="159"/>
      <c r="G216" s="159" t="s">
        <v>391</v>
      </c>
      <c r="H216" s="159" t="s">
        <v>42</v>
      </c>
      <c r="I216" s="159" t="s">
        <v>309</v>
      </c>
      <c r="J216" s="151"/>
      <c r="K216" s="160">
        <v>45139</v>
      </c>
      <c r="L216" s="160" t="s">
        <v>288</v>
      </c>
      <c r="M216" s="155" t="s">
        <v>288</v>
      </c>
      <c r="N216" s="155" t="s">
        <v>288</v>
      </c>
      <c r="O216" s="155">
        <v>45174</v>
      </c>
      <c r="P216" s="155">
        <v>45174</v>
      </c>
      <c r="Q216" s="155" t="s">
        <v>289</v>
      </c>
      <c r="R216" s="155"/>
      <c r="S216" s="151" t="s">
        <v>47</v>
      </c>
      <c r="T216" s="151" t="s">
        <v>48</v>
      </c>
      <c r="U216" s="156" t="s">
        <v>1054</v>
      </c>
      <c r="V216" s="151" t="s">
        <v>85</v>
      </c>
      <c r="W216" s="151" t="s">
        <v>50</v>
      </c>
      <c r="X216" s="151"/>
      <c r="Y216" s="151" t="s">
        <v>864</v>
      </c>
      <c r="Z216" s="156"/>
      <c r="AA216" s="168"/>
      <c r="AB216" s="168"/>
      <c r="AC216" s="168"/>
      <c r="AD216" s="155">
        <v>45184</v>
      </c>
      <c r="AE216" s="161">
        <v>1000</v>
      </c>
      <c r="AF216" s="161">
        <v>3500</v>
      </c>
      <c r="AG216" s="155">
        <v>45162</v>
      </c>
      <c r="AH216" s="155">
        <v>45167</v>
      </c>
      <c r="AI216" s="155"/>
      <c r="AJ216" s="158">
        <v>45174</v>
      </c>
      <c r="AK216" s="211"/>
      <c r="AL216" s="158"/>
      <c r="AM216" s="1"/>
    </row>
    <row r="217" spans="1:48" ht="45" hidden="1" customHeight="1">
      <c r="B217" s="159" t="s">
        <v>1037</v>
      </c>
      <c r="C217" s="169" t="s">
        <v>1038</v>
      </c>
      <c r="D217" s="169" t="s">
        <v>1039</v>
      </c>
      <c r="E217" s="159" t="s">
        <v>1040</v>
      </c>
      <c r="F217" s="159"/>
      <c r="G217" s="159" t="s">
        <v>296</v>
      </c>
      <c r="H217" s="159" t="s">
        <v>822</v>
      </c>
      <c r="I217" s="159" t="s">
        <v>1041</v>
      </c>
      <c r="J217" s="151"/>
      <c r="K217" s="160">
        <v>45139</v>
      </c>
      <c r="L217" s="160" t="s">
        <v>288</v>
      </c>
      <c r="M217" s="155" t="s">
        <v>288</v>
      </c>
      <c r="N217" s="155" t="s">
        <v>288</v>
      </c>
      <c r="O217" s="155">
        <v>45149</v>
      </c>
      <c r="P217" s="155">
        <v>45168</v>
      </c>
      <c r="Q217" s="155" t="s">
        <v>289</v>
      </c>
      <c r="R217" s="155"/>
      <c r="S217" s="151" t="s">
        <v>47</v>
      </c>
      <c r="T217" s="151" t="s">
        <v>48</v>
      </c>
      <c r="U217" s="156" t="s">
        <v>1042</v>
      </c>
      <c r="V217" s="151" t="s">
        <v>291</v>
      </c>
      <c r="W217" s="151" t="s">
        <v>650</v>
      </c>
      <c r="X217" s="151"/>
      <c r="Y217" s="156" t="s">
        <v>774</v>
      </c>
      <c r="Z217" s="156"/>
      <c r="AA217" s="168"/>
      <c r="AB217" s="168"/>
      <c r="AC217" s="168"/>
      <c r="AD217" s="155">
        <v>45184</v>
      </c>
      <c r="AE217" s="161">
        <v>3600</v>
      </c>
      <c r="AF217" s="161">
        <v>9500</v>
      </c>
      <c r="AG217" s="155">
        <v>45146</v>
      </c>
      <c r="AH217" s="155">
        <v>45165</v>
      </c>
      <c r="AI217" s="155"/>
      <c r="AJ217" s="158">
        <v>45168</v>
      </c>
      <c r="AK217" s="211"/>
      <c r="AL217" s="158"/>
      <c r="AM217" s="1"/>
    </row>
    <row r="218" spans="1:48" ht="45" hidden="1" customHeight="1">
      <c r="A218" s="1"/>
      <c r="B218" s="159" t="s">
        <v>1014</v>
      </c>
      <c r="C218" s="159" t="s">
        <v>1015</v>
      </c>
      <c r="D218" s="169" t="s">
        <v>1016</v>
      </c>
      <c r="E218" s="159" t="s">
        <v>1017</v>
      </c>
      <c r="F218" s="159"/>
      <c r="G218" s="159" t="s">
        <v>296</v>
      </c>
      <c r="H218" s="159" t="s">
        <v>747</v>
      </c>
      <c r="I218" s="159">
        <v>31</v>
      </c>
      <c r="J218" s="151"/>
      <c r="K218" s="160">
        <v>45139</v>
      </c>
      <c r="L218" s="160" t="s">
        <v>288</v>
      </c>
      <c r="M218" s="155" t="s">
        <v>288</v>
      </c>
      <c r="N218" s="155" t="s">
        <v>288</v>
      </c>
      <c r="O218" s="155">
        <v>45156</v>
      </c>
      <c r="P218" s="155">
        <v>45157</v>
      </c>
      <c r="Q218" s="155" t="s">
        <v>289</v>
      </c>
      <c r="R218" s="155"/>
      <c r="S218" s="151" t="s">
        <v>47</v>
      </c>
      <c r="T218" s="151" t="s">
        <v>290</v>
      </c>
      <c r="U218" s="156" t="s">
        <v>1018</v>
      </c>
      <c r="V218" s="151" t="s">
        <v>291</v>
      </c>
      <c r="W218" s="151" t="s">
        <v>1019</v>
      </c>
      <c r="X218" s="151"/>
      <c r="Y218" s="156" t="s">
        <v>864</v>
      </c>
      <c r="Z218" s="162"/>
      <c r="AA218" s="168"/>
      <c r="AB218" s="168"/>
      <c r="AC218" s="168"/>
      <c r="AD218" s="155">
        <v>45184</v>
      </c>
      <c r="AE218" s="161">
        <v>4300</v>
      </c>
      <c r="AF218" s="161">
        <v>1700</v>
      </c>
      <c r="AG218" s="155">
        <v>45154</v>
      </c>
      <c r="AH218" s="155">
        <v>45159</v>
      </c>
      <c r="AI218" s="155"/>
      <c r="AJ218" s="158">
        <v>45157</v>
      </c>
      <c r="AK218" s="211"/>
      <c r="AL218" s="158"/>
      <c r="AM218" s="1"/>
      <c r="AN218" s="1"/>
      <c r="AO218" s="1"/>
      <c r="AP218" s="1"/>
      <c r="AQ218" s="1"/>
      <c r="AR218" s="1"/>
      <c r="AS218" s="1"/>
      <c r="AT218" s="1"/>
      <c r="AU218" s="1"/>
      <c r="AV218" s="1"/>
    </row>
    <row r="219" spans="1:48" ht="45" hidden="1" customHeight="1">
      <c r="A219" s="1"/>
      <c r="B219" s="159" t="s">
        <v>996</v>
      </c>
      <c r="C219" s="159" t="s">
        <v>648</v>
      </c>
      <c r="D219" s="159" t="s">
        <v>997</v>
      </c>
      <c r="E219" s="159" t="s">
        <v>998</v>
      </c>
      <c r="F219" s="159"/>
      <c r="G219" s="159" t="s">
        <v>301</v>
      </c>
      <c r="H219" s="159" t="s">
        <v>42</v>
      </c>
      <c r="I219" s="159" t="s">
        <v>378</v>
      </c>
      <c r="J219" s="151"/>
      <c r="K219" s="160">
        <v>45139</v>
      </c>
      <c r="L219" s="160" t="s">
        <v>288</v>
      </c>
      <c r="M219" s="155" t="s">
        <v>288</v>
      </c>
      <c r="N219" s="155" t="s">
        <v>288</v>
      </c>
      <c r="O219" s="155">
        <v>45154</v>
      </c>
      <c r="P219" s="155">
        <v>45154</v>
      </c>
      <c r="Q219" s="155" t="s">
        <v>289</v>
      </c>
      <c r="R219" s="155"/>
      <c r="S219" s="151" t="s">
        <v>47</v>
      </c>
      <c r="T219" s="151" t="s">
        <v>48</v>
      </c>
      <c r="U219" s="156" t="s">
        <v>999</v>
      </c>
      <c r="V219" s="151" t="s">
        <v>291</v>
      </c>
      <c r="W219" s="151" t="s">
        <v>856</v>
      </c>
      <c r="X219" s="151"/>
      <c r="Y219" s="156" t="s">
        <v>1000</v>
      </c>
      <c r="Z219" s="162"/>
      <c r="AA219" s="168"/>
      <c r="AB219" s="168"/>
      <c r="AC219" s="168"/>
      <c r="AD219" s="155">
        <v>45163</v>
      </c>
      <c r="AE219" s="161">
        <v>3000</v>
      </c>
      <c r="AF219" s="161">
        <v>6000</v>
      </c>
      <c r="AG219" s="155">
        <v>45127</v>
      </c>
      <c r="AH219" s="155">
        <v>45149</v>
      </c>
      <c r="AI219" s="155"/>
      <c r="AJ219" s="158">
        <v>45154</v>
      </c>
      <c r="AK219" s="211"/>
      <c r="AL219" s="158"/>
      <c r="AM219" s="1"/>
      <c r="AN219" s="1"/>
      <c r="AO219" s="1"/>
      <c r="AP219" s="1"/>
      <c r="AQ219" s="1"/>
      <c r="AR219" s="1"/>
      <c r="AS219" s="1"/>
      <c r="AT219" s="1"/>
      <c r="AU219" s="1"/>
      <c r="AV219" s="1"/>
    </row>
    <row r="220" spans="1:48" ht="45" hidden="1" customHeight="1">
      <c r="B220" s="159" t="s">
        <v>1004</v>
      </c>
      <c r="C220" s="159" t="s">
        <v>425</v>
      </c>
      <c r="D220" s="218" t="s">
        <v>6858</v>
      </c>
      <c r="E220" s="159" t="s">
        <v>425</v>
      </c>
      <c r="F220" s="159"/>
      <c r="G220" s="159" t="s">
        <v>137</v>
      </c>
      <c r="H220" s="159" t="s">
        <v>427</v>
      </c>
      <c r="I220" s="159" t="s">
        <v>1005</v>
      </c>
      <c r="J220" s="151"/>
      <c r="K220" s="160">
        <v>45139</v>
      </c>
      <c r="L220" s="160" t="s">
        <v>288</v>
      </c>
      <c r="M220" s="155" t="s">
        <v>288</v>
      </c>
      <c r="N220" s="155" t="s">
        <v>288</v>
      </c>
      <c r="O220" s="155">
        <v>45156</v>
      </c>
      <c r="P220" s="155">
        <v>45156</v>
      </c>
      <c r="Q220" s="155" t="s">
        <v>289</v>
      </c>
      <c r="R220" s="155"/>
      <c r="S220" s="151" t="s">
        <v>47</v>
      </c>
      <c r="T220" s="151" t="s">
        <v>48</v>
      </c>
      <c r="U220" s="156" t="s">
        <v>1006</v>
      </c>
      <c r="V220" s="151" t="s">
        <v>291</v>
      </c>
      <c r="W220" s="151" t="s">
        <v>1007</v>
      </c>
      <c r="X220" s="151"/>
      <c r="Y220" s="156" t="s">
        <v>774</v>
      </c>
      <c r="Z220" s="162"/>
      <c r="AA220" s="168"/>
      <c r="AB220" s="168"/>
      <c r="AC220" s="168"/>
      <c r="AD220" s="155">
        <v>45163</v>
      </c>
      <c r="AE220" s="161">
        <v>2800</v>
      </c>
      <c r="AF220" s="161">
        <v>8500</v>
      </c>
      <c r="AG220" s="155">
        <v>45138</v>
      </c>
      <c r="AH220" s="155">
        <v>45149</v>
      </c>
      <c r="AI220" s="155"/>
      <c r="AJ220" s="158">
        <v>45156</v>
      </c>
      <c r="AK220" s="211"/>
      <c r="AL220" s="158"/>
      <c r="AM220" s="1"/>
    </row>
    <row r="221" spans="1:48" ht="45" hidden="1" customHeight="1">
      <c r="B221" s="159" t="s">
        <v>1049</v>
      </c>
      <c r="C221" s="169" t="s">
        <v>1024</v>
      </c>
      <c r="D221" s="169" t="s">
        <v>1025</v>
      </c>
      <c r="E221" s="159" t="s">
        <v>1050</v>
      </c>
      <c r="F221" s="159"/>
      <c r="G221" s="159" t="s">
        <v>137</v>
      </c>
      <c r="H221" s="159" t="s">
        <v>1027</v>
      </c>
      <c r="I221" s="159">
        <v>163</v>
      </c>
      <c r="J221" s="151"/>
      <c r="K221" s="160">
        <v>45139</v>
      </c>
      <c r="L221" s="160" t="s">
        <v>288</v>
      </c>
      <c r="M221" s="155" t="s">
        <v>288</v>
      </c>
      <c r="N221" s="155" t="s">
        <v>288</v>
      </c>
      <c r="O221" s="155">
        <v>45166</v>
      </c>
      <c r="P221" s="155">
        <v>45169</v>
      </c>
      <c r="Q221" s="155" t="s">
        <v>289</v>
      </c>
      <c r="R221" s="155"/>
      <c r="S221" s="151" t="s">
        <v>47</v>
      </c>
      <c r="T221" s="151" t="s">
        <v>48</v>
      </c>
      <c r="U221" s="156" t="s">
        <v>1051</v>
      </c>
      <c r="V221" s="151" t="s">
        <v>85</v>
      </c>
      <c r="W221" s="151" t="s">
        <v>1019</v>
      </c>
      <c r="X221" s="151"/>
      <c r="Y221" s="156" t="s">
        <v>864</v>
      </c>
      <c r="Z221" s="156"/>
      <c r="AA221" s="168"/>
      <c r="AB221" s="168"/>
      <c r="AC221" s="168"/>
      <c r="AD221" s="155">
        <v>45184</v>
      </c>
      <c r="AE221" s="161">
        <v>3000</v>
      </c>
      <c r="AF221" s="161">
        <v>4100</v>
      </c>
      <c r="AG221" s="155">
        <v>45153</v>
      </c>
      <c r="AH221" s="155">
        <v>45164</v>
      </c>
      <c r="AI221" s="155"/>
      <c r="AJ221" s="158">
        <v>45169</v>
      </c>
      <c r="AK221" s="211"/>
      <c r="AL221" s="158"/>
      <c r="AM221" s="1"/>
    </row>
    <row r="222" spans="1:48" ht="45" hidden="1" customHeight="1">
      <c r="B222" s="159" t="s">
        <v>1023</v>
      </c>
      <c r="C222" s="169" t="s">
        <v>1024</v>
      </c>
      <c r="D222" s="169" t="s">
        <v>1025</v>
      </c>
      <c r="E222" s="159" t="s">
        <v>1026</v>
      </c>
      <c r="F222" s="159"/>
      <c r="G222" s="159" t="s">
        <v>137</v>
      </c>
      <c r="H222" s="159" t="s">
        <v>1027</v>
      </c>
      <c r="I222" s="159" t="s">
        <v>378</v>
      </c>
      <c r="J222" s="151"/>
      <c r="K222" s="160">
        <v>45139</v>
      </c>
      <c r="L222" s="160" t="s">
        <v>288</v>
      </c>
      <c r="M222" s="155" t="s">
        <v>288</v>
      </c>
      <c r="N222" s="155" t="s">
        <v>288</v>
      </c>
      <c r="O222" s="155">
        <v>45160</v>
      </c>
      <c r="P222" s="155">
        <v>45164</v>
      </c>
      <c r="Q222" s="155" t="s">
        <v>289</v>
      </c>
      <c r="R222" s="155"/>
      <c r="S222" s="151" t="s">
        <v>47</v>
      </c>
      <c r="T222" s="151" t="s">
        <v>48</v>
      </c>
      <c r="U222" s="156" t="s">
        <v>1028</v>
      </c>
      <c r="V222" s="151" t="s">
        <v>85</v>
      </c>
      <c r="W222" s="151" t="s">
        <v>1007</v>
      </c>
      <c r="X222" s="151"/>
      <c r="Y222" s="156" t="s">
        <v>864</v>
      </c>
      <c r="Z222" s="156"/>
      <c r="AA222" s="168"/>
      <c r="AB222" s="168"/>
      <c r="AC222" s="168"/>
      <c r="AD222" s="155">
        <v>45184</v>
      </c>
      <c r="AE222" s="161">
        <v>1600</v>
      </c>
      <c r="AF222" s="161">
        <v>5000</v>
      </c>
      <c r="AG222" s="155">
        <v>45146</v>
      </c>
      <c r="AH222" s="155">
        <v>45155</v>
      </c>
      <c r="AI222" s="155"/>
      <c r="AJ222" s="158">
        <v>45164</v>
      </c>
      <c r="AK222" s="211"/>
      <c r="AL222" s="158"/>
      <c r="AM222" s="1"/>
    </row>
    <row r="223" spans="1:48" ht="45" hidden="1" customHeight="1">
      <c r="B223" s="159" t="s">
        <v>1061</v>
      </c>
      <c r="C223" s="169" t="s">
        <v>203</v>
      </c>
      <c r="D223" s="169" t="s">
        <v>204</v>
      </c>
      <c r="E223" s="159" t="s">
        <v>203</v>
      </c>
      <c r="F223" s="159"/>
      <c r="G223" s="159" t="s">
        <v>107</v>
      </c>
      <c r="H223" s="159" t="s">
        <v>42</v>
      </c>
      <c r="I223" s="159" t="s">
        <v>438</v>
      </c>
      <c r="J223" s="151"/>
      <c r="K223" s="160">
        <v>45139</v>
      </c>
      <c r="L223" s="160" t="s">
        <v>288</v>
      </c>
      <c r="M223" s="155" t="s">
        <v>288</v>
      </c>
      <c r="N223" s="155" t="s">
        <v>288</v>
      </c>
      <c r="O223" s="155">
        <v>45180</v>
      </c>
      <c r="P223" s="155">
        <v>45180</v>
      </c>
      <c r="Q223" s="155" t="s">
        <v>289</v>
      </c>
      <c r="R223" s="155"/>
      <c r="S223" s="151" t="s">
        <v>47</v>
      </c>
      <c r="T223" s="151" t="s">
        <v>48</v>
      </c>
      <c r="U223" s="156" t="s">
        <v>1062</v>
      </c>
      <c r="V223" s="151" t="s">
        <v>291</v>
      </c>
      <c r="W223" s="151" t="s">
        <v>992</v>
      </c>
      <c r="X223" s="151" t="s">
        <v>856</v>
      </c>
      <c r="Y223" s="156" t="s">
        <v>714</v>
      </c>
      <c r="Z223" s="156" t="s">
        <v>51</v>
      </c>
      <c r="AA223" s="168"/>
      <c r="AB223" s="168"/>
      <c r="AC223" s="168"/>
      <c r="AD223" s="155">
        <v>45184</v>
      </c>
      <c r="AE223" s="161">
        <v>3500</v>
      </c>
      <c r="AF223" s="161">
        <v>14100</v>
      </c>
      <c r="AG223" s="155">
        <v>45138</v>
      </c>
      <c r="AH223" s="155">
        <v>45152</v>
      </c>
      <c r="AI223" s="155"/>
      <c r="AJ223" s="158">
        <v>45180</v>
      </c>
      <c r="AK223" s="211"/>
      <c r="AL223" s="158"/>
      <c r="AM223" s="1"/>
    </row>
    <row r="224" spans="1:48" ht="45" hidden="1" customHeight="1">
      <c r="B224" s="159" t="s">
        <v>1029</v>
      </c>
      <c r="C224" s="169" t="s">
        <v>1030</v>
      </c>
      <c r="D224" s="169" t="s">
        <v>1031</v>
      </c>
      <c r="E224" s="159" t="s">
        <v>1032</v>
      </c>
      <c r="F224" s="159"/>
      <c r="G224" s="159" t="s">
        <v>287</v>
      </c>
      <c r="H224" s="159" t="s">
        <v>42</v>
      </c>
      <c r="I224" s="159">
        <v>61</v>
      </c>
      <c r="J224" s="151"/>
      <c r="K224" s="160">
        <v>45139</v>
      </c>
      <c r="L224" s="160" t="s">
        <v>288</v>
      </c>
      <c r="M224" s="155" t="s">
        <v>288</v>
      </c>
      <c r="N224" s="155" t="s">
        <v>288</v>
      </c>
      <c r="O224" s="155">
        <v>45160</v>
      </c>
      <c r="P224" s="155">
        <v>45164</v>
      </c>
      <c r="Q224" s="155" t="s">
        <v>289</v>
      </c>
      <c r="R224" s="155"/>
      <c r="S224" s="151" t="s">
        <v>47</v>
      </c>
      <c r="T224" s="151" t="s">
        <v>48</v>
      </c>
      <c r="U224" s="156" t="s">
        <v>357</v>
      </c>
      <c r="V224" s="151" t="s">
        <v>291</v>
      </c>
      <c r="W224" s="151" t="s">
        <v>1033</v>
      </c>
      <c r="X224" s="151"/>
      <c r="Y224" s="156" t="s">
        <v>984</v>
      </c>
      <c r="Z224" s="156"/>
      <c r="AA224" s="168"/>
      <c r="AB224" s="168"/>
      <c r="AC224" s="168"/>
      <c r="AD224" s="155">
        <v>45185</v>
      </c>
      <c r="AE224" s="161">
        <v>1200</v>
      </c>
      <c r="AF224" s="161">
        <v>700</v>
      </c>
      <c r="AG224" s="155">
        <v>45153</v>
      </c>
      <c r="AH224" s="155">
        <v>45159</v>
      </c>
      <c r="AI224" s="155"/>
      <c r="AJ224" s="158">
        <v>45164</v>
      </c>
      <c r="AK224" s="211"/>
      <c r="AL224" s="158"/>
      <c r="AM224" s="1"/>
    </row>
    <row r="225" spans="1:48" ht="45" hidden="1" customHeight="1">
      <c r="A225" s="1"/>
      <c r="B225" s="159" t="s">
        <v>988</v>
      </c>
      <c r="C225" s="159" t="s">
        <v>989</v>
      </c>
      <c r="D225" s="169" t="s">
        <v>55</v>
      </c>
      <c r="E225" s="159" t="s">
        <v>990</v>
      </c>
      <c r="F225" s="159"/>
      <c r="G225" s="159" t="s">
        <v>446</v>
      </c>
      <c r="H225" s="159" t="s">
        <v>42</v>
      </c>
      <c r="I225" s="159">
        <v>91</v>
      </c>
      <c r="J225" s="151"/>
      <c r="K225" s="160">
        <v>45139</v>
      </c>
      <c r="L225" s="160" t="s">
        <v>288</v>
      </c>
      <c r="M225" s="155" t="s">
        <v>288</v>
      </c>
      <c r="N225" s="155" t="s">
        <v>288</v>
      </c>
      <c r="O225" s="155">
        <v>45140</v>
      </c>
      <c r="P225" s="155">
        <v>45140</v>
      </c>
      <c r="Q225" s="155" t="s">
        <v>289</v>
      </c>
      <c r="R225" s="155"/>
      <c r="S225" s="151" t="s">
        <v>47</v>
      </c>
      <c r="T225" s="151" t="s">
        <v>48</v>
      </c>
      <c r="U225" s="156" t="s">
        <v>991</v>
      </c>
      <c r="V225" s="151" t="s">
        <v>291</v>
      </c>
      <c r="W225" s="151" t="s">
        <v>992</v>
      </c>
      <c r="X225" s="151"/>
      <c r="Y225" s="156" t="s">
        <v>984</v>
      </c>
      <c r="Z225" s="162"/>
      <c r="AA225" s="168"/>
      <c r="AB225" s="168"/>
      <c r="AC225" s="168"/>
      <c r="AD225" s="155">
        <v>45163</v>
      </c>
      <c r="AE225" s="161">
        <v>1100</v>
      </c>
      <c r="AF225" s="161">
        <v>200</v>
      </c>
      <c r="AG225" s="155">
        <v>45138</v>
      </c>
      <c r="AH225" s="155">
        <v>45140</v>
      </c>
      <c r="AI225" s="155"/>
      <c r="AJ225" s="158">
        <v>45140</v>
      </c>
      <c r="AK225" s="211"/>
      <c r="AL225" s="158"/>
      <c r="AM225" s="1"/>
      <c r="AN225" s="1"/>
      <c r="AO225" s="1"/>
      <c r="AP225" s="1"/>
      <c r="AQ225" s="1"/>
      <c r="AR225" s="1"/>
      <c r="AS225" s="1"/>
      <c r="AT225" s="1"/>
      <c r="AU225" s="1"/>
      <c r="AV225" s="1"/>
    </row>
    <row r="226" spans="1:48" ht="45" hidden="1" customHeight="1">
      <c r="B226" s="159" t="s">
        <v>1001</v>
      </c>
      <c r="C226" s="159" t="s">
        <v>328</v>
      </c>
      <c r="D226" s="159" t="s">
        <v>329</v>
      </c>
      <c r="E226" s="159" t="s">
        <v>449</v>
      </c>
      <c r="F226" s="159"/>
      <c r="G226" s="159" t="s">
        <v>296</v>
      </c>
      <c r="H226" s="159" t="s">
        <v>42</v>
      </c>
      <c r="I226" s="159" t="s">
        <v>482</v>
      </c>
      <c r="J226" s="151"/>
      <c r="K226" s="160">
        <v>45139</v>
      </c>
      <c r="L226" s="160" t="s">
        <v>288</v>
      </c>
      <c r="M226" s="155" t="s">
        <v>288</v>
      </c>
      <c r="N226" s="155" t="s">
        <v>288</v>
      </c>
      <c r="O226" s="155">
        <v>45154</v>
      </c>
      <c r="P226" s="155">
        <v>45154</v>
      </c>
      <c r="Q226" s="155" t="s">
        <v>289</v>
      </c>
      <c r="R226" s="155"/>
      <c r="S226" s="151" t="s">
        <v>47</v>
      </c>
      <c r="T226" s="151" t="s">
        <v>48</v>
      </c>
      <c r="U226" s="156" t="s">
        <v>1002</v>
      </c>
      <c r="V226" s="151" t="s">
        <v>291</v>
      </c>
      <c r="W226" s="151" t="s">
        <v>1003</v>
      </c>
      <c r="X226" s="151"/>
      <c r="Y226" s="156" t="s">
        <v>51</v>
      </c>
      <c r="Z226" s="162"/>
      <c r="AA226" s="168"/>
      <c r="AB226" s="168"/>
      <c r="AC226" s="168"/>
      <c r="AD226" s="155">
        <v>45163</v>
      </c>
      <c r="AE226" s="161">
        <v>3700</v>
      </c>
      <c r="AF226" s="161">
        <v>14500</v>
      </c>
      <c r="AG226" s="155">
        <v>45126</v>
      </c>
      <c r="AH226" s="155">
        <v>45149</v>
      </c>
      <c r="AI226" s="155"/>
      <c r="AJ226" s="158">
        <v>45154</v>
      </c>
      <c r="AK226" s="211"/>
      <c r="AL226" s="158"/>
      <c r="AM226" s="1"/>
    </row>
    <row r="227" spans="1:48" ht="45" hidden="1" customHeight="1">
      <c r="B227" s="159" t="s">
        <v>1008</v>
      </c>
      <c r="C227" s="159" t="s">
        <v>425</v>
      </c>
      <c r="D227" s="169" t="s">
        <v>1009</v>
      </c>
      <c r="E227" s="159" t="s">
        <v>1010</v>
      </c>
      <c r="F227" s="159"/>
      <c r="G227" s="159" t="s">
        <v>446</v>
      </c>
      <c r="H227" s="159" t="s">
        <v>1011</v>
      </c>
      <c r="I227" s="159">
        <v>172</v>
      </c>
      <c r="J227" s="151"/>
      <c r="K227" s="160">
        <v>45139</v>
      </c>
      <c r="L227" s="160" t="s">
        <v>288</v>
      </c>
      <c r="M227" s="155" t="s">
        <v>288</v>
      </c>
      <c r="N227" s="155" t="s">
        <v>288</v>
      </c>
      <c r="O227" s="155">
        <v>45146</v>
      </c>
      <c r="P227" s="155">
        <v>45156</v>
      </c>
      <c r="Q227" s="155" t="s">
        <v>289</v>
      </c>
      <c r="R227" s="155"/>
      <c r="S227" s="151" t="s">
        <v>47</v>
      </c>
      <c r="T227" s="151" t="s">
        <v>48</v>
      </c>
      <c r="U227" s="156" t="s">
        <v>1012</v>
      </c>
      <c r="V227" s="151" t="s">
        <v>291</v>
      </c>
      <c r="W227" s="151" t="s">
        <v>1013</v>
      </c>
      <c r="X227" s="151"/>
      <c r="Y227" s="156" t="s">
        <v>1013</v>
      </c>
      <c r="Z227" s="162"/>
      <c r="AA227" s="168"/>
      <c r="AB227" s="168"/>
      <c r="AC227" s="168"/>
      <c r="AD227" s="155">
        <v>45184</v>
      </c>
      <c r="AE227" s="161">
        <v>3000</v>
      </c>
      <c r="AF227" s="161">
        <v>500</v>
      </c>
      <c r="AG227" s="155">
        <v>45139</v>
      </c>
      <c r="AH227" s="155">
        <v>45153</v>
      </c>
      <c r="AI227" s="155"/>
      <c r="AJ227" s="158">
        <v>45156</v>
      </c>
      <c r="AK227" s="211"/>
      <c r="AL227" s="158"/>
      <c r="AM227" s="1"/>
    </row>
    <row r="228" spans="1:48" ht="45" hidden="1" customHeight="1">
      <c r="A228" s="1"/>
      <c r="B228" s="159" t="s">
        <v>993</v>
      </c>
      <c r="C228" s="159" t="s">
        <v>54</v>
      </c>
      <c r="D228" s="169" t="s">
        <v>55</v>
      </c>
      <c r="E228" s="159" t="s">
        <v>994</v>
      </c>
      <c r="F228" s="159"/>
      <c r="G228" s="159" t="s">
        <v>446</v>
      </c>
      <c r="H228" s="159" t="s">
        <v>42</v>
      </c>
      <c r="I228" s="159" t="s">
        <v>582</v>
      </c>
      <c r="J228" s="151"/>
      <c r="K228" s="160">
        <v>45139</v>
      </c>
      <c r="L228" s="160" t="s">
        <v>288</v>
      </c>
      <c r="M228" s="155" t="s">
        <v>288</v>
      </c>
      <c r="N228" s="155" t="s">
        <v>288</v>
      </c>
      <c r="O228" s="155">
        <v>45142</v>
      </c>
      <c r="P228" s="155">
        <v>45147</v>
      </c>
      <c r="Q228" s="155" t="s">
        <v>289</v>
      </c>
      <c r="R228" s="155"/>
      <c r="S228" s="151" t="s">
        <v>47</v>
      </c>
      <c r="T228" s="151" t="s">
        <v>290</v>
      </c>
      <c r="U228" s="156" t="s">
        <v>995</v>
      </c>
      <c r="V228" s="151" t="s">
        <v>291</v>
      </c>
      <c r="W228" s="151" t="s">
        <v>895</v>
      </c>
      <c r="X228" s="151"/>
      <c r="Y228" s="156" t="s">
        <v>774</v>
      </c>
      <c r="Z228" s="162"/>
      <c r="AA228" s="168" t="s">
        <v>897</v>
      </c>
      <c r="AB228" s="168"/>
      <c r="AC228" s="168"/>
      <c r="AD228" s="155">
        <v>45163</v>
      </c>
      <c r="AE228" s="161">
        <v>900</v>
      </c>
      <c r="AF228" s="161">
        <v>1400</v>
      </c>
      <c r="AG228" s="155">
        <v>45139</v>
      </c>
      <c r="AH228" s="155">
        <v>45149</v>
      </c>
      <c r="AI228" s="155"/>
      <c r="AJ228" s="158">
        <v>45147</v>
      </c>
      <c r="AK228" s="211"/>
      <c r="AL228" s="158"/>
      <c r="AM228" s="1"/>
      <c r="AN228" s="1"/>
      <c r="AO228" s="1"/>
      <c r="AP228" s="1"/>
      <c r="AQ228" s="1"/>
      <c r="AR228" s="1"/>
      <c r="AS228" s="1"/>
      <c r="AT228" s="1"/>
      <c r="AU228" s="1"/>
      <c r="AV228" s="1"/>
    </row>
    <row r="229" spans="1:48" ht="45" hidden="1" customHeight="1">
      <c r="A229" s="1"/>
      <c r="B229" s="159" t="s">
        <v>1020</v>
      </c>
      <c r="C229" s="169" t="s">
        <v>373</v>
      </c>
      <c r="D229" s="169" t="s">
        <v>374</v>
      </c>
      <c r="E229" s="159" t="s">
        <v>1021</v>
      </c>
      <c r="F229" s="159"/>
      <c r="G229" s="159" t="s">
        <v>446</v>
      </c>
      <c r="H229" s="159" t="s">
        <v>42</v>
      </c>
      <c r="I229" s="159">
        <v>31</v>
      </c>
      <c r="J229" s="151"/>
      <c r="K229" s="160">
        <v>45139</v>
      </c>
      <c r="L229" s="160" t="s">
        <v>288</v>
      </c>
      <c r="M229" s="155" t="s">
        <v>288</v>
      </c>
      <c r="N229" s="155" t="s">
        <v>288</v>
      </c>
      <c r="O229" s="155">
        <v>45154</v>
      </c>
      <c r="P229" s="155">
        <v>45160</v>
      </c>
      <c r="Q229" s="155" t="s">
        <v>289</v>
      </c>
      <c r="R229" s="155"/>
      <c r="S229" s="151" t="s">
        <v>47</v>
      </c>
      <c r="T229" s="151" t="s">
        <v>48</v>
      </c>
      <c r="U229" s="156" t="s">
        <v>1022</v>
      </c>
      <c r="V229" s="151" t="s">
        <v>85</v>
      </c>
      <c r="W229" s="151" t="s">
        <v>895</v>
      </c>
      <c r="X229" s="151"/>
      <c r="Y229" s="156" t="s">
        <v>864</v>
      </c>
      <c r="Z229" s="156"/>
      <c r="AA229" s="168"/>
      <c r="AB229" s="168"/>
      <c r="AC229" s="168"/>
      <c r="AD229" s="155">
        <v>45184</v>
      </c>
      <c r="AE229" s="161">
        <v>1500</v>
      </c>
      <c r="AF229" s="161">
        <v>5900</v>
      </c>
      <c r="AG229" s="155">
        <v>45147</v>
      </c>
      <c r="AH229" s="155">
        <v>45154</v>
      </c>
      <c r="AI229" s="155"/>
      <c r="AJ229" s="158">
        <v>45160</v>
      </c>
      <c r="AK229" s="211"/>
      <c r="AL229" s="158"/>
      <c r="AM229" s="1"/>
      <c r="AN229" s="1"/>
      <c r="AO229" s="1"/>
      <c r="AP229" s="1"/>
      <c r="AQ229" s="1"/>
      <c r="AR229" s="1"/>
      <c r="AS229" s="1"/>
      <c r="AT229" s="1"/>
      <c r="AU229" s="1"/>
      <c r="AV229" s="1"/>
    </row>
    <row r="230" spans="1:48" ht="45" hidden="1" customHeight="1">
      <c r="B230" s="159" t="s">
        <v>1086</v>
      </c>
      <c r="C230" s="159" t="s">
        <v>1087</v>
      </c>
      <c r="D230" s="169" t="s">
        <v>1088</v>
      </c>
      <c r="E230" s="159" t="s">
        <v>1089</v>
      </c>
      <c r="F230" s="159"/>
      <c r="G230" s="159" t="s">
        <v>296</v>
      </c>
      <c r="H230" s="159" t="s">
        <v>822</v>
      </c>
      <c r="I230" s="159"/>
      <c r="J230" s="151"/>
      <c r="K230" s="160">
        <v>45139</v>
      </c>
      <c r="L230" s="160" t="s">
        <v>288</v>
      </c>
      <c r="M230" s="155" t="s">
        <v>288</v>
      </c>
      <c r="N230" s="155" t="s">
        <v>288</v>
      </c>
      <c r="O230" s="155"/>
      <c r="P230" s="155" t="s">
        <v>1090</v>
      </c>
      <c r="Q230" s="155" t="s">
        <v>289</v>
      </c>
      <c r="R230" s="155"/>
      <c r="S230" s="151" t="s">
        <v>47</v>
      </c>
      <c r="T230" s="151" t="s">
        <v>48</v>
      </c>
      <c r="U230" s="156" t="s">
        <v>1091</v>
      </c>
      <c r="V230" s="151" t="s">
        <v>85</v>
      </c>
      <c r="W230" s="151" t="s">
        <v>650</v>
      </c>
      <c r="X230" s="151" t="s">
        <v>1092</v>
      </c>
      <c r="Y230" s="156" t="s">
        <v>774</v>
      </c>
      <c r="Z230" s="156"/>
      <c r="AA230" s="168"/>
      <c r="AB230" s="168"/>
      <c r="AC230" s="168"/>
      <c r="AD230" s="155">
        <v>45222</v>
      </c>
      <c r="AE230" s="161">
        <v>0</v>
      </c>
      <c r="AF230" s="161">
        <v>5280</v>
      </c>
      <c r="AG230" s="155">
        <v>45164</v>
      </c>
      <c r="AH230" s="155">
        <v>45216</v>
      </c>
      <c r="AI230" s="155"/>
      <c r="AJ230" s="158">
        <v>45217</v>
      </c>
      <c r="AK230" s="211"/>
      <c r="AL230" s="158"/>
      <c r="AM230" s="1"/>
      <c r="AN230" s="62"/>
      <c r="AO230" s="63"/>
      <c r="AP230" s="63"/>
      <c r="AQ230" s="63"/>
      <c r="AR230" s="63"/>
    </row>
    <row r="231" spans="1:48" ht="45" hidden="1" customHeight="1">
      <c r="A231" s="1"/>
      <c r="B231" s="159" t="s">
        <v>1043</v>
      </c>
      <c r="C231" s="169" t="s">
        <v>1044</v>
      </c>
      <c r="D231" s="169" t="s">
        <v>1045</v>
      </c>
      <c r="E231" s="159" t="s">
        <v>1046</v>
      </c>
      <c r="F231" s="159"/>
      <c r="G231" s="159" t="s">
        <v>287</v>
      </c>
      <c r="H231" s="159" t="s">
        <v>1047</v>
      </c>
      <c r="I231" s="159">
        <v>62</v>
      </c>
      <c r="J231" s="151"/>
      <c r="K231" s="160">
        <v>45139</v>
      </c>
      <c r="L231" s="160" t="s">
        <v>288</v>
      </c>
      <c r="M231" s="155" t="s">
        <v>288</v>
      </c>
      <c r="N231" s="155" t="s">
        <v>288</v>
      </c>
      <c r="O231" s="155">
        <v>45164</v>
      </c>
      <c r="P231" s="155">
        <v>45168</v>
      </c>
      <c r="Q231" s="155" t="s">
        <v>289</v>
      </c>
      <c r="R231" s="155"/>
      <c r="S231" s="151" t="s">
        <v>47</v>
      </c>
      <c r="T231" s="151" t="s">
        <v>48</v>
      </c>
      <c r="U231" s="156" t="s">
        <v>1048</v>
      </c>
      <c r="V231" s="151" t="s">
        <v>291</v>
      </c>
      <c r="W231" s="151" t="s">
        <v>895</v>
      </c>
      <c r="X231" s="151"/>
      <c r="Y231" s="156" t="s">
        <v>984</v>
      </c>
      <c r="Z231" s="156"/>
      <c r="AA231" s="168"/>
      <c r="AB231" s="168"/>
      <c r="AC231" s="168"/>
      <c r="AD231" s="155">
        <v>45184</v>
      </c>
      <c r="AE231" s="161">
        <v>1300</v>
      </c>
      <c r="AF231" s="161">
        <v>700</v>
      </c>
      <c r="AG231" s="155">
        <v>45155</v>
      </c>
      <c r="AH231" s="155">
        <v>45166</v>
      </c>
      <c r="AI231" s="155"/>
      <c r="AJ231" s="158">
        <v>45168</v>
      </c>
      <c r="AK231" s="211"/>
      <c r="AL231" s="158"/>
      <c r="AM231" s="1"/>
      <c r="AN231" s="1"/>
      <c r="AO231" s="1"/>
      <c r="AP231" s="1"/>
      <c r="AQ231" s="1"/>
      <c r="AR231" s="1"/>
      <c r="AS231" s="1"/>
      <c r="AT231" s="1"/>
      <c r="AU231" s="1"/>
      <c r="AV231" s="1"/>
    </row>
    <row r="232" spans="1:48" ht="45" hidden="1" customHeight="1">
      <c r="B232" s="159" t="s">
        <v>1157</v>
      </c>
      <c r="C232" s="159" t="s">
        <v>305</v>
      </c>
      <c r="D232" s="169" t="s">
        <v>306</v>
      </c>
      <c r="E232" s="170" t="s">
        <v>1158</v>
      </c>
      <c r="F232" s="170"/>
      <c r="G232" s="159" t="s">
        <v>137</v>
      </c>
      <c r="H232" s="159" t="s">
        <v>42</v>
      </c>
      <c r="I232" s="159" t="s">
        <v>1159</v>
      </c>
      <c r="J232" s="151" t="s">
        <v>423</v>
      </c>
      <c r="K232" s="160">
        <v>45170</v>
      </c>
      <c r="L232" s="160" t="s">
        <v>288</v>
      </c>
      <c r="M232" s="155" t="s">
        <v>288</v>
      </c>
      <c r="N232" s="155" t="s">
        <v>288</v>
      </c>
      <c r="O232" s="155">
        <v>45331</v>
      </c>
      <c r="P232" s="155">
        <v>45355</v>
      </c>
      <c r="Q232" s="155" t="s">
        <v>289</v>
      </c>
      <c r="R232" s="155"/>
      <c r="S232" s="151" t="s">
        <v>47</v>
      </c>
      <c r="T232" s="151" t="s">
        <v>48</v>
      </c>
      <c r="U232" s="156" t="s">
        <v>1160</v>
      </c>
      <c r="V232" s="151">
        <v>2</v>
      </c>
      <c r="W232" s="151" t="s">
        <v>1130</v>
      </c>
      <c r="X232" s="151"/>
      <c r="Y232" s="156" t="s">
        <v>51</v>
      </c>
      <c r="Z232" s="156"/>
      <c r="AA232" s="168" t="s">
        <v>1161</v>
      </c>
      <c r="AB232" s="168"/>
      <c r="AC232" s="168"/>
      <c r="AD232" s="155" t="s">
        <v>288</v>
      </c>
      <c r="AE232" s="161">
        <v>1400</v>
      </c>
      <c r="AF232" s="161">
        <v>4000</v>
      </c>
      <c r="AG232" s="155">
        <v>45331</v>
      </c>
      <c r="AH232" s="155"/>
      <c r="AI232" s="155"/>
      <c r="AJ232" s="158">
        <v>45355</v>
      </c>
      <c r="AK232" s="211"/>
      <c r="AL232" s="158"/>
      <c r="AM232" s="1"/>
    </row>
    <row r="233" spans="1:48" ht="45" hidden="1" customHeight="1">
      <c r="A233" s="1"/>
      <c r="B233" s="159" t="s">
        <v>1075</v>
      </c>
      <c r="C233" s="159" t="s">
        <v>79</v>
      </c>
      <c r="D233" s="218" t="s">
        <v>80</v>
      </c>
      <c r="E233" s="159" t="s">
        <v>1076</v>
      </c>
      <c r="F233" s="159"/>
      <c r="G233" s="159" t="s">
        <v>107</v>
      </c>
      <c r="H233" s="159" t="s">
        <v>42</v>
      </c>
      <c r="I233" s="159" t="s">
        <v>1077</v>
      </c>
      <c r="J233" s="151"/>
      <c r="K233" s="160">
        <v>45170</v>
      </c>
      <c r="L233" s="160" t="s">
        <v>288</v>
      </c>
      <c r="M233" s="155" t="s">
        <v>288</v>
      </c>
      <c r="N233" s="155" t="s">
        <v>288</v>
      </c>
      <c r="O233" s="155">
        <v>45199</v>
      </c>
      <c r="P233" s="155">
        <v>45199</v>
      </c>
      <c r="Q233" s="155" t="s">
        <v>289</v>
      </c>
      <c r="R233" s="155"/>
      <c r="S233" s="151" t="s">
        <v>47</v>
      </c>
      <c r="T233" s="151" t="s">
        <v>48</v>
      </c>
      <c r="U233" s="156" t="s">
        <v>1078</v>
      </c>
      <c r="V233" s="151" t="s">
        <v>85</v>
      </c>
      <c r="W233" s="151" t="s">
        <v>851</v>
      </c>
      <c r="X233" s="151"/>
      <c r="Y233" s="156" t="s">
        <v>864</v>
      </c>
      <c r="Z233" s="156"/>
      <c r="AA233" s="168"/>
      <c r="AB233" s="168"/>
      <c r="AC233" s="168"/>
      <c r="AD233" s="155">
        <v>45216</v>
      </c>
      <c r="AE233" s="161">
        <v>800</v>
      </c>
      <c r="AF233" s="161">
        <v>1600</v>
      </c>
      <c r="AG233" s="155">
        <v>45180</v>
      </c>
      <c r="AH233" s="155">
        <v>45188</v>
      </c>
      <c r="AI233" s="155"/>
      <c r="AJ233" s="158">
        <v>45199</v>
      </c>
      <c r="AK233" s="211"/>
      <c r="AL233" s="158"/>
      <c r="AM233" s="1"/>
      <c r="AN233" s="1"/>
      <c r="AO233" s="1"/>
      <c r="AP233" s="1"/>
      <c r="AQ233" s="1"/>
      <c r="AR233" s="1"/>
      <c r="AS233" s="1"/>
      <c r="AT233" s="1"/>
      <c r="AU233" s="1"/>
      <c r="AV233" s="1"/>
    </row>
    <row r="234" spans="1:48" ht="45" hidden="1" customHeight="1">
      <c r="B234" s="159" t="s">
        <v>1107</v>
      </c>
      <c r="C234" s="159" t="s">
        <v>336</v>
      </c>
      <c r="D234" s="169" t="s">
        <v>337</v>
      </c>
      <c r="E234" s="159" t="s">
        <v>1108</v>
      </c>
      <c r="F234" s="159"/>
      <c r="G234" s="159" t="s">
        <v>308</v>
      </c>
      <c r="H234" s="159" t="s">
        <v>42</v>
      </c>
      <c r="I234" s="159" t="s">
        <v>1109</v>
      </c>
      <c r="J234" s="151"/>
      <c r="K234" s="160">
        <v>45170</v>
      </c>
      <c r="L234" s="160" t="s">
        <v>288</v>
      </c>
      <c r="M234" s="155" t="s">
        <v>288</v>
      </c>
      <c r="N234" s="155" t="s">
        <v>288</v>
      </c>
      <c r="O234" s="155">
        <v>45225</v>
      </c>
      <c r="P234" s="155">
        <v>45225</v>
      </c>
      <c r="Q234" s="155" t="s">
        <v>289</v>
      </c>
      <c r="R234" s="155"/>
      <c r="S234" s="151" t="s">
        <v>47</v>
      </c>
      <c r="T234" s="151" t="s">
        <v>48</v>
      </c>
      <c r="U234" s="156" t="s">
        <v>1110</v>
      </c>
      <c r="V234" s="151" t="s">
        <v>85</v>
      </c>
      <c r="W234" s="151" t="s">
        <v>50</v>
      </c>
      <c r="X234" s="151" t="s">
        <v>1033</v>
      </c>
      <c r="Y234" s="156" t="s">
        <v>864</v>
      </c>
      <c r="Z234" s="156"/>
      <c r="AA234" s="168"/>
      <c r="AB234" s="168"/>
      <c r="AC234" s="168"/>
      <c r="AD234" s="155">
        <v>45226</v>
      </c>
      <c r="AE234" s="161">
        <v>3900</v>
      </c>
      <c r="AF234" s="161">
        <v>3500</v>
      </c>
      <c r="AG234" s="155">
        <v>45180</v>
      </c>
      <c r="AH234" s="155">
        <v>45195</v>
      </c>
      <c r="AI234" s="155"/>
      <c r="AJ234" s="158">
        <v>45225</v>
      </c>
      <c r="AK234" s="211"/>
      <c r="AL234" s="158"/>
      <c r="AM234" s="1"/>
    </row>
    <row r="235" spans="1:48" ht="45" hidden="1" customHeight="1">
      <c r="B235" s="159" t="s">
        <v>1111</v>
      </c>
      <c r="C235" s="159" t="s">
        <v>1112</v>
      </c>
      <c r="D235" s="169" t="s">
        <v>1113</v>
      </c>
      <c r="E235" s="159" t="s">
        <v>1114</v>
      </c>
      <c r="F235" s="159"/>
      <c r="G235" s="159" t="s">
        <v>296</v>
      </c>
      <c r="H235" s="159" t="s">
        <v>747</v>
      </c>
      <c r="I235" s="159" t="s">
        <v>1115</v>
      </c>
      <c r="J235" s="151"/>
      <c r="K235" s="160">
        <v>45170</v>
      </c>
      <c r="L235" s="160" t="s">
        <v>288</v>
      </c>
      <c r="M235" s="155" t="s">
        <v>288</v>
      </c>
      <c r="N235" s="155" t="s">
        <v>288</v>
      </c>
      <c r="O235" s="155">
        <v>45225</v>
      </c>
      <c r="P235" s="155">
        <v>45225</v>
      </c>
      <c r="Q235" s="155" t="s">
        <v>289</v>
      </c>
      <c r="R235" s="155"/>
      <c r="S235" s="151" t="s">
        <v>47</v>
      </c>
      <c r="T235" s="151" t="s">
        <v>48</v>
      </c>
      <c r="U235" s="162" t="s">
        <v>1116</v>
      </c>
      <c r="V235" s="151" t="s">
        <v>85</v>
      </c>
      <c r="W235" s="161" t="s">
        <v>109</v>
      </c>
      <c r="X235" s="161"/>
      <c r="Y235" s="155" t="s">
        <v>51</v>
      </c>
      <c r="Z235" s="155"/>
      <c r="AA235" s="158"/>
      <c r="AB235" s="158"/>
      <c r="AC235" s="158"/>
      <c r="AD235" s="155">
        <v>45226</v>
      </c>
      <c r="AE235" s="161">
        <v>4600</v>
      </c>
      <c r="AF235" s="161">
        <v>11400</v>
      </c>
      <c r="AG235" s="155">
        <v>45201</v>
      </c>
      <c r="AH235" s="155">
        <v>45227</v>
      </c>
      <c r="AI235" s="155"/>
      <c r="AJ235" s="158">
        <v>45227</v>
      </c>
      <c r="AK235" s="211"/>
      <c r="AL235" s="158"/>
      <c r="AM235" s="1"/>
    </row>
    <row r="236" spans="1:48" ht="45" hidden="1" customHeight="1">
      <c r="B236" s="159" t="s">
        <v>1131</v>
      </c>
      <c r="C236" s="159" t="s">
        <v>731</v>
      </c>
      <c r="D236" s="169" t="s">
        <v>732</v>
      </c>
      <c r="E236" s="159" t="s">
        <v>1132</v>
      </c>
      <c r="F236" s="159"/>
      <c r="G236" s="159" t="s">
        <v>107</v>
      </c>
      <c r="H236" s="159" t="s">
        <v>427</v>
      </c>
      <c r="I236" s="159" t="s">
        <v>1133</v>
      </c>
      <c r="J236" s="151"/>
      <c r="K236" s="160">
        <v>45170</v>
      </c>
      <c r="L236" s="160" t="s">
        <v>288</v>
      </c>
      <c r="M236" s="155" t="s">
        <v>288</v>
      </c>
      <c r="N236" s="155" t="s">
        <v>288</v>
      </c>
      <c r="O236" s="155">
        <v>45315</v>
      </c>
      <c r="P236" s="155">
        <v>45322</v>
      </c>
      <c r="Q236" s="155" t="s">
        <v>289</v>
      </c>
      <c r="R236" s="155"/>
      <c r="S236" s="151" t="s">
        <v>47</v>
      </c>
      <c r="T236" s="151" t="s">
        <v>48</v>
      </c>
      <c r="U236" s="156" t="s">
        <v>1134</v>
      </c>
      <c r="V236" s="151" t="s">
        <v>85</v>
      </c>
      <c r="W236" s="151" t="s">
        <v>1033</v>
      </c>
      <c r="X236" s="151" t="s">
        <v>1130</v>
      </c>
      <c r="Y236" s="156" t="s">
        <v>774</v>
      </c>
      <c r="Z236" s="156" t="s">
        <v>1135</v>
      </c>
      <c r="AA236" s="168"/>
      <c r="AB236" s="168"/>
      <c r="AC236" s="168"/>
      <c r="AD236" s="155">
        <v>45216</v>
      </c>
      <c r="AE236" s="161">
        <v>2000</v>
      </c>
      <c r="AF236" s="161">
        <v>7600</v>
      </c>
      <c r="AG236" s="155">
        <v>45177</v>
      </c>
      <c r="AH236" s="155">
        <v>45322</v>
      </c>
      <c r="AI236" s="155"/>
      <c r="AJ236" s="158">
        <v>45322</v>
      </c>
      <c r="AK236" s="211"/>
      <c r="AL236" s="158"/>
      <c r="AM236" s="1"/>
    </row>
    <row r="237" spans="1:48" ht="45" hidden="1" customHeight="1">
      <c r="A237" s="1"/>
      <c r="B237" s="159" t="s">
        <v>1117</v>
      </c>
      <c r="C237" s="159" t="s">
        <v>425</v>
      </c>
      <c r="D237" s="169" t="s">
        <v>1118</v>
      </c>
      <c r="E237" s="159" t="s">
        <v>1026</v>
      </c>
      <c r="F237" s="159"/>
      <c r="G237" s="159" t="s">
        <v>446</v>
      </c>
      <c r="H237" s="159" t="s">
        <v>1011</v>
      </c>
      <c r="I237" s="159" t="s">
        <v>1119</v>
      </c>
      <c r="J237" s="151"/>
      <c r="K237" s="160">
        <v>45170</v>
      </c>
      <c r="L237" s="160" t="s">
        <v>288</v>
      </c>
      <c r="M237" s="155" t="s">
        <v>288</v>
      </c>
      <c r="N237" s="155" t="s">
        <v>288</v>
      </c>
      <c r="O237" s="155">
        <v>45232</v>
      </c>
      <c r="P237" s="155">
        <v>45251</v>
      </c>
      <c r="Q237" s="155" t="s">
        <v>289</v>
      </c>
      <c r="R237" s="155"/>
      <c r="S237" s="151" t="s">
        <v>47</v>
      </c>
      <c r="T237" s="151" t="s">
        <v>48</v>
      </c>
      <c r="U237" s="156" t="s">
        <v>1120</v>
      </c>
      <c r="V237" s="151" t="s">
        <v>85</v>
      </c>
      <c r="W237" s="151" t="s">
        <v>992</v>
      </c>
      <c r="X237" s="151" t="s">
        <v>1121</v>
      </c>
      <c r="Y237" s="156" t="s">
        <v>1122</v>
      </c>
      <c r="Z237" s="156"/>
      <c r="AA237" s="168"/>
      <c r="AB237" s="168"/>
      <c r="AC237" s="168"/>
      <c r="AD237" s="155" t="s">
        <v>288</v>
      </c>
      <c r="AE237" s="161">
        <v>0</v>
      </c>
      <c r="AF237" s="161">
        <v>5280</v>
      </c>
      <c r="AG237" s="155">
        <v>45164</v>
      </c>
      <c r="AH237" s="155">
        <v>45229</v>
      </c>
      <c r="AI237" s="155"/>
      <c r="AJ237" s="158">
        <v>45251</v>
      </c>
      <c r="AK237" s="211"/>
      <c r="AL237" s="158"/>
      <c r="AM237" s="1"/>
      <c r="AN237" s="1"/>
      <c r="AO237" s="1"/>
      <c r="AP237" s="1"/>
      <c r="AQ237" s="1"/>
      <c r="AR237" s="1"/>
      <c r="AS237" s="1"/>
      <c r="AT237" s="1"/>
      <c r="AU237" s="1"/>
      <c r="AV237" s="1"/>
    </row>
    <row r="238" spans="1:48" ht="45" hidden="1" customHeight="1">
      <c r="A238" s="1"/>
      <c r="B238" s="159" t="s">
        <v>1063</v>
      </c>
      <c r="C238" s="159" t="s">
        <v>232</v>
      </c>
      <c r="D238" s="25" t="s">
        <v>8519</v>
      </c>
      <c r="E238" s="159" t="s">
        <v>1064</v>
      </c>
      <c r="F238" s="159"/>
      <c r="G238" s="159" t="s">
        <v>41</v>
      </c>
      <c r="H238" s="159" t="s">
        <v>42</v>
      </c>
      <c r="I238" s="159" t="s">
        <v>1065</v>
      </c>
      <c r="J238" s="151"/>
      <c r="K238" s="160">
        <v>45170</v>
      </c>
      <c r="L238" s="160" t="s">
        <v>288</v>
      </c>
      <c r="M238" s="155" t="s">
        <v>288</v>
      </c>
      <c r="N238" s="155" t="s">
        <v>288</v>
      </c>
      <c r="O238" s="155">
        <v>45181</v>
      </c>
      <c r="P238" s="155">
        <v>45181</v>
      </c>
      <c r="Q238" s="155" t="s">
        <v>289</v>
      </c>
      <c r="R238" s="155"/>
      <c r="S238" s="151" t="s">
        <v>47</v>
      </c>
      <c r="T238" s="151" t="s">
        <v>48</v>
      </c>
      <c r="U238" s="156" t="s">
        <v>1066</v>
      </c>
      <c r="V238" s="151" t="s">
        <v>291</v>
      </c>
      <c r="W238" s="151" t="s">
        <v>856</v>
      </c>
      <c r="X238" s="151"/>
      <c r="Y238" s="151" t="s">
        <v>864</v>
      </c>
      <c r="Z238" s="156"/>
      <c r="AA238" s="168"/>
      <c r="AB238" s="168"/>
      <c r="AC238" s="168"/>
      <c r="AD238" s="155">
        <v>45194</v>
      </c>
      <c r="AE238" s="161">
        <v>1600</v>
      </c>
      <c r="AF238" s="161">
        <v>2700</v>
      </c>
      <c r="AG238" s="155">
        <v>45170</v>
      </c>
      <c r="AH238" s="155">
        <v>45181</v>
      </c>
      <c r="AI238" s="155"/>
      <c r="AJ238" s="158">
        <v>45181</v>
      </c>
      <c r="AK238" s="211"/>
      <c r="AL238" s="158"/>
      <c r="AM238" s="1"/>
      <c r="AN238" s="1"/>
      <c r="AO238" s="1"/>
      <c r="AP238" s="1"/>
      <c r="AQ238" s="1"/>
      <c r="AR238" s="1"/>
      <c r="AS238" s="1"/>
      <c r="AT238" s="1"/>
      <c r="AU238" s="1"/>
      <c r="AV238" s="1"/>
    </row>
    <row r="239" spans="1:48" ht="45" hidden="1" customHeight="1">
      <c r="B239" s="159" t="s">
        <v>1067</v>
      </c>
      <c r="C239" s="159" t="s">
        <v>853</v>
      </c>
      <c r="D239" s="169" t="s">
        <v>854</v>
      </c>
      <c r="E239" s="159" t="s">
        <v>1068</v>
      </c>
      <c r="F239" s="159"/>
      <c r="G239" s="159" t="s">
        <v>287</v>
      </c>
      <c r="H239" s="159" t="s">
        <v>427</v>
      </c>
      <c r="I239" s="159">
        <v>51</v>
      </c>
      <c r="J239" s="151"/>
      <c r="K239" s="160">
        <v>45170</v>
      </c>
      <c r="L239" s="160" t="s">
        <v>288</v>
      </c>
      <c r="M239" s="155" t="s">
        <v>288</v>
      </c>
      <c r="N239" s="155" t="s">
        <v>288</v>
      </c>
      <c r="O239" s="155">
        <v>45180</v>
      </c>
      <c r="P239" s="155">
        <v>45183</v>
      </c>
      <c r="Q239" s="155" t="s">
        <v>289</v>
      </c>
      <c r="R239" s="155"/>
      <c r="S239" s="151" t="s">
        <v>47</v>
      </c>
      <c r="T239" s="151" t="s">
        <v>48</v>
      </c>
      <c r="U239" s="156" t="s">
        <v>1069</v>
      </c>
      <c r="V239" s="151" t="s">
        <v>291</v>
      </c>
      <c r="W239" s="151" t="s">
        <v>1033</v>
      </c>
      <c r="X239" s="151"/>
      <c r="Y239" s="151" t="s">
        <v>1070</v>
      </c>
      <c r="Z239" s="156"/>
      <c r="AA239" s="168"/>
      <c r="AB239" s="168"/>
      <c r="AC239" s="168"/>
      <c r="AD239" s="155">
        <v>45194</v>
      </c>
      <c r="AE239" s="161">
        <v>1900</v>
      </c>
      <c r="AF239" s="161">
        <v>3100</v>
      </c>
      <c r="AG239" s="155">
        <v>45166</v>
      </c>
      <c r="AH239" s="155">
        <v>45177</v>
      </c>
      <c r="AI239" s="155"/>
      <c r="AJ239" s="158">
        <v>45183</v>
      </c>
      <c r="AK239" s="211"/>
      <c r="AL239" s="158"/>
      <c r="AM239" s="1"/>
    </row>
    <row r="240" spans="1:48" ht="45" hidden="1" customHeight="1">
      <c r="B240" s="159" t="s">
        <v>1136</v>
      </c>
      <c r="C240" s="159" t="s">
        <v>373</v>
      </c>
      <c r="D240" s="169" t="s">
        <v>374</v>
      </c>
      <c r="E240" s="159" t="s">
        <v>1137</v>
      </c>
      <c r="F240" s="159"/>
      <c r="G240" s="159" t="s">
        <v>1138</v>
      </c>
      <c r="H240" s="159" t="s">
        <v>42</v>
      </c>
      <c r="I240" s="159" t="s">
        <v>392</v>
      </c>
      <c r="J240" s="151" t="s">
        <v>1125</v>
      </c>
      <c r="K240" s="160">
        <v>45170</v>
      </c>
      <c r="L240" s="160" t="s">
        <v>288</v>
      </c>
      <c r="M240" s="155" t="s">
        <v>288</v>
      </c>
      <c r="N240" s="155" t="s">
        <v>288</v>
      </c>
      <c r="O240" s="155">
        <v>45316</v>
      </c>
      <c r="P240" s="155">
        <v>45331</v>
      </c>
      <c r="Q240" s="155" t="s">
        <v>289</v>
      </c>
      <c r="R240" s="155"/>
      <c r="S240" s="151" t="s">
        <v>47</v>
      </c>
      <c r="T240" s="151" t="s">
        <v>48</v>
      </c>
      <c r="U240" s="156" t="s">
        <v>1139</v>
      </c>
      <c r="V240" s="151" t="s">
        <v>85</v>
      </c>
      <c r="W240" s="151" t="s">
        <v>895</v>
      </c>
      <c r="X240" s="151" t="s">
        <v>864</v>
      </c>
      <c r="Y240" s="156" t="s">
        <v>864</v>
      </c>
      <c r="Z240" s="156" t="s">
        <v>51</v>
      </c>
      <c r="AA240" s="168"/>
      <c r="AB240" s="168"/>
      <c r="AC240" s="168"/>
      <c r="AD240" s="155">
        <v>45216</v>
      </c>
      <c r="AE240" s="161">
        <v>2300</v>
      </c>
      <c r="AF240" s="161">
        <v>5400</v>
      </c>
      <c r="AG240" s="155">
        <v>45180</v>
      </c>
      <c r="AH240" s="155">
        <v>45331</v>
      </c>
      <c r="AI240" s="155"/>
      <c r="AJ240" s="158">
        <v>45331</v>
      </c>
      <c r="AK240" s="211"/>
      <c r="AL240" s="158"/>
      <c r="AM240" s="1"/>
    </row>
    <row r="241" spans="1:48" ht="45" hidden="1" customHeight="1">
      <c r="A241" s="1"/>
      <c r="B241" s="159" t="s">
        <v>1143</v>
      </c>
      <c r="C241" s="159" t="s">
        <v>373</v>
      </c>
      <c r="D241" s="169" t="s">
        <v>374</v>
      </c>
      <c r="E241" s="170" t="s">
        <v>1144</v>
      </c>
      <c r="F241" s="170"/>
      <c r="G241" s="159" t="s">
        <v>145</v>
      </c>
      <c r="H241" s="159" t="s">
        <v>42</v>
      </c>
      <c r="I241" s="159" t="s">
        <v>1145</v>
      </c>
      <c r="J241" s="151" t="s">
        <v>1125</v>
      </c>
      <c r="K241" s="160">
        <v>45170</v>
      </c>
      <c r="L241" s="160" t="s">
        <v>288</v>
      </c>
      <c r="M241" s="155" t="s">
        <v>288</v>
      </c>
      <c r="N241" s="155" t="s">
        <v>288</v>
      </c>
      <c r="O241" s="155">
        <v>45339</v>
      </c>
      <c r="P241" s="155">
        <v>45339</v>
      </c>
      <c r="Q241" s="155" t="s">
        <v>289</v>
      </c>
      <c r="R241" s="155"/>
      <c r="S241" s="151" t="s">
        <v>47</v>
      </c>
      <c r="T241" s="151" t="s">
        <v>48</v>
      </c>
      <c r="U241" s="156" t="s">
        <v>1146</v>
      </c>
      <c r="V241" s="151">
        <v>2</v>
      </c>
      <c r="W241" s="151" t="s">
        <v>1130</v>
      </c>
      <c r="X241" s="151"/>
      <c r="Y241" s="156" t="s">
        <v>51</v>
      </c>
      <c r="Z241" s="156"/>
      <c r="AA241" s="168"/>
      <c r="AB241" s="168"/>
      <c r="AC241" s="168"/>
      <c r="AD241" s="155">
        <v>45216</v>
      </c>
      <c r="AE241" s="161">
        <v>1000</v>
      </c>
      <c r="AF241" s="161">
        <v>2100</v>
      </c>
      <c r="AG241" s="155">
        <v>45202</v>
      </c>
      <c r="AH241" s="155">
        <v>45339</v>
      </c>
      <c r="AI241" s="155"/>
      <c r="AJ241" s="158">
        <v>45339</v>
      </c>
      <c r="AK241" s="211"/>
      <c r="AL241" s="158"/>
      <c r="AM241" s="1"/>
      <c r="AN241" s="1"/>
      <c r="AO241" s="1"/>
      <c r="AP241" s="1"/>
      <c r="AQ241" s="1"/>
      <c r="AR241" s="1"/>
      <c r="AS241" s="1"/>
      <c r="AT241" s="1"/>
      <c r="AU241" s="1"/>
      <c r="AV241" s="1"/>
    </row>
    <row r="242" spans="1:48" ht="45" hidden="1" customHeight="1">
      <c r="B242" s="159" t="s">
        <v>1079</v>
      </c>
      <c r="C242" s="159" t="s">
        <v>267</v>
      </c>
      <c r="D242" s="169" t="s">
        <v>268</v>
      </c>
      <c r="E242" s="159" t="s">
        <v>1080</v>
      </c>
      <c r="F242" s="159"/>
      <c r="G242" s="159" t="s">
        <v>107</v>
      </c>
      <c r="H242" s="159" t="s">
        <v>42</v>
      </c>
      <c r="I242" s="159" t="s">
        <v>1081</v>
      </c>
      <c r="J242" s="151"/>
      <c r="K242" s="160">
        <v>45170</v>
      </c>
      <c r="L242" s="160" t="s">
        <v>288</v>
      </c>
      <c r="M242" s="155" t="s">
        <v>288</v>
      </c>
      <c r="N242" s="155" t="s">
        <v>288</v>
      </c>
      <c r="O242" s="155">
        <v>45199</v>
      </c>
      <c r="P242" s="155">
        <v>45199</v>
      </c>
      <c r="Q242" s="155" t="s">
        <v>289</v>
      </c>
      <c r="R242" s="155"/>
      <c r="S242" s="151" t="s">
        <v>47</v>
      </c>
      <c r="T242" s="151" t="s">
        <v>48</v>
      </c>
      <c r="U242" s="156" t="s">
        <v>1082</v>
      </c>
      <c r="V242" s="151" t="s">
        <v>291</v>
      </c>
      <c r="W242" s="151" t="s">
        <v>856</v>
      </c>
      <c r="X242" s="151" t="s">
        <v>1083</v>
      </c>
      <c r="Y242" s="156" t="s">
        <v>1084</v>
      </c>
      <c r="Z242" s="156" t="s">
        <v>1085</v>
      </c>
      <c r="AA242" s="168"/>
      <c r="AB242" s="168"/>
      <c r="AC242" s="168"/>
      <c r="AD242" s="155">
        <v>45216</v>
      </c>
      <c r="AE242" s="161">
        <v>1200</v>
      </c>
      <c r="AF242" s="161">
        <v>3300</v>
      </c>
      <c r="AG242" s="155">
        <v>45180</v>
      </c>
      <c r="AH242" s="155">
        <v>45191</v>
      </c>
      <c r="AI242" s="155"/>
      <c r="AJ242" s="158">
        <v>45199</v>
      </c>
      <c r="AK242" s="211"/>
      <c r="AL242" s="158"/>
      <c r="AM242" s="1"/>
    </row>
    <row r="243" spans="1:48" ht="45" hidden="1" customHeight="1">
      <c r="B243" s="159" t="s">
        <v>1093</v>
      </c>
      <c r="C243" s="159" t="s">
        <v>1094</v>
      </c>
      <c r="D243" s="169" t="s">
        <v>1095</v>
      </c>
      <c r="E243" s="159" t="s">
        <v>1096</v>
      </c>
      <c r="F243" s="159"/>
      <c r="G243" s="159" t="s">
        <v>287</v>
      </c>
      <c r="H243" s="159" t="s">
        <v>982</v>
      </c>
      <c r="I243" s="159" t="s">
        <v>1097</v>
      </c>
      <c r="J243" s="151"/>
      <c r="K243" s="160">
        <v>45200</v>
      </c>
      <c r="L243" s="160" t="s">
        <v>288</v>
      </c>
      <c r="M243" s="155" t="s">
        <v>288</v>
      </c>
      <c r="N243" s="155" t="s">
        <v>288</v>
      </c>
      <c r="O243" s="155">
        <v>45219</v>
      </c>
      <c r="P243" s="155">
        <v>45222</v>
      </c>
      <c r="Q243" s="155" t="s">
        <v>289</v>
      </c>
      <c r="R243" s="155"/>
      <c r="S243" s="151" t="s">
        <v>47</v>
      </c>
      <c r="T243" s="151" t="s">
        <v>48</v>
      </c>
      <c r="U243" s="156"/>
      <c r="V243" s="151" t="s">
        <v>85</v>
      </c>
      <c r="W243" s="151" t="s">
        <v>1098</v>
      </c>
      <c r="X243" s="151" t="s">
        <v>1099</v>
      </c>
      <c r="Y243" s="156" t="s">
        <v>1100</v>
      </c>
      <c r="Z243" s="156" t="s">
        <v>1101</v>
      </c>
      <c r="AA243" s="168"/>
      <c r="AB243" s="168"/>
      <c r="AC243" s="168"/>
      <c r="AD243" s="155">
        <v>45226</v>
      </c>
      <c r="AE243" s="161">
        <v>1700</v>
      </c>
      <c r="AF243" s="161">
        <v>11000</v>
      </c>
      <c r="AG243" s="155">
        <v>45208</v>
      </c>
      <c r="AH243" s="155">
        <v>45217</v>
      </c>
      <c r="AI243" s="155"/>
      <c r="AJ243" s="158">
        <v>45222</v>
      </c>
      <c r="AK243" s="211"/>
      <c r="AL243" s="158"/>
      <c r="AM243" s="1"/>
    </row>
    <row r="244" spans="1:48" ht="45" hidden="1" customHeight="1">
      <c r="B244" s="159" t="s">
        <v>1102</v>
      </c>
      <c r="C244" s="159" t="s">
        <v>1094</v>
      </c>
      <c r="D244" s="169" t="s">
        <v>1103</v>
      </c>
      <c r="E244" s="159" t="s">
        <v>1104</v>
      </c>
      <c r="F244" s="159"/>
      <c r="G244" s="159" t="s">
        <v>287</v>
      </c>
      <c r="H244" s="159" t="s">
        <v>982</v>
      </c>
      <c r="I244" s="159" t="s">
        <v>346</v>
      </c>
      <c r="J244" s="151"/>
      <c r="K244" s="160">
        <v>45200</v>
      </c>
      <c r="L244" s="160" t="s">
        <v>288</v>
      </c>
      <c r="M244" s="155" t="s">
        <v>288</v>
      </c>
      <c r="N244" s="155" t="s">
        <v>288</v>
      </c>
      <c r="O244" s="155">
        <v>45217</v>
      </c>
      <c r="P244" s="155">
        <v>45223</v>
      </c>
      <c r="Q244" s="155" t="s">
        <v>289</v>
      </c>
      <c r="R244" s="155"/>
      <c r="S244" s="151" t="s">
        <v>47</v>
      </c>
      <c r="T244" s="151" t="s">
        <v>48</v>
      </c>
      <c r="U244" s="156"/>
      <c r="V244" s="151" t="s">
        <v>85</v>
      </c>
      <c r="W244" s="151" t="s">
        <v>50</v>
      </c>
      <c r="X244" s="151"/>
      <c r="Y244" s="156" t="s">
        <v>1105</v>
      </c>
      <c r="Z244" s="156" t="s">
        <v>1106</v>
      </c>
      <c r="AA244" s="168"/>
      <c r="AB244" s="168"/>
      <c r="AC244" s="168"/>
      <c r="AD244" s="155">
        <v>45226</v>
      </c>
      <c r="AE244" s="161">
        <v>1100</v>
      </c>
      <c r="AF244" s="161">
        <v>1400</v>
      </c>
      <c r="AG244" s="155">
        <v>45208</v>
      </c>
      <c r="AH244" s="155">
        <v>45224</v>
      </c>
      <c r="AI244" s="155"/>
      <c r="AJ244" s="158">
        <v>45223</v>
      </c>
      <c r="AK244" s="211"/>
      <c r="AL244" s="158"/>
      <c r="AM244" s="1"/>
    </row>
    <row r="245" spans="1:48" ht="45" hidden="1" customHeight="1">
      <c r="B245" s="159" t="s">
        <v>1123</v>
      </c>
      <c r="C245" s="159" t="s">
        <v>1112</v>
      </c>
      <c r="D245" s="169" t="s">
        <v>1113</v>
      </c>
      <c r="E245" s="159" t="s">
        <v>1124</v>
      </c>
      <c r="F245" s="159"/>
      <c r="G245" s="159" t="s">
        <v>296</v>
      </c>
      <c r="H245" s="159" t="s">
        <v>747</v>
      </c>
      <c r="I245" s="159">
        <v>41</v>
      </c>
      <c r="J245" s="151" t="s">
        <v>1125</v>
      </c>
      <c r="K245" s="160">
        <v>45200</v>
      </c>
      <c r="L245" s="160" t="s">
        <v>288</v>
      </c>
      <c r="M245" s="155" t="s">
        <v>288</v>
      </c>
      <c r="N245" s="155" t="s">
        <v>288</v>
      </c>
      <c r="O245" s="155"/>
      <c r="P245" s="155">
        <v>45300</v>
      </c>
      <c r="Q245" s="155" t="s">
        <v>289</v>
      </c>
      <c r="R245" s="155"/>
      <c r="S245" s="151" t="s">
        <v>47</v>
      </c>
      <c r="T245" s="151" t="s">
        <v>48</v>
      </c>
      <c r="U245" s="156" t="s">
        <v>1126</v>
      </c>
      <c r="V245" s="151" t="s">
        <v>85</v>
      </c>
      <c r="W245" s="151" t="s">
        <v>109</v>
      </c>
      <c r="X245" s="151"/>
      <c r="Y245" s="156"/>
      <c r="Z245" s="156" t="s">
        <v>869</v>
      </c>
      <c r="AA245" s="168"/>
      <c r="AB245" s="168"/>
      <c r="AC245" s="168"/>
      <c r="AD245" s="155" t="s">
        <v>288</v>
      </c>
      <c r="AE245" s="161">
        <v>3200</v>
      </c>
      <c r="AF245" s="161">
        <v>2500</v>
      </c>
      <c r="AG245" s="155">
        <v>45226</v>
      </c>
      <c r="AH245" s="155">
        <v>45261</v>
      </c>
      <c r="AI245" s="155"/>
      <c r="AJ245" s="158">
        <v>45300</v>
      </c>
      <c r="AK245" s="211"/>
      <c r="AL245" s="158"/>
      <c r="AM245" s="1"/>
    </row>
    <row r="246" spans="1:48" ht="45" hidden="1" customHeight="1">
      <c r="B246" s="159" t="s">
        <v>1140</v>
      </c>
      <c r="C246" s="159" t="s">
        <v>241</v>
      </c>
      <c r="D246" s="159" t="s">
        <v>8273</v>
      </c>
      <c r="E246" s="170" t="s">
        <v>1141</v>
      </c>
      <c r="F246" s="170"/>
      <c r="G246" s="159" t="s">
        <v>308</v>
      </c>
      <c r="H246" s="159" t="s">
        <v>42</v>
      </c>
      <c r="I246" s="159">
        <v>71</v>
      </c>
      <c r="J246" s="151" t="s">
        <v>1125</v>
      </c>
      <c r="K246" s="160">
        <v>45200</v>
      </c>
      <c r="L246" s="160" t="s">
        <v>288</v>
      </c>
      <c r="M246" s="155" t="s">
        <v>288</v>
      </c>
      <c r="N246" s="155" t="s">
        <v>288</v>
      </c>
      <c r="O246" s="155">
        <v>45330</v>
      </c>
      <c r="P246" s="155">
        <v>45331</v>
      </c>
      <c r="Q246" s="155" t="s">
        <v>289</v>
      </c>
      <c r="R246" s="155"/>
      <c r="S246" s="151" t="s">
        <v>47</v>
      </c>
      <c r="T246" s="151" t="s">
        <v>48</v>
      </c>
      <c r="U246" s="156" t="s">
        <v>1142</v>
      </c>
      <c r="V246" s="151" t="s">
        <v>85</v>
      </c>
      <c r="W246" s="151" t="s">
        <v>50</v>
      </c>
      <c r="X246" s="151" t="s">
        <v>1130</v>
      </c>
      <c r="Y246" s="156" t="s">
        <v>714</v>
      </c>
      <c r="Z246" s="156"/>
      <c r="AA246" s="168"/>
      <c r="AB246" s="168"/>
      <c r="AC246" s="168"/>
      <c r="AD246" s="155" t="s">
        <v>288</v>
      </c>
      <c r="AE246" s="161">
        <v>2200</v>
      </c>
      <c r="AF246" s="161">
        <v>500</v>
      </c>
      <c r="AG246" s="155">
        <v>45328</v>
      </c>
      <c r="AH246" s="155">
        <v>45331</v>
      </c>
      <c r="AI246" s="155"/>
      <c r="AJ246" s="158">
        <v>45331</v>
      </c>
      <c r="AK246" s="211"/>
      <c r="AL246" s="158"/>
      <c r="AM246" s="1"/>
    </row>
    <row r="247" spans="1:48" ht="45" hidden="1" customHeight="1">
      <c r="A247" s="1"/>
      <c r="B247" s="159" t="s">
        <v>1147</v>
      </c>
      <c r="C247" s="159" t="s">
        <v>1030</v>
      </c>
      <c r="D247" s="169" t="s">
        <v>1031</v>
      </c>
      <c r="E247" s="170" t="s">
        <v>1148</v>
      </c>
      <c r="F247" s="170"/>
      <c r="G247" s="159" t="s">
        <v>1149</v>
      </c>
      <c r="H247" s="159" t="s">
        <v>42</v>
      </c>
      <c r="I247" s="159">
        <v>71</v>
      </c>
      <c r="J247" s="151" t="s">
        <v>1125</v>
      </c>
      <c r="K247" s="160">
        <v>45292</v>
      </c>
      <c r="L247" s="160" t="s">
        <v>288</v>
      </c>
      <c r="M247" s="155" t="s">
        <v>288</v>
      </c>
      <c r="N247" s="155" t="s">
        <v>288</v>
      </c>
      <c r="O247" s="155">
        <v>45339</v>
      </c>
      <c r="P247" s="155">
        <v>45339</v>
      </c>
      <c r="Q247" s="155" t="s">
        <v>289</v>
      </c>
      <c r="R247" s="155"/>
      <c r="S247" s="151" t="s">
        <v>47</v>
      </c>
      <c r="T247" s="151" t="s">
        <v>48</v>
      </c>
      <c r="U247" s="156" t="s">
        <v>1150</v>
      </c>
      <c r="V247" s="151">
        <v>1</v>
      </c>
      <c r="W247" s="151" t="s">
        <v>1130</v>
      </c>
      <c r="X247" s="151"/>
      <c r="Y247" s="156" t="s">
        <v>51</v>
      </c>
      <c r="Z247" s="156"/>
      <c r="AA247" s="168"/>
      <c r="AB247" s="168"/>
      <c r="AC247" s="168"/>
      <c r="AD247" s="155" t="s">
        <v>288</v>
      </c>
      <c r="AE247" s="161">
        <v>3100</v>
      </c>
      <c r="AF247" s="161">
        <v>1500</v>
      </c>
      <c r="AG247" s="155">
        <v>45303</v>
      </c>
      <c r="AH247" s="155">
        <v>45336</v>
      </c>
      <c r="AI247" s="155"/>
      <c r="AJ247" s="158">
        <v>45339</v>
      </c>
      <c r="AK247" s="211"/>
      <c r="AL247" s="158"/>
      <c r="AM247" s="1"/>
      <c r="AN247" s="1"/>
      <c r="AO247" s="1"/>
      <c r="AP247" s="1"/>
      <c r="AQ247" s="1"/>
      <c r="AR247" s="1"/>
      <c r="AS247" s="1"/>
      <c r="AT247" s="1"/>
      <c r="AU247" s="1"/>
      <c r="AV247" s="1"/>
    </row>
    <row r="248" spans="1:48" ht="45" hidden="1" customHeight="1">
      <c r="B248" s="159" t="s">
        <v>1151</v>
      </c>
      <c r="C248" s="159" t="s">
        <v>336</v>
      </c>
      <c r="D248" s="169" t="s">
        <v>337</v>
      </c>
      <c r="E248" s="170" t="s">
        <v>1152</v>
      </c>
      <c r="F248" s="170"/>
      <c r="G248" s="159" t="s">
        <v>308</v>
      </c>
      <c r="H248" s="159" t="s">
        <v>42</v>
      </c>
      <c r="I248" s="159">
        <v>101</v>
      </c>
      <c r="J248" s="151"/>
      <c r="K248" s="160">
        <v>45323</v>
      </c>
      <c r="L248" s="160" t="s">
        <v>288</v>
      </c>
      <c r="M248" s="155" t="s">
        <v>288</v>
      </c>
      <c r="N248" s="155" t="s">
        <v>288</v>
      </c>
      <c r="O248" s="155">
        <v>45336</v>
      </c>
      <c r="P248" s="155">
        <v>45343</v>
      </c>
      <c r="Q248" s="155" t="s">
        <v>289</v>
      </c>
      <c r="R248" s="155"/>
      <c r="S248" s="151" t="s">
        <v>47</v>
      </c>
      <c r="T248" s="151" t="s">
        <v>48</v>
      </c>
      <c r="U248" s="156" t="s">
        <v>1153</v>
      </c>
      <c r="V248" s="151" t="s">
        <v>85</v>
      </c>
      <c r="W248" s="151" t="s">
        <v>1154</v>
      </c>
      <c r="X248" s="151"/>
      <c r="Y248" s="156" t="s">
        <v>827</v>
      </c>
      <c r="Z248" s="156" t="s">
        <v>1155</v>
      </c>
      <c r="AA248" s="168" t="s">
        <v>1156</v>
      </c>
      <c r="AB248" s="168"/>
      <c r="AC248" s="168"/>
      <c r="AD248" s="155">
        <v>45343</v>
      </c>
      <c r="AE248" s="161"/>
      <c r="AF248" s="161"/>
      <c r="AG248" s="155">
        <v>45336</v>
      </c>
      <c r="AH248" s="155">
        <v>45343</v>
      </c>
      <c r="AI248" s="155"/>
      <c r="AJ248" s="158">
        <v>45343</v>
      </c>
      <c r="AK248" s="211"/>
      <c r="AL248" s="158"/>
      <c r="AM248" s="1"/>
    </row>
    <row r="249" spans="1:48" ht="45" hidden="1" customHeight="1">
      <c r="B249" s="159" t="s">
        <v>1162</v>
      </c>
      <c r="C249" s="159" t="s">
        <v>160</v>
      </c>
      <c r="D249" s="169" t="s">
        <v>161</v>
      </c>
      <c r="E249" s="159" t="s">
        <v>1163</v>
      </c>
      <c r="F249" s="159"/>
      <c r="G249" s="159" t="s">
        <v>1164</v>
      </c>
      <c r="H249" s="159" t="s">
        <v>42</v>
      </c>
      <c r="I249" s="159">
        <v>41</v>
      </c>
      <c r="J249" s="151" t="s">
        <v>1165</v>
      </c>
      <c r="K249" s="160">
        <v>45292</v>
      </c>
      <c r="L249" s="155" t="s">
        <v>288</v>
      </c>
      <c r="M249" s="155" t="s">
        <v>288</v>
      </c>
      <c r="N249" s="155" t="s">
        <v>288</v>
      </c>
      <c r="O249" s="155"/>
      <c r="P249" s="155">
        <v>45374</v>
      </c>
      <c r="Q249" s="155" t="s">
        <v>289</v>
      </c>
      <c r="R249" s="155"/>
      <c r="S249" s="151" t="s">
        <v>47</v>
      </c>
      <c r="T249" s="151" t="s">
        <v>48</v>
      </c>
      <c r="U249" s="156" t="s">
        <v>1166</v>
      </c>
      <c r="V249" s="151" t="s">
        <v>85</v>
      </c>
      <c r="W249" s="151" t="s">
        <v>1167</v>
      </c>
      <c r="X249" s="151"/>
      <c r="Y249" s="156" t="s">
        <v>51</v>
      </c>
      <c r="Z249" s="156" t="s">
        <v>1167</v>
      </c>
      <c r="AA249" s="168"/>
      <c r="AB249" s="168"/>
      <c r="AC249" s="168"/>
      <c r="AD249" s="155">
        <v>45377</v>
      </c>
      <c r="AE249" s="161">
        <v>1800</v>
      </c>
      <c r="AF249" s="161">
        <v>2800</v>
      </c>
      <c r="AG249" s="155">
        <v>45329</v>
      </c>
      <c r="AH249" s="155">
        <v>45375</v>
      </c>
      <c r="AI249" s="155"/>
      <c r="AJ249" s="158">
        <v>45374</v>
      </c>
      <c r="AK249" s="211"/>
      <c r="AL249" s="158"/>
      <c r="AM249" s="1"/>
    </row>
    <row r="250" spans="1:48" ht="45" hidden="1" customHeight="1">
      <c r="B250" s="159" t="s">
        <v>1168</v>
      </c>
      <c r="C250" s="159" t="s">
        <v>203</v>
      </c>
      <c r="D250" s="169" t="s">
        <v>204</v>
      </c>
      <c r="E250" s="170" t="s">
        <v>1169</v>
      </c>
      <c r="F250" s="170"/>
      <c r="G250" s="159" t="s">
        <v>1170</v>
      </c>
      <c r="H250" s="159" t="s">
        <v>42</v>
      </c>
      <c r="I250" s="159" t="s">
        <v>1171</v>
      </c>
      <c r="J250" s="151" t="s">
        <v>1125</v>
      </c>
      <c r="K250" s="160">
        <v>45139</v>
      </c>
      <c r="L250" s="160" t="s">
        <v>288</v>
      </c>
      <c r="M250" s="155" t="s">
        <v>288</v>
      </c>
      <c r="N250" s="155" t="s">
        <v>288</v>
      </c>
      <c r="O250" s="155">
        <v>45366</v>
      </c>
      <c r="P250" s="155">
        <v>45375</v>
      </c>
      <c r="Q250" s="155" t="s">
        <v>289</v>
      </c>
      <c r="R250" s="155"/>
      <c r="S250" s="151" t="s">
        <v>47</v>
      </c>
      <c r="T250" s="151" t="s">
        <v>48</v>
      </c>
      <c r="U250" s="156" t="s">
        <v>1172</v>
      </c>
      <c r="V250" s="151">
        <v>33</v>
      </c>
      <c r="W250" s="151" t="s">
        <v>1173</v>
      </c>
      <c r="X250" s="151" t="s">
        <v>1174</v>
      </c>
      <c r="Y250" s="156" t="s">
        <v>51</v>
      </c>
      <c r="Z250" s="156" t="s">
        <v>774</v>
      </c>
      <c r="AA250" s="168" t="s">
        <v>1175</v>
      </c>
      <c r="AB250" s="168"/>
      <c r="AC250" s="168"/>
      <c r="AD250" s="155">
        <v>45377</v>
      </c>
      <c r="AE250" s="161">
        <v>5700</v>
      </c>
      <c r="AF250" s="161">
        <v>13200</v>
      </c>
      <c r="AG250" s="155">
        <v>45167</v>
      </c>
      <c r="AH250" s="155">
        <v>45376</v>
      </c>
      <c r="AI250" s="155"/>
      <c r="AJ250" s="158">
        <v>45375</v>
      </c>
      <c r="AK250" s="211"/>
      <c r="AL250" s="158"/>
      <c r="AM250" s="1"/>
    </row>
    <row r="251" spans="1:48" ht="45" hidden="1" customHeight="1">
      <c r="B251" s="159" t="s">
        <v>1186</v>
      </c>
      <c r="C251" s="159" t="s">
        <v>311</v>
      </c>
      <c r="D251" s="169" t="s">
        <v>312</v>
      </c>
      <c r="E251" s="170" t="s">
        <v>1187</v>
      </c>
      <c r="F251" s="170"/>
      <c r="G251" s="159" t="s">
        <v>391</v>
      </c>
      <c r="H251" s="159" t="s">
        <v>42</v>
      </c>
      <c r="I251" s="159" t="s">
        <v>1188</v>
      </c>
      <c r="J251" s="151" t="s">
        <v>407</v>
      </c>
      <c r="K251" s="160">
        <v>45170</v>
      </c>
      <c r="L251" s="160" t="s">
        <v>288</v>
      </c>
      <c r="M251" s="155" t="s">
        <v>288</v>
      </c>
      <c r="N251" s="155" t="s">
        <v>288</v>
      </c>
      <c r="O251" s="155">
        <v>45377</v>
      </c>
      <c r="P251" s="155"/>
      <c r="Q251" s="155" t="s">
        <v>289</v>
      </c>
      <c r="R251" s="155"/>
      <c r="S251" s="151" t="s">
        <v>47</v>
      </c>
      <c r="T251" s="151" t="s">
        <v>48</v>
      </c>
      <c r="U251" s="168" t="s">
        <v>1189</v>
      </c>
      <c r="V251" s="151">
        <v>7</v>
      </c>
      <c r="W251" s="151" t="s">
        <v>1190</v>
      </c>
      <c r="X251" s="151" t="s">
        <v>864</v>
      </c>
      <c r="Y251" s="156" t="s">
        <v>714</v>
      </c>
      <c r="Z251" s="156" t="s">
        <v>864</v>
      </c>
      <c r="AA251" s="168" t="s">
        <v>1191</v>
      </c>
      <c r="AB251" s="168"/>
      <c r="AC251" s="168"/>
      <c r="AD251" s="155">
        <v>45377</v>
      </c>
      <c r="AE251" s="161">
        <v>2000</v>
      </c>
      <c r="AF251" s="161">
        <v>6000</v>
      </c>
      <c r="AG251" s="155">
        <v>45328</v>
      </c>
      <c r="AH251" s="155">
        <v>45376</v>
      </c>
      <c r="AI251" s="155"/>
      <c r="AJ251" s="158">
        <v>45378</v>
      </c>
      <c r="AK251" s="211">
        <v>45742</v>
      </c>
      <c r="AL251" s="158"/>
      <c r="AM251" s="1"/>
    </row>
    <row r="252" spans="1:48" ht="45" hidden="1" customHeight="1">
      <c r="B252" s="159" t="s">
        <v>1200</v>
      </c>
      <c r="C252" s="159" t="s">
        <v>479</v>
      </c>
      <c r="D252" s="169" t="s">
        <v>480</v>
      </c>
      <c r="E252" s="170" t="s">
        <v>1201</v>
      </c>
      <c r="F252" s="170"/>
      <c r="G252" s="159" t="s">
        <v>391</v>
      </c>
      <c r="H252" s="159" t="s">
        <v>42</v>
      </c>
      <c r="I252" s="159" t="s">
        <v>1202</v>
      </c>
      <c r="J252" s="151" t="s">
        <v>1125</v>
      </c>
      <c r="K252" s="160">
        <v>45170</v>
      </c>
      <c r="L252" s="160" t="s">
        <v>288</v>
      </c>
      <c r="M252" s="155" t="s">
        <v>288</v>
      </c>
      <c r="N252" s="155" t="s">
        <v>288</v>
      </c>
      <c r="O252" s="155"/>
      <c r="P252" s="155"/>
      <c r="Q252" s="155" t="s">
        <v>289</v>
      </c>
      <c r="R252" s="155"/>
      <c r="S252" s="151" t="s">
        <v>47</v>
      </c>
      <c r="T252" s="151" t="s">
        <v>48</v>
      </c>
      <c r="U252" s="156" t="s">
        <v>1203</v>
      </c>
      <c r="V252" s="151">
        <v>38</v>
      </c>
      <c r="W252" s="157" t="s">
        <v>67</v>
      </c>
      <c r="X252" s="151" t="s">
        <v>1204</v>
      </c>
      <c r="Y252" s="156" t="s">
        <v>51</v>
      </c>
      <c r="Z252" s="156"/>
      <c r="AA252" s="168"/>
      <c r="AB252" s="168"/>
      <c r="AC252" s="168"/>
      <c r="AD252" s="155">
        <v>45216</v>
      </c>
      <c r="AE252" s="161">
        <v>2500</v>
      </c>
      <c r="AF252" s="161">
        <v>2700</v>
      </c>
      <c r="AG252" s="155">
        <v>45188</v>
      </c>
      <c r="AH252" s="155">
        <v>45369</v>
      </c>
      <c r="AI252" s="155"/>
      <c r="AJ252" s="158">
        <v>45405</v>
      </c>
      <c r="AK252" s="211"/>
      <c r="AL252" s="158"/>
      <c r="AM252" s="1"/>
    </row>
    <row r="253" spans="1:48" ht="45" hidden="1" customHeight="1">
      <c r="B253" s="159" t="s">
        <v>1176</v>
      </c>
      <c r="C253" s="159" t="s">
        <v>241</v>
      </c>
      <c r="D253" s="159" t="s">
        <v>8273</v>
      </c>
      <c r="E253" s="170" t="s">
        <v>1177</v>
      </c>
      <c r="F253" s="170"/>
      <c r="G253" s="159" t="s">
        <v>308</v>
      </c>
      <c r="H253" s="159" t="s">
        <v>42</v>
      </c>
      <c r="I253" s="159" t="s">
        <v>1178</v>
      </c>
      <c r="J253" s="151" t="s">
        <v>1125</v>
      </c>
      <c r="K253" s="160">
        <v>45200</v>
      </c>
      <c r="L253" s="160" t="s">
        <v>288</v>
      </c>
      <c r="M253" s="155" t="s">
        <v>288</v>
      </c>
      <c r="N253" s="155" t="s">
        <v>288</v>
      </c>
      <c r="O253" s="155">
        <v>45379</v>
      </c>
      <c r="P253" s="155"/>
      <c r="Q253" s="155" t="s">
        <v>289</v>
      </c>
      <c r="R253" s="155"/>
      <c r="S253" s="151" t="s">
        <v>47</v>
      </c>
      <c r="T253" s="151" t="s">
        <v>48</v>
      </c>
      <c r="U253" s="168" t="s">
        <v>1179</v>
      </c>
      <c r="V253" s="151">
        <v>16</v>
      </c>
      <c r="W253" s="151" t="s">
        <v>1130</v>
      </c>
      <c r="X253" s="151"/>
      <c r="Y253" s="156" t="s">
        <v>51</v>
      </c>
      <c r="Z253" s="156"/>
      <c r="AA253" s="168"/>
      <c r="AB253" s="168"/>
      <c r="AC253" s="168"/>
      <c r="AD253" s="155">
        <v>45377</v>
      </c>
      <c r="AE253" s="161">
        <v>1300</v>
      </c>
      <c r="AF253" s="161">
        <v>3500</v>
      </c>
      <c r="AG253" s="155">
        <v>45306</v>
      </c>
      <c r="AH253" s="155">
        <v>45377</v>
      </c>
      <c r="AI253" s="155"/>
      <c r="AJ253" s="158">
        <v>45378</v>
      </c>
      <c r="AK253" s="211"/>
      <c r="AL253" s="158"/>
      <c r="AM253" s="1"/>
    </row>
    <row r="254" spans="1:48" ht="45" hidden="1" customHeight="1">
      <c r="B254" s="159" t="s">
        <v>1196</v>
      </c>
      <c r="C254" s="159" t="s">
        <v>336</v>
      </c>
      <c r="D254" s="169" t="s">
        <v>337</v>
      </c>
      <c r="E254" s="159" t="s">
        <v>1197</v>
      </c>
      <c r="F254" s="159"/>
      <c r="G254" s="159" t="s">
        <v>301</v>
      </c>
      <c r="H254" s="159" t="s">
        <v>42</v>
      </c>
      <c r="I254" s="159" t="s">
        <v>1198</v>
      </c>
      <c r="J254" s="151" t="s">
        <v>423</v>
      </c>
      <c r="K254" s="160">
        <v>45292</v>
      </c>
      <c r="L254" s="160" t="s">
        <v>288</v>
      </c>
      <c r="M254" s="155" t="s">
        <v>288</v>
      </c>
      <c r="N254" s="155" t="s">
        <v>288</v>
      </c>
      <c r="O254" s="155">
        <v>45400</v>
      </c>
      <c r="P254" s="155">
        <v>45402</v>
      </c>
      <c r="Q254" s="155" t="s">
        <v>289</v>
      </c>
      <c r="R254" s="155"/>
      <c r="S254" s="151" t="s">
        <v>47</v>
      </c>
      <c r="T254" s="151" t="s">
        <v>48</v>
      </c>
      <c r="U254" s="156" t="s">
        <v>1199</v>
      </c>
      <c r="V254" s="151">
        <v>10</v>
      </c>
      <c r="W254" s="151" t="s">
        <v>124</v>
      </c>
      <c r="X254" s="151"/>
      <c r="Y254" s="156" t="s">
        <v>51</v>
      </c>
      <c r="Z254" s="156"/>
      <c r="AA254" s="168"/>
      <c r="AB254" s="168"/>
      <c r="AC254" s="168"/>
      <c r="AD254" s="155">
        <v>45402</v>
      </c>
      <c r="AE254" s="161">
        <v>2500</v>
      </c>
      <c r="AF254" s="161">
        <v>3000</v>
      </c>
      <c r="AG254" s="155">
        <v>45351</v>
      </c>
      <c r="AH254" s="155">
        <v>45398</v>
      </c>
      <c r="AI254" s="155"/>
      <c r="AJ254" s="158">
        <v>45402</v>
      </c>
      <c r="AK254" s="211"/>
      <c r="AL254" s="158"/>
      <c r="AM254" s="1"/>
    </row>
    <row r="255" spans="1:48" ht="45" hidden="1" customHeight="1">
      <c r="B255" s="159" t="s">
        <v>1180</v>
      </c>
      <c r="C255" s="159" t="s">
        <v>248</v>
      </c>
      <c r="D255" s="169" t="s">
        <v>249</v>
      </c>
      <c r="E255" s="159" t="s">
        <v>440</v>
      </c>
      <c r="F255" s="152"/>
      <c r="G255" s="152" t="s">
        <v>301</v>
      </c>
      <c r="H255" s="152" t="s">
        <v>42</v>
      </c>
      <c r="I255" s="152" t="s">
        <v>417</v>
      </c>
      <c r="J255" s="151" t="s">
        <v>407</v>
      </c>
      <c r="K255" s="160">
        <v>45292</v>
      </c>
      <c r="L255" s="155" t="s">
        <v>288</v>
      </c>
      <c r="M255" s="155" t="s">
        <v>288</v>
      </c>
      <c r="N255" s="155" t="s">
        <v>288</v>
      </c>
      <c r="O255" s="155">
        <v>45371</v>
      </c>
      <c r="P255" s="155"/>
      <c r="Q255" s="155" t="s">
        <v>289</v>
      </c>
      <c r="R255" s="155"/>
      <c r="S255" s="151" t="s">
        <v>47</v>
      </c>
      <c r="T255" s="151" t="s">
        <v>48</v>
      </c>
      <c r="U255" s="156" t="s">
        <v>1181</v>
      </c>
      <c r="V255" s="151" t="s">
        <v>85</v>
      </c>
      <c r="W255" s="151" t="s">
        <v>864</v>
      </c>
      <c r="X255" s="151"/>
      <c r="Y255" s="156" t="s">
        <v>864</v>
      </c>
      <c r="Z255" s="156"/>
      <c r="AA255" s="168" t="s">
        <v>1182</v>
      </c>
      <c r="AB255" s="168"/>
      <c r="AC255" s="168"/>
      <c r="AD255" s="155">
        <v>45377</v>
      </c>
      <c r="AE255" s="161">
        <v>1200</v>
      </c>
      <c r="AF255" s="161">
        <v>1100</v>
      </c>
      <c r="AG255" s="155">
        <v>45336</v>
      </c>
      <c r="AH255" s="155">
        <v>45376</v>
      </c>
      <c r="AI255" s="155"/>
      <c r="AJ255" s="158">
        <v>45378</v>
      </c>
      <c r="AK255" s="211"/>
      <c r="AL255" s="158"/>
      <c r="AM255" s="1"/>
    </row>
    <row r="256" spans="1:48" ht="45" hidden="1" customHeight="1">
      <c r="B256" s="159" t="s">
        <v>1183</v>
      </c>
      <c r="C256" s="159" t="s">
        <v>160</v>
      </c>
      <c r="D256" s="547" t="s">
        <v>161</v>
      </c>
      <c r="E256" s="170" t="s">
        <v>1184</v>
      </c>
      <c r="F256" s="170"/>
      <c r="G256" s="159" t="s">
        <v>56</v>
      </c>
      <c r="H256" s="159" t="s">
        <v>42</v>
      </c>
      <c r="I256" s="159">
        <v>187</v>
      </c>
      <c r="J256" s="151" t="s">
        <v>407</v>
      </c>
      <c r="K256" s="160">
        <v>45292</v>
      </c>
      <c r="L256" s="155" t="s">
        <v>288</v>
      </c>
      <c r="M256" s="155" t="s">
        <v>288</v>
      </c>
      <c r="N256" s="155" t="s">
        <v>288</v>
      </c>
      <c r="O256" s="155">
        <v>45358</v>
      </c>
      <c r="P256" s="155"/>
      <c r="Q256" s="155" t="s">
        <v>289</v>
      </c>
      <c r="R256" s="155"/>
      <c r="S256" s="151" t="s">
        <v>47</v>
      </c>
      <c r="T256" s="151" t="s">
        <v>48</v>
      </c>
      <c r="U256" s="156" t="s">
        <v>1185</v>
      </c>
      <c r="V256" s="151" t="s">
        <v>85</v>
      </c>
      <c r="W256" s="151" t="s">
        <v>50</v>
      </c>
      <c r="X256" s="151"/>
      <c r="Y256" s="156" t="s">
        <v>714</v>
      </c>
      <c r="Z256" s="156"/>
      <c r="AA256" s="168"/>
      <c r="AB256" s="168"/>
      <c r="AC256" s="168"/>
      <c r="AD256" s="155">
        <v>45379</v>
      </c>
      <c r="AE256" s="161">
        <v>1300</v>
      </c>
      <c r="AF256" s="161">
        <v>2200</v>
      </c>
      <c r="AG256" s="155">
        <v>45328</v>
      </c>
      <c r="AH256" s="155">
        <v>45375</v>
      </c>
      <c r="AI256" s="155"/>
      <c r="AJ256" s="158">
        <v>45378</v>
      </c>
      <c r="AK256" s="211"/>
      <c r="AL256" s="158"/>
      <c r="AM256" s="1"/>
    </row>
    <row r="257" spans="1:48" ht="45" hidden="1" customHeight="1">
      <c r="B257" s="159" t="s">
        <v>1192</v>
      </c>
      <c r="C257" s="159" t="s">
        <v>315</v>
      </c>
      <c r="D257" s="159" t="s">
        <v>316</v>
      </c>
      <c r="E257" s="159" t="s">
        <v>1193</v>
      </c>
      <c r="F257" s="159"/>
      <c r="G257" s="159" t="s">
        <v>301</v>
      </c>
      <c r="H257" s="159" t="s">
        <v>42</v>
      </c>
      <c r="I257" s="159" t="s">
        <v>1194</v>
      </c>
      <c r="J257" s="151" t="s">
        <v>1125</v>
      </c>
      <c r="K257" s="160">
        <v>45352</v>
      </c>
      <c r="L257" s="155" t="s">
        <v>288</v>
      </c>
      <c r="M257" s="155" t="s">
        <v>288</v>
      </c>
      <c r="N257" s="155" t="s">
        <v>288</v>
      </c>
      <c r="O257" s="155"/>
      <c r="P257" s="155">
        <v>45391</v>
      </c>
      <c r="Q257" s="155" t="s">
        <v>289</v>
      </c>
      <c r="R257" s="155"/>
      <c r="S257" s="151" t="s">
        <v>47</v>
      </c>
      <c r="T257" s="151" t="s">
        <v>48</v>
      </c>
      <c r="U257" s="156" t="s">
        <v>1195</v>
      </c>
      <c r="V257" s="151">
        <v>13</v>
      </c>
      <c r="W257" s="151" t="s">
        <v>50</v>
      </c>
      <c r="X257" s="151"/>
      <c r="Y257" s="156" t="s">
        <v>51</v>
      </c>
      <c r="Z257" s="156"/>
      <c r="AA257" s="156"/>
      <c r="AB257" s="156"/>
      <c r="AC257" s="156"/>
      <c r="AD257" s="155">
        <v>45391</v>
      </c>
      <c r="AE257" s="157">
        <v>2400</v>
      </c>
      <c r="AF257" s="157">
        <v>3400</v>
      </c>
      <c r="AG257" s="155">
        <v>45356</v>
      </c>
      <c r="AH257" s="155">
        <v>45380</v>
      </c>
      <c r="AI257" s="155"/>
      <c r="AJ257" s="158">
        <v>45391</v>
      </c>
      <c r="AK257" s="211"/>
      <c r="AL257" s="158"/>
      <c r="AM257" s="1"/>
    </row>
    <row r="258" spans="1:48" ht="45" hidden="1" customHeight="1">
      <c r="B258" s="159" t="s">
        <v>1205</v>
      </c>
      <c r="C258" s="159" t="s">
        <v>1030</v>
      </c>
      <c r="D258" s="159" t="s">
        <v>1031</v>
      </c>
      <c r="E258" s="159" t="s">
        <v>1206</v>
      </c>
      <c r="F258" s="159"/>
      <c r="G258" s="159" t="s">
        <v>287</v>
      </c>
      <c r="H258" s="159" t="s">
        <v>42</v>
      </c>
      <c r="I258" s="159">
        <v>12</v>
      </c>
      <c r="J258" s="151"/>
      <c r="K258" s="160">
        <v>45352</v>
      </c>
      <c r="L258" s="155" t="s">
        <v>288</v>
      </c>
      <c r="M258" s="155" t="s">
        <v>288</v>
      </c>
      <c r="N258" s="155" t="s">
        <v>288</v>
      </c>
      <c r="O258" s="155"/>
      <c r="P258" s="155"/>
      <c r="Q258" s="155" t="s">
        <v>289</v>
      </c>
      <c r="R258" s="155"/>
      <c r="S258" s="151" t="s">
        <v>47</v>
      </c>
      <c r="T258" s="151" t="s">
        <v>48</v>
      </c>
      <c r="U258" s="156" t="s">
        <v>1207</v>
      </c>
      <c r="V258" s="151">
        <v>4</v>
      </c>
      <c r="W258" s="195" t="s">
        <v>147</v>
      </c>
      <c r="X258" s="151"/>
      <c r="Y258" s="156" t="s">
        <v>51</v>
      </c>
      <c r="Z258" s="156"/>
      <c r="AA258" s="156"/>
      <c r="AB258" s="156"/>
      <c r="AC258" s="156"/>
      <c r="AD258" s="155">
        <v>45405</v>
      </c>
      <c r="AE258" s="157">
        <v>3000</v>
      </c>
      <c r="AF258" s="157">
        <v>1500</v>
      </c>
      <c r="AG258" s="155">
        <v>45370</v>
      </c>
      <c r="AH258" s="155">
        <v>45398</v>
      </c>
      <c r="AI258" s="155"/>
      <c r="AJ258" s="158">
        <v>45405</v>
      </c>
      <c r="AK258" s="211"/>
      <c r="AL258" s="158"/>
      <c r="AM258" s="1"/>
    </row>
    <row r="259" spans="1:48" ht="45" hidden="1" customHeight="1">
      <c r="B259" s="159" t="s">
        <v>1212</v>
      </c>
      <c r="C259" s="159" t="s">
        <v>1213</v>
      </c>
      <c r="D259" s="159" t="s">
        <v>997</v>
      </c>
      <c r="E259" s="159" t="s">
        <v>1214</v>
      </c>
      <c r="F259" s="159"/>
      <c r="G259" s="159" t="s">
        <v>1215</v>
      </c>
      <c r="H259" s="159" t="s">
        <v>42</v>
      </c>
      <c r="I259" s="159">
        <v>102</v>
      </c>
      <c r="J259" s="151"/>
      <c r="K259" s="160">
        <v>45352</v>
      </c>
      <c r="L259" s="155" t="s">
        <v>288</v>
      </c>
      <c r="M259" s="155" t="s">
        <v>288</v>
      </c>
      <c r="N259" s="155" t="s">
        <v>288</v>
      </c>
      <c r="O259" s="155"/>
      <c r="P259" s="155"/>
      <c r="Q259" s="155" t="s">
        <v>289</v>
      </c>
      <c r="R259" s="155"/>
      <c r="S259" s="151" t="s">
        <v>47</v>
      </c>
      <c r="T259" s="151" t="s">
        <v>48</v>
      </c>
      <c r="U259" s="156" t="s">
        <v>1216</v>
      </c>
      <c r="V259" s="151">
        <v>8</v>
      </c>
      <c r="W259" s="151" t="s">
        <v>1130</v>
      </c>
      <c r="X259" s="151"/>
      <c r="Y259" s="156" t="s">
        <v>51</v>
      </c>
      <c r="Z259" s="156"/>
      <c r="AA259" s="156"/>
      <c r="AB259" s="156"/>
      <c r="AC259" s="156"/>
      <c r="AD259" s="155">
        <v>45431</v>
      </c>
      <c r="AE259" s="157">
        <v>1100</v>
      </c>
      <c r="AF259" s="157">
        <v>2100</v>
      </c>
      <c r="AG259" s="155">
        <v>45391</v>
      </c>
      <c r="AH259" s="155">
        <v>45402</v>
      </c>
      <c r="AI259" s="155"/>
      <c r="AJ259" s="158">
        <v>45431</v>
      </c>
      <c r="AK259" s="211"/>
      <c r="AL259" s="158"/>
      <c r="AM259" s="1"/>
    </row>
    <row r="260" spans="1:48" ht="45" hidden="1" customHeight="1">
      <c r="B260" s="159" t="s">
        <v>1217</v>
      </c>
      <c r="C260" s="159" t="s">
        <v>315</v>
      </c>
      <c r="D260" s="159" t="s">
        <v>316</v>
      </c>
      <c r="E260" s="159" t="s">
        <v>1218</v>
      </c>
      <c r="F260" s="159"/>
      <c r="G260" s="159" t="s">
        <v>301</v>
      </c>
      <c r="H260" s="159" t="s">
        <v>42</v>
      </c>
      <c r="I260" s="159">
        <v>51</v>
      </c>
      <c r="J260" s="151"/>
      <c r="K260" s="160">
        <v>45352</v>
      </c>
      <c r="L260" s="155" t="s">
        <v>288</v>
      </c>
      <c r="M260" s="155" t="s">
        <v>288</v>
      </c>
      <c r="N260" s="155" t="s">
        <v>288</v>
      </c>
      <c r="O260" s="155"/>
      <c r="P260" s="155"/>
      <c r="Q260" s="155" t="s">
        <v>289</v>
      </c>
      <c r="R260" s="155"/>
      <c r="S260" s="151" t="s">
        <v>47</v>
      </c>
      <c r="T260" s="151" t="s">
        <v>48</v>
      </c>
      <c r="U260" s="156" t="s">
        <v>1219</v>
      </c>
      <c r="V260" s="151">
        <v>3</v>
      </c>
      <c r="W260" s="157" t="s">
        <v>67</v>
      </c>
      <c r="X260" s="151"/>
      <c r="Y260" s="156" t="s">
        <v>51</v>
      </c>
      <c r="Z260" s="156"/>
      <c r="AA260" s="156"/>
      <c r="AB260" s="156"/>
      <c r="AC260" s="156"/>
      <c r="AD260" s="155">
        <v>45432</v>
      </c>
      <c r="AE260" s="157">
        <v>2100</v>
      </c>
      <c r="AF260" s="157">
        <v>500</v>
      </c>
      <c r="AG260" s="155">
        <v>45393</v>
      </c>
      <c r="AH260" s="155">
        <v>45400</v>
      </c>
      <c r="AI260" s="155"/>
      <c r="AJ260" s="158">
        <v>45432</v>
      </c>
      <c r="AK260" s="211"/>
      <c r="AL260" s="158"/>
      <c r="AM260" s="1"/>
    </row>
    <row r="261" spans="1:48" ht="45" hidden="1" customHeight="1">
      <c r="B261" s="159" t="s">
        <v>1209</v>
      </c>
      <c r="C261" s="159" t="s">
        <v>315</v>
      </c>
      <c r="D261" s="159" t="s">
        <v>316</v>
      </c>
      <c r="E261" s="159" t="s">
        <v>1210</v>
      </c>
      <c r="F261" s="152"/>
      <c r="G261" s="152" t="s">
        <v>287</v>
      </c>
      <c r="H261" s="152" t="s">
        <v>42</v>
      </c>
      <c r="I261" s="152">
        <v>34</v>
      </c>
      <c r="J261" s="151"/>
      <c r="K261" s="160">
        <v>45352</v>
      </c>
      <c r="L261" s="155" t="s">
        <v>288</v>
      </c>
      <c r="M261" s="155" t="s">
        <v>288</v>
      </c>
      <c r="N261" s="155" t="s">
        <v>288</v>
      </c>
      <c r="O261" s="155">
        <v>45405</v>
      </c>
      <c r="P261" s="155">
        <v>45408</v>
      </c>
      <c r="Q261" s="155" t="s">
        <v>289</v>
      </c>
      <c r="R261" s="155"/>
      <c r="S261" s="151" t="s">
        <v>47</v>
      </c>
      <c r="T261" s="151" t="s">
        <v>48</v>
      </c>
      <c r="U261" s="156" t="s">
        <v>1211</v>
      </c>
      <c r="V261" s="151" t="s">
        <v>85</v>
      </c>
      <c r="W261" s="151" t="s">
        <v>147</v>
      </c>
      <c r="X261" s="151"/>
      <c r="Y261" s="156" t="s">
        <v>827</v>
      </c>
      <c r="Z261" s="156"/>
      <c r="AA261" s="156"/>
      <c r="AB261" s="156"/>
      <c r="AC261" s="156"/>
      <c r="AD261" s="155">
        <v>45407</v>
      </c>
      <c r="AE261" s="157">
        <v>1700</v>
      </c>
      <c r="AF261" s="157">
        <v>400</v>
      </c>
      <c r="AG261" s="155">
        <v>45393</v>
      </c>
      <c r="AH261" s="155">
        <v>45400</v>
      </c>
      <c r="AI261" s="155"/>
      <c r="AJ261" s="158">
        <v>45409</v>
      </c>
      <c r="AK261" s="211"/>
      <c r="AL261" s="158"/>
      <c r="AM261" s="1"/>
    </row>
    <row r="262" spans="1:48" ht="45" hidden="1" customHeight="1">
      <c r="B262" s="159" t="s">
        <v>1220</v>
      </c>
      <c r="C262" s="169" t="s">
        <v>293</v>
      </c>
      <c r="D262" s="169" t="s">
        <v>842</v>
      </c>
      <c r="E262" s="159" t="s">
        <v>1221</v>
      </c>
      <c r="F262" s="159"/>
      <c r="G262" s="159" t="s">
        <v>296</v>
      </c>
      <c r="H262" s="159" t="s">
        <v>42</v>
      </c>
      <c r="I262" s="159" t="s">
        <v>1222</v>
      </c>
      <c r="J262" s="151"/>
      <c r="K262" s="160">
        <v>45170</v>
      </c>
      <c r="L262" s="155" t="s">
        <v>288</v>
      </c>
      <c r="M262" s="155" t="s">
        <v>288</v>
      </c>
      <c r="N262" s="155" t="s">
        <v>288</v>
      </c>
      <c r="O262" s="155"/>
      <c r="P262" s="155">
        <v>45488</v>
      </c>
      <c r="Q262" s="155" t="s">
        <v>289</v>
      </c>
      <c r="R262" s="155"/>
      <c r="S262" s="151" t="s">
        <v>47</v>
      </c>
      <c r="T262" s="151" t="s">
        <v>48</v>
      </c>
      <c r="U262" s="156" t="s">
        <v>1223</v>
      </c>
      <c r="V262" s="151">
        <v>9</v>
      </c>
      <c r="W262" s="157" t="s">
        <v>67</v>
      </c>
      <c r="X262" s="151"/>
      <c r="Y262" s="156" t="s">
        <v>1224</v>
      </c>
      <c r="Z262" s="156" t="s">
        <v>132</v>
      </c>
      <c r="AA262" s="168" t="s">
        <v>1225</v>
      </c>
      <c r="AB262" s="168"/>
      <c r="AC262" s="168"/>
      <c r="AD262" s="155">
        <v>45216</v>
      </c>
      <c r="AE262" s="161">
        <v>900</v>
      </c>
      <c r="AF262" s="161">
        <v>3000</v>
      </c>
      <c r="AG262" s="155">
        <v>45159</v>
      </c>
      <c r="AH262" s="155">
        <v>45168</v>
      </c>
      <c r="AI262" s="155"/>
      <c r="AJ262" s="158">
        <v>45433</v>
      </c>
      <c r="AK262" s="211"/>
      <c r="AL262" s="158"/>
      <c r="AM262" s="1"/>
    </row>
    <row r="263" spans="1:48" ht="45" hidden="1" customHeight="1">
      <c r="A263" s="1"/>
      <c r="B263" s="159" t="s">
        <v>1681</v>
      </c>
      <c r="C263" s="159" t="s">
        <v>496</v>
      </c>
      <c r="D263" s="169" t="s">
        <v>497</v>
      </c>
      <c r="E263" s="159" t="s">
        <v>1682</v>
      </c>
      <c r="F263" s="159"/>
      <c r="G263" s="159" t="s">
        <v>287</v>
      </c>
      <c r="H263" s="159" t="s">
        <v>486</v>
      </c>
      <c r="I263" s="159">
        <v>192</v>
      </c>
      <c r="J263" s="151"/>
      <c r="K263" s="160">
        <v>45170</v>
      </c>
      <c r="L263" s="155" t="s">
        <v>45</v>
      </c>
      <c r="M263" s="155"/>
      <c r="N263" s="155"/>
      <c r="O263" s="155"/>
      <c r="P263" s="155"/>
      <c r="Q263" s="155"/>
      <c r="R263" s="155"/>
      <c r="S263" s="151" t="s">
        <v>47</v>
      </c>
      <c r="T263" s="151" t="s">
        <v>48</v>
      </c>
      <c r="U263" s="156" t="s">
        <v>1683</v>
      </c>
      <c r="V263" s="151" t="s">
        <v>85</v>
      </c>
      <c r="W263" s="151" t="s">
        <v>1460</v>
      </c>
      <c r="X263" s="151"/>
      <c r="Y263" s="156" t="s">
        <v>1122</v>
      </c>
      <c r="Z263" s="156"/>
      <c r="AA263" s="168"/>
      <c r="AB263" s="168"/>
      <c r="AC263" s="168"/>
      <c r="AD263" s="155">
        <v>45785</v>
      </c>
      <c r="AE263" s="161">
        <v>900</v>
      </c>
      <c r="AF263" s="161">
        <v>2300</v>
      </c>
      <c r="AG263" s="155">
        <v>45762</v>
      </c>
      <c r="AH263" s="155">
        <v>45772</v>
      </c>
      <c r="AI263" s="155"/>
      <c r="AJ263" s="158">
        <v>45775</v>
      </c>
      <c r="AK263" s="211"/>
      <c r="AL263" s="158"/>
      <c r="AM263" s="1"/>
      <c r="AN263" s="1"/>
      <c r="AO263" s="1"/>
      <c r="AP263" s="1"/>
      <c r="AQ263" s="1"/>
      <c r="AR263" s="1"/>
      <c r="AS263" s="1"/>
      <c r="AT263" s="1"/>
      <c r="AU263" s="1"/>
      <c r="AV263" s="1"/>
    </row>
    <row r="264" spans="1:48" ht="45" hidden="1" customHeight="1">
      <c r="B264" s="159" t="s">
        <v>1256</v>
      </c>
      <c r="C264" s="159" t="s">
        <v>160</v>
      </c>
      <c r="D264" s="159" t="s">
        <v>161</v>
      </c>
      <c r="E264" s="159" t="s">
        <v>1257</v>
      </c>
      <c r="F264" s="159"/>
      <c r="G264" s="159" t="s">
        <v>1258</v>
      </c>
      <c r="H264" s="159" t="s">
        <v>42</v>
      </c>
      <c r="I264" s="159">
        <v>161</v>
      </c>
      <c r="J264" s="151" t="s">
        <v>423</v>
      </c>
      <c r="K264" s="160">
        <v>45444</v>
      </c>
      <c r="L264" s="155" t="s">
        <v>288</v>
      </c>
      <c r="M264" s="155" t="s">
        <v>288</v>
      </c>
      <c r="N264" s="155" t="s">
        <v>288</v>
      </c>
      <c r="O264" s="155">
        <v>45471</v>
      </c>
      <c r="P264" s="155">
        <v>45488</v>
      </c>
      <c r="Q264" s="155" t="s">
        <v>289</v>
      </c>
      <c r="R264" s="155"/>
      <c r="S264" s="151" t="s">
        <v>47</v>
      </c>
      <c r="T264" s="151" t="s">
        <v>48</v>
      </c>
      <c r="U264" s="156" t="s">
        <v>1259</v>
      </c>
      <c r="V264" s="151">
        <v>3</v>
      </c>
      <c r="W264" s="195" t="s">
        <v>147</v>
      </c>
      <c r="X264" s="151"/>
      <c r="Y264" s="156" t="s">
        <v>1208</v>
      </c>
      <c r="Z264" s="156"/>
      <c r="AA264" s="156"/>
      <c r="AB264" s="156"/>
      <c r="AC264" s="156"/>
      <c r="AD264" s="155">
        <v>45488</v>
      </c>
      <c r="AE264" s="157">
        <v>500</v>
      </c>
      <c r="AF264" s="157">
        <v>2100</v>
      </c>
      <c r="AG264" s="155">
        <v>45455</v>
      </c>
      <c r="AH264" s="155">
        <v>45471</v>
      </c>
      <c r="AI264" s="155"/>
      <c r="AJ264" s="158">
        <v>45488</v>
      </c>
      <c r="AK264" s="211"/>
      <c r="AL264" s="158"/>
      <c r="AM264" s="1"/>
    </row>
    <row r="265" spans="1:48" ht="45" hidden="1" customHeight="1">
      <c r="B265" s="159" t="s">
        <v>1226</v>
      </c>
      <c r="C265" s="159" t="s">
        <v>293</v>
      </c>
      <c r="D265" s="159" t="s">
        <v>842</v>
      </c>
      <c r="E265" s="159" t="s">
        <v>1227</v>
      </c>
      <c r="F265" s="159"/>
      <c r="G265" s="159" t="s">
        <v>107</v>
      </c>
      <c r="H265" s="159" t="s">
        <v>42</v>
      </c>
      <c r="I265" s="159" t="s">
        <v>1178</v>
      </c>
      <c r="J265" s="151" t="s">
        <v>429</v>
      </c>
      <c r="K265" s="160">
        <v>45444</v>
      </c>
      <c r="L265" s="155" t="s">
        <v>288</v>
      </c>
      <c r="M265" s="155" t="s">
        <v>288</v>
      </c>
      <c r="N265" s="155" t="s">
        <v>288</v>
      </c>
      <c r="O265" s="155">
        <v>45456</v>
      </c>
      <c r="P265" s="155">
        <v>45471</v>
      </c>
      <c r="Q265" s="155" t="s">
        <v>289</v>
      </c>
      <c r="R265" s="155"/>
      <c r="S265" s="151" t="s">
        <v>47</v>
      </c>
      <c r="T265" s="151" t="s">
        <v>48</v>
      </c>
      <c r="U265" s="156" t="s">
        <v>1228</v>
      </c>
      <c r="V265" s="151" t="s">
        <v>85</v>
      </c>
      <c r="W265" s="151" t="s">
        <v>50</v>
      </c>
      <c r="X265" s="151"/>
      <c r="Y265" s="156" t="s">
        <v>714</v>
      </c>
      <c r="Z265" s="156"/>
      <c r="AA265" s="156"/>
      <c r="AB265" s="156"/>
      <c r="AC265" s="156"/>
      <c r="AD265" s="155">
        <v>45471</v>
      </c>
      <c r="AE265" s="157">
        <v>300</v>
      </c>
      <c r="AF265" s="157">
        <v>1800</v>
      </c>
      <c r="AG265" s="155">
        <v>45453</v>
      </c>
      <c r="AH265" s="155">
        <v>45469</v>
      </c>
      <c r="AI265" s="155"/>
      <c r="AJ265" s="158">
        <v>45471</v>
      </c>
      <c r="AK265" s="211"/>
      <c r="AL265" s="158"/>
      <c r="AM265" s="1"/>
    </row>
    <row r="266" spans="1:48" ht="45" hidden="1" customHeight="1">
      <c r="B266" s="159" t="s">
        <v>1229</v>
      </c>
      <c r="C266" s="159" t="s">
        <v>328</v>
      </c>
      <c r="D266" s="159" t="s">
        <v>329</v>
      </c>
      <c r="E266" s="159" t="s">
        <v>1230</v>
      </c>
      <c r="F266" s="152"/>
      <c r="G266" s="152" t="s">
        <v>301</v>
      </c>
      <c r="H266" s="152" t="s">
        <v>42</v>
      </c>
      <c r="I266" s="152" t="s">
        <v>1188</v>
      </c>
      <c r="J266" s="151"/>
      <c r="K266" s="153">
        <v>45444</v>
      </c>
      <c r="L266" s="155" t="s">
        <v>288</v>
      </c>
      <c r="M266" s="155" t="s">
        <v>288</v>
      </c>
      <c r="N266" s="155" t="s">
        <v>288</v>
      </c>
      <c r="O266" s="155">
        <v>45457</v>
      </c>
      <c r="P266" s="155">
        <v>45470</v>
      </c>
      <c r="Q266" s="155" t="s">
        <v>289</v>
      </c>
      <c r="R266" s="155"/>
      <c r="S266" s="151" t="s">
        <v>47</v>
      </c>
      <c r="T266" s="151" t="s">
        <v>48</v>
      </c>
      <c r="U266" s="156" t="s">
        <v>1231</v>
      </c>
      <c r="V266" s="151">
        <v>3</v>
      </c>
      <c r="W266" s="151" t="s">
        <v>1232</v>
      </c>
      <c r="X266" s="151"/>
      <c r="Y266" s="156" t="s">
        <v>51</v>
      </c>
      <c r="Z266" s="156"/>
      <c r="AA266" s="156"/>
      <c r="AB266" s="156"/>
      <c r="AC266" s="156"/>
      <c r="AD266" s="155">
        <v>45473</v>
      </c>
      <c r="AE266" s="157">
        <v>4000</v>
      </c>
      <c r="AF266" s="157">
        <v>47000</v>
      </c>
      <c r="AG266" s="155">
        <v>45457</v>
      </c>
      <c r="AH266" s="155">
        <v>45470</v>
      </c>
      <c r="AI266" s="155"/>
      <c r="AJ266" s="158">
        <v>45473</v>
      </c>
      <c r="AK266" s="211"/>
      <c r="AL266" s="158"/>
      <c r="AM266" s="1"/>
    </row>
    <row r="267" spans="1:48" ht="45" hidden="1" customHeight="1">
      <c r="B267" s="159" t="s">
        <v>1233</v>
      </c>
      <c r="C267" s="159" t="s">
        <v>1234</v>
      </c>
      <c r="D267" s="159" t="s">
        <v>1235</v>
      </c>
      <c r="E267" s="159" t="s">
        <v>1236</v>
      </c>
      <c r="F267" s="159"/>
      <c r="G267" s="159"/>
      <c r="H267" s="159" t="s">
        <v>1237</v>
      </c>
      <c r="I267" s="159">
        <v>12</v>
      </c>
      <c r="J267" s="151"/>
      <c r="K267" s="160">
        <v>45413</v>
      </c>
      <c r="L267" s="155" t="s">
        <v>288</v>
      </c>
      <c r="M267" s="155" t="s">
        <v>288</v>
      </c>
      <c r="N267" s="155" t="s">
        <v>288</v>
      </c>
      <c r="O267" s="155">
        <v>45453</v>
      </c>
      <c r="P267" s="155">
        <v>45469</v>
      </c>
      <c r="Q267" s="155" t="s">
        <v>289</v>
      </c>
      <c r="R267" s="155"/>
      <c r="S267" s="151" t="s">
        <v>47</v>
      </c>
      <c r="T267" s="151" t="s">
        <v>48</v>
      </c>
      <c r="U267" s="156" t="s">
        <v>1238</v>
      </c>
      <c r="V267" s="151" t="s">
        <v>85</v>
      </c>
      <c r="W267" s="151" t="s">
        <v>1239</v>
      </c>
      <c r="X267" s="151"/>
      <c r="Y267" s="156" t="s">
        <v>132</v>
      </c>
      <c r="Z267" s="156"/>
      <c r="AA267" s="156"/>
      <c r="AB267" s="156"/>
      <c r="AC267" s="156"/>
      <c r="AD267" s="155">
        <v>45473</v>
      </c>
      <c r="AE267" s="157">
        <v>2400</v>
      </c>
      <c r="AF267" s="157">
        <v>3700</v>
      </c>
      <c r="AG267" s="155">
        <v>45453</v>
      </c>
      <c r="AH267" s="155">
        <v>45469</v>
      </c>
      <c r="AI267" s="155"/>
      <c r="AJ267" s="158">
        <v>45473</v>
      </c>
      <c r="AK267" s="211"/>
      <c r="AL267" s="158"/>
      <c r="AM267" s="1"/>
    </row>
    <row r="268" spans="1:48" ht="45" hidden="1" customHeight="1">
      <c r="B268" s="159" t="s">
        <v>1260</v>
      </c>
      <c r="C268" s="159" t="s">
        <v>54</v>
      </c>
      <c r="D268" s="159" t="s">
        <v>55</v>
      </c>
      <c r="E268" s="159" t="s">
        <v>1261</v>
      </c>
      <c r="F268" s="152"/>
      <c r="G268" s="152" t="s">
        <v>301</v>
      </c>
      <c r="H268" s="152" t="s">
        <v>42</v>
      </c>
      <c r="I268" s="152" t="s">
        <v>1262</v>
      </c>
      <c r="J268" s="151"/>
      <c r="K268" s="160">
        <v>45444</v>
      </c>
      <c r="L268" s="155" t="s">
        <v>288</v>
      </c>
      <c r="M268" s="155" t="s">
        <v>288</v>
      </c>
      <c r="N268" s="155" t="s">
        <v>288</v>
      </c>
      <c r="O268" s="155"/>
      <c r="P268" s="155"/>
      <c r="Q268" s="155" t="s">
        <v>289</v>
      </c>
      <c r="R268" s="155"/>
      <c r="S268" s="151" t="s">
        <v>47</v>
      </c>
      <c r="T268" s="151" t="s">
        <v>48</v>
      </c>
      <c r="U268" s="156" t="s">
        <v>1263</v>
      </c>
      <c r="V268" s="151" t="s">
        <v>85</v>
      </c>
      <c r="W268" s="151" t="s">
        <v>124</v>
      </c>
      <c r="X268" s="151"/>
      <c r="Y268" s="156" t="s">
        <v>714</v>
      </c>
      <c r="Z268" s="156"/>
      <c r="AA268" s="156"/>
      <c r="AB268" s="156"/>
      <c r="AC268" s="156"/>
      <c r="AD268" s="155">
        <v>45491</v>
      </c>
      <c r="AE268" s="157">
        <v>1300</v>
      </c>
      <c r="AF268" s="157">
        <v>2500</v>
      </c>
      <c r="AG268" s="155">
        <v>45467</v>
      </c>
      <c r="AH268" s="155">
        <v>45478</v>
      </c>
      <c r="AI268" s="155"/>
      <c r="AJ268" s="158">
        <v>45491</v>
      </c>
      <c r="AK268" s="211"/>
      <c r="AL268" s="158"/>
      <c r="AM268" s="1"/>
    </row>
    <row r="269" spans="1:48" ht="45" hidden="1" customHeight="1">
      <c r="B269" s="159" t="s">
        <v>1240</v>
      </c>
      <c r="C269" s="159" t="s">
        <v>1241</v>
      </c>
      <c r="D269" s="159" t="s">
        <v>1242</v>
      </c>
      <c r="E269" s="159" t="s">
        <v>1243</v>
      </c>
      <c r="F269" s="159"/>
      <c r="G269" s="159" t="s">
        <v>1215</v>
      </c>
      <c r="H269" s="159" t="s">
        <v>740</v>
      </c>
      <c r="I269" s="159">
        <v>113</v>
      </c>
      <c r="J269" s="151"/>
      <c r="K269" s="160">
        <v>45444</v>
      </c>
      <c r="L269" s="155" t="s">
        <v>288</v>
      </c>
      <c r="M269" s="155" t="s">
        <v>288</v>
      </c>
      <c r="N269" s="155" t="s">
        <v>288</v>
      </c>
      <c r="O269" s="155">
        <v>45467</v>
      </c>
      <c r="P269" s="155">
        <v>45475</v>
      </c>
      <c r="Q269" s="155" t="s">
        <v>289</v>
      </c>
      <c r="R269" s="155"/>
      <c r="S269" s="151" t="s">
        <v>47</v>
      </c>
      <c r="T269" s="151" t="s">
        <v>48</v>
      </c>
      <c r="U269" s="156" t="s">
        <v>1244</v>
      </c>
      <c r="V269" s="151" t="s">
        <v>85</v>
      </c>
      <c r="W269" s="151" t="s">
        <v>50</v>
      </c>
      <c r="X269" s="151"/>
      <c r="Y269" s="156" t="s">
        <v>132</v>
      </c>
      <c r="Z269" s="156"/>
      <c r="AA269" s="156"/>
      <c r="AB269" s="156"/>
      <c r="AC269" s="156"/>
      <c r="AD269" s="155">
        <v>45475</v>
      </c>
      <c r="AE269" s="157">
        <v>1300</v>
      </c>
      <c r="AF269" s="157">
        <v>2700</v>
      </c>
      <c r="AG269" s="155">
        <v>45461</v>
      </c>
      <c r="AH269" s="155">
        <v>45471</v>
      </c>
      <c r="AI269" s="155"/>
      <c r="AJ269" s="158">
        <v>45475</v>
      </c>
      <c r="AK269" s="211"/>
      <c r="AL269" s="158"/>
      <c r="AM269" s="1"/>
    </row>
    <row r="270" spans="1:48" ht="45" hidden="1" customHeight="1">
      <c r="B270" s="159" t="s">
        <v>1286</v>
      </c>
      <c r="C270" s="159" t="s">
        <v>298</v>
      </c>
      <c r="D270" s="159" t="s">
        <v>299</v>
      </c>
      <c r="E270" s="159" t="s">
        <v>1287</v>
      </c>
      <c r="F270" s="159"/>
      <c r="G270" s="159" t="s">
        <v>1215</v>
      </c>
      <c r="H270" s="159" t="s">
        <v>42</v>
      </c>
      <c r="I270" s="159">
        <v>12</v>
      </c>
      <c r="J270" s="151"/>
      <c r="K270" s="160">
        <v>45444</v>
      </c>
      <c r="L270" s="155" t="s">
        <v>288</v>
      </c>
      <c r="M270" s="155" t="s">
        <v>288</v>
      </c>
      <c r="N270" s="155" t="s">
        <v>288</v>
      </c>
      <c r="O270" s="155">
        <v>45475</v>
      </c>
      <c r="P270" s="155">
        <v>45528</v>
      </c>
      <c r="Q270" s="155" t="s">
        <v>289</v>
      </c>
      <c r="R270" s="155"/>
      <c r="S270" s="151" t="s">
        <v>47</v>
      </c>
      <c r="T270" s="151" t="s">
        <v>48</v>
      </c>
      <c r="U270" s="156" t="s">
        <v>1288</v>
      </c>
      <c r="V270" s="151">
        <v>5</v>
      </c>
      <c r="W270" s="151" t="s">
        <v>1289</v>
      </c>
      <c r="X270" s="151"/>
      <c r="Y270" s="156" t="s">
        <v>1290</v>
      </c>
      <c r="Z270" s="156"/>
      <c r="AA270" s="156"/>
      <c r="AB270" s="156"/>
      <c r="AC270" s="156"/>
      <c r="AD270" s="155">
        <v>45528</v>
      </c>
      <c r="AE270" s="157">
        <v>4500</v>
      </c>
      <c r="AF270" s="157">
        <v>2600</v>
      </c>
      <c r="AG270" s="155">
        <v>45474</v>
      </c>
      <c r="AH270" s="155">
        <v>45485</v>
      </c>
      <c r="AI270" s="155"/>
      <c r="AJ270" s="158">
        <v>45528</v>
      </c>
      <c r="AK270" s="211"/>
      <c r="AL270" s="158"/>
      <c r="AM270" s="1"/>
    </row>
    <row r="271" spans="1:48" ht="45" hidden="1" customHeight="1">
      <c r="B271" s="159" t="s">
        <v>1252</v>
      </c>
      <c r="C271" s="159" t="s">
        <v>298</v>
      </c>
      <c r="D271" s="159" t="s">
        <v>299</v>
      </c>
      <c r="E271" s="159" t="s">
        <v>1253</v>
      </c>
      <c r="F271" s="152"/>
      <c r="G271" s="152" t="s">
        <v>1215</v>
      </c>
      <c r="H271" s="152" t="s">
        <v>42</v>
      </c>
      <c r="I271" s="152">
        <v>122</v>
      </c>
      <c r="J271" s="151"/>
      <c r="K271" s="153">
        <v>45444</v>
      </c>
      <c r="L271" s="155" t="s">
        <v>288</v>
      </c>
      <c r="M271" s="155" t="s">
        <v>288</v>
      </c>
      <c r="N271" s="155" t="s">
        <v>288</v>
      </c>
      <c r="O271" s="155"/>
      <c r="P271" s="155"/>
      <c r="Q271" s="155" t="s">
        <v>289</v>
      </c>
      <c r="R271" s="155"/>
      <c r="S271" s="151" t="s">
        <v>47</v>
      </c>
      <c r="T271" s="151" t="s">
        <v>48</v>
      </c>
      <c r="U271" s="156" t="s">
        <v>1254</v>
      </c>
      <c r="V271" s="151">
        <v>25</v>
      </c>
      <c r="W271" s="151" t="s">
        <v>50</v>
      </c>
      <c r="X271" s="151"/>
      <c r="Y271" s="156" t="s">
        <v>1255</v>
      </c>
      <c r="Z271" s="156"/>
      <c r="AA271" s="156"/>
      <c r="AB271" s="156"/>
      <c r="AC271" s="156"/>
      <c r="AD271" s="155">
        <v>45502</v>
      </c>
      <c r="AE271" s="157">
        <v>3300</v>
      </c>
      <c r="AF271" s="157">
        <v>2500</v>
      </c>
      <c r="AG271" s="155">
        <v>45474</v>
      </c>
      <c r="AH271" s="155">
        <v>45485</v>
      </c>
      <c r="AI271" s="155"/>
      <c r="AJ271" s="155">
        <v>45485</v>
      </c>
      <c r="AK271" s="172"/>
      <c r="AL271" s="155"/>
      <c r="AM271" s="1"/>
    </row>
    <row r="272" spans="1:48" ht="45" hidden="1" customHeight="1">
      <c r="B272" s="159" t="s">
        <v>1245</v>
      </c>
      <c r="C272" s="159" t="s">
        <v>1246</v>
      </c>
      <c r="D272" s="159" t="s">
        <v>1247</v>
      </c>
      <c r="E272" s="159" t="s">
        <v>1248</v>
      </c>
      <c r="F272" s="152"/>
      <c r="G272" s="152" t="s">
        <v>1249</v>
      </c>
      <c r="H272" s="152" t="s">
        <v>740</v>
      </c>
      <c r="I272" s="152" t="s">
        <v>1250</v>
      </c>
      <c r="J272" s="151"/>
      <c r="K272" s="153">
        <v>45444</v>
      </c>
      <c r="L272" s="155" t="s">
        <v>288</v>
      </c>
      <c r="M272" s="155" t="s">
        <v>288</v>
      </c>
      <c r="N272" s="155" t="s">
        <v>288</v>
      </c>
      <c r="O272" s="155">
        <v>45470</v>
      </c>
      <c r="P272" s="155">
        <v>45479</v>
      </c>
      <c r="Q272" s="155" t="s">
        <v>289</v>
      </c>
      <c r="R272" s="155"/>
      <c r="S272" s="151" t="s">
        <v>47</v>
      </c>
      <c r="T272" s="151" t="s">
        <v>48</v>
      </c>
      <c r="U272" s="156" t="s">
        <v>1251</v>
      </c>
      <c r="V272" s="151">
        <v>2</v>
      </c>
      <c r="W272" s="151" t="s">
        <v>50</v>
      </c>
      <c r="X272" s="151"/>
      <c r="Y272" s="156" t="s">
        <v>132</v>
      </c>
      <c r="Z272" s="156"/>
      <c r="AA272" s="156"/>
      <c r="AB272" s="156"/>
      <c r="AC272" s="156"/>
      <c r="AD272" s="155">
        <v>45479</v>
      </c>
      <c r="AE272" s="157"/>
      <c r="AF272" s="157"/>
      <c r="AG272" s="155">
        <v>45468</v>
      </c>
      <c r="AH272" s="155">
        <v>45473</v>
      </c>
      <c r="AI272" s="155"/>
      <c r="AJ272" s="158">
        <v>45479</v>
      </c>
      <c r="AK272" s="211"/>
      <c r="AL272" s="158"/>
      <c r="AM272" s="1"/>
    </row>
    <row r="273" spans="1:48" ht="45" hidden="1" customHeight="1">
      <c r="B273" s="159" t="s">
        <v>1271</v>
      </c>
      <c r="C273" s="159" t="s">
        <v>979</v>
      </c>
      <c r="D273" s="159" t="s">
        <v>1268</v>
      </c>
      <c r="E273" s="159" t="s">
        <v>1272</v>
      </c>
      <c r="F273" s="159"/>
      <c r="G273" s="159" t="s">
        <v>301</v>
      </c>
      <c r="H273" s="159" t="s">
        <v>982</v>
      </c>
      <c r="I273" s="159" t="s">
        <v>1273</v>
      </c>
      <c r="J273" s="151"/>
      <c r="K273" s="160">
        <v>45474</v>
      </c>
      <c r="L273" s="155" t="s">
        <v>288</v>
      </c>
      <c r="M273" s="155" t="s">
        <v>288</v>
      </c>
      <c r="N273" s="155" t="s">
        <v>288</v>
      </c>
      <c r="O273" s="155"/>
      <c r="P273" s="155"/>
      <c r="Q273" s="155" t="s">
        <v>289</v>
      </c>
      <c r="R273" s="155"/>
      <c r="S273" s="151" t="s">
        <v>47</v>
      </c>
      <c r="T273" s="151" t="s">
        <v>48</v>
      </c>
      <c r="U273" s="156" t="s">
        <v>1274</v>
      </c>
      <c r="V273" s="151" t="s">
        <v>85</v>
      </c>
      <c r="W273" s="151" t="s">
        <v>1275</v>
      </c>
      <c r="X273" s="151"/>
      <c r="Y273" s="156" t="s">
        <v>132</v>
      </c>
      <c r="Z273" s="156"/>
      <c r="AA273" s="156"/>
      <c r="AB273" s="156"/>
      <c r="AC273" s="156"/>
      <c r="AD273" s="155">
        <v>45502</v>
      </c>
      <c r="AE273" s="157">
        <v>3900</v>
      </c>
      <c r="AF273" s="157">
        <v>4700</v>
      </c>
      <c r="AG273" s="155">
        <v>45491</v>
      </c>
      <c r="AH273" s="155">
        <v>45503</v>
      </c>
      <c r="AI273" s="155"/>
      <c r="AJ273" s="155">
        <v>45503</v>
      </c>
      <c r="AK273" s="172"/>
      <c r="AL273" s="155"/>
      <c r="AM273" s="1"/>
    </row>
    <row r="274" spans="1:48" ht="45" hidden="1" customHeight="1">
      <c r="B274" s="159" t="s">
        <v>1276</v>
      </c>
      <c r="C274" s="159" t="s">
        <v>979</v>
      </c>
      <c r="D274" s="159" t="s">
        <v>1268</v>
      </c>
      <c r="E274" s="159" t="s">
        <v>1277</v>
      </c>
      <c r="F274" s="152"/>
      <c r="G274" s="152" t="s">
        <v>301</v>
      </c>
      <c r="H274" s="152" t="s">
        <v>982</v>
      </c>
      <c r="I274" s="152">
        <v>73</v>
      </c>
      <c r="J274" s="151"/>
      <c r="K274" s="153">
        <v>45474</v>
      </c>
      <c r="L274" s="155" t="s">
        <v>288</v>
      </c>
      <c r="M274" s="155" t="s">
        <v>288</v>
      </c>
      <c r="N274" s="155" t="s">
        <v>288</v>
      </c>
      <c r="O274" s="155"/>
      <c r="P274" s="155">
        <v>45506</v>
      </c>
      <c r="Q274" s="155" t="s">
        <v>289</v>
      </c>
      <c r="R274" s="155"/>
      <c r="S274" s="151" t="s">
        <v>47</v>
      </c>
      <c r="T274" s="151" t="s">
        <v>48</v>
      </c>
      <c r="U274" s="156" t="s">
        <v>1278</v>
      </c>
      <c r="V274" s="151" t="s">
        <v>85</v>
      </c>
      <c r="W274" s="151" t="s">
        <v>1275</v>
      </c>
      <c r="X274" s="151"/>
      <c r="Y274" s="156" t="s">
        <v>51</v>
      </c>
      <c r="Z274" s="156"/>
      <c r="AA274" s="156"/>
      <c r="AB274" s="156"/>
      <c r="AC274" s="156"/>
      <c r="AD274" s="155">
        <v>45622</v>
      </c>
      <c r="AE274" s="157">
        <v>2200</v>
      </c>
      <c r="AF274" s="157">
        <v>900</v>
      </c>
      <c r="AG274" s="155">
        <v>45495</v>
      </c>
      <c r="AH274" s="155">
        <v>45500</v>
      </c>
      <c r="AI274" s="155"/>
      <c r="AJ274" s="158">
        <v>45506</v>
      </c>
      <c r="AK274" s="211"/>
      <c r="AL274" s="158"/>
      <c r="AM274" s="1"/>
    </row>
    <row r="275" spans="1:48" ht="45" hidden="1" customHeight="1">
      <c r="B275" s="159" t="s">
        <v>1267</v>
      </c>
      <c r="C275" s="159" t="s">
        <v>979</v>
      </c>
      <c r="D275" s="159" t="s">
        <v>1268</v>
      </c>
      <c r="E275" s="159" t="s">
        <v>1269</v>
      </c>
      <c r="F275" s="152"/>
      <c r="G275" s="152" t="s">
        <v>301</v>
      </c>
      <c r="H275" s="152" t="s">
        <v>982</v>
      </c>
      <c r="I275" s="152">
        <v>41</v>
      </c>
      <c r="J275" s="151"/>
      <c r="K275" s="153">
        <v>45474</v>
      </c>
      <c r="L275" s="155" t="s">
        <v>288</v>
      </c>
      <c r="M275" s="155" t="s">
        <v>288</v>
      </c>
      <c r="N275" s="155" t="s">
        <v>288</v>
      </c>
      <c r="O275" s="155"/>
      <c r="P275" s="155"/>
      <c r="Q275" s="155" t="s">
        <v>289</v>
      </c>
      <c r="R275" s="155"/>
      <c r="S275" s="151" t="s">
        <v>47</v>
      </c>
      <c r="T275" s="151" t="s">
        <v>48</v>
      </c>
      <c r="U275" s="156" t="s">
        <v>1270</v>
      </c>
      <c r="V275" s="151" t="s">
        <v>85</v>
      </c>
      <c r="W275" s="151" t="s">
        <v>50</v>
      </c>
      <c r="X275" s="151"/>
      <c r="Y275" s="156" t="s">
        <v>51</v>
      </c>
      <c r="Z275" s="156"/>
      <c r="AA275" s="156"/>
      <c r="AB275" s="156"/>
      <c r="AC275" s="156"/>
      <c r="AD275" s="155">
        <v>45502</v>
      </c>
      <c r="AE275" s="157">
        <v>1100</v>
      </c>
      <c r="AF275" s="157">
        <v>4100</v>
      </c>
      <c r="AG275" s="155">
        <v>45489</v>
      </c>
      <c r="AH275" s="155">
        <v>45502</v>
      </c>
      <c r="AI275" s="155"/>
      <c r="AJ275" s="155">
        <v>45502</v>
      </c>
      <c r="AK275" s="172"/>
      <c r="AL275" s="155"/>
      <c r="AM275" s="1"/>
    </row>
    <row r="276" spans="1:48" ht="45" hidden="1" customHeight="1">
      <c r="B276" s="159" t="s">
        <v>1279</v>
      </c>
      <c r="C276" s="159" t="s">
        <v>979</v>
      </c>
      <c r="D276" s="159" t="s">
        <v>1268</v>
      </c>
      <c r="E276" s="159" t="s">
        <v>1280</v>
      </c>
      <c r="F276" s="159"/>
      <c r="G276" s="159" t="s">
        <v>287</v>
      </c>
      <c r="H276" s="159" t="s">
        <v>982</v>
      </c>
      <c r="I276" s="159">
        <v>136</v>
      </c>
      <c r="J276" s="151"/>
      <c r="K276" s="160">
        <v>45474</v>
      </c>
      <c r="L276" s="155" t="s">
        <v>288</v>
      </c>
      <c r="M276" s="155" t="s">
        <v>288</v>
      </c>
      <c r="N276" s="155" t="s">
        <v>288</v>
      </c>
      <c r="O276" s="155"/>
      <c r="P276" s="155">
        <v>45506</v>
      </c>
      <c r="Q276" s="155" t="s">
        <v>289</v>
      </c>
      <c r="R276" s="155"/>
      <c r="S276" s="151" t="s">
        <v>47</v>
      </c>
      <c r="T276" s="151" t="s">
        <v>48</v>
      </c>
      <c r="U276" s="156" t="s">
        <v>1281</v>
      </c>
      <c r="V276" s="151" t="s">
        <v>85</v>
      </c>
      <c r="W276" s="151" t="s">
        <v>50</v>
      </c>
      <c r="X276" s="151"/>
      <c r="Y276" s="156" t="s">
        <v>51</v>
      </c>
      <c r="Z276" s="156"/>
      <c r="AA276" s="156"/>
      <c r="AB276" s="156"/>
      <c r="AC276" s="156"/>
      <c r="AD276" s="155">
        <v>45622</v>
      </c>
      <c r="AE276" s="157">
        <v>2300</v>
      </c>
      <c r="AF276" s="157">
        <v>600</v>
      </c>
      <c r="AG276" s="155">
        <v>45496</v>
      </c>
      <c r="AH276" s="155">
        <v>45503</v>
      </c>
      <c r="AI276" s="155"/>
      <c r="AJ276" s="158">
        <v>45506</v>
      </c>
      <c r="AK276" s="211"/>
      <c r="AL276" s="158"/>
      <c r="AM276" s="1"/>
    </row>
    <row r="277" spans="1:48" ht="45" hidden="1" customHeight="1">
      <c r="A277" s="1"/>
      <c r="B277" s="159" t="s">
        <v>1282</v>
      </c>
      <c r="C277" s="159" t="s">
        <v>134</v>
      </c>
      <c r="D277" s="159" t="s">
        <v>135</v>
      </c>
      <c r="E277" s="159" t="s">
        <v>1283</v>
      </c>
      <c r="F277" s="152"/>
      <c r="G277" s="152" t="s">
        <v>1215</v>
      </c>
      <c r="H277" s="152" t="s">
        <v>42</v>
      </c>
      <c r="I277" s="152">
        <v>81</v>
      </c>
      <c r="J277" s="151"/>
      <c r="K277" s="153">
        <v>45505</v>
      </c>
      <c r="L277" s="155" t="s">
        <v>288</v>
      </c>
      <c r="M277" s="155" t="s">
        <v>288</v>
      </c>
      <c r="N277" s="155" t="s">
        <v>288</v>
      </c>
      <c r="O277" s="155">
        <v>45493</v>
      </c>
      <c r="P277" s="155">
        <v>45526</v>
      </c>
      <c r="Q277" s="155" t="s">
        <v>289</v>
      </c>
      <c r="R277" s="155"/>
      <c r="S277" s="151" t="s">
        <v>47</v>
      </c>
      <c r="T277" s="151" t="s">
        <v>1284</v>
      </c>
      <c r="U277" s="156" t="s">
        <v>1285</v>
      </c>
      <c r="V277" s="151" t="s">
        <v>85</v>
      </c>
      <c r="W277" s="151" t="s">
        <v>124</v>
      </c>
      <c r="X277" s="151"/>
      <c r="Y277" s="156" t="s">
        <v>714</v>
      </c>
      <c r="Z277" s="156"/>
      <c r="AA277" s="156"/>
      <c r="AB277" s="156"/>
      <c r="AC277" s="156"/>
      <c r="AD277" s="155">
        <v>45526</v>
      </c>
      <c r="AE277" s="157">
        <v>1500</v>
      </c>
      <c r="AF277" s="157">
        <v>1900</v>
      </c>
      <c r="AG277" s="155">
        <v>45492</v>
      </c>
      <c r="AH277" s="155">
        <v>45503</v>
      </c>
      <c r="AI277" s="155"/>
      <c r="AJ277" s="158">
        <v>45526</v>
      </c>
      <c r="AK277" s="211"/>
      <c r="AL277" s="158"/>
      <c r="AM277" s="1"/>
      <c r="AN277" s="1"/>
      <c r="AO277" s="1"/>
      <c r="AP277" s="1"/>
      <c r="AQ277" s="1"/>
      <c r="AR277" s="1"/>
      <c r="AS277" s="1"/>
      <c r="AT277" s="1"/>
      <c r="AU277" s="1"/>
      <c r="AV277" s="1"/>
    </row>
    <row r="278" spans="1:48" ht="45" hidden="1" customHeight="1">
      <c r="B278" s="159" t="s">
        <v>1264</v>
      </c>
      <c r="C278" s="159" t="s">
        <v>117</v>
      </c>
      <c r="D278" s="25" t="s">
        <v>118</v>
      </c>
      <c r="E278" s="159" t="s">
        <v>1265</v>
      </c>
      <c r="F278" s="152"/>
      <c r="G278" s="152"/>
      <c r="H278" s="152" t="s">
        <v>42</v>
      </c>
      <c r="I278" s="152">
        <v>41</v>
      </c>
      <c r="J278" s="151"/>
      <c r="K278" s="153">
        <v>45474</v>
      </c>
      <c r="L278" s="155" t="s">
        <v>288</v>
      </c>
      <c r="M278" s="155" t="s">
        <v>288</v>
      </c>
      <c r="N278" s="155" t="s">
        <v>288</v>
      </c>
      <c r="O278" s="155">
        <v>45489</v>
      </c>
      <c r="P278" s="155">
        <v>45492</v>
      </c>
      <c r="Q278" s="155" t="s">
        <v>289</v>
      </c>
      <c r="R278" s="155"/>
      <c r="S278" s="151" t="s">
        <v>47</v>
      </c>
      <c r="T278" s="151" t="s">
        <v>48</v>
      </c>
      <c r="U278" s="156" t="s">
        <v>1266</v>
      </c>
      <c r="V278" s="151" t="s">
        <v>85</v>
      </c>
      <c r="W278" s="151" t="s">
        <v>124</v>
      </c>
      <c r="X278" s="151"/>
      <c r="Y278" s="156" t="s">
        <v>51</v>
      </c>
      <c r="Z278" s="156"/>
      <c r="AA278" s="156"/>
      <c r="AB278" s="156"/>
      <c r="AC278" s="156"/>
      <c r="AD278" s="155">
        <v>45492</v>
      </c>
      <c r="AE278" s="157"/>
      <c r="AF278" s="157"/>
      <c r="AG278" s="155">
        <v>45489</v>
      </c>
      <c r="AH278" s="155">
        <v>45495</v>
      </c>
      <c r="AI278" s="155"/>
      <c r="AJ278" s="158">
        <v>45492</v>
      </c>
      <c r="AK278" s="211"/>
      <c r="AL278" s="158"/>
      <c r="AM278" s="1"/>
    </row>
    <row r="279" spans="1:48" ht="45" hidden="1" customHeight="1">
      <c r="B279" s="159" t="s">
        <v>1303</v>
      </c>
      <c r="C279" s="159" t="s">
        <v>1030</v>
      </c>
      <c r="D279" s="159" t="s">
        <v>1031</v>
      </c>
      <c r="E279" s="159" t="s">
        <v>1304</v>
      </c>
      <c r="F279" s="152"/>
      <c r="G279" s="152" t="s">
        <v>1305</v>
      </c>
      <c r="H279" s="152" t="s">
        <v>42</v>
      </c>
      <c r="I279" s="152" t="s">
        <v>454</v>
      </c>
      <c r="J279" s="151" t="s">
        <v>1125</v>
      </c>
      <c r="K279" s="153">
        <v>45505</v>
      </c>
      <c r="L279" s="155" t="s">
        <v>288</v>
      </c>
      <c r="M279" s="155" t="s">
        <v>288</v>
      </c>
      <c r="N279" s="155" t="s">
        <v>288</v>
      </c>
      <c r="O279" s="155"/>
      <c r="P279" s="155"/>
      <c r="Q279" s="155" t="s">
        <v>289</v>
      </c>
      <c r="R279" s="155"/>
      <c r="S279" s="151" t="s">
        <v>47</v>
      </c>
      <c r="T279" s="151" t="s">
        <v>48</v>
      </c>
      <c r="U279" s="156" t="s">
        <v>1306</v>
      </c>
      <c r="V279" s="151" t="s">
        <v>85</v>
      </c>
      <c r="W279" s="151" t="s">
        <v>67</v>
      </c>
      <c r="X279" s="151"/>
      <c r="Y279" s="156" t="s">
        <v>132</v>
      </c>
      <c r="Z279" s="156"/>
      <c r="AA279" s="156"/>
      <c r="AB279" s="156"/>
      <c r="AC279" s="156"/>
      <c r="AD279" s="155">
        <v>45535</v>
      </c>
      <c r="AE279" s="157">
        <v>1600</v>
      </c>
      <c r="AF279" s="157">
        <v>7900</v>
      </c>
      <c r="AG279" s="155">
        <v>45502</v>
      </c>
      <c r="AH279" s="155">
        <v>45520</v>
      </c>
      <c r="AI279" s="155"/>
      <c r="AJ279" s="158">
        <v>45535</v>
      </c>
      <c r="AK279" s="211"/>
      <c r="AL279" s="158"/>
      <c r="AM279" s="1"/>
    </row>
    <row r="280" spans="1:48" ht="45" hidden="1" customHeight="1">
      <c r="A280" s="1"/>
      <c r="B280" s="159" t="s">
        <v>1355</v>
      </c>
      <c r="C280" s="159" t="s">
        <v>1044</v>
      </c>
      <c r="D280" s="159" t="s">
        <v>1045</v>
      </c>
      <c r="E280" s="159" t="s">
        <v>1356</v>
      </c>
      <c r="F280" s="152"/>
      <c r="G280" s="152" t="s">
        <v>287</v>
      </c>
      <c r="H280" s="152" t="s">
        <v>1047</v>
      </c>
      <c r="I280" s="152">
        <v>144</v>
      </c>
      <c r="J280" s="151" t="s">
        <v>1125</v>
      </c>
      <c r="K280" s="153">
        <v>45536</v>
      </c>
      <c r="L280" s="155" t="s">
        <v>288</v>
      </c>
      <c r="M280" s="155" t="s">
        <v>288</v>
      </c>
      <c r="N280" s="155" t="s">
        <v>288</v>
      </c>
      <c r="O280" s="155"/>
      <c r="P280" s="155"/>
      <c r="Q280" s="155" t="s">
        <v>289</v>
      </c>
      <c r="R280" s="155"/>
      <c r="S280" s="151" t="s">
        <v>47</v>
      </c>
      <c r="T280" s="151" t="s">
        <v>48</v>
      </c>
      <c r="U280" s="156" t="s">
        <v>1357</v>
      </c>
      <c r="V280" s="151">
        <v>1</v>
      </c>
      <c r="W280" s="151" t="s">
        <v>1358</v>
      </c>
      <c r="X280" s="151"/>
      <c r="Y280" s="156" t="s">
        <v>132</v>
      </c>
      <c r="Z280" s="156"/>
      <c r="AA280" s="156"/>
      <c r="AB280" s="156"/>
      <c r="AC280" s="156"/>
      <c r="AD280" s="155">
        <v>45581</v>
      </c>
      <c r="AE280" s="157">
        <v>2500</v>
      </c>
      <c r="AF280" s="157">
        <v>1800</v>
      </c>
      <c r="AG280" s="155">
        <v>45523</v>
      </c>
      <c r="AH280" s="155">
        <v>45580</v>
      </c>
      <c r="AI280" s="155"/>
      <c r="AJ280" s="158">
        <v>45581</v>
      </c>
      <c r="AK280" s="211"/>
      <c r="AL280" s="158"/>
      <c r="AM280" s="1"/>
      <c r="AN280" s="1"/>
      <c r="AO280" s="1"/>
      <c r="AP280" s="1"/>
      <c r="AQ280" s="1"/>
      <c r="AR280" s="1"/>
      <c r="AS280" s="1"/>
      <c r="AT280" s="1"/>
      <c r="AU280" s="1"/>
      <c r="AV280" s="1"/>
    </row>
    <row r="281" spans="1:48" ht="45" hidden="1" customHeight="1">
      <c r="B281" s="159" t="s">
        <v>1320</v>
      </c>
      <c r="C281" s="159" t="s">
        <v>111</v>
      </c>
      <c r="D281" s="159" t="s">
        <v>112</v>
      </c>
      <c r="E281" s="159" t="s">
        <v>126</v>
      </c>
      <c r="F281" s="152"/>
      <c r="G281" s="152" t="s">
        <v>1321</v>
      </c>
      <c r="H281" s="152" t="s">
        <v>42</v>
      </c>
      <c r="I281" s="152" t="s">
        <v>1322</v>
      </c>
      <c r="J281" s="151" t="s">
        <v>1125</v>
      </c>
      <c r="K281" s="153">
        <v>45505</v>
      </c>
      <c r="L281" s="155" t="s">
        <v>288</v>
      </c>
      <c r="M281" s="155" t="s">
        <v>288</v>
      </c>
      <c r="N281" s="155" t="s">
        <v>288</v>
      </c>
      <c r="O281" s="155"/>
      <c r="P281" s="155"/>
      <c r="Q281" s="155" t="s">
        <v>289</v>
      </c>
      <c r="R281" s="155"/>
      <c r="S281" s="151" t="s">
        <v>47</v>
      </c>
      <c r="T281" s="151" t="s">
        <v>48</v>
      </c>
      <c r="U281" s="156" t="s">
        <v>1323</v>
      </c>
      <c r="V281" s="151">
        <v>39</v>
      </c>
      <c r="W281" s="195" t="s">
        <v>147</v>
      </c>
      <c r="X281" s="151"/>
      <c r="Y281" s="156" t="s">
        <v>51</v>
      </c>
      <c r="Z281" s="156"/>
      <c r="AA281" s="156"/>
      <c r="AB281" s="156"/>
      <c r="AC281" s="156"/>
      <c r="AD281" s="155">
        <v>45551</v>
      </c>
      <c r="AE281" s="157">
        <v>5000</v>
      </c>
      <c r="AF281" s="157">
        <v>4700</v>
      </c>
      <c r="AG281" s="155">
        <v>45505</v>
      </c>
      <c r="AH281" s="155">
        <v>45524</v>
      </c>
      <c r="AI281" s="155"/>
      <c r="AJ281" s="158">
        <v>45551</v>
      </c>
      <c r="AK281" s="211"/>
      <c r="AL281" s="158"/>
      <c r="AM281" s="1"/>
    </row>
    <row r="282" spans="1:48" ht="45" hidden="1" customHeight="1">
      <c r="B282" s="159" t="s">
        <v>1297</v>
      </c>
      <c r="C282" s="159" t="s">
        <v>449</v>
      </c>
      <c r="D282" s="159" t="s">
        <v>450</v>
      </c>
      <c r="E282" s="159" t="s">
        <v>1298</v>
      </c>
      <c r="F282" s="152"/>
      <c r="G282" s="152" t="s">
        <v>296</v>
      </c>
      <c r="H282" s="152" t="s">
        <v>42</v>
      </c>
      <c r="I282" s="152">
        <v>126</v>
      </c>
      <c r="J282" s="151" t="s">
        <v>1125</v>
      </c>
      <c r="K282" s="153">
        <v>45505</v>
      </c>
      <c r="L282" s="155" t="s">
        <v>288</v>
      </c>
      <c r="M282" s="155" t="s">
        <v>288</v>
      </c>
      <c r="N282" s="155" t="s">
        <v>288</v>
      </c>
      <c r="O282" s="155"/>
      <c r="P282" s="155"/>
      <c r="Q282" s="155" t="s">
        <v>289</v>
      </c>
      <c r="R282" s="155"/>
      <c r="S282" s="151" t="s">
        <v>47</v>
      </c>
      <c r="T282" s="151" t="s">
        <v>48</v>
      </c>
      <c r="U282" s="156" t="s">
        <v>1299</v>
      </c>
      <c r="V282" s="151">
        <v>1</v>
      </c>
      <c r="W282" s="151" t="s">
        <v>124</v>
      </c>
      <c r="X282" s="151"/>
      <c r="Y282" s="156" t="s">
        <v>51</v>
      </c>
      <c r="Z282" s="156"/>
      <c r="AA282" s="156"/>
      <c r="AB282" s="156"/>
      <c r="AC282" s="156"/>
      <c r="AD282" s="155">
        <v>45534</v>
      </c>
      <c r="AE282" s="157">
        <v>1100</v>
      </c>
      <c r="AF282" s="157">
        <v>1600</v>
      </c>
      <c r="AG282" s="155">
        <v>45509</v>
      </c>
      <c r="AH282" s="155">
        <v>45519</v>
      </c>
      <c r="AI282" s="155"/>
      <c r="AJ282" s="158">
        <v>45534</v>
      </c>
      <c r="AK282" s="211"/>
      <c r="AL282" s="158"/>
      <c r="AM282" s="1"/>
    </row>
    <row r="283" spans="1:48" ht="45" hidden="1" customHeight="1">
      <c r="A283" s="1"/>
      <c r="B283" s="159" t="s">
        <v>1315</v>
      </c>
      <c r="C283" s="159" t="s">
        <v>449</v>
      </c>
      <c r="D283" s="159" t="s">
        <v>450</v>
      </c>
      <c r="E283" s="159" t="s">
        <v>1316</v>
      </c>
      <c r="F283" s="159"/>
      <c r="G283" s="159" t="s">
        <v>296</v>
      </c>
      <c r="H283" s="159" t="s">
        <v>42</v>
      </c>
      <c r="I283" s="159" t="s">
        <v>1317</v>
      </c>
      <c r="J283" s="151" t="s">
        <v>1125</v>
      </c>
      <c r="K283" s="160">
        <v>45505</v>
      </c>
      <c r="L283" s="155" t="s">
        <v>288</v>
      </c>
      <c r="M283" s="155" t="s">
        <v>288</v>
      </c>
      <c r="N283" s="155" t="s">
        <v>288</v>
      </c>
      <c r="O283" s="155"/>
      <c r="P283" s="155"/>
      <c r="Q283" s="155" t="s">
        <v>289</v>
      </c>
      <c r="R283" s="155"/>
      <c r="S283" s="151" t="s">
        <v>47</v>
      </c>
      <c r="T283" s="151" t="s">
        <v>48</v>
      </c>
      <c r="U283" s="156" t="s">
        <v>1318</v>
      </c>
      <c r="V283" s="151">
        <v>31</v>
      </c>
      <c r="W283" s="151" t="s">
        <v>1319</v>
      </c>
      <c r="X283" s="151"/>
      <c r="Y283" s="156" t="s">
        <v>51</v>
      </c>
      <c r="Z283" s="156"/>
      <c r="AA283" s="156"/>
      <c r="AB283" s="156"/>
      <c r="AC283" s="156"/>
      <c r="AD283" s="155">
        <v>45551</v>
      </c>
      <c r="AE283" s="157">
        <v>5700</v>
      </c>
      <c r="AF283" s="157">
        <v>5300</v>
      </c>
      <c r="AG283" s="155">
        <v>45509</v>
      </c>
      <c r="AH283" s="155">
        <v>45554</v>
      </c>
      <c r="AI283" s="155"/>
      <c r="AJ283" s="158">
        <v>45551</v>
      </c>
      <c r="AK283" s="211"/>
      <c r="AL283" s="158"/>
      <c r="AM283" s="1"/>
      <c r="AN283" s="1"/>
      <c r="AO283" s="1"/>
      <c r="AP283" s="1"/>
      <c r="AQ283" s="1"/>
      <c r="AR283" s="1"/>
      <c r="AS283" s="1"/>
      <c r="AT283" s="1"/>
      <c r="AU283" s="1"/>
      <c r="AV283" s="1"/>
    </row>
    <row r="284" spans="1:48" ht="45" hidden="1" customHeight="1">
      <c r="B284" s="159" t="s">
        <v>1311</v>
      </c>
      <c r="C284" s="159" t="s">
        <v>449</v>
      </c>
      <c r="D284" s="159" t="s">
        <v>450</v>
      </c>
      <c r="E284" s="159" t="s">
        <v>1312</v>
      </c>
      <c r="F284" s="152"/>
      <c r="G284" s="152" t="s">
        <v>296</v>
      </c>
      <c r="H284" s="152" t="s">
        <v>42</v>
      </c>
      <c r="I284" s="152">
        <v>43</v>
      </c>
      <c r="J284" s="151" t="s">
        <v>1125</v>
      </c>
      <c r="K284" s="153">
        <v>45505</v>
      </c>
      <c r="L284" s="155" t="s">
        <v>288</v>
      </c>
      <c r="M284" s="155" t="s">
        <v>288</v>
      </c>
      <c r="N284" s="155" t="s">
        <v>288</v>
      </c>
      <c r="O284" s="155"/>
      <c r="P284" s="155"/>
      <c r="Q284" s="155" t="s">
        <v>289</v>
      </c>
      <c r="R284" s="155"/>
      <c r="S284" s="151" t="s">
        <v>47</v>
      </c>
      <c r="T284" s="151" t="s">
        <v>48</v>
      </c>
      <c r="U284" s="156" t="s">
        <v>1313</v>
      </c>
      <c r="V284" s="151" t="s">
        <v>85</v>
      </c>
      <c r="W284" s="151" t="s">
        <v>124</v>
      </c>
      <c r="X284" s="151"/>
      <c r="Y284" s="156" t="s">
        <v>1314</v>
      </c>
      <c r="Z284" s="156"/>
      <c r="AA284" s="156"/>
      <c r="AB284" s="156"/>
      <c r="AC284" s="156"/>
      <c r="AD284" s="155">
        <v>45546</v>
      </c>
      <c r="AE284" s="157">
        <v>600</v>
      </c>
      <c r="AF284" s="157">
        <v>1700</v>
      </c>
      <c r="AG284" s="155">
        <v>45502</v>
      </c>
      <c r="AH284" s="155">
        <v>45520</v>
      </c>
      <c r="AI284" s="155"/>
      <c r="AJ284" s="158">
        <v>45546</v>
      </c>
      <c r="AK284" s="211"/>
      <c r="AL284" s="158"/>
      <c r="AM284" s="1"/>
    </row>
    <row r="285" spans="1:48" ht="45" hidden="1" customHeight="1">
      <c r="B285" s="159" t="s">
        <v>1294</v>
      </c>
      <c r="C285" s="159" t="s">
        <v>328</v>
      </c>
      <c r="D285" s="159" t="s">
        <v>329</v>
      </c>
      <c r="E285" s="159" t="s">
        <v>1295</v>
      </c>
      <c r="F285" s="152"/>
      <c r="G285" s="152" t="s">
        <v>287</v>
      </c>
      <c r="H285" s="152" t="s">
        <v>42</v>
      </c>
      <c r="I285" s="152">
        <v>113</v>
      </c>
      <c r="J285" s="151" t="s">
        <v>1125</v>
      </c>
      <c r="K285" s="153">
        <v>45505</v>
      </c>
      <c r="L285" s="155" t="s">
        <v>288</v>
      </c>
      <c r="M285" s="155" t="s">
        <v>288</v>
      </c>
      <c r="N285" s="155" t="s">
        <v>288</v>
      </c>
      <c r="O285" s="155"/>
      <c r="P285" s="155"/>
      <c r="Q285" s="155" t="s">
        <v>289</v>
      </c>
      <c r="R285" s="155"/>
      <c r="S285" s="151" t="s">
        <v>47</v>
      </c>
      <c r="T285" s="151" t="s">
        <v>48</v>
      </c>
      <c r="U285" s="156" t="s">
        <v>1296</v>
      </c>
      <c r="V285" s="151" t="s">
        <v>85</v>
      </c>
      <c r="W285" s="151" t="s">
        <v>50</v>
      </c>
      <c r="X285" s="151"/>
      <c r="Y285" s="156" t="s">
        <v>714</v>
      </c>
      <c r="Z285" s="156"/>
      <c r="AA285" s="156"/>
      <c r="AB285" s="156"/>
      <c r="AC285" s="156"/>
      <c r="AD285" s="155">
        <v>45533</v>
      </c>
      <c r="AE285" s="157">
        <v>1900</v>
      </c>
      <c r="AF285" s="157">
        <v>1200</v>
      </c>
      <c r="AG285" s="155">
        <v>45510</v>
      </c>
      <c r="AH285" s="155">
        <v>45526</v>
      </c>
      <c r="AI285" s="155"/>
      <c r="AJ285" s="158">
        <v>45533</v>
      </c>
      <c r="AK285" s="211"/>
      <c r="AL285" s="158"/>
      <c r="AM285" s="1"/>
    </row>
    <row r="286" spans="1:48" ht="45" hidden="1" customHeight="1">
      <c r="B286" s="159" t="s">
        <v>1300</v>
      </c>
      <c r="C286" s="159" t="s">
        <v>2249</v>
      </c>
      <c r="D286" s="159" t="s">
        <v>6874</v>
      </c>
      <c r="E286" s="159" t="s">
        <v>1301</v>
      </c>
      <c r="F286" s="152"/>
      <c r="G286" s="152" t="s">
        <v>301</v>
      </c>
      <c r="H286" s="152" t="s">
        <v>42</v>
      </c>
      <c r="I286" s="152">
        <v>71.072000000000003</v>
      </c>
      <c r="J286" s="151" t="s">
        <v>1125</v>
      </c>
      <c r="K286" s="153">
        <v>45536</v>
      </c>
      <c r="L286" s="154" t="s">
        <v>288</v>
      </c>
      <c r="M286" s="155" t="s">
        <v>288</v>
      </c>
      <c r="N286" s="155" t="s">
        <v>288</v>
      </c>
      <c r="O286" s="155"/>
      <c r="P286" s="155"/>
      <c r="Q286" s="155" t="s">
        <v>289</v>
      </c>
      <c r="R286" s="155"/>
      <c r="S286" s="151" t="s">
        <v>47</v>
      </c>
      <c r="T286" s="151" t="s">
        <v>48</v>
      </c>
      <c r="U286" s="156" t="s">
        <v>1302</v>
      </c>
      <c r="V286" s="151" t="s">
        <v>85</v>
      </c>
      <c r="W286" s="151" t="s">
        <v>50</v>
      </c>
      <c r="X286" s="151"/>
      <c r="Y286" s="156" t="s">
        <v>827</v>
      </c>
      <c r="Z286" s="156"/>
      <c r="AA286" s="156"/>
      <c r="AB286" s="156"/>
      <c r="AC286" s="156"/>
      <c r="AD286" s="155">
        <v>45534</v>
      </c>
      <c r="AE286" s="157">
        <v>800</v>
      </c>
      <c r="AF286" s="157">
        <v>1300</v>
      </c>
      <c r="AG286" s="155">
        <v>45527</v>
      </c>
      <c r="AH286" s="155">
        <v>45547</v>
      </c>
      <c r="AI286" s="155"/>
      <c r="AJ286" s="158">
        <v>45534</v>
      </c>
      <c r="AK286" s="211"/>
      <c r="AL286" s="158"/>
      <c r="AM286" s="1"/>
    </row>
    <row r="287" spans="1:48" ht="45" hidden="1" customHeight="1">
      <c r="B287" s="159" t="s">
        <v>1307</v>
      </c>
      <c r="C287" s="159" t="s">
        <v>248</v>
      </c>
      <c r="D287" s="159" t="s">
        <v>967</v>
      </c>
      <c r="E287" s="159" t="s">
        <v>1308</v>
      </c>
      <c r="F287" s="152"/>
      <c r="G287" s="152" t="s">
        <v>287</v>
      </c>
      <c r="H287" s="152" t="s">
        <v>486</v>
      </c>
      <c r="I287" s="152" t="s">
        <v>1309</v>
      </c>
      <c r="J287" s="151" t="s">
        <v>1125</v>
      </c>
      <c r="K287" s="153">
        <v>45536</v>
      </c>
      <c r="L287" s="155" t="s">
        <v>288</v>
      </c>
      <c r="M287" s="155" t="s">
        <v>288</v>
      </c>
      <c r="N287" s="155" t="s">
        <v>288</v>
      </c>
      <c r="O287" s="155"/>
      <c r="P287" s="155"/>
      <c r="Q287" s="155" t="s">
        <v>289</v>
      </c>
      <c r="R287" s="155"/>
      <c r="S287" s="151" t="s">
        <v>47</v>
      </c>
      <c r="T287" s="151" t="s">
        <v>48</v>
      </c>
      <c r="U287" s="156" t="s">
        <v>1310</v>
      </c>
      <c r="V287" s="151" t="s">
        <v>85</v>
      </c>
      <c r="W287" s="151" t="s">
        <v>50</v>
      </c>
      <c r="X287" s="151"/>
      <c r="Y287" s="156" t="s">
        <v>1122</v>
      </c>
      <c r="Z287" s="156"/>
      <c r="AA287" s="156"/>
      <c r="AB287" s="156"/>
      <c r="AC287" s="156"/>
      <c r="AD287" s="155">
        <v>45544</v>
      </c>
      <c r="AE287" s="157">
        <v>2300</v>
      </c>
      <c r="AF287" s="157">
        <v>1100</v>
      </c>
      <c r="AG287" s="155">
        <v>45534</v>
      </c>
      <c r="AH287" s="155">
        <v>45548</v>
      </c>
      <c r="AI287" s="155"/>
      <c r="AJ287" s="158">
        <v>45544</v>
      </c>
      <c r="AK287" s="211"/>
      <c r="AL287" s="158"/>
      <c r="AM287" s="1"/>
    </row>
    <row r="288" spans="1:48" ht="45" hidden="1" customHeight="1">
      <c r="B288" s="159" t="s">
        <v>1324</v>
      </c>
      <c r="C288" s="159" t="s">
        <v>79</v>
      </c>
      <c r="D288" s="218" t="s">
        <v>80</v>
      </c>
      <c r="E288" s="159" t="s">
        <v>79</v>
      </c>
      <c r="F288" s="152"/>
      <c r="G288" s="152" t="s">
        <v>137</v>
      </c>
      <c r="H288" s="152" t="s">
        <v>42</v>
      </c>
      <c r="I288" s="152" t="s">
        <v>505</v>
      </c>
      <c r="J288" s="151"/>
      <c r="K288" s="153">
        <v>45536</v>
      </c>
      <c r="L288" s="155" t="s">
        <v>45</v>
      </c>
      <c r="M288" s="155" t="s">
        <v>288</v>
      </c>
      <c r="N288" s="155" t="s">
        <v>288</v>
      </c>
      <c r="O288" s="155"/>
      <c r="P288" s="155"/>
      <c r="Q288" s="155" t="s">
        <v>289</v>
      </c>
      <c r="R288" s="155"/>
      <c r="S288" s="151" t="s">
        <v>47</v>
      </c>
      <c r="T288" s="151" t="s">
        <v>48</v>
      </c>
      <c r="U288" s="156" t="s">
        <v>1325</v>
      </c>
      <c r="V288" s="151">
        <v>1</v>
      </c>
      <c r="W288" s="151" t="s">
        <v>50</v>
      </c>
      <c r="X288" s="151"/>
      <c r="Y288" s="156" t="s">
        <v>51</v>
      </c>
      <c r="Z288" s="156"/>
      <c r="AA288" s="156"/>
      <c r="AB288" s="156"/>
      <c r="AC288" s="156"/>
      <c r="AD288" s="155">
        <v>45564</v>
      </c>
      <c r="AE288" s="157">
        <v>1500</v>
      </c>
      <c r="AF288" s="157">
        <v>2000</v>
      </c>
      <c r="AG288" s="155">
        <v>45537</v>
      </c>
      <c r="AH288" s="155">
        <v>45562</v>
      </c>
      <c r="AI288" s="155"/>
      <c r="AJ288" s="158">
        <v>45564</v>
      </c>
      <c r="AK288" s="211"/>
      <c r="AL288" s="158"/>
      <c r="AM288" s="1"/>
    </row>
    <row r="289" spans="1:48" ht="45" hidden="1" customHeight="1">
      <c r="B289" s="159" t="s">
        <v>1326</v>
      </c>
      <c r="C289" s="159" t="s">
        <v>2249</v>
      </c>
      <c r="D289" s="159" t="s">
        <v>6874</v>
      </c>
      <c r="E289" s="159" t="s">
        <v>1327</v>
      </c>
      <c r="F289" s="152"/>
      <c r="G289" s="152" t="s">
        <v>137</v>
      </c>
      <c r="H289" s="152" t="s">
        <v>42</v>
      </c>
      <c r="I289" s="152" t="s">
        <v>1328</v>
      </c>
      <c r="J289" s="151"/>
      <c r="K289" s="153">
        <v>45536</v>
      </c>
      <c r="L289" s="155" t="s">
        <v>45</v>
      </c>
      <c r="M289" s="155" t="s">
        <v>288</v>
      </c>
      <c r="N289" s="155" t="s">
        <v>288</v>
      </c>
      <c r="O289" s="155"/>
      <c r="P289" s="155"/>
      <c r="Q289" s="155" t="s">
        <v>289</v>
      </c>
      <c r="R289" s="155"/>
      <c r="S289" s="151" t="s">
        <v>47</v>
      </c>
      <c r="T289" s="151" t="s">
        <v>48</v>
      </c>
      <c r="U289" s="156" t="s">
        <v>1329</v>
      </c>
      <c r="V289" s="151" t="s">
        <v>85</v>
      </c>
      <c r="W289" s="151" t="s">
        <v>50</v>
      </c>
      <c r="X289" s="151"/>
      <c r="Y289" s="156" t="s">
        <v>714</v>
      </c>
      <c r="Z289" s="156"/>
      <c r="AA289" s="156"/>
      <c r="AB289" s="156"/>
      <c r="AC289" s="156"/>
      <c r="AD289" s="155">
        <v>45564</v>
      </c>
      <c r="AE289" s="157">
        <v>1600</v>
      </c>
      <c r="AF289" s="157">
        <v>2900</v>
      </c>
      <c r="AG289" s="155">
        <v>45537</v>
      </c>
      <c r="AH289" s="155">
        <v>45562</v>
      </c>
      <c r="AI289" s="155"/>
      <c r="AJ289" s="158">
        <v>45564</v>
      </c>
      <c r="AK289" s="211"/>
      <c r="AL289" s="158"/>
      <c r="AM289" s="1"/>
    </row>
    <row r="290" spans="1:48" ht="45" hidden="1" customHeight="1">
      <c r="B290" s="159" t="s">
        <v>1330</v>
      </c>
      <c r="C290" s="159" t="s">
        <v>88</v>
      </c>
      <c r="D290" s="159" t="s">
        <v>89</v>
      </c>
      <c r="E290" s="159" t="s">
        <v>1331</v>
      </c>
      <c r="F290" s="152"/>
      <c r="G290" s="152" t="s">
        <v>446</v>
      </c>
      <c r="H290" s="152" t="s">
        <v>42</v>
      </c>
      <c r="I290" s="152" t="s">
        <v>1332</v>
      </c>
      <c r="J290" s="151"/>
      <c r="K290" s="153">
        <v>45536</v>
      </c>
      <c r="L290" s="155" t="s">
        <v>45</v>
      </c>
      <c r="M290" s="155" t="s">
        <v>288</v>
      </c>
      <c r="N290" s="155" t="s">
        <v>288</v>
      </c>
      <c r="O290" s="155"/>
      <c r="P290" s="155">
        <v>45575</v>
      </c>
      <c r="Q290" s="155" t="s">
        <v>289</v>
      </c>
      <c r="R290" s="155"/>
      <c r="S290" s="151" t="s">
        <v>47</v>
      </c>
      <c r="T290" s="151" t="s">
        <v>48</v>
      </c>
      <c r="U290" s="156" t="s">
        <v>1333</v>
      </c>
      <c r="V290" s="151">
        <v>21</v>
      </c>
      <c r="W290" s="151" t="s">
        <v>1319</v>
      </c>
      <c r="X290" s="151"/>
      <c r="Y290" s="156" t="s">
        <v>51</v>
      </c>
      <c r="Z290" s="156"/>
      <c r="AA290" s="156"/>
      <c r="AB290" s="156"/>
      <c r="AC290" s="156"/>
      <c r="AD290" s="155">
        <v>45622</v>
      </c>
      <c r="AE290" s="157">
        <v>2900</v>
      </c>
      <c r="AF290" s="157">
        <v>3700</v>
      </c>
      <c r="AG290" s="155">
        <v>45545</v>
      </c>
      <c r="AH290" s="155">
        <v>45565</v>
      </c>
      <c r="AI290" s="155"/>
      <c r="AJ290" s="158">
        <v>45565</v>
      </c>
      <c r="AK290" s="211"/>
      <c r="AL290" s="158"/>
      <c r="AM290" s="1"/>
    </row>
    <row r="291" spans="1:48" ht="45" hidden="1" customHeight="1">
      <c r="B291" s="159" t="s">
        <v>1334</v>
      </c>
      <c r="C291" s="159" t="s">
        <v>88</v>
      </c>
      <c r="D291" s="159" t="s">
        <v>89</v>
      </c>
      <c r="E291" s="159" t="s">
        <v>1335</v>
      </c>
      <c r="F291" s="152"/>
      <c r="G291" s="152" t="s">
        <v>446</v>
      </c>
      <c r="H291" s="152" t="s">
        <v>42</v>
      </c>
      <c r="I291" s="152" t="s">
        <v>252</v>
      </c>
      <c r="J291" s="151"/>
      <c r="K291" s="153">
        <v>45536</v>
      </c>
      <c r="L291" s="155" t="s">
        <v>45</v>
      </c>
      <c r="M291" s="155" t="s">
        <v>288</v>
      </c>
      <c r="N291" s="155" t="s">
        <v>288</v>
      </c>
      <c r="O291" s="155"/>
      <c r="P291" s="155"/>
      <c r="Q291" s="155" t="s">
        <v>289</v>
      </c>
      <c r="R291" s="155"/>
      <c r="S291" s="151" t="s">
        <v>47</v>
      </c>
      <c r="T291" s="151" t="s">
        <v>1336</v>
      </c>
      <c r="U291" s="156" t="s">
        <v>1337</v>
      </c>
      <c r="V291" s="151">
        <v>1</v>
      </c>
      <c r="W291" s="151" t="s">
        <v>67</v>
      </c>
      <c r="X291" s="151"/>
      <c r="Y291" s="156" t="s">
        <v>51</v>
      </c>
      <c r="Z291" s="156"/>
      <c r="AA291" s="156"/>
      <c r="AB291" s="156"/>
      <c r="AC291" s="156"/>
      <c r="AD291" s="155">
        <v>45565</v>
      </c>
      <c r="AE291" s="157">
        <v>1200</v>
      </c>
      <c r="AF291" s="157">
        <v>4800</v>
      </c>
      <c r="AG291" s="155">
        <v>45538</v>
      </c>
      <c r="AH291" s="155">
        <v>45565</v>
      </c>
      <c r="AI291" s="155"/>
      <c r="AJ291" s="158">
        <v>45565</v>
      </c>
      <c r="AK291" s="211"/>
      <c r="AL291" s="158"/>
      <c r="AM291" s="1"/>
    </row>
    <row r="292" spans="1:48" ht="45" hidden="1" customHeight="1">
      <c r="A292" s="1"/>
      <c r="B292" s="159" t="s">
        <v>1411</v>
      </c>
      <c r="C292" s="159" t="s">
        <v>1412</v>
      </c>
      <c r="D292" s="159" t="s">
        <v>1413</v>
      </c>
      <c r="E292" s="159" t="s">
        <v>1414</v>
      </c>
      <c r="F292" s="152"/>
      <c r="G292" s="152" t="s">
        <v>301</v>
      </c>
      <c r="H292" s="152" t="s">
        <v>1415</v>
      </c>
      <c r="I292" s="152" t="s">
        <v>1416</v>
      </c>
      <c r="J292" s="151"/>
      <c r="K292" s="153">
        <v>45536</v>
      </c>
      <c r="L292" s="155" t="s">
        <v>1417</v>
      </c>
      <c r="M292" s="155" t="s">
        <v>288</v>
      </c>
      <c r="N292" s="155" t="s">
        <v>288</v>
      </c>
      <c r="O292" s="155"/>
      <c r="P292" s="155"/>
      <c r="Q292" s="155" t="s">
        <v>289</v>
      </c>
      <c r="R292" s="155"/>
      <c r="S292" s="151" t="s">
        <v>47</v>
      </c>
      <c r="T292" s="151" t="s">
        <v>48</v>
      </c>
      <c r="U292" s="156" t="s">
        <v>1418</v>
      </c>
      <c r="V292" s="151" t="s">
        <v>85</v>
      </c>
      <c r="W292" s="151" t="s">
        <v>50</v>
      </c>
      <c r="X292" s="151"/>
      <c r="Y292" s="156" t="s">
        <v>1122</v>
      </c>
      <c r="Z292" s="156"/>
      <c r="AA292" s="156"/>
      <c r="AB292" s="156"/>
      <c r="AC292" s="156"/>
      <c r="AD292" s="155">
        <v>45622</v>
      </c>
      <c r="AE292" s="157">
        <v>4400</v>
      </c>
      <c r="AF292" s="157">
        <v>4200</v>
      </c>
      <c r="AG292" s="155">
        <v>45594</v>
      </c>
      <c r="AH292" s="155">
        <v>45607</v>
      </c>
      <c r="AI292" s="155"/>
      <c r="AJ292" s="158">
        <v>45620</v>
      </c>
      <c r="AK292" s="211"/>
      <c r="AL292" s="158"/>
      <c r="AM292" s="1"/>
      <c r="AN292" s="1"/>
      <c r="AO292" s="1"/>
      <c r="AP292" s="1"/>
      <c r="AQ292" s="1"/>
      <c r="AR292" s="1"/>
      <c r="AS292" s="1"/>
      <c r="AT292" s="1"/>
      <c r="AU292" s="1"/>
      <c r="AV292" s="1"/>
    </row>
    <row r="293" spans="1:48" ht="45" hidden="1" customHeight="1">
      <c r="B293" s="159" t="s">
        <v>1346</v>
      </c>
      <c r="C293" s="159" t="s">
        <v>496</v>
      </c>
      <c r="D293" s="159" t="s">
        <v>497</v>
      </c>
      <c r="E293" s="159" t="s">
        <v>1347</v>
      </c>
      <c r="F293" s="152"/>
      <c r="G293" s="152" t="s">
        <v>301</v>
      </c>
      <c r="H293" s="152" t="s">
        <v>486</v>
      </c>
      <c r="I293" s="152">
        <v>11</v>
      </c>
      <c r="J293" s="151"/>
      <c r="K293" s="153">
        <v>45536</v>
      </c>
      <c r="L293" s="155" t="s">
        <v>99</v>
      </c>
      <c r="M293" s="155" t="s">
        <v>288</v>
      </c>
      <c r="N293" s="155" t="s">
        <v>288</v>
      </c>
      <c r="O293" s="155"/>
      <c r="P293" s="155">
        <v>45571</v>
      </c>
      <c r="Q293" s="155" t="s">
        <v>289</v>
      </c>
      <c r="R293" s="155"/>
      <c r="S293" s="151" t="s">
        <v>47</v>
      </c>
      <c r="T293" s="151" t="s">
        <v>48</v>
      </c>
      <c r="U293" s="156" t="s">
        <v>1348</v>
      </c>
      <c r="V293" s="151" t="s">
        <v>85</v>
      </c>
      <c r="W293" s="151" t="s">
        <v>50</v>
      </c>
      <c r="X293" s="151"/>
      <c r="Y293" s="156" t="s">
        <v>1122</v>
      </c>
      <c r="Z293" s="156"/>
      <c r="AA293" s="156"/>
      <c r="AB293" s="156"/>
      <c r="AC293" s="156"/>
      <c r="AD293" s="155">
        <v>45571</v>
      </c>
      <c r="AE293" s="157">
        <v>1600</v>
      </c>
      <c r="AF293" s="157">
        <v>2400</v>
      </c>
      <c r="AG293" s="155">
        <v>45551</v>
      </c>
      <c r="AH293" s="155">
        <v>45576</v>
      </c>
      <c r="AI293" s="155"/>
      <c r="AJ293" s="158">
        <v>45571</v>
      </c>
      <c r="AK293" s="211"/>
      <c r="AL293" s="158"/>
      <c r="AM293" s="1"/>
    </row>
    <row r="294" spans="1:48" ht="45" hidden="1" customHeight="1">
      <c r="B294" s="159" t="s">
        <v>1377</v>
      </c>
      <c r="C294" s="159" t="s">
        <v>674</v>
      </c>
      <c r="D294" s="159" t="s">
        <v>699</v>
      </c>
      <c r="E294" s="159" t="s">
        <v>1378</v>
      </c>
      <c r="F294" s="152"/>
      <c r="G294" s="152" t="s">
        <v>1321</v>
      </c>
      <c r="H294" s="152" t="s">
        <v>833</v>
      </c>
      <c r="I294" s="152">
        <v>12</v>
      </c>
      <c r="J294" s="151"/>
      <c r="K294" s="153">
        <v>45536</v>
      </c>
      <c r="L294" s="155" t="s">
        <v>45</v>
      </c>
      <c r="M294" s="155" t="s">
        <v>288</v>
      </c>
      <c r="N294" s="155" t="s">
        <v>288</v>
      </c>
      <c r="O294" s="155"/>
      <c r="P294" s="155"/>
      <c r="Q294" s="155" t="s">
        <v>289</v>
      </c>
      <c r="R294" s="155"/>
      <c r="S294" s="151" t="s">
        <v>47</v>
      </c>
      <c r="T294" s="151" t="s">
        <v>48</v>
      </c>
      <c r="U294" s="156" t="s">
        <v>1379</v>
      </c>
      <c r="V294" s="151" t="s">
        <v>85</v>
      </c>
      <c r="W294" s="151" t="s">
        <v>1380</v>
      </c>
      <c r="X294" s="151"/>
      <c r="Y294" s="156" t="s">
        <v>1122</v>
      </c>
      <c r="Z294" s="156"/>
      <c r="AA294" s="156"/>
      <c r="AB294" s="156"/>
      <c r="AC294" s="156"/>
      <c r="AD294" s="155">
        <v>45591</v>
      </c>
      <c r="AE294" s="157">
        <v>3300</v>
      </c>
      <c r="AF294" s="157">
        <v>4000</v>
      </c>
      <c r="AG294" s="155">
        <v>45551</v>
      </c>
      <c r="AH294" s="155">
        <v>45591</v>
      </c>
      <c r="AI294" s="155"/>
      <c r="AJ294" s="158">
        <v>45591</v>
      </c>
      <c r="AK294" s="211"/>
      <c r="AL294" s="158"/>
      <c r="AM294" s="1"/>
    </row>
    <row r="295" spans="1:48" ht="45" hidden="1" customHeight="1">
      <c r="A295" s="1"/>
      <c r="B295" s="159" t="s">
        <v>1338</v>
      </c>
      <c r="C295" s="159" t="s">
        <v>1339</v>
      </c>
      <c r="D295" s="159" t="s">
        <v>1340</v>
      </c>
      <c r="E295" s="159" t="s">
        <v>979</v>
      </c>
      <c r="F295" s="152"/>
      <c r="G295" s="152" t="s">
        <v>287</v>
      </c>
      <c r="H295" s="152" t="s">
        <v>982</v>
      </c>
      <c r="I295" s="152">
        <v>42</v>
      </c>
      <c r="J295" s="151"/>
      <c r="K295" s="153">
        <v>45536</v>
      </c>
      <c r="L295" s="155" t="s">
        <v>288</v>
      </c>
      <c r="M295" s="155" t="s">
        <v>288</v>
      </c>
      <c r="N295" s="155" t="s">
        <v>288</v>
      </c>
      <c r="O295" s="155"/>
      <c r="P295" s="155"/>
      <c r="Q295" s="155" t="s">
        <v>289</v>
      </c>
      <c r="R295" s="155"/>
      <c r="S295" s="151" t="s">
        <v>47</v>
      </c>
      <c r="T295" s="151" t="s">
        <v>48</v>
      </c>
      <c r="U295" s="156" t="s">
        <v>1341</v>
      </c>
      <c r="V295" s="151" t="s">
        <v>85</v>
      </c>
      <c r="W295" s="151" t="s">
        <v>1342</v>
      </c>
      <c r="X295" s="151"/>
      <c r="Y295" s="156" t="s">
        <v>51</v>
      </c>
      <c r="Z295" s="156"/>
      <c r="AA295" s="156"/>
      <c r="AB295" s="156"/>
      <c r="AC295" s="156"/>
      <c r="AD295" s="155">
        <v>45565</v>
      </c>
      <c r="AE295" s="157">
        <v>5500</v>
      </c>
      <c r="AF295" s="157">
        <v>300</v>
      </c>
      <c r="AG295" s="155">
        <v>45171</v>
      </c>
      <c r="AH295" s="155">
        <v>45562</v>
      </c>
      <c r="AI295" s="155"/>
      <c r="AJ295" s="158">
        <v>45565</v>
      </c>
      <c r="AK295" s="211"/>
      <c r="AL295" s="158"/>
      <c r="AM295" s="1"/>
      <c r="AN295" s="1"/>
      <c r="AO295" s="1"/>
      <c r="AP295" s="1"/>
      <c r="AQ295" s="1"/>
      <c r="AR295" s="1"/>
      <c r="AS295" s="1"/>
      <c r="AT295" s="1"/>
      <c r="AU295" s="1"/>
      <c r="AV295" s="1"/>
    </row>
    <row r="296" spans="1:48" ht="45" hidden="1" customHeight="1">
      <c r="A296" s="1"/>
      <c r="B296" s="159" t="s">
        <v>1352</v>
      </c>
      <c r="C296" s="159" t="s">
        <v>1339</v>
      </c>
      <c r="D296" s="159" t="s">
        <v>1340</v>
      </c>
      <c r="E296" s="159" t="s">
        <v>1353</v>
      </c>
      <c r="F296" s="152"/>
      <c r="G296" s="152" t="s">
        <v>287</v>
      </c>
      <c r="H296" s="152" t="s">
        <v>982</v>
      </c>
      <c r="I296" s="152">
        <v>91</v>
      </c>
      <c r="J296" s="151"/>
      <c r="K296" s="153">
        <v>45536</v>
      </c>
      <c r="L296" s="155" t="s">
        <v>45</v>
      </c>
      <c r="M296" s="155" t="s">
        <v>288</v>
      </c>
      <c r="N296" s="155" t="s">
        <v>288</v>
      </c>
      <c r="O296" s="155"/>
      <c r="P296" s="155"/>
      <c r="Q296" s="155" t="s">
        <v>289</v>
      </c>
      <c r="R296" s="155"/>
      <c r="S296" s="151" t="s">
        <v>47</v>
      </c>
      <c r="T296" s="151" t="s">
        <v>48</v>
      </c>
      <c r="U296" s="156" t="s">
        <v>1354</v>
      </c>
      <c r="V296" s="151" t="s">
        <v>85</v>
      </c>
      <c r="W296" s="151" t="s">
        <v>895</v>
      </c>
      <c r="X296" s="151"/>
      <c r="Y296" s="156" t="s">
        <v>51</v>
      </c>
      <c r="Z296" s="156"/>
      <c r="AA296" s="156"/>
      <c r="AB296" s="156"/>
      <c r="AC296" s="156"/>
      <c r="AD296" s="155">
        <v>45580</v>
      </c>
      <c r="AE296" s="157">
        <v>1200</v>
      </c>
      <c r="AF296" s="157">
        <v>1300</v>
      </c>
      <c r="AG296" s="155">
        <v>45538</v>
      </c>
      <c r="AH296" s="155">
        <v>45582</v>
      </c>
      <c r="AI296" s="155">
        <v>45582</v>
      </c>
      <c r="AJ296" s="158">
        <v>45580</v>
      </c>
      <c r="AK296" s="211"/>
      <c r="AL296" s="158"/>
      <c r="AM296" s="1"/>
      <c r="AN296" s="1"/>
      <c r="AO296" s="1"/>
      <c r="AP296" s="1"/>
      <c r="AQ296" s="1"/>
      <c r="AR296" s="1"/>
      <c r="AS296" s="1"/>
      <c r="AT296" s="1"/>
      <c r="AU296" s="1"/>
      <c r="AV296" s="1"/>
    </row>
    <row r="297" spans="1:48" ht="45" hidden="1" customHeight="1">
      <c r="A297" s="1"/>
      <c r="B297" s="159" t="s">
        <v>1343</v>
      </c>
      <c r="C297" s="159" t="s">
        <v>1339</v>
      </c>
      <c r="D297" s="159" t="s">
        <v>1340</v>
      </c>
      <c r="E297" s="159" t="s">
        <v>1344</v>
      </c>
      <c r="F297" s="152"/>
      <c r="G297" s="152" t="s">
        <v>287</v>
      </c>
      <c r="H297" s="152" t="s">
        <v>982</v>
      </c>
      <c r="I297" s="152">
        <v>31</v>
      </c>
      <c r="J297" s="151"/>
      <c r="K297" s="153">
        <v>45536</v>
      </c>
      <c r="L297" s="155" t="s">
        <v>288</v>
      </c>
      <c r="M297" s="155" t="s">
        <v>288</v>
      </c>
      <c r="N297" s="155" t="s">
        <v>288</v>
      </c>
      <c r="O297" s="155">
        <v>45562</v>
      </c>
      <c r="P297" s="155">
        <v>45565</v>
      </c>
      <c r="Q297" s="155" t="s">
        <v>289</v>
      </c>
      <c r="R297" s="155"/>
      <c r="S297" s="151" t="s">
        <v>47</v>
      </c>
      <c r="T297" s="151" t="s">
        <v>48</v>
      </c>
      <c r="U297" s="156" t="s">
        <v>1345</v>
      </c>
      <c r="V297" s="151" t="s">
        <v>85</v>
      </c>
      <c r="W297" s="151" t="s">
        <v>1342</v>
      </c>
      <c r="X297" s="151"/>
      <c r="Y297" s="156" t="s">
        <v>51</v>
      </c>
      <c r="Z297" s="156"/>
      <c r="AA297" s="156"/>
      <c r="AB297" s="156"/>
      <c r="AC297" s="156"/>
      <c r="AD297" s="155">
        <v>45565</v>
      </c>
      <c r="AE297" s="157">
        <v>5000</v>
      </c>
      <c r="AF297" s="157">
        <v>1700</v>
      </c>
      <c r="AG297" s="155">
        <v>45540</v>
      </c>
      <c r="AH297" s="155">
        <v>45563</v>
      </c>
      <c r="AI297" s="155"/>
      <c r="AJ297" s="158">
        <v>45565</v>
      </c>
      <c r="AK297" s="211"/>
      <c r="AL297" s="158"/>
      <c r="AM297" s="1"/>
      <c r="AN297" s="1"/>
      <c r="AO297" s="1"/>
      <c r="AP297" s="1"/>
      <c r="AQ297" s="1"/>
      <c r="AR297" s="1"/>
      <c r="AS297" s="1"/>
      <c r="AT297" s="1"/>
      <c r="AU297" s="1"/>
      <c r="AV297" s="1"/>
    </row>
    <row r="298" spans="1:48" ht="45" hidden="1" customHeight="1">
      <c r="A298" s="1"/>
      <c r="B298" s="159" t="s">
        <v>1349</v>
      </c>
      <c r="C298" s="159" t="s">
        <v>1339</v>
      </c>
      <c r="D298" s="159" t="s">
        <v>1340</v>
      </c>
      <c r="E298" s="159" t="s">
        <v>1350</v>
      </c>
      <c r="F298" s="152"/>
      <c r="G298" s="152" t="s">
        <v>287</v>
      </c>
      <c r="H298" s="152" t="s">
        <v>982</v>
      </c>
      <c r="I298" s="152">
        <v>84</v>
      </c>
      <c r="J298" s="151"/>
      <c r="K298" s="153">
        <v>45536</v>
      </c>
      <c r="L298" s="155" t="s">
        <v>288</v>
      </c>
      <c r="M298" s="155" t="s">
        <v>288</v>
      </c>
      <c r="N298" s="155" t="s">
        <v>288</v>
      </c>
      <c r="O298" s="155"/>
      <c r="P298" s="155">
        <v>45577</v>
      </c>
      <c r="Q298" s="155" t="s">
        <v>289</v>
      </c>
      <c r="R298" s="155"/>
      <c r="S298" s="151" t="s">
        <v>47</v>
      </c>
      <c r="T298" s="151" t="s">
        <v>48</v>
      </c>
      <c r="U298" s="156" t="s">
        <v>1351</v>
      </c>
      <c r="V298" s="151" t="s">
        <v>85</v>
      </c>
      <c r="W298" s="151" t="s">
        <v>1342</v>
      </c>
      <c r="X298" s="151"/>
      <c r="Y298" s="156" t="s">
        <v>51</v>
      </c>
      <c r="Z298" s="156"/>
      <c r="AA298" s="156"/>
      <c r="AB298" s="156"/>
      <c r="AC298" s="156"/>
      <c r="AD298" s="155">
        <v>45577</v>
      </c>
      <c r="AE298" s="157">
        <v>2100</v>
      </c>
      <c r="AF298" s="157">
        <v>1100</v>
      </c>
      <c r="AG298" s="155">
        <v>45544</v>
      </c>
      <c r="AH298" s="155">
        <v>45562</v>
      </c>
      <c r="AI298" s="155"/>
      <c r="AJ298" s="158">
        <v>45577</v>
      </c>
      <c r="AK298" s="211"/>
      <c r="AL298" s="158"/>
      <c r="AM298" s="1"/>
      <c r="AN298" s="1"/>
      <c r="AO298" s="1"/>
      <c r="AP298" s="1"/>
      <c r="AQ298" s="1"/>
      <c r="AR298" s="1"/>
      <c r="AS298" s="1"/>
      <c r="AT298" s="1"/>
      <c r="AU298" s="1"/>
      <c r="AV298" s="1"/>
    </row>
    <row r="299" spans="1:48" ht="45" hidden="1" customHeight="1">
      <c r="A299" s="1"/>
      <c r="B299" s="159" t="s">
        <v>1359</v>
      </c>
      <c r="C299" s="159" t="s">
        <v>1339</v>
      </c>
      <c r="D299" s="159" t="s">
        <v>1340</v>
      </c>
      <c r="E299" s="159" t="s">
        <v>1360</v>
      </c>
      <c r="F299" s="152"/>
      <c r="G299" s="152" t="s">
        <v>287</v>
      </c>
      <c r="H299" s="152" t="s">
        <v>982</v>
      </c>
      <c r="I299" s="152">
        <v>62</v>
      </c>
      <c r="J299" s="151"/>
      <c r="K299" s="153">
        <v>45536</v>
      </c>
      <c r="L299" s="155" t="s">
        <v>288</v>
      </c>
      <c r="M299" s="155" t="s">
        <v>288</v>
      </c>
      <c r="N299" s="155" t="s">
        <v>288</v>
      </c>
      <c r="O299" s="155"/>
      <c r="P299" s="155"/>
      <c r="Q299" s="155" t="s">
        <v>289</v>
      </c>
      <c r="R299" s="155"/>
      <c r="S299" s="151" t="s">
        <v>47</v>
      </c>
      <c r="T299" s="151" t="s">
        <v>48</v>
      </c>
      <c r="U299" s="156" t="s">
        <v>1361</v>
      </c>
      <c r="V299" s="151" t="s">
        <v>85</v>
      </c>
      <c r="W299" s="151" t="s">
        <v>1362</v>
      </c>
      <c r="X299" s="151"/>
      <c r="Y299" s="156" t="s">
        <v>51</v>
      </c>
      <c r="Z299" s="156"/>
      <c r="AA299" s="156"/>
      <c r="AB299" s="156"/>
      <c r="AC299" s="156"/>
      <c r="AD299" s="155">
        <v>45583</v>
      </c>
      <c r="AE299" s="157">
        <v>4500</v>
      </c>
      <c r="AF299" s="157">
        <v>5200</v>
      </c>
      <c r="AG299" s="155">
        <v>45544</v>
      </c>
      <c r="AH299" s="155">
        <v>45580</v>
      </c>
      <c r="AI299" s="155">
        <v>45582</v>
      </c>
      <c r="AJ299" s="158">
        <v>45583</v>
      </c>
      <c r="AK299" s="211"/>
      <c r="AL299" s="158"/>
      <c r="AM299" s="1"/>
      <c r="AN299" s="1"/>
      <c r="AO299" s="1"/>
      <c r="AP299" s="1"/>
      <c r="AQ299" s="1"/>
      <c r="AR299" s="1"/>
      <c r="AS299" s="1"/>
      <c r="AT299" s="1"/>
      <c r="AU299" s="1"/>
      <c r="AV299" s="1"/>
    </row>
    <row r="300" spans="1:48" ht="45" hidden="1" customHeight="1">
      <c r="B300" s="159" t="s">
        <v>1363</v>
      </c>
      <c r="C300" s="159" t="s">
        <v>380</v>
      </c>
      <c r="D300" s="159" t="s">
        <v>685</v>
      </c>
      <c r="E300" s="159" t="s">
        <v>1364</v>
      </c>
      <c r="F300" s="152"/>
      <c r="G300" s="152" t="s">
        <v>1365</v>
      </c>
      <c r="H300" s="152" t="s">
        <v>42</v>
      </c>
      <c r="I300" s="152">
        <v>151</v>
      </c>
      <c r="J300" s="151"/>
      <c r="K300" s="153">
        <v>45536</v>
      </c>
      <c r="L300" s="155" t="s">
        <v>45</v>
      </c>
      <c r="M300" s="155" t="s">
        <v>288</v>
      </c>
      <c r="N300" s="155" t="s">
        <v>288</v>
      </c>
      <c r="O300" s="155">
        <v>45575</v>
      </c>
      <c r="P300" s="155">
        <v>45583</v>
      </c>
      <c r="Q300" s="155" t="s">
        <v>289</v>
      </c>
      <c r="R300" s="155"/>
      <c r="S300" s="151" t="s">
        <v>47</v>
      </c>
      <c r="T300" s="151" t="s">
        <v>1366</v>
      </c>
      <c r="U300" s="156" t="s">
        <v>1367</v>
      </c>
      <c r="V300" s="151" t="s">
        <v>85</v>
      </c>
      <c r="W300" s="151" t="s">
        <v>76</v>
      </c>
      <c r="X300" s="151"/>
      <c r="Y300" s="156" t="s">
        <v>714</v>
      </c>
      <c r="Z300" s="156"/>
      <c r="AA300" s="156"/>
      <c r="AB300" s="156"/>
      <c r="AC300" s="156"/>
      <c r="AD300" s="155">
        <v>45583</v>
      </c>
      <c r="AE300" s="157">
        <v>800</v>
      </c>
      <c r="AF300" s="157">
        <v>800</v>
      </c>
      <c r="AG300" s="155">
        <v>45549</v>
      </c>
      <c r="AH300" s="155">
        <v>45577</v>
      </c>
      <c r="AI300" s="155">
        <v>45582</v>
      </c>
      <c r="AJ300" s="158">
        <v>45583</v>
      </c>
      <c r="AK300" s="211"/>
      <c r="AL300" s="158"/>
      <c r="AM300" s="1"/>
    </row>
    <row r="301" spans="1:48" ht="45" hidden="1" customHeight="1">
      <c r="B301" s="159" t="s">
        <v>1427</v>
      </c>
      <c r="C301" s="159" t="s">
        <v>353</v>
      </c>
      <c r="D301" s="159" t="s">
        <v>354</v>
      </c>
      <c r="E301" s="159" t="s">
        <v>1428</v>
      </c>
      <c r="F301" s="152"/>
      <c r="G301" s="152" t="s">
        <v>391</v>
      </c>
      <c r="H301" s="152" t="s">
        <v>42</v>
      </c>
      <c r="I301" s="152" t="s">
        <v>1429</v>
      </c>
      <c r="J301" s="151"/>
      <c r="K301" s="153">
        <v>45536</v>
      </c>
      <c r="L301" s="154" t="s">
        <v>45</v>
      </c>
      <c r="M301" s="155"/>
      <c r="N301" s="155"/>
      <c r="O301" s="155"/>
      <c r="P301" s="155"/>
      <c r="Q301" s="155"/>
      <c r="R301" s="155"/>
      <c r="S301" s="151" t="s">
        <v>47</v>
      </c>
      <c r="T301" s="151" t="s">
        <v>48</v>
      </c>
      <c r="U301" s="156" t="s">
        <v>1430</v>
      </c>
      <c r="V301" s="151">
        <v>59</v>
      </c>
      <c r="W301" s="151" t="s">
        <v>124</v>
      </c>
      <c r="X301" s="151"/>
      <c r="Y301" s="156" t="s">
        <v>51</v>
      </c>
      <c r="Z301" s="156"/>
      <c r="AA301" s="156"/>
      <c r="AB301" s="156"/>
      <c r="AC301" s="156"/>
      <c r="AD301" s="155">
        <v>45666</v>
      </c>
      <c r="AE301" s="157">
        <v>10300</v>
      </c>
      <c r="AF301" s="157">
        <v>2900</v>
      </c>
      <c r="AG301" s="155">
        <v>45600</v>
      </c>
      <c r="AH301" s="155">
        <v>45626</v>
      </c>
      <c r="AI301" s="155"/>
      <c r="AJ301" s="155">
        <v>45626</v>
      </c>
      <c r="AK301" s="172"/>
      <c r="AL301" s="155"/>
      <c r="AM301" s="1"/>
    </row>
    <row r="302" spans="1:48" ht="45" hidden="1" customHeight="1">
      <c r="A302" s="1"/>
      <c r="B302" s="159" t="s">
        <v>1372</v>
      </c>
      <c r="C302" s="159" t="s">
        <v>600</v>
      </c>
      <c r="D302" s="159" t="s">
        <v>601</v>
      </c>
      <c r="E302" s="159" t="s">
        <v>1373</v>
      </c>
      <c r="F302" s="152"/>
      <c r="G302" s="152" t="s">
        <v>287</v>
      </c>
      <c r="H302" s="152" t="s">
        <v>42</v>
      </c>
      <c r="I302" s="152" t="s">
        <v>1374</v>
      </c>
      <c r="J302" s="151"/>
      <c r="K302" s="153">
        <v>45536</v>
      </c>
      <c r="L302" s="154" t="s">
        <v>1375</v>
      </c>
      <c r="M302" s="155" t="s">
        <v>288</v>
      </c>
      <c r="N302" s="155" t="s">
        <v>288</v>
      </c>
      <c r="O302" s="155"/>
      <c r="P302" s="155"/>
      <c r="Q302" s="155" t="s">
        <v>289</v>
      </c>
      <c r="R302" s="155"/>
      <c r="S302" s="151" t="s">
        <v>47</v>
      </c>
      <c r="T302" s="151" t="s">
        <v>48</v>
      </c>
      <c r="U302" s="156" t="s">
        <v>1376</v>
      </c>
      <c r="V302" s="151" t="s">
        <v>85</v>
      </c>
      <c r="W302" s="151" t="s">
        <v>669</v>
      </c>
      <c r="X302" s="151"/>
      <c r="Y302" s="156" t="s">
        <v>132</v>
      </c>
      <c r="Z302" s="156"/>
      <c r="AA302" s="156"/>
      <c r="AB302" s="156"/>
      <c r="AC302" s="156"/>
      <c r="AD302" s="155">
        <v>45590</v>
      </c>
      <c r="AE302" s="157">
        <v>1400</v>
      </c>
      <c r="AF302" s="157">
        <v>1900</v>
      </c>
      <c r="AG302" s="155">
        <v>45549</v>
      </c>
      <c r="AH302" s="155">
        <v>45581</v>
      </c>
      <c r="AI302" s="155">
        <v>45583</v>
      </c>
      <c r="AJ302" s="158">
        <v>45590</v>
      </c>
      <c r="AK302" s="211"/>
      <c r="AL302" s="158"/>
      <c r="AM302" s="1"/>
      <c r="AN302" s="1"/>
      <c r="AO302" s="1"/>
      <c r="AP302" s="1"/>
      <c r="AQ302" s="1"/>
      <c r="AR302" s="1"/>
      <c r="AS302" s="1"/>
      <c r="AT302" s="1"/>
      <c r="AU302" s="1"/>
      <c r="AV302" s="1"/>
    </row>
    <row r="303" spans="1:48" ht="45" hidden="1" customHeight="1">
      <c r="A303" s="1"/>
      <c r="B303" s="159" t="s">
        <v>1401</v>
      </c>
      <c r="C303" s="159" t="s">
        <v>705</v>
      </c>
      <c r="D303" s="159" t="s">
        <v>706</v>
      </c>
      <c r="E303" s="159" t="s">
        <v>1402</v>
      </c>
      <c r="F303" s="152"/>
      <c r="G303" s="152" t="s">
        <v>107</v>
      </c>
      <c r="H303" s="152" t="s">
        <v>486</v>
      </c>
      <c r="I303" s="152">
        <v>41</v>
      </c>
      <c r="J303" s="151"/>
      <c r="K303" s="153">
        <v>45536</v>
      </c>
      <c r="L303" s="154" t="s">
        <v>1403</v>
      </c>
      <c r="M303" s="155" t="s">
        <v>288</v>
      </c>
      <c r="N303" s="155" t="s">
        <v>288</v>
      </c>
      <c r="O303" s="155"/>
      <c r="P303" s="155"/>
      <c r="Q303" s="155" t="s">
        <v>289</v>
      </c>
      <c r="R303" s="155"/>
      <c r="S303" s="151" t="s">
        <v>47</v>
      </c>
      <c r="T303" s="151" t="s">
        <v>48</v>
      </c>
      <c r="U303" s="156" t="s">
        <v>1404</v>
      </c>
      <c r="V303" s="151" t="s">
        <v>85</v>
      </c>
      <c r="W303" s="151" t="s">
        <v>1405</v>
      </c>
      <c r="X303" s="151"/>
      <c r="Y303" s="156" t="s">
        <v>200</v>
      </c>
      <c r="Z303" s="156"/>
      <c r="AA303" s="156"/>
      <c r="AB303" s="156"/>
      <c r="AC303" s="156"/>
      <c r="AD303" s="155">
        <v>45622</v>
      </c>
      <c r="AE303" s="157">
        <v>2700</v>
      </c>
      <c r="AF303" s="157">
        <v>2500</v>
      </c>
      <c r="AG303" s="155">
        <v>45560</v>
      </c>
      <c r="AH303" s="155">
        <v>45583</v>
      </c>
      <c r="AI303" s="155">
        <v>45595</v>
      </c>
      <c r="AJ303" s="158">
        <v>45608</v>
      </c>
      <c r="AK303" s="211"/>
      <c r="AL303" s="158"/>
      <c r="AM303" s="1"/>
      <c r="AN303" s="1"/>
      <c r="AO303" s="1"/>
      <c r="AP303" s="1"/>
      <c r="AQ303" s="1"/>
      <c r="AR303" s="1"/>
      <c r="AS303" s="1"/>
      <c r="AT303" s="1"/>
      <c r="AU303" s="1"/>
      <c r="AV303" s="1"/>
    </row>
    <row r="304" spans="1:48" ht="45" hidden="1" customHeight="1">
      <c r="B304" s="159" t="s">
        <v>1381</v>
      </c>
      <c r="C304" s="159" t="s">
        <v>88</v>
      </c>
      <c r="D304" s="159" t="s">
        <v>89</v>
      </c>
      <c r="E304" s="159" t="s">
        <v>1382</v>
      </c>
      <c r="F304" s="152"/>
      <c r="G304" s="152" t="s">
        <v>446</v>
      </c>
      <c r="H304" s="152" t="s">
        <v>42</v>
      </c>
      <c r="I304" s="152" t="s">
        <v>1383</v>
      </c>
      <c r="J304" s="151"/>
      <c r="K304" s="153">
        <v>45536</v>
      </c>
      <c r="L304" s="154" t="s">
        <v>45</v>
      </c>
      <c r="M304" s="155" t="s">
        <v>288</v>
      </c>
      <c r="N304" s="155" t="s">
        <v>288</v>
      </c>
      <c r="O304" s="155"/>
      <c r="P304" s="155"/>
      <c r="Q304" s="155" t="s">
        <v>289</v>
      </c>
      <c r="R304" s="155"/>
      <c r="S304" s="151" t="s">
        <v>47</v>
      </c>
      <c r="T304" s="151" t="s">
        <v>48</v>
      </c>
      <c r="U304" s="156" t="s">
        <v>1384</v>
      </c>
      <c r="V304" s="151">
        <v>11</v>
      </c>
      <c r="W304" s="151" t="s">
        <v>50</v>
      </c>
      <c r="X304" s="151"/>
      <c r="Y304" s="156" t="s">
        <v>51</v>
      </c>
      <c r="Z304" s="156"/>
      <c r="AA304" s="156"/>
      <c r="AB304" s="156"/>
      <c r="AC304" s="156"/>
      <c r="AD304" s="155">
        <v>45591</v>
      </c>
      <c r="AE304" s="157">
        <v>3000</v>
      </c>
      <c r="AF304" s="157">
        <v>5300</v>
      </c>
      <c r="AG304" s="155">
        <v>45560</v>
      </c>
      <c r="AH304" s="155">
        <v>45579</v>
      </c>
      <c r="AI304" s="155">
        <v>45582</v>
      </c>
      <c r="AJ304" s="158">
        <v>45591</v>
      </c>
      <c r="AK304" s="211"/>
      <c r="AL304" s="158"/>
      <c r="AM304" s="1"/>
    </row>
    <row r="305" spans="1:48" ht="45" hidden="1" customHeight="1">
      <c r="A305" s="1"/>
      <c r="B305" s="159" t="s">
        <v>1393</v>
      </c>
      <c r="C305" s="159" t="s">
        <v>88</v>
      </c>
      <c r="D305" s="159" t="s">
        <v>89</v>
      </c>
      <c r="E305" s="159" t="s">
        <v>1394</v>
      </c>
      <c r="F305" s="152"/>
      <c r="G305" s="152" t="s">
        <v>446</v>
      </c>
      <c r="H305" s="152" t="s">
        <v>42</v>
      </c>
      <c r="I305" s="152">
        <v>161</v>
      </c>
      <c r="J305" s="151"/>
      <c r="K305" s="153">
        <v>45536</v>
      </c>
      <c r="L305" s="154" t="s">
        <v>45</v>
      </c>
      <c r="M305" s="155" t="s">
        <v>288</v>
      </c>
      <c r="N305" s="155" t="s">
        <v>288</v>
      </c>
      <c r="O305" s="155"/>
      <c r="P305" s="155"/>
      <c r="Q305" s="155" t="s">
        <v>289</v>
      </c>
      <c r="R305" s="155"/>
      <c r="S305" s="151" t="s">
        <v>47</v>
      </c>
      <c r="T305" s="151" t="s">
        <v>48</v>
      </c>
      <c r="U305" s="156" t="s">
        <v>1395</v>
      </c>
      <c r="V305" s="151" t="s">
        <v>85</v>
      </c>
      <c r="W305" s="151" t="s">
        <v>147</v>
      </c>
      <c r="X305" s="151"/>
      <c r="Y305" s="156" t="s">
        <v>1396</v>
      </c>
      <c r="Z305" s="156"/>
      <c r="AA305" s="156"/>
      <c r="AB305" s="156"/>
      <c r="AC305" s="156"/>
      <c r="AD305" s="155">
        <v>45622</v>
      </c>
      <c r="AE305" s="157">
        <v>800</v>
      </c>
      <c r="AF305" s="157">
        <v>1600</v>
      </c>
      <c r="AG305" s="155">
        <v>45579</v>
      </c>
      <c r="AH305" s="155">
        <v>45593</v>
      </c>
      <c r="AI305" s="155"/>
      <c r="AJ305" s="158">
        <v>45593</v>
      </c>
      <c r="AK305" s="211"/>
      <c r="AL305" s="158"/>
      <c r="AM305" s="1"/>
      <c r="AN305" s="1"/>
      <c r="AO305" s="1"/>
      <c r="AP305" s="1"/>
      <c r="AQ305" s="1"/>
      <c r="AR305" s="1"/>
      <c r="AS305" s="1"/>
      <c r="AT305" s="1"/>
      <c r="AU305" s="1"/>
      <c r="AV305" s="1"/>
    </row>
    <row r="306" spans="1:48" ht="45" hidden="1" customHeight="1">
      <c r="A306" s="1"/>
      <c r="B306" s="159" t="s">
        <v>1495</v>
      </c>
      <c r="C306" s="159" t="s">
        <v>37</v>
      </c>
      <c r="D306" s="159" t="s">
        <v>38</v>
      </c>
      <c r="E306" s="159" t="s">
        <v>1496</v>
      </c>
      <c r="F306" s="152" t="s">
        <v>40</v>
      </c>
      <c r="G306" s="152" t="s">
        <v>1497</v>
      </c>
      <c r="H306" s="152" t="s">
        <v>42</v>
      </c>
      <c r="I306" s="152" t="s">
        <v>1498</v>
      </c>
      <c r="J306" s="151" t="s">
        <v>1125</v>
      </c>
      <c r="K306" s="153">
        <v>45536</v>
      </c>
      <c r="L306" s="154" t="s">
        <v>1499</v>
      </c>
      <c r="M306" s="155" t="s">
        <v>288</v>
      </c>
      <c r="N306" s="155" t="s">
        <v>288</v>
      </c>
      <c r="O306" s="155">
        <v>45677</v>
      </c>
      <c r="P306" s="155">
        <v>45688</v>
      </c>
      <c r="Q306" s="155" t="s">
        <v>289</v>
      </c>
      <c r="R306" s="155"/>
      <c r="S306" s="151" t="s">
        <v>47</v>
      </c>
      <c r="T306" s="151" t="s">
        <v>48</v>
      </c>
      <c r="U306" s="156" t="s">
        <v>1500</v>
      </c>
      <c r="V306" s="151" t="s">
        <v>85</v>
      </c>
      <c r="W306" s="151" t="s">
        <v>67</v>
      </c>
      <c r="X306" s="151"/>
      <c r="Y306" s="156" t="s">
        <v>132</v>
      </c>
      <c r="Z306" s="156"/>
      <c r="AA306" s="156"/>
      <c r="AB306" s="156"/>
      <c r="AC306" s="156"/>
      <c r="AD306" s="155">
        <v>45687</v>
      </c>
      <c r="AE306" s="157">
        <v>4400</v>
      </c>
      <c r="AF306" s="157">
        <v>18900</v>
      </c>
      <c r="AG306" s="155">
        <v>45601</v>
      </c>
      <c r="AH306" s="155">
        <v>45625</v>
      </c>
      <c r="AI306" s="155">
        <v>45679</v>
      </c>
      <c r="AJ306" s="158">
        <v>45686</v>
      </c>
      <c r="AK306" s="211"/>
      <c r="AL306" s="158"/>
      <c r="AM306" s="1"/>
      <c r="AN306" s="1"/>
      <c r="AO306" s="1"/>
      <c r="AP306" s="1"/>
      <c r="AQ306" s="1"/>
      <c r="AR306" s="1"/>
      <c r="AS306" s="1"/>
      <c r="AT306" s="1"/>
      <c r="AU306" s="1"/>
      <c r="AV306" s="1"/>
    </row>
    <row r="307" spans="1:48" ht="45" hidden="1" customHeight="1">
      <c r="B307" s="159" t="s">
        <v>1406</v>
      </c>
      <c r="C307" s="159" t="s">
        <v>425</v>
      </c>
      <c r="D307" s="159" t="s">
        <v>474</v>
      </c>
      <c r="E307" s="159" t="s">
        <v>1407</v>
      </c>
      <c r="F307" s="152"/>
      <c r="G307" s="152" t="s">
        <v>287</v>
      </c>
      <c r="H307" s="152" t="s">
        <v>1408</v>
      </c>
      <c r="I307" s="152">
        <v>41</v>
      </c>
      <c r="J307" s="151"/>
      <c r="K307" s="153">
        <v>45536</v>
      </c>
      <c r="L307" s="154" t="s">
        <v>1409</v>
      </c>
      <c r="M307" s="155" t="s">
        <v>288</v>
      </c>
      <c r="N307" s="155" t="s">
        <v>288</v>
      </c>
      <c r="O307" s="155"/>
      <c r="P307" s="155"/>
      <c r="Q307" s="155" t="s">
        <v>289</v>
      </c>
      <c r="R307" s="155"/>
      <c r="S307" s="151" t="s">
        <v>47</v>
      </c>
      <c r="T307" s="151" t="s">
        <v>48</v>
      </c>
      <c r="U307" s="156" t="s">
        <v>1410</v>
      </c>
      <c r="V307" s="151" t="s">
        <v>85</v>
      </c>
      <c r="W307" s="151" t="s">
        <v>67</v>
      </c>
      <c r="X307" s="151"/>
      <c r="Y307" s="156" t="s">
        <v>51</v>
      </c>
      <c r="Z307" s="156"/>
      <c r="AA307" s="156"/>
      <c r="AB307" s="156"/>
      <c r="AC307" s="156"/>
      <c r="AD307" s="155">
        <v>45622</v>
      </c>
      <c r="AE307" s="157">
        <v>4100</v>
      </c>
      <c r="AF307" s="157">
        <v>1100</v>
      </c>
      <c r="AG307" s="155">
        <v>45591</v>
      </c>
      <c r="AH307" s="155">
        <v>45604</v>
      </c>
      <c r="AI307" s="155"/>
      <c r="AJ307" s="158">
        <v>45619</v>
      </c>
      <c r="AK307" s="211"/>
      <c r="AL307" s="158"/>
      <c r="AM307" s="1"/>
    </row>
    <row r="308" spans="1:48" ht="45" hidden="1" customHeight="1">
      <c r="B308" s="159" t="s">
        <v>1368</v>
      </c>
      <c r="C308" s="159" t="s">
        <v>54</v>
      </c>
      <c r="D308" s="159" t="s">
        <v>55</v>
      </c>
      <c r="E308" s="159" t="s">
        <v>1369</v>
      </c>
      <c r="F308" s="152"/>
      <c r="G308" s="152" t="s">
        <v>287</v>
      </c>
      <c r="H308" s="152" t="s">
        <v>42</v>
      </c>
      <c r="I308" s="152">
        <v>112</v>
      </c>
      <c r="J308" s="151"/>
      <c r="K308" s="153">
        <v>45536</v>
      </c>
      <c r="L308" s="154" t="s">
        <v>45</v>
      </c>
      <c r="M308" s="155" t="s">
        <v>288</v>
      </c>
      <c r="N308" s="155" t="s">
        <v>288</v>
      </c>
      <c r="O308" s="155"/>
      <c r="P308" s="155"/>
      <c r="Q308" s="155" t="s">
        <v>289</v>
      </c>
      <c r="R308" s="155"/>
      <c r="S308" s="151" t="s">
        <v>47</v>
      </c>
      <c r="T308" s="151" t="s">
        <v>48</v>
      </c>
      <c r="U308" s="156" t="s">
        <v>1370</v>
      </c>
      <c r="V308" s="151" t="s">
        <v>85</v>
      </c>
      <c r="W308" s="151" t="s">
        <v>124</v>
      </c>
      <c r="X308" s="151"/>
      <c r="Y308" s="156" t="s">
        <v>109</v>
      </c>
      <c r="Z308" s="156" t="s">
        <v>1371</v>
      </c>
      <c r="AA308" s="156"/>
      <c r="AB308" s="156"/>
      <c r="AC308" s="156"/>
      <c r="AD308" s="155">
        <v>45583</v>
      </c>
      <c r="AE308" s="157">
        <v>400</v>
      </c>
      <c r="AF308" s="157">
        <v>900</v>
      </c>
      <c r="AG308" s="155">
        <v>45562</v>
      </c>
      <c r="AH308" s="155">
        <v>45581</v>
      </c>
      <c r="AI308" s="155">
        <v>45583</v>
      </c>
      <c r="AJ308" s="158">
        <v>45583</v>
      </c>
      <c r="AK308" s="211"/>
      <c r="AL308" s="158"/>
      <c r="AM308" s="1"/>
    </row>
    <row r="309" spans="1:48" ht="42" hidden="1" customHeight="1">
      <c r="B309" s="159" t="s">
        <v>1488</v>
      </c>
      <c r="C309" s="159" t="s">
        <v>79</v>
      </c>
      <c r="D309" s="218" t="s">
        <v>80</v>
      </c>
      <c r="E309" s="159" t="s">
        <v>1489</v>
      </c>
      <c r="F309" s="152" t="s">
        <v>40</v>
      </c>
      <c r="G309" s="152" t="s">
        <v>145</v>
      </c>
      <c r="H309" s="152" t="s">
        <v>42</v>
      </c>
      <c r="I309" s="152" t="s">
        <v>1490</v>
      </c>
      <c r="J309" s="151"/>
      <c r="K309" s="153">
        <v>45566</v>
      </c>
      <c r="L309" s="154" t="s">
        <v>1491</v>
      </c>
      <c r="M309" s="155" t="s">
        <v>288</v>
      </c>
      <c r="N309" s="155" t="s">
        <v>288</v>
      </c>
      <c r="O309" s="155"/>
      <c r="P309" s="155"/>
      <c r="Q309" s="155" t="s">
        <v>289</v>
      </c>
      <c r="R309" s="155"/>
      <c r="S309" s="151" t="s">
        <v>47</v>
      </c>
      <c r="T309" s="151" t="s">
        <v>48</v>
      </c>
      <c r="U309" s="156" t="s">
        <v>1492</v>
      </c>
      <c r="V309" s="151" t="s">
        <v>85</v>
      </c>
      <c r="W309" s="151" t="s">
        <v>1493</v>
      </c>
      <c r="X309" s="151" t="s">
        <v>200</v>
      </c>
      <c r="Y309" s="156" t="s">
        <v>200</v>
      </c>
      <c r="Z309" s="156"/>
      <c r="AA309" s="151"/>
      <c r="AB309" s="151" t="s">
        <v>1494</v>
      </c>
      <c r="AC309" s="151"/>
      <c r="AD309" s="155">
        <v>45666</v>
      </c>
      <c r="AE309" s="157">
        <v>500</v>
      </c>
      <c r="AF309" s="157">
        <v>1100</v>
      </c>
      <c r="AG309" s="155">
        <v>45580</v>
      </c>
      <c r="AH309" s="155">
        <v>45593</v>
      </c>
      <c r="AI309" s="155">
        <v>45698</v>
      </c>
      <c r="AJ309" s="158">
        <v>45681</v>
      </c>
      <c r="AK309" s="211"/>
      <c r="AL309" s="158"/>
      <c r="AM309" s="1"/>
    </row>
    <row r="310" spans="1:48" ht="45" hidden="1" customHeight="1">
      <c r="B310" s="159" t="s">
        <v>1482</v>
      </c>
      <c r="C310" s="159" t="s">
        <v>79</v>
      </c>
      <c r="D310" s="218" t="s">
        <v>80</v>
      </c>
      <c r="E310" s="159" t="s">
        <v>1483</v>
      </c>
      <c r="F310" s="152" t="s">
        <v>40</v>
      </c>
      <c r="G310" s="152" t="s">
        <v>287</v>
      </c>
      <c r="H310" s="152" t="s">
        <v>42</v>
      </c>
      <c r="I310" s="152" t="s">
        <v>531</v>
      </c>
      <c r="J310" s="151" t="s">
        <v>1484</v>
      </c>
      <c r="K310" s="153">
        <v>45566</v>
      </c>
      <c r="L310" s="154" t="s">
        <v>1485</v>
      </c>
      <c r="M310" s="155" t="s">
        <v>288</v>
      </c>
      <c r="N310" s="155" t="s">
        <v>288</v>
      </c>
      <c r="O310" s="155"/>
      <c r="P310" s="155"/>
      <c r="Q310" s="155" t="s">
        <v>289</v>
      </c>
      <c r="R310" s="155" t="s">
        <v>46</v>
      </c>
      <c r="S310" s="151" t="s">
        <v>47</v>
      </c>
      <c r="T310" s="151" t="s">
        <v>48</v>
      </c>
      <c r="U310" s="156" t="s">
        <v>1486</v>
      </c>
      <c r="V310" s="151">
        <v>1</v>
      </c>
      <c r="W310" s="151" t="s">
        <v>50</v>
      </c>
      <c r="X310" s="151"/>
      <c r="Y310" s="156" t="s">
        <v>132</v>
      </c>
      <c r="Z310" s="156"/>
      <c r="AA310" s="151"/>
      <c r="AB310" s="155" t="s">
        <v>1487</v>
      </c>
      <c r="AC310" s="155"/>
      <c r="AD310" s="155">
        <v>45666</v>
      </c>
      <c r="AE310" s="157">
        <v>1300</v>
      </c>
      <c r="AF310" s="157">
        <v>2000</v>
      </c>
      <c r="AG310" s="155">
        <v>45580</v>
      </c>
      <c r="AH310" s="155">
        <v>45593</v>
      </c>
      <c r="AI310" s="155">
        <v>45698</v>
      </c>
      <c r="AJ310" s="158">
        <v>45681</v>
      </c>
      <c r="AK310" s="211"/>
      <c r="AL310" s="158"/>
      <c r="AM310" s="1"/>
    </row>
    <row r="311" spans="1:48" ht="45" hidden="1" customHeight="1">
      <c r="B311" s="159" t="s">
        <v>1419</v>
      </c>
      <c r="C311" s="159" t="s">
        <v>232</v>
      </c>
      <c r="D311" s="25" t="s">
        <v>8519</v>
      </c>
      <c r="E311" s="159" t="s">
        <v>232</v>
      </c>
      <c r="F311" s="152"/>
      <c r="G311" s="152" t="s">
        <v>73</v>
      </c>
      <c r="H311" s="152" t="s">
        <v>42</v>
      </c>
      <c r="I311" s="152" t="s">
        <v>1420</v>
      </c>
      <c r="J311" s="151"/>
      <c r="K311" s="153">
        <v>45566</v>
      </c>
      <c r="L311" s="154" t="s">
        <v>45</v>
      </c>
      <c r="M311" s="155" t="s">
        <v>288</v>
      </c>
      <c r="N311" s="155" t="s">
        <v>288</v>
      </c>
      <c r="O311" s="155"/>
      <c r="P311" s="155"/>
      <c r="Q311" s="155" t="s">
        <v>289</v>
      </c>
      <c r="R311" s="155"/>
      <c r="S311" s="151" t="s">
        <v>47</v>
      </c>
      <c r="T311" s="151" t="s">
        <v>48</v>
      </c>
      <c r="U311" s="156" t="s">
        <v>1421</v>
      </c>
      <c r="V311" s="151" t="s">
        <v>85</v>
      </c>
      <c r="W311" s="151" t="s">
        <v>1422</v>
      </c>
      <c r="X311" s="151"/>
      <c r="Y311" s="156" t="s">
        <v>1423</v>
      </c>
      <c r="Z311" s="156" t="s">
        <v>827</v>
      </c>
      <c r="AA311" s="156"/>
      <c r="AB311" s="156"/>
      <c r="AC311" s="156"/>
      <c r="AD311" s="155">
        <v>45637</v>
      </c>
      <c r="AE311" s="157">
        <v>3400</v>
      </c>
      <c r="AF311" s="157">
        <v>5300</v>
      </c>
      <c r="AG311" s="155">
        <v>45595</v>
      </c>
      <c r="AH311" s="155">
        <v>45617</v>
      </c>
      <c r="AI311" s="155"/>
      <c r="AJ311" s="158">
        <v>45623</v>
      </c>
      <c r="AK311" s="211"/>
      <c r="AL311" s="158"/>
      <c r="AM311" s="1"/>
    </row>
    <row r="312" spans="1:48" ht="45" hidden="1" customHeight="1">
      <c r="B312" s="159" t="s">
        <v>1397</v>
      </c>
      <c r="C312" s="159" t="s">
        <v>232</v>
      </c>
      <c r="D312" s="25" t="s">
        <v>8519</v>
      </c>
      <c r="E312" s="159" t="s">
        <v>1398</v>
      </c>
      <c r="F312" s="152"/>
      <c r="G312" s="152" t="s">
        <v>73</v>
      </c>
      <c r="H312" s="152" t="s">
        <v>42</v>
      </c>
      <c r="I312" s="152" t="s">
        <v>1399</v>
      </c>
      <c r="J312" s="151"/>
      <c r="K312" s="153">
        <v>45566</v>
      </c>
      <c r="L312" s="154" t="s">
        <v>45</v>
      </c>
      <c r="M312" s="155" t="s">
        <v>288</v>
      </c>
      <c r="N312" s="155" t="s">
        <v>288</v>
      </c>
      <c r="O312" s="155"/>
      <c r="P312" s="155"/>
      <c r="Q312" s="155" t="s">
        <v>289</v>
      </c>
      <c r="R312" s="155"/>
      <c r="S312" s="151" t="s">
        <v>47</v>
      </c>
      <c r="T312" s="151" t="s">
        <v>48</v>
      </c>
      <c r="U312" s="156" t="s">
        <v>1400</v>
      </c>
      <c r="V312" s="151" t="s">
        <v>85</v>
      </c>
      <c r="W312" s="151" t="s">
        <v>50</v>
      </c>
      <c r="X312" s="151"/>
      <c r="Y312" s="156" t="s">
        <v>1122</v>
      </c>
      <c r="Z312" s="156"/>
      <c r="AA312" s="156"/>
      <c r="AB312" s="156"/>
      <c r="AC312" s="156"/>
      <c r="AD312" s="155">
        <v>45622</v>
      </c>
      <c r="AE312" s="157">
        <v>1300</v>
      </c>
      <c r="AF312" s="157">
        <v>2000</v>
      </c>
      <c r="AG312" s="155">
        <v>45581</v>
      </c>
      <c r="AH312" s="155">
        <v>45595</v>
      </c>
      <c r="AI312" s="155">
        <v>45598</v>
      </c>
      <c r="AJ312" s="158">
        <v>45600</v>
      </c>
      <c r="AK312" s="211"/>
      <c r="AL312" s="158"/>
      <c r="AM312" s="1"/>
    </row>
    <row r="313" spans="1:48" ht="45" hidden="1" customHeight="1">
      <c r="A313" s="1"/>
      <c r="B313" s="159" t="s">
        <v>1385</v>
      </c>
      <c r="C313" s="159" t="s">
        <v>232</v>
      </c>
      <c r="D313" s="25" t="s">
        <v>8519</v>
      </c>
      <c r="E313" s="159" t="s">
        <v>1386</v>
      </c>
      <c r="F313" s="152"/>
      <c r="G313" s="152" t="s">
        <v>73</v>
      </c>
      <c r="H313" s="152" t="s">
        <v>42</v>
      </c>
      <c r="I313" s="152" t="s">
        <v>1387</v>
      </c>
      <c r="J313" s="151"/>
      <c r="K313" s="153">
        <v>45566</v>
      </c>
      <c r="L313" s="154" t="s">
        <v>45</v>
      </c>
      <c r="M313" s="155" t="s">
        <v>288</v>
      </c>
      <c r="N313" s="155" t="s">
        <v>288</v>
      </c>
      <c r="O313" s="155"/>
      <c r="P313" s="155"/>
      <c r="Q313" s="155" t="s">
        <v>289</v>
      </c>
      <c r="R313" s="155"/>
      <c r="S313" s="151" t="s">
        <v>47</v>
      </c>
      <c r="T313" s="151" t="s">
        <v>48</v>
      </c>
      <c r="U313" s="156" t="s">
        <v>1388</v>
      </c>
      <c r="V313" s="151" t="s">
        <v>85</v>
      </c>
      <c r="W313" s="151" t="s">
        <v>124</v>
      </c>
      <c r="X313" s="151"/>
      <c r="Y313" s="156" t="s">
        <v>714</v>
      </c>
      <c r="Z313" s="156"/>
      <c r="AA313" s="156"/>
      <c r="AB313" s="156"/>
      <c r="AC313" s="156"/>
      <c r="AD313" s="155">
        <v>45622</v>
      </c>
      <c r="AE313" s="157">
        <v>600</v>
      </c>
      <c r="AF313" s="157">
        <v>900</v>
      </c>
      <c r="AG313" s="155">
        <v>45581</v>
      </c>
      <c r="AH313" s="155">
        <v>45595</v>
      </c>
      <c r="AI313" s="155"/>
      <c r="AJ313" s="158">
        <v>45591</v>
      </c>
      <c r="AK313" s="211"/>
      <c r="AL313" s="158"/>
      <c r="AM313" s="1"/>
      <c r="AN313" s="1"/>
      <c r="AO313" s="1"/>
      <c r="AP313" s="1"/>
      <c r="AQ313" s="1"/>
      <c r="AR313" s="1"/>
      <c r="AS313" s="1"/>
      <c r="AT313" s="1"/>
      <c r="AU313" s="1"/>
      <c r="AV313" s="1"/>
    </row>
    <row r="314" spans="1:48" ht="45" hidden="1" customHeight="1">
      <c r="B314" s="159" t="s">
        <v>1443</v>
      </c>
      <c r="C314" s="159" t="s">
        <v>150</v>
      </c>
      <c r="D314" s="159" t="s">
        <v>151</v>
      </c>
      <c r="E314" s="159" t="s">
        <v>1444</v>
      </c>
      <c r="F314" s="152"/>
      <c r="G314" s="152" t="s">
        <v>296</v>
      </c>
      <c r="H314" s="152" t="s">
        <v>42</v>
      </c>
      <c r="I314" s="152">
        <v>24</v>
      </c>
      <c r="J314" s="151"/>
      <c r="K314" s="153">
        <v>45566</v>
      </c>
      <c r="L314" s="154" t="s">
        <v>1445</v>
      </c>
      <c r="M314" s="155" t="s">
        <v>288</v>
      </c>
      <c r="N314" s="155" t="s">
        <v>288</v>
      </c>
      <c r="O314" s="155"/>
      <c r="P314" s="155"/>
      <c r="Q314" s="155" t="s">
        <v>289</v>
      </c>
      <c r="R314" s="155"/>
      <c r="S314" s="151" t="s">
        <v>47</v>
      </c>
      <c r="T314" s="151" t="s">
        <v>48</v>
      </c>
      <c r="U314" s="156" t="s">
        <v>1446</v>
      </c>
      <c r="V314" s="151" t="s">
        <v>85</v>
      </c>
      <c r="W314" s="151" t="s">
        <v>76</v>
      </c>
      <c r="X314" s="151"/>
      <c r="Y314" s="156" t="s">
        <v>51</v>
      </c>
      <c r="Z314" s="156"/>
      <c r="AA314" s="156"/>
      <c r="AB314" s="156"/>
      <c r="AC314" s="156"/>
      <c r="AD314" s="155">
        <v>45637</v>
      </c>
      <c r="AE314" s="157">
        <v>2900</v>
      </c>
      <c r="AF314" s="157">
        <v>700</v>
      </c>
      <c r="AG314" s="155">
        <v>45583</v>
      </c>
      <c r="AH314" s="155">
        <v>45595</v>
      </c>
      <c r="AI314" s="155">
        <v>45624</v>
      </c>
      <c r="AJ314" s="158">
        <v>45636</v>
      </c>
      <c r="AK314" s="211"/>
      <c r="AL314" s="158"/>
      <c r="AM314" s="1"/>
    </row>
    <row r="315" spans="1:48" ht="45" hidden="1" customHeight="1">
      <c r="B315" s="159" t="s">
        <v>1447</v>
      </c>
      <c r="C315" s="159" t="s">
        <v>126</v>
      </c>
      <c r="D315" s="159" t="s">
        <v>127</v>
      </c>
      <c r="E315" s="159" t="s">
        <v>1425</v>
      </c>
      <c r="F315" s="152"/>
      <c r="G315" s="152" t="s">
        <v>308</v>
      </c>
      <c r="H315" s="152" t="s">
        <v>42</v>
      </c>
      <c r="I315" s="152">
        <v>51</v>
      </c>
      <c r="J315" s="151"/>
      <c r="K315" s="153">
        <v>45566</v>
      </c>
      <c r="L315" s="154" t="s">
        <v>99</v>
      </c>
      <c r="M315" s="155" t="s">
        <v>288</v>
      </c>
      <c r="N315" s="155" t="s">
        <v>288</v>
      </c>
      <c r="O315" s="155"/>
      <c r="P315" s="155"/>
      <c r="Q315" s="155" t="s">
        <v>289</v>
      </c>
      <c r="R315" s="155"/>
      <c r="S315" s="151" t="s">
        <v>47</v>
      </c>
      <c r="T315" s="151" t="s">
        <v>48</v>
      </c>
      <c r="U315" s="156" t="s">
        <v>1448</v>
      </c>
      <c r="V315" s="151" t="s">
        <v>85</v>
      </c>
      <c r="W315" s="151" t="s">
        <v>67</v>
      </c>
      <c r="X315" s="151"/>
      <c r="Y315" s="156" t="s">
        <v>200</v>
      </c>
      <c r="Z315" s="156"/>
      <c r="AA315" s="156"/>
      <c r="AB315" s="156"/>
      <c r="AC315" s="156"/>
      <c r="AD315" s="155">
        <v>45637</v>
      </c>
      <c r="AE315" s="157">
        <v>2400</v>
      </c>
      <c r="AF315" s="157">
        <v>1500</v>
      </c>
      <c r="AG315" s="155">
        <v>45586</v>
      </c>
      <c r="AH315" s="155">
        <v>45596</v>
      </c>
      <c r="AI315" s="155">
        <v>45608</v>
      </c>
      <c r="AJ315" s="158">
        <v>45636</v>
      </c>
      <c r="AK315" s="211"/>
      <c r="AL315" s="158"/>
      <c r="AM315" s="1"/>
    </row>
    <row r="316" spans="1:48" ht="45" hidden="1" customHeight="1">
      <c r="B316" s="159" t="s">
        <v>1389</v>
      </c>
      <c r="C316" s="159" t="s">
        <v>336</v>
      </c>
      <c r="D316" s="159" t="s">
        <v>337</v>
      </c>
      <c r="E316" s="159" t="s">
        <v>1390</v>
      </c>
      <c r="F316" s="152"/>
      <c r="G316" s="152" t="s">
        <v>1391</v>
      </c>
      <c r="H316" s="152" t="s">
        <v>42</v>
      </c>
      <c r="I316" s="152">
        <v>101</v>
      </c>
      <c r="J316" s="151"/>
      <c r="K316" s="153">
        <v>45566</v>
      </c>
      <c r="L316" s="154" t="s">
        <v>45</v>
      </c>
      <c r="M316" s="155" t="s">
        <v>288</v>
      </c>
      <c r="N316" s="155" t="s">
        <v>288</v>
      </c>
      <c r="O316" s="155"/>
      <c r="P316" s="155"/>
      <c r="Q316" s="155" t="s">
        <v>289</v>
      </c>
      <c r="R316" s="155"/>
      <c r="S316" s="151" t="s">
        <v>47</v>
      </c>
      <c r="T316" s="151" t="s">
        <v>48</v>
      </c>
      <c r="U316" s="156" t="s">
        <v>1392</v>
      </c>
      <c r="V316" s="151" t="s">
        <v>85</v>
      </c>
      <c r="W316" s="151" t="s">
        <v>124</v>
      </c>
      <c r="X316" s="151"/>
      <c r="Y316" s="156" t="s">
        <v>200</v>
      </c>
      <c r="Z316" s="156"/>
      <c r="AA316" s="156"/>
      <c r="AB316" s="156"/>
      <c r="AC316" s="156"/>
      <c r="AD316" s="155">
        <v>45622</v>
      </c>
      <c r="AE316" s="157">
        <v>500</v>
      </c>
      <c r="AF316" s="157">
        <v>700</v>
      </c>
      <c r="AG316" s="155">
        <v>45589</v>
      </c>
      <c r="AH316" s="155">
        <v>45591</v>
      </c>
      <c r="AI316" s="155"/>
      <c r="AJ316" s="158">
        <v>45591</v>
      </c>
      <c r="AK316" s="211"/>
      <c r="AL316" s="158"/>
      <c r="AM316" s="1"/>
    </row>
    <row r="317" spans="1:48" ht="45" hidden="1" customHeight="1">
      <c r="B317" s="159" t="s">
        <v>1437</v>
      </c>
      <c r="C317" s="159" t="s">
        <v>336</v>
      </c>
      <c r="D317" s="159" t="s">
        <v>1438</v>
      </c>
      <c r="E317" s="159" t="s">
        <v>1439</v>
      </c>
      <c r="F317" s="152"/>
      <c r="G317" s="152" t="s">
        <v>1391</v>
      </c>
      <c r="H317" s="152" t="s">
        <v>486</v>
      </c>
      <c r="I317" s="152" t="s">
        <v>1440</v>
      </c>
      <c r="J317" s="151"/>
      <c r="K317" s="153">
        <v>45566</v>
      </c>
      <c r="L317" s="154" t="s">
        <v>1441</v>
      </c>
      <c r="M317" s="155" t="s">
        <v>288</v>
      </c>
      <c r="N317" s="155" t="s">
        <v>288</v>
      </c>
      <c r="O317" s="155"/>
      <c r="P317" s="155"/>
      <c r="Q317" s="155" t="s">
        <v>289</v>
      </c>
      <c r="R317" s="155"/>
      <c r="S317" s="151" t="s">
        <v>47</v>
      </c>
      <c r="T317" s="151" t="s">
        <v>48</v>
      </c>
      <c r="U317" s="156" t="s">
        <v>1442</v>
      </c>
      <c r="V317" s="151" t="s">
        <v>85</v>
      </c>
      <c r="W317" s="151" t="s">
        <v>50</v>
      </c>
      <c r="X317" s="151"/>
      <c r="Y317" s="156" t="s">
        <v>200</v>
      </c>
      <c r="Z317" s="156"/>
      <c r="AA317" s="156"/>
      <c r="AB317" s="156"/>
      <c r="AC317" s="156"/>
      <c r="AD317" s="155">
        <v>45637</v>
      </c>
      <c r="AE317" s="157">
        <v>4700</v>
      </c>
      <c r="AF317" s="157">
        <v>8800</v>
      </c>
      <c r="AG317" s="155">
        <v>45602</v>
      </c>
      <c r="AH317" s="155">
        <v>45624</v>
      </c>
      <c r="AI317" s="155"/>
      <c r="AJ317" s="158">
        <v>45633</v>
      </c>
      <c r="AK317" s="211"/>
      <c r="AL317" s="158"/>
      <c r="AM317" s="1"/>
    </row>
    <row r="318" spans="1:48" ht="45" hidden="1" customHeight="1">
      <c r="B318" s="159" t="s">
        <v>1424</v>
      </c>
      <c r="C318" s="159" t="s">
        <v>126</v>
      </c>
      <c r="D318" s="159" t="s">
        <v>127</v>
      </c>
      <c r="E318" s="159" t="s">
        <v>1425</v>
      </c>
      <c r="F318" s="152"/>
      <c r="G318" s="152" t="s">
        <v>308</v>
      </c>
      <c r="H318" s="152" t="s">
        <v>42</v>
      </c>
      <c r="I318" s="152" t="s">
        <v>1292</v>
      </c>
      <c r="J318" s="151"/>
      <c r="K318" s="153">
        <v>45566</v>
      </c>
      <c r="L318" s="154" t="s">
        <v>1293</v>
      </c>
      <c r="M318" s="155" t="s">
        <v>288</v>
      </c>
      <c r="N318" s="155" t="s">
        <v>288</v>
      </c>
      <c r="O318" s="155"/>
      <c r="P318" s="155"/>
      <c r="Q318" s="155" t="s">
        <v>289</v>
      </c>
      <c r="R318" s="155"/>
      <c r="S318" s="151" t="s">
        <v>47</v>
      </c>
      <c r="T318" s="151" t="s">
        <v>48</v>
      </c>
      <c r="U318" s="156" t="s">
        <v>1426</v>
      </c>
      <c r="V318" s="151" t="s">
        <v>85</v>
      </c>
      <c r="W318" s="151" t="s">
        <v>124</v>
      </c>
      <c r="X318" s="151"/>
      <c r="Y318" s="156" t="s">
        <v>200</v>
      </c>
      <c r="Z318" s="156" t="s">
        <v>132</v>
      </c>
      <c r="AA318" s="156"/>
      <c r="AB318" s="156"/>
      <c r="AC318" s="156"/>
      <c r="AD318" s="155">
        <v>45637</v>
      </c>
      <c r="AE318" s="157">
        <v>280</v>
      </c>
      <c r="AF318" s="157"/>
      <c r="AG318" s="155">
        <v>45587</v>
      </c>
      <c r="AH318" s="155">
        <v>45596</v>
      </c>
      <c r="AI318" s="155">
        <v>45608</v>
      </c>
      <c r="AJ318" s="158">
        <v>45624</v>
      </c>
      <c r="AK318" s="211"/>
      <c r="AL318" s="158"/>
      <c r="AM318" s="1"/>
    </row>
    <row r="319" spans="1:48" ht="45" hidden="1" customHeight="1">
      <c r="B319" s="159" t="s">
        <v>1431</v>
      </c>
      <c r="C319" s="159" t="s">
        <v>1432</v>
      </c>
      <c r="D319" s="159" t="s">
        <v>1433</v>
      </c>
      <c r="E319" s="159" t="s">
        <v>1434</v>
      </c>
      <c r="F319" s="152"/>
      <c r="G319" s="152" t="s">
        <v>1321</v>
      </c>
      <c r="H319" s="152" t="s">
        <v>1011</v>
      </c>
      <c r="I319" s="152">
        <v>184</v>
      </c>
      <c r="J319" s="151"/>
      <c r="K319" s="153">
        <v>45597</v>
      </c>
      <c r="L319" s="154" t="s">
        <v>45</v>
      </c>
      <c r="M319" s="155" t="s">
        <v>288</v>
      </c>
      <c r="N319" s="155" t="s">
        <v>288</v>
      </c>
      <c r="O319" s="155"/>
      <c r="P319" s="155"/>
      <c r="Q319" s="155" t="s">
        <v>289</v>
      </c>
      <c r="R319" s="155"/>
      <c r="S319" s="151" t="s">
        <v>47</v>
      </c>
      <c r="T319" s="151" t="s">
        <v>48</v>
      </c>
      <c r="U319" s="156" t="s">
        <v>1435</v>
      </c>
      <c r="V319" s="151" t="s">
        <v>85</v>
      </c>
      <c r="W319" s="151" t="s">
        <v>1436</v>
      </c>
      <c r="X319" s="151"/>
      <c r="Y319" s="156" t="s">
        <v>1122</v>
      </c>
      <c r="Z319" s="156"/>
      <c r="AA319" s="156"/>
      <c r="AB319" s="156"/>
      <c r="AC319" s="156"/>
      <c r="AD319" s="155">
        <v>45649</v>
      </c>
      <c r="AE319" s="157">
        <v>1900</v>
      </c>
      <c r="AF319" s="157">
        <v>3700</v>
      </c>
      <c r="AG319" s="155">
        <v>45607</v>
      </c>
      <c r="AH319" s="155"/>
      <c r="AI319" s="155"/>
      <c r="AJ319" s="158">
        <v>45632</v>
      </c>
      <c r="AK319" s="211"/>
      <c r="AL319" s="158"/>
      <c r="AM319" s="1"/>
    </row>
    <row r="320" spans="1:48" ht="45" hidden="1" customHeight="1">
      <c r="B320" s="159" t="s">
        <v>1449</v>
      </c>
      <c r="C320" s="159" t="s">
        <v>79</v>
      </c>
      <c r="D320" s="218" t="s">
        <v>80</v>
      </c>
      <c r="E320" s="159" t="s">
        <v>1451</v>
      </c>
      <c r="F320" s="152"/>
      <c r="G320" s="152" t="s">
        <v>287</v>
      </c>
      <c r="H320" s="152" t="s">
        <v>42</v>
      </c>
      <c r="I320" s="152" t="s">
        <v>1292</v>
      </c>
      <c r="J320" s="151" t="s">
        <v>7305</v>
      </c>
      <c r="K320" s="153">
        <v>45597</v>
      </c>
      <c r="L320" s="154" t="s">
        <v>1293</v>
      </c>
      <c r="M320" s="155" t="s">
        <v>288</v>
      </c>
      <c r="N320" s="155" t="s">
        <v>288</v>
      </c>
      <c r="O320" s="155"/>
      <c r="P320" s="155"/>
      <c r="Q320" s="155" t="s">
        <v>289</v>
      </c>
      <c r="R320" s="155"/>
      <c r="S320" s="151" t="s">
        <v>47</v>
      </c>
      <c r="T320" s="151" t="s">
        <v>48</v>
      </c>
      <c r="U320" s="156" t="s">
        <v>1452</v>
      </c>
      <c r="V320" s="151" t="s">
        <v>85</v>
      </c>
      <c r="W320" s="151" t="s">
        <v>124</v>
      </c>
      <c r="X320" s="151"/>
      <c r="Y320" s="156" t="s">
        <v>132</v>
      </c>
      <c r="Z320" s="156" t="s">
        <v>200</v>
      </c>
      <c r="AA320" s="156"/>
      <c r="AB320" s="156"/>
      <c r="AC320" s="156"/>
      <c r="AD320" s="155">
        <v>45649</v>
      </c>
      <c r="AE320" s="157"/>
      <c r="AF320" s="157"/>
      <c r="AG320" s="155"/>
      <c r="AH320" s="155"/>
      <c r="AI320" s="155"/>
      <c r="AJ320" s="158">
        <v>45636</v>
      </c>
      <c r="AK320" s="211"/>
      <c r="AL320" s="158"/>
      <c r="AM320" s="1"/>
    </row>
    <row r="321" spans="1:48" ht="45" hidden="1" customHeight="1">
      <c r="B321" s="159" t="s">
        <v>1467</v>
      </c>
      <c r="C321" s="159" t="s">
        <v>425</v>
      </c>
      <c r="D321" s="159" t="s">
        <v>626</v>
      </c>
      <c r="E321" s="159" t="s">
        <v>1468</v>
      </c>
      <c r="F321" s="152"/>
      <c r="G321" s="152" t="s">
        <v>308</v>
      </c>
      <c r="H321" s="152" t="s">
        <v>519</v>
      </c>
      <c r="I321" s="152">
        <v>101</v>
      </c>
      <c r="J321" s="151"/>
      <c r="K321" s="153">
        <v>45597</v>
      </c>
      <c r="L321" s="154" t="s">
        <v>1409</v>
      </c>
      <c r="M321" s="155" t="s">
        <v>288</v>
      </c>
      <c r="N321" s="155" t="s">
        <v>288</v>
      </c>
      <c r="O321" s="155">
        <v>45643</v>
      </c>
      <c r="P321" s="155"/>
      <c r="Q321" s="155" t="s">
        <v>289</v>
      </c>
      <c r="R321" s="155"/>
      <c r="S321" s="151" t="s">
        <v>47</v>
      </c>
      <c r="T321" s="151" t="s">
        <v>48</v>
      </c>
      <c r="U321" s="156" t="s">
        <v>1469</v>
      </c>
      <c r="V321" s="151" t="s">
        <v>85</v>
      </c>
      <c r="W321" s="151" t="s">
        <v>1460</v>
      </c>
      <c r="X321" s="151"/>
      <c r="Y321" s="156" t="s">
        <v>51</v>
      </c>
      <c r="Z321" s="156"/>
      <c r="AA321" s="156"/>
      <c r="AB321" s="156"/>
      <c r="AC321" s="156"/>
      <c r="AD321" s="155">
        <v>45666</v>
      </c>
      <c r="AE321" s="157">
        <v>2900</v>
      </c>
      <c r="AF321" s="157">
        <v>1200</v>
      </c>
      <c r="AG321" s="155">
        <v>45610</v>
      </c>
      <c r="AH321" s="155"/>
      <c r="AI321" s="155">
        <v>45672</v>
      </c>
      <c r="AJ321" s="155">
        <v>45673</v>
      </c>
      <c r="AK321" s="172"/>
      <c r="AL321" s="155"/>
      <c r="AM321" s="1"/>
    </row>
    <row r="322" spans="1:48" ht="45" hidden="1" customHeight="1">
      <c r="A322" s="1"/>
      <c r="B322" s="159" t="s">
        <v>1291</v>
      </c>
      <c r="C322" s="159" t="s">
        <v>134</v>
      </c>
      <c r="D322" s="159" t="s">
        <v>135</v>
      </c>
      <c r="E322" s="159" t="s">
        <v>1283</v>
      </c>
      <c r="F322" s="152"/>
      <c r="G322" s="152"/>
      <c r="H322" s="152" t="s">
        <v>42</v>
      </c>
      <c r="I322" s="152" t="s">
        <v>1292</v>
      </c>
      <c r="J322" s="151"/>
      <c r="K322" s="153">
        <v>45536</v>
      </c>
      <c r="L322" s="154" t="s">
        <v>1293</v>
      </c>
      <c r="M322" s="155" t="s">
        <v>288</v>
      </c>
      <c r="N322" s="155" t="s">
        <v>288</v>
      </c>
      <c r="O322" s="155"/>
      <c r="P322" s="155"/>
      <c r="Q322" s="155" t="s">
        <v>289</v>
      </c>
      <c r="R322" s="155"/>
      <c r="S322" s="151" t="s">
        <v>47</v>
      </c>
      <c r="T322" s="151" t="s">
        <v>48</v>
      </c>
      <c r="U322" s="156"/>
      <c r="V322" s="151" t="s">
        <v>85</v>
      </c>
      <c r="W322" s="151" t="s">
        <v>124</v>
      </c>
      <c r="X322" s="151"/>
      <c r="Y322" s="156" t="s">
        <v>51</v>
      </c>
      <c r="Z322" s="156"/>
      <c r="AA322" s="156"/>
      <c r="AB322" s="156"/>
      <c r="AC322" s="156"/>
      <c r="AD322" s="155">
        <v>45544</v>
      </c>
      <c r="AE322" s="157"/>
      <c r="AF322" s="157"/>
      <c r="AG322" s="155"/>
      <c r="AH322" s="155"/>
      <c r="AI322" s="155"/>
      <c r="AJ322" s="158">
        <v>45529</v>
      </c>
      <c r="AK322" s="211"/>
      <c r="AL322" s="158"/>
      <c r="AM322" s="1"/>
      <c r="AN322" s="1"/>
      <c r="AO322" s="1"/>
      <c r="AP322" s="1"/>
      <c r="AQ322" s="1"/>
      <c r="AR322" s="1"/>
      <c r="AS322" s="1"/>
      <c r="AT322" s="1"/>
      <c r="AU322" s="1"/>
      <c r="AV322" s="1"/>
    </row>
    <row r="323" spans="1:48" ht="45" hidden="1" customHeight="1">
      <c r="B323" s="159" t="s">
        <v>1470</v>
      </c>
      <c r="C323" s="159" t="s">
        <v>150</v>
      </c>
      <c r="D323" s="159" t="s">
        <v>151</v>
      </c>
      <c r="E323" s="159" t="s">
        <v>1471</v>
      </c>
      <c r="F323" s="152" t="s">
        <v>40</v>
      </c>
      <c r="G323" s="152" t="s">
        <v>296</v>
      </c>
      <c r="H323" s="152" t="s">
        <v>42</v>
      </c>
      <c r="I323" s="152" t="s">
        <v>1472</v>
      </c>
      <c r="J323" s="151"/>
      <c r="K323" s="153">
        <v>45597</v>
      </c>
      <c r="L323" s="154" t="s">
        <v>45</v>
      </c>
      <c r="M323" s="155" t="s">
        <v>288</v>
      </c>
      <c r="N323" s="155" t="s">
        <v>288</v>
      </c>
      <c r="O323" s="155">
        <v>45673</v>
      </c>
      <c r="P323" s="155">
        <v>45678</v>
      </c>
      <c r="Q323" s="155" t="s">
        <v>289</v>
      </c>
      <c r="R323" s="155"/>
      <c r="S323" s="151" t="s">
        <v>47</v>
      </c>
      <c r="T323" s="151" t="s">
        <v>48</v>
      </c>
      <c r="U323" s="156" t="s">
        <v>1473</v>
      </c>
      <c r="V323" s="151" t="s">
        <v>85</v>
      </c>
      <c r="W323" s="151" t="s">
        <v>124</v>
      </c>
      <c r="X323" s="151"/>
      <c r="Y323" s="156" t="s">
        <v>714</v>
      </c>
      <c r="Z323" s="156" t="s">
        <v>132</v>
      </c>
      <c r="AA323" s="156"/>
      <c r="AB323" s="156"/>
      <c r="AC323" s="156"/>
      <c r="AD323" s="155">
        <v>45678</v>
      </c>
      <c r="AE323" s="157">
        <v>0</v>
      </c>
      <c r="AF323" s="157">
        <v>1800</v>
      </c>
      <c r="AG323" s="155">
        <v>45609</v>
      </c>
      <c r="AH323" s="155"/>
      <c r="AI323" s="155">
        <v>45677</v>
      </c>
      <c r="AJ323" s="158">
        <v>45677</v>
      </c>
      <c r="AK323" s="211"/>
      <c r="AL323" s="158"/>
      <c r="AM323" s="1"/>
    </row>
    <row r="324" spans="1:48" ht="45" hidden="1" customHeight="1">
      <c r="B324" s="159" t="s">
        <v>1523</v>
      </c>
      <c r="C324" s="159" t="s">
        <v>126</v>
      </c>
      <c r="D324" s="159" t="s">
        <v>127</v>
      </c>
      <c r="E324" s="159" t="s">
        <v>1524</v>
      </c>
      <c r="F324" s="152" t="s">
        <v>40</v>
      </c>
      <c r="G324" s="152" t="s">
        <v>287</v>
      </c>
      <c r="H324" s="152" t="s">
        <v>42</v>
      </c>
      <c r="I324" s="152">
        <v>81</v>
      </c>
      <c r="J324" s="151" t="s">
        <v>1125</v>
      </c>
      <c r="K324" s="153">
        <v>45597</v>
      </c>
      <c r="L324" s="154" t="s">
        <v>45</v>
      </c>
      <c r="M324" s="155" t="s">
        <v>288</v>
      </c>
      <c r="N324" s="155" t="s">
        <v>288</v>
      </c>
      <c r="O324" s="155">
        <v>45687</v>
      </c>
      <c r="P324" s="155">
        <v>45692</v>
      </c>
      <c r="Q324" s="155" t="s">
        <v>289</v>
      </c>
      <c r="R324" s="155"/>
      <c r="S324" s="151" t="s">
        <v>47</v>
      </c>
      <c r="T324" s="151" t="s">
        <v>48</v>
      </c>
      <c r="U324" s="156" t="s">
        <v>1525</v>
      </c>
      <c r="V324" s="151" t="s">
        <v>85</v>
      </c>
      <c r="W324" s="195" t="s">
        <v>147</v>
      </c>
      <c r="X324" s="151"/>
      <c r="Y324" s="156" t="s">
        <v>62</v>
      </c>
      <c r="Z324" s="156"/>
      <c r="AA324" s="156"/>
      <c r="AB324" s="156"/>
      <c r="AC324" s="156"/>
      <c r="AD324" s="155">
        <v>45700</v>
      </c>
      <c r="AE324" s="157">
        <v>1300</v>
      </c>
      <c r="AF324" s="157">
        <v>900</v>
      </c>
      <c r="AG324" s="155">
        <v>45627</v>
      </c>
      <c r="AH324" s="155">
        <v>45633</v>
      </c>
      <c r="AI324" s="155">
        <v>45679</v>
      </c>
      <c r="AJ324" s="158">
        <v>45694</v>
      </c>
      <c r="AK324" s="211"/>
      <c r="AL324" s="158"/>
      <c r="AM324" s="1"/>
    </row>
    <row r="325" spans="1:48" ht="45" hidden="1" customHeight="1">
      <c r="B325" s="159" t="s">
        <v>1501</v>
      </c>
      <c r="C325" s="159" t="s">
        <v>1030</v>
      </c>
      <c r="D325" s="159" t="s">
        <v>1031</v>
      </c>
      <c r="E325" s="159" t="s">
        <v>1030</v>
      </c>
      <c r="F325" s="152" t="s">
        <v>40</v>
      </c>
      <c r="G325" s="152" t="s">
        <v>287</v>
      </c>
      <c r="H325" s="152" t="s">
        <v>42</v>
      </c>
      <c r="I325" s="152" t="s">
        <v>514</v>
      </c>
      <c r="J325" s="151" t="s">
        <v>1125</v>
      </c>
      <c r="K325" s="153">
        <v>45597</v>
      </c>
      <c r="L325" s="154" t="s">
        <v>45</v>
      </c>
      <c r="M325" s="155" t="s">
        <v>288</v>
      </c>
      <c r="N325" s="155" t="s">
        <v>288</v>
      </c>
      <c r="O325" s="155">
        <v>45679</v>
      </c>
      <c r="P325" s="155">
        <v>45683</v>
      </c>
      <c r="Q325" s="155" t="s">
        <v>289</v>
      </c>
      <c r="R325" s="155"/>
      <c r="S325" s="151" t="s">
        <v>47</v>
      </c>
      <c r="T325" s="151" t="s">
        <v>48</v>
      </c>
      <c r="U325" s="156" t="s">
        <v>1502</v>
      </c>
      <c r="V325" s="151">
        <v>3</v>
      </c>
      <c r="W325" s="151" t="s">
        <v>50</v>
      </c>
      <c r="X325" s="151"/>
      <c r="Y325" s="156" t="s">
        <v>51</v>
      </c>
      <c r="Z325" s="156" t="s">
        <v>200</v>
      </c>
      <c r="AA325" s="156"/>
      <c r="AB325" s="156"/>
      <c r="AC325" s="156"/>
      <c r="AD325" s="155">
        <v>45687</v>
      </c>
      <c r="AE325" s="157">
        <v>2500</v>
      </c>
      <c r="AF325" s="157">
        <v>8100</v>
      </c>
      <c r="AG325" s="155">
        <v>45629</v>
      </c>
      <c r="AH325" s="155">
        <v>45641</v>
      </c>
      <c r="AI325" s="155">
        <v>45688</v>
      </c>
      <c r="AJ325" s="158">
        <v>45686</v>
      </c>
      <c r="AK325" s="211"/>
      <c r="AL325" s="158"/>
      <c r="AM325" s="1"/>
    </row>
    <row r="326" spans="1:48" ht="45" hidden="1" customHeight="1">
      <c r="B326" s="159" t="s">
        <v>1462</v>
      </c>
      <c r="C326" s="159" t="s">
        <v>328</v>
      </c>
      <c r="D326" s="159" t="s">
        <v>329</v>
      </c>
      <c r="E326" s="159" t="s">
        <v>1463</v>
      </c>
      <c r="F326" s="152" t="s">
        <v>40</v>
      </c>
      <c r="G326" s="152" t="s">
        <v>1464</v>
      </c>
      <c r="H326" s="152" t="s">
        <v>42</v>
      </c>
      <c r="I326" s="152" t="s">
        <v>582</v>
      </c>
      <c r="J326" s="151"/>
      <c r="K326" s="153">
        <v>45597</v>
      </c>
      <c r="L326" s="154" t="s">
        <v>45</v>
      </c>
      <c r="M326" s="155" t="s">
        <v>288</v>
      </c>
      <c r="N326" s="155" t="s">
        <v>288</v>
      </c>
      <c r="O326" s="155">
        <v>45630</v>
      </c>
      <c r="P326" s="155">
        <v>45672</v>
      </c>
      <c r="Q326" s="155" t="s">
        <v>289</v>
      </c>
      <c r="R326" s="155"/>
      <c r="S326" s="151" t="s">
        <v>47</v>
      </c>
      <c r="T326" s="151" t="s">
        <v>48</v>
      </c>
      <c r="U326" s="156" t="s">
        <v>1465</v>
      </c>
      <c r="V326" s="151" t="s">
        <v>85</v>
      </c>
      <c r="W326" s="151" t="s">
        <v>1466</v>
      </c>
      <c r="X326" s="151"/>
      <c r="Y326" s="156" t="s">
        <v>714</v>
      </c>
      <c r="Z326" s="156"/>
      <c r="AA326" s="156"/>
      <c r="AB326" s="156"/>
      <c r="AC326" s="156"/>
      <c r="AD326" s="155">
        <v>45306</v>
      </c>
      <c r="AE326" s="157">
        <v>700</v>
      </c>
      <c r="AF326" s="157">
        <v>1900</v>
      </c>
      <c r="AG326" s="155">
        <v>45630</v>
      </c>
      <c r="AH326" s="155">
        <v>45611</v>
      </c>
      <c r="AI326" s="155">
        <v>45677</v>
      </c>
      <c r="AJ326" s="158">
        <v>45672</v>
      </c>
      <c r="AK326" s="211"/>
      <c r="AL326" s="158"/>
      <c r="AM326" s="1"/>
    </row>
    <row r="327" spans="1:48" ht="45" hidden="1" customHeight="1">
      <c r="B327" s="159" t="s">
        <v>1503</v>
      </c>
      <c r="C327" s="159" t="s">
        <v>328</v>
      </c>
      <c r="D327" s="159" t="s">
        <v>329</v>
      </c>
      <c r="E327" s="159" t="s">
        <v>1504</v>
      </c>
      <c r="F327" s="152" t="s">
        <v>1505</v>
      </c>
      <c r="G327" s="152" t="s">
        <v>1506</v>
      </c>
      <c r="H327" s="152" t="s">
        <v>42</v>
      </c>
      <c r="I327" s="152" t="s">
        <v>417</v>
      </c>
      <c r="J327" s="151" t="s">
        <v>1484</v>
      </c>
      <c r="K327" s="153">
        <v>45597</v>
      </c>
      <c r="L327" s="154" t="s">
        <v>45</v>
      </c>
      <c r="M327" s="155" t="s">
        <v>288</v>
      </c>
      <c r="N327" s="155" t="s">
        <v>288</v>
      </c>
      <c r="O327" s="155">
        <v>45677</v>
      </c>
      <c r="P327" s="155">
        <v>45681</v>
      </c>
      <c r="Q327" s="155" t="s">
        <v>289</v>
      </c>
      <c r="R327" s="155"/>
      <c r="S327" s="151" t="s">
        <v>47</v>
      </c>
      <c r="T327" s="151" t="s">
        <v>48</v>
      </c>
      <c r="U327" s="156" t="s">
        <v>1507</v>
      </c>
      <c r="V327" s="151" t="s">
        <v>85</v>
      </c>
      <c r="W327" s="151" t="s">
        <v>669</v>
      </c>
      <c r="X327" s="151"/>
      <c r="Y327" s="156" t="s">
        <v>77</v>
      </c>
      <c r="Z327" s="156"/>
      <c r="AA327" s="156"/>
      <c r="AB327" s="156"/>
      <c r="AC327" s="156"/>
      <c r="AD327" s="155">
        <v>45687</v>
      </c>
      <c r="AE327" s="157">
        <v>1400</v>
      </c>
      <c r="AF327" s="157">
        <v>1000</v>
      </c>
      <c r="AG327" s="155">
        <v>45631</v>
      </c>
      <c r="AH327" s="155">
        <v>45610</v>
      </c>
      <c r="AI327" s="155">
        <v>45679</v>
      </c>
      <c r="AJ327" s="158">
        <v>45686</v>
      </c>
      <c r="AK327" s="211">
        <v>45888</v>
      </c>
      <c r="AL327" s="158"/>
      <c r="AM327" s="1"/>
    </row>
    <row r="328" spans="1:48" ht="45" hidden="1" customHeight="1">
      <c r="B328" s="159" t="s">
        <v>1508</v>
      </c>
      <c r="C328" s="159" t="s">
        <v>111</v>
      </c>
      <c r="D328" s="159" t="s">
        <v>112</v>
      </c>
      <c r="E328" s="159" t="s">
        <v>1509</v>
      </c>
      <c r="F328" s="152" t="s">
        <v>40</v>
      </c>
      <c r="G328" s="152" t="s">
        <v>1455</v>
      </c>
      <c r="H328" s="152" t="s">
        <v>42</v>
      </c>
      <c r="I328" s="152" t="s">
        <v>1510</v>
      </c>
      <c r="J328" s="151" t="s">
        <v>1125</v>
      </c>
      <c r="K328" s="153">
        <v>45627</v>
      </c>
      <c r="L328" s="154" t="s">
        <v>45</v>
      </c>
      <c r="M328" s="155" t="s">
        <v>288</v>
      </c>
      <c r="N328" s="155" t="s">
        <v>288</v>
      </c>
      <c r="O328" s="155">
        <v>45684</v>
      </c>
      <c r="P328" s="155">
        <v>45688</v>
      </c>
      <c r="Q328" s="155" t="s">
        <v>289</v>
      </c>
      <c r="R328" s="155"/>
      <c r="S328" s="151" t="s">
        <v>47</v>
      </c>
      <c r="T328" s="151" t="s">
        <v>48</v>
      </c>
      <c r="U328" s="156" t="s">
        <v>1511</v>
      </c>
      <c r="V328" s="151" t="s">
        <v>85</v>
      </c>
      <c r="W328" s="151" t="s">
        <v>1512</v>
      </c>
      <c r="X328" s="151"/>
      <c r="Y328" s="156" t="s">
        <v>1512</v>
      </c>
      <c r="Z328" s="156"/>
      <c r="AA328" s="156"/>
      <c r="AB328" s="156"/>
      <c r="AC328" s="156"/>
      <c r="AD328" s="155">
        <v>45700</v>
      </c>
      <c r="AE328" s="157">
        <v>1100</v>
      </c>
      <c r="AF328" s="157">
        <v>2500</v>
      </c>
      <c r="AG328" s="155">
        <v>45643</v>
      </c>
      <c r="AH328" s="155">
        <v>45657</v>
      </c>
      <c r="AI328" s="155">
        <v>45682</v>
      </c>
      <c r="AJ328" s="158">
        <v>45688</v>
      </c>
      <c r="AK328" s="211"/>
      <c r="AL328" s="158"/>
      <c r="AM328" s="1"/>
    </row>
    <row r="329" spans="1:48" ht="45" hidden="1" customHeight="1">
      <c r="B329" s="159" t="s">
        <v>1530</v>
      </c>
      <c r="C329" s="159" t="s">
        <v>648</v>
      </c>
      <c r="D329" s="159" t="s">
        <v>997</v>
      </c>
      <c r="E329" s="159" t="s">
        <v>1531</v>
      </c>
      <c r="F329" s="152" t="s">
        <v>40</v>
      </c>
      <c r="G329" s="152" t="s">
        <v>1532</v>
      </c>
      <c r="H329" s="152" t="s">
        <v>42</v>
      </c>
      <c r="I329" s="152" t="s">
        <v>1533</v>
      </c>
      <c r="J329" s="151" t="s">
        <v>1125</v>
      </c>
      <c r="K329" s="153">
        <v>45627</v>
      </c>
      <c r="L329" s="154" t="s">
        <v>45</v>
      </c>
      <c r="M329" s="155" t="s">
        <v>288</v>
      </c>
      <c r="N329" s="155" t="s">
        <v>288</v>
      </c>
      <c r="O329" s="155">
        <v>45678</v>
      </c>
      <c r="P329" s="155">
        <v>45694</v>
      </c>
      <c r="Q329" s="155" t="s">
        <v>289</v>
      </c>
      <c r="R329" s="155"/>
      <c r="S329" s="151" t="s">
        <v>47</v>
      </c>
      <c r="T329" s="151" t="s">
        <v>48</v>
      </c>
      <c r="U329" s="156" t="s">
        <v>1534</v>
      </c>
      <c r="V329" s="151" t="s">
        <v>85</v>
      </c>
      <c r="W329" s="195" t="s">
        <v>147</v>
      </c>
      <c r="X329" s="151"/>
      <c r="Y329" s="156" t="s">
        <v>132</v>
      </c>
      <c r="Z329" s="156"/>
      <c r="AA329" s="156"/>
      <c r="AB329" s="156"/>
      <c r="AC329" s="156"/>
      <c r="AD329" s="155">
        <v>45702</v>
      </c>
      <c r="AE329" s="157">
        <v>2000</v>
      </c>
      <c r="AF329" s="157">
        <v>3300</v>
      </c>
      <c r="AG329" s="155">
        <v>45642</v>
      </c>
      <c r="AH329" s="155">
        <v>45656</v>
      </c>
      <c r="AI329" s="155">
        <v>45701</v>
      </c>
      <c r="AJ329" s="158">
        <v>45702</v>
      </c>
      <c r="AK329" s="211"/>
      <c r="AL329" s="158"/>
      <c r="AM329" s="1"/>
    </row>
    <row r="330" spans="1:48" ht="45" hidden="1" customHeight="1">
      <c r="B330" s="159" t="s">
        <v>1516</v>
      </c>
      <c r="C330" s="159" t="s">
        <v>648</v>
      </c>
      <c r="D330" s="159" t="s">
        <v>997</v>
      </c>
      <c r="E330" s="159" t="s">
        <v>1517</v>
      </c>
      <c r="F330" s="152" t="s">
        <v>40</v>
      </c>
      <c r="G330" s="152" t="s">
        <v>301</v>
      </c>
      <c r="H330" s="152" t="s">
        <v>42</v>
      </c>
      <c r="I330" s="152" t="s">
        <v>258</v>
      </c>
      <c r="J330" s="151" t="s">
        <v>1125</v>
      </c>
      <c r="K330" s="153">
        <v>45627</v>
      </c>
      <c r="L330" s="154" t="s">
        <v>45</v>
      </c>
      <c r="M330" s="155" t="s">
        <v>288</v>
      </c>
      <c r="N330" s="155" t="s">
        <v>288</v>
      </c>
      <c r="O330" s="155">
        <v>45311</v>
      </c>
      <c r="P330" s="155">
        <v>45692</v>
      </c>
      <c r="Q330" s="155" t="s">
        <v>289</v>
      </c>
      <c r="R330" s="155"/>
      <c r="S330" s="151" t="s">
        <v>47</v>
      </c>
      <c r="T330" s="151" t="s">
        <v>48</v>
      </c>
      <c r="U330" s="156" t="s">
        <v>1518</v>
      </c>
      <c r="V330" s="151" t="s">
        <v>85</v>
      </c>
      <c r="W330" s="151" t="s">
        <v>1460</v>
      </c>
      <c r="X330" s="151"/>
      <c r="Y330" s="156" t="s">
        <v>132</v>
      </c>
      <c r="Z330" s="156"/>
      <c r="AA330" s="156"/>
      <c r="AB330" s="156"/>
      <c r="AC330" s="156"/>
      <c r="AD330" s="155">
        <v>45700</v>
      </c>
      <c r="AE330" s="157">
        <v>900</v>
      </c>
      <c r="AF330" s="157">
        <v>2500</v>
      </c>
      <c r="AG330" s="155">
        <v>45643</v>
      </c>
      <c r="AH330" s="155">
        <v>45657</v>
      </c>
      <c r="AI330" s="155">
        <v>45688</v>
      </c>
      <c r="AJ330" s="158">
        <v>45692</v>
      </c>
      <c r="AK330" s="211"/>
      <c r="AL330" s="158"/>
      <c r="AM330" s="1"/>
    </row>
    <row r="331" spans="1:48" ht="45" hidden="1" customHeight="1">
      <c r="A331" s="1"/>
      <c r="B331" s="159" t="s">
        <v>1479</v>
      </c>
      <c r="C331" s="159" t="s">
        <v>648</v>
      </c>
      <c r="D331" s="159" t="s">
        <v>997</v>
      </c>
      <c r="E331" s="159" t="s">
        <v>1480</v>
      </c>
      <c r="F331" s="152" t="s">
        <v>40</v>
      </c>
      <c r="G331" s="152" t="s">
        <v>287</v>
      </c>
      <c r="H331" s="152" t="s">
        <v>42</v>
      </c>
      <c r="I331" s="152" t="s">
        <v>1145</v>
      </c>
      <c r="J331" s="151" t="s">
        <v>1125</v>
      </c>
      <c r="K331" s="153">
        <v>45627</v>
      </c>
      <c r="L331" s="154" t="s">
        <v>45</v>
      </c>
      <c r="M331" s="155" t="s">
        <v>288</v>
      </c>
      <c r="N331" s="155" t="s">
        <v>288</v>
      </c>
      <c r="O331" s="155">
        <v>45649</v>
      </c>
      <c r="P331" s="155">
        <v>45679</v>
      </c>
      <c r="Q331" s="155" t="s">
        <v>289</v>
      </c>
      <c r="R331" s="155"/>
      <c r="S331" s="151" t="s">
        <v>47</v>
      </c>
      <c r="T331" s="151" t="s">
        <v>48</v>
      </c>
      <c r="U331" s="156" t="s">
        <v>1481</v>
      </c>
      <c r="V331" s="151" t="s">
        <v>85</v>
      </c>
      <c r="W331" s="195" t="s">
        <v>147</v>
      </c>
      <c r="X331" s="151"/>
      <c r="Y331" s="156" t="s">
        <v>200</v>
      </c>
      <c r="Z331" s="156"/>
      <c r="AA331" s="156"/>
      <c r="AB331" s="156"/>
      <c r="AC331" s="156"/>
      <c r="AD331" s="155">
        <v>45679</v>
      </c>
      <c r="AE331" s="157">
        <v>1100</v>
      </c>
      <c r="AF331" s="157">
        <v>3500</v>
      </c>
      <c r="AG331" s="155">
        <v>45643</v>
      </c>
      <c r="AH331" s="155">
        <v>45657</v>
      </c>
      <c r="AI331" s="155">
        <v>45677</v>
      </c>
      <c r="AJ331" s="158">
        <v>45678</v>
      </c>
      <c r="AK331" s="211"/>
      <c r="AL331" s="158"/>
      <c r="AM331" s="1"/>
      <c r="AN331" s="1"/>
      <c r="AO331" s="1"/>
      <c r="AP331" s="1"/>
      <c r="AQ331" s="1"/>
      <c r="AR331" s="1"/>
      <c r="AS331" s="1"/>
      <c r="AT331" s="1"/>
      <c r="AU331" s="1"/>
      <c r="AV331" s="1"/>
    </row>
    <row r="332" spans="1:48" ht="45" hidden="1" customHeight="1">
      <c r="B332" s="159" t="s">
        <v>1453</v>
      </c>
      <c r="C332" s="159" t="s">
        <v>111</v>
      </c>
      <c r="D332" s="159" t="s">
        <v>112</v>
      </c>
      <c r="E332" s="159" t="s">
        <v>1454</v>
      </c>
      <c r="F332" s="152"/>
      <c r="G332" s="152" t="s">
        <v>1455</v>
      </c>
      <c r="H332" s="152" t="s">
        <v>42</v>
      </c>
      <c r="I332" s="152">
        <v>91</v>
      </c>
      <c r="J332" s="151"/>
      <c r="K332" s="153">
        <v>45627</v>
      </c>
      <c r="L332" s="154" t="s">
        <v>45</v>
      </c>
      <c r="M332" s="155" t="s">
        <v>288</v>
      </c>
      <c r="N332" s="155" t="s">
        <v>288</v>
      </c>
      <c r="O332" s="155"/>
      <c r="P332" s="155"/>
      <c r="Q332" s="155" t="s">
        <v>289</v>
      </c>
      <c r="R332" s="155"/>
      <c r="S332" s="151" t="s">
        <v>47</v>
      </c>
      <c r="T332" s="151" t="s">
        <v>48</v>
      </c>
      <c r="U332" s="156" t="s">
        <v>1456</v>
      </c>
      <c r="V332" s="151" t="s">
        <v>85</v>
      </c>
      <c r="W332" s="151" t="s">
        <v>200</v>
      </c>
      <c r="X332" s="151"/>
      <c r="Y332" s="156" t="s">
        <v>200</v>
      </c>
      <c r="Z332" s="156"/>
      <c r="AA332" s="156"/>
      <c r="AB332" s="156"/>
      <c r="AC332" s="156"/>
      <c r="AD332" s="155">
        <v>45649</v>
      </c>
      <c r="AE332" s="157">
        <v>700</v>
      </c>
      <c r="AF332" s="157">
        <v>800</v>
      </c>
      <c r="AG332" s="155">
        <v>45642</v>
      </c>
      <c r="AH332" s="155">
        <v>45649</v>
      </c>
      <c r="AI332" s="155"/>
      <c r="AJ332" s="158">
        <v>45641</v>
      </c>
      <c r="AK332" s="211"/>
      <c r="AL332" s="158"/>
      <c r="AM332" s="1"/>
    </row>
    <row r="333" spans="1:48" ht="45" hidden="1" customHeight="1">
      <c r="A333" s="1"/>
      <c r="B333" s="159" t="s">
        <v>1457</v>
      </c>
      <c r="C333" s="159" t="s">
        <v>425</v>
      </c>
      <c r="D333" s="218" t="s">
        <v>6858</v>
      </c>
      <c r="E333" s="159" t="s">
        <v>1458</v>
      </c>
      <c r="F333" s="152"/>
      <c r="G333" s="152" t="s">
        <v>287</v>
      </c>
      <c r="H333" s="152" t="s">
        <v>427</v>
      </c>
      <c r="I333" s="152">
        <v>81</v>
      </c>
      <c r="J333" s="151"/>
      <c r="K333" s="153">
        <v>45627</v>
      </c>
      <c r="L333" s="154" t="s">
        <v>45</v>
      </c>
      <c r="M333" s="155" t="s">
        <v>288</v>
      </c>
      <c r="N333" s="155" t="s">
        <v>288</v>
      </c>
      <c r="O333" s="155">
        <v>45644</v>
      </c>
      <c r="P333" s="155">
        <v>45647</v>
      </c>
      <c r="Q333" s="155" t="s">
        <v>289</v>
      </c>
      <c r="R333" s="155"/>
      <c r="S333" s="151" t="s">
        <v>47</v>
      </c>
      <c r="T333" s="151" t="s">
        <v>48</v>
      </c>
      <c r="U333" s="156" t="s">
        <v>1459</v>
      </c>
      <c r="V333" s="151" t="s">
        <v>85</v>
      </c>
      <c r="W333" s="151" t="s">
        <v>1460</v>
      </c>
      <c r="X333" s="151"/>
      <c r="Y333" s="156" t="s">
        <v>51</v>
      </c>
      <c r="Z333" s="156"/>
      <c r="AA333" s="156"/>
      <c r="AB333" s="156"/>
      <c r="AC333" s="156"/>
      <c r="AD333" s="155" t="s">
        <v>1461</v>
      </c>
      <c r="AE333" s="157">
        <v>1600</v>
      </c>
      <c r="AF333" s="157">
        <v>300</v>
      </c>
      <c r="AG333" s="155">
        <v>45643</v>
      </c>
      <c r="AH333" s="155">
        <v>45649</v>
      </c>
      <c r="AI333" s="155"/>
      <c r="AJ333" s="158">
        <v>45647</v>
      </c>
      <c r="AK333" s="211"/>
      <c r="AL333" s="158"/>
      <c r="AM333" s="1"/>
      <c r="AN333" s="1"/>
      <c r="AO333" s="1"/>
      <c r="AP333" s="1"/>
      <c r="AQ333" s="1"/>
      <c r="AR333" s="1"/>
      <c r="AS333" s="1"/>
      <c r="AT333" s="1"/>
      <c r="AU333" s="1"/>
      <c r="AV333" s="1"/>
    </row>
    <row r="334" spans="1:48" ht="45" hidden="1" customHeight="1">
      <c r="B334" s="159" t="s">
        <v>1513</v>
      </c>
      <c r="C334" s="159" t="s">
        <v>267</v>
      </c>
      <c r="D334" s="159" t="s">
        <v>268</v>
      </c>
      <c r="E334" s="159" t="s">
        <v>1514</v>
      </c>
      <c r="F334" s="152" t="s">
        <v>40</v>
      </c>
      <c r="G334" s="152" t="s">
        <v>107</v>
      </c>
      <c r="H334" s="152" t="s">
        <v>42</v>
      </c>
      <c r="I334" s="152">
        <v>14</v>
      </c>
      <c r="J334" s="151" t="s">
        <v>1125</v>
      </c>
      <c r="K334" s="153">
        <v>45658</v>
      </c>
      <c r="L334" s="154" t="s">
        <v>45</v>
      </c>
      <c r="M334" s="155" t="s">
        <v>288</v>
      </c>
      <c r="N334" s="155" t="s">
        <v>288</v>
      </c>
      <c r="O334" s="155">
        <v>45666</v>
      </c>
      <c r="P334" s="155">
        <v>45688</v>
      </c>
      <c r="Q334" s="155" t="s">
        <v>289</v>
      </c>
      <c r="R334" s="155"/>
      <c r="S334" s="151" t="s">
        <v>47</v>
      </c>
      <c r="T334" s="151" t="s">
        <v>48</v>
      </c>
      <c r="U334" s="156" t="s">
        <v>1515</v>
      </c>
      <c r="V334" s="151" t="s">
        <v>85</v>
      </c>
      <c r="W334" s="195" t="s">
        <v>147</v>
      </c>
      <c r="X334" s="151" t="s">
        <v>76</v>
      </c>
      <c r="Y334" s="156" t="s">
        <v>132</v>
      </c>
      <c r="Z334" s="156" t="s">
        <v>62</v>
      </c>
      <c r="AA334" s="156"/>
      <c r="AB334" s="156"/>
      <c r="AC334" s="156"/>
      <c r="AD334" s="155">
        <v>45700</v>
      </c>
      <c r="AE334" s="157">
        <v>400</v>
      </c>
      <c r="AF334" s="157">
        <v>2100</v>
      </c>
      <c r="AG334" s="155">
        <v>45666</v>
      </c>
      <c r="AH334" s="155">
        <v>45686</v>
      </c>
      <c r="AI334" s="155"/>
      <c r="AJ334" s="158">
        <v>45688</v>
      </c>
      <c r="AK334" s="211">
        <v>45700</v>
      </c>
      <c r="AL334" s="158"/>
      <c r="AM334" s="1"/>
    </row>
    <row r="335" spans="1:48" ht="45" hidden="1" customHeight="1">
      <c r="A335" s="1"/>
      <c r="B335" s="159" t="s">
        <v>1474</v>
      </c>
      <c r="C335" s="159" t="s">
        <v>111</v>
      </c>
      <c r="D335" s="159" t="s">
        <v>112</v>
      </c>
      <c r="E335" s="159" t="s">
        <v>1475</v>
      </c>
      <c r="F335" s="152" t="s">
        <v>40</v>
      </c>
      <c r="G335" s="152" t="s">
        <v>1476</v>
      </c>
      <c r="H335" s="152" t="s">
        <v>42</v>
      </c>
      <c r="I335" s="152">
        <v>21</v>
      </c>
      <c r="J335" s="151" t="s">
        <v>1125</v>
      </c>
      <c r="K335" s="153">
        <v>45658</v>
      </c>
      <c r="L335" s="154" t="s">
        <v>45</v>
      </c>
      <c r="M335" s="155" t="s">
        <v>288</v>
      </c>
      <c r="N335" s="155" t="s">
        <v>288</v>
      </c>
      <c r="O335" s="155">
        <v>45674</v>
      </c>
      <c r="P335" s="155">
        <v>45678</v>
      </c>
      <c r="Q335" s="155" t="s">
        <v>289</v>
      </c>
      <c r="R335" s="155"/>
      <c r="S335" s="151" t="s">
        <v>47</v>
      </c>
      <c r="T335" s="151" t="s">
        <v>48</v>
      </c>
      <c r="U335" s="156" t="s">
        <v>1477</v>
      </c>
      <c r="V335" s="151" t="s">
        <v>85</v>
      </c>
      <c r="W335" s="151" t="s">
        <v>669</v>
      </c>
      <c r="X335" s="151"/>
      <c r="Y335" s="156" t="s">
        <v>1478</v>
      </c>
      <c r="Z335" s="156"/>
      <c r="AA335" s="156"/>
      <c r="AB335" s="156"/>
      <c r="AC335" s="156"/>
      <c r="AD335" s="155">
        <v>45679</v>
      </c>
      <c r="AE335" s="157">
        <v>600</v>
      </c>
      <c r="AF335" s="157">
        <v>500</v>
      </c>
      <c r="AG335" s="155">
        <v>45670</v>
      </c>
      <c r="AH335" s="155">
        <v>45687</v>
      </c>
      <c r="AI335" s="155"/>
      <c r="AJ335" s="158">
        <v>45678</v>
      </c>
      <c r="AK335" s="211"/>
      <c r="AL335" s="158"/>
      <c r="AM335" s="1"/>
      <c r="AN335" s="1"/>
      <c r="AO335" s="1"/>
      <c r="AP335" s="1"/>
      <c r="AQ335" s="1"/>
      <c r="AR335" s="1"/>
      <c r="AS335" s="1"/>
      <c r="AT335" s="1"/>
      <c r="AU335" s="1"/>
      <c r="AV335" s="1"/>
    </row>
    <row r="336" spans="1:48" ht="45" hidden="1" customHeight="1">
      <c r="B336" s="159" t="s">
        <v>1526</v>
      </c>
      <c r="C336" s="159" t="s">
        <v>315</v>
      </c>
      <c r="D336" s="159" t="s">
        <v>316</v>
      </c>
      <c r="E336" s="159" t="s">
        <v>1527</v>
      </c>
      <c r="F336" s="152" t="s">
        <v>40</v>
      </c>
      <c r="G336" s="152" t="s">
        <v>287</v>
      </c>
      <c r="H336" s="152" t="s">
        <v>42</v>
      </c>
      <c r="I336" s="152">
        <v>91</v>
      </c>
      <c r="J336" s="151" t="s">
        <v>1125</v>
      </c>
      <c r="K336" s="153">
        <v>45658</v>
      </c>
      <c r="L336" s="154" t="s">
        <v>45</v>
      </c>
      <c r="M336" s="155" t="s">
        <v>288</v>
      </c>
      <c r="N336" s="155" t="s">
        <v>288</v>
      </c>
      <c r="O336" s="155">
        <v>45687</v>
      </c>
      <c r="P336" s="155">
        <v>45702</v>
      </c>
      <c r="Q336" s="155" t="s">
        <v>289</v>
      </c>
      <c r="R336" s="155"/>
      <c r="S336" s="151" t="s">
        <v>47</v>
      </c>
      <c r="T336" s="151" t="s">
        <v>48</v>
      </c>
      <c r="U336" s="156" t="s">
        <v>1528</v>
      </c>
      <c r="V336" s="151" t="s">
        <v>85</v>
      </c>
      <c r="W336" s="151" t="s">
        <v>669</v>
      </c>
      <c r="X336" s="151"/>
      <c r="Y336" s="156" t="s">
        <v>62</v>
      </c>
      <c r="Z336" s="156"/>
      <c r="AA336" s="156"/>
      <c r="AB336" s="156"/>
      <c r="AC336" s="156"/>
      <c r="AD336" s="155">
        <v>45702</v>
      </c>
      <c r="AE336" s="157">
        <v>700</v>
      </c>
      <c r="AF336" s="157">
        <v>3700</v>
      </c>
      <c r="AG336" s="155" t="s">
        <v>1529</v>
      </c>
      <c r="AH336" s="155">
        <v>45687</v>
      </c>
      <c r="AI336" s="155">
        <v>45703</v>
      </c>
      <c r="AJ336" s="158">
        <v>45702</v>
      </c>
      <c r="AK336" s="211"/>
      <c r="AL336" s="158"/>
      <c r="AM336" s="1"/>
    </row>
    <row r="337" spans="1:48" ht="45" hidden="1" customHeight="1">
      <c r="B337" s="159" t="s">
        <v>1550</v>
      </c>
      <c r="C337" s="159" t="s">
        <v>425</v>
      </c>
      <c r="D337" s="159" t="s">
        <v>1551</v>
      </c>
      <c r="E337" s="159" t="s">
        <v>1552</v>
      </c>
      <c r="F337" s="152" t="s">
        <v>1553</v>
      </c>
      <c r="G337" s="152" t="s">
        <v>391</v>
      </c>
      <c r="H337" s="152" t="s">
        <v>42</v>
      </c>
      <c r="I337" s="152">
        <v>353</v>
      </c>
      <c r="J337" s="151" t="s">
        <v>1125</v>
      </c>
      <c r="K337" s="153">
        <v>45658</v>
      </c>
      <c r="L337" s="154" t="s">
        <v>45</v>
      </c>
      <c r="M337" s="155"/>
      <c r="N337" s="155"/>
      <c r="O337" s="155">
        <v>45678</v>
      </c>
      <c r="P337" s="155">
        <v>45678</v>
      </c>
      <c r="Q337" s="155"/>
      <c r="R337" s="155"/>
      <c r="S337" s="151" t="s">
        <v>47</v>
      </c>
      <c r="T337" s="151" t="s">
        <v>48</v>
      </c>
      <c r="U337" s="156" t="s">
        <v>1554</v>
      </c>
      <c r="V337" s="151"/>
      <c r="W337" s="151" t="s">
        <v>76</v>
      </c>
      <c r="X337" s="151"/>
      <c r="Y337" s="156" t="s">
        <v>1478</v>
      </c>
      <c r="Z337" s="156"/>
      <c r="AA337" s="156"/>
      <c r="AB337" s="156"/>
      <c r="AC337" s="156"/>
      <c r="AD337" s="155">
        <v>45826</v>
      </c>
      <c r="AE337" s="157">
        <v>500</v>
      </c>
      <c r="AF337" s="157">
        <v>800</v>
      </c>
      <c r="AG337" s="155">
        <v>45678</v>
      </c>
      <c r="AH337" s="155">
        <v>45682</v>
      </c>
      <c r="AI337" s="155"/>
      <c r="AJ337" s="158">
        <v>45714</v>
      </c>
      <c r="AK337" s="211"/>
      <c r="AL337" s="158"/>
      <c r="AM337" s="1"/>
    </row>
    <row r="338" spans="1:48" ht="45" hidden="1" customHeight="1">
      <c r="B338" s="159" t="s">
        <v>1546</v>
      </c>
      <c r="C338" s="159" t="s">
        <v>203</v>
      </c>
      <c r="D338" s="159" t="s">
        <v>204</v>
      </c>
      <c r="E338" s="159" t="s">
        <v>1547</v>
      </c>
      <c r="F338" s="152" t="s">
        <v>40</v>
      </c>
      <c r="G338" s="152" t="s">
        <v>296</v>
      </c>
      <c r="H338" s="152" t="s">
        <v>42</v>
      </c>
      <c r="I338" s="152" t="s">
        <v>1548</v>
      </c>
      <c r="J338" s="151" t="s">
        <v>1125</v>
      </c>
      <c r="K338" s="153">
        <v>45658</v>
      </c>
      <c r="L338" s="154" t="s">
        <v>45</v>
      </c>
      <c r="M338" s="155" t="s">
        <v>288</v>
      </c>
      <c r="N338" s="155" t="s">
        <v>288</v>
      </c>
      <c r="O338" s="155">
        <v>45679</v>
      </c>
      <c r="P338" s="155">
        <v>45708</v>
      </c>
      <c r="Q338" s="155" t="s">
        <v>289</v>
      </c>
      <c r="R338" s="155"/>
      <c r="S338" s="151" t="s">
        <v>47</v>
      </c>
      <c r="T338" s="151" t="s">
        <v>48</v>
      </c>
      <c r="U338" s="156" t="s">
        <v>1549</v>
      </c>
      <c r="V338" s="151" t="s">
        <v>85</v>
      </c>
      <c r="W338" s="151" t="s">
        <v>50</v>
      </c>
      <c r="X338" s="151" t="s">
        <v>147</v>
      </c>
      <c r="Y338" s="156" t="s">
        <v>77</v>
      </c>
      <c r="Z338" s="156"/>
      <c r="AA338" s="156"/>
      <c r="AB338" s="156"/>
      <c r="AC338" s="156"/>
      <c r="AD338" s="155">
        <v>45708</v>
      </c>
      <c r="AE338" s="157">
        <v>2500</v>
      </c>
      <c r="AF338" s="157">
        <v>11600</v>
      </c>
      <c r="AG338" s="155">
        <v>45679</v>
      </c>
      <c r="AH338" s="155">
        <v>45716</v>
      </c>
      <c r="AI338" s="155">
        <v>45708</v>
      </c>
      <c r="AJ338" s="158">
        <v>45708</v>
      </c>
      <c r="AK338" s="211"/>
      <c r="AL338" s="158"/>
      <c r="AM338" s="1"/>
    </row>
    <row r="339" spans="1:48" ht="45" hidden="1" customHeight="1">
      <c r="A339" s="1"/>
      <c r="B339" s="159" t="s">
        <v>1535</v>
      </c>
      <c r="C339" s="159" t="s">
        <v>1246</v>
      </c>
      <c r="D339" s="159" t="s">
        <v>1247</v>
      </c>
      <c r="E339" s="159" t="s">
        <v>1536</v>
      </c>
      <c r="F339" s="152"/>
      <c r="G339" s="152" t="s">
        <v>301</v>
      </c>
      <c r="H339" s="152" t="s">
        <v>740</v>
      </c>
      <c r="I339" s="152" t="s">
        <v>346</v>
      </c>
      <c r="J339" s="151"/>
      <c r="K339" s="153">
        <v>45658</v>
      </c>
      <c r="L339" s="154" t="s">
        <v>45</v>
      </c>
      <c r="M339" s="155" t="s">
        <v>288</v>
      </c>
      <c r="N339" s="155" t="s">
        <v>288</v>
      </c>
      <c r="O339" s="155">
        <v>45700</v>
      </c>
      <c r="P339" s="155">
        <v>45707</v>
      </c>
      <c r="Q339" s="155" t="s">
        <v>289</v>
      </c>
      <c r="R339" s="155"/>
      <c r="S339" s="151" t="s">
        <v>47</v>
      </c>
      <c r="T339" s="151" t="s">
        <v>48</v>
      </c>
      <c r="U339" s="156" t="s">
        <v>1537</v>
      </c>
      <c r="V339" s="151" t="s">
        <v>85</v>
      </c>
      <c r="W339" s="151" t="s">
        <v>1478</v>
      </c>
      <c r="X339" s="151"/>
      <c r="Y339" s="151" t="s">
        <v>1478</v>
      </c>
      <c r="Z339" s="156"/>
      <c r="AA339" s="156"/>
      <c r="AB339" s="156"/>
      <c r="AC339" s="156"/>
      <c r="AD339" s="155">
        <v>45708</v>
      </c>
      <c r="AE339" s="157">
        <v>3700</v>
      </c>
      <c r="AF339" s="157">
        <v>4400</v>
      </c>
      <c r="AG339" s="155">
        <v>45685</v>
      </c>
      <c r="AH339" s="155">
        <v>45709</v>
      </c>
      <c r="AI339" s="155"/>
      <c r="AJ339" s="158">
        <v>45707</v>
      </c>
      <c r="AK339" s="211"/>
      <c r="AL339" s="158"/>
      <c r="AM339" s="1"/>
      <c r="AN339" s="1"/>
      <c r="AO339" s="1"/>
      <c r="AP339" s="1"/>
      <c r="AQ339" s="1"/>
      <c r="AR339" s="1"/>
      <c r="AS339" s="1"/>
      <c r="AT339" s="1"/>
      <c r="AU339" s="1"/>
      <c r="AV339" s="1"/>
    </row>
    <row r="340" spans="1:48" ht="45" hidden="1" customHeight="1">
      <c r="B340" s="159" t="s">
        <v>1560</v>
      </c>
      <c r="C340" s="159" t="s">
        <v>150</v>
      </c>
      <c r="D340" s="159" t="s">
        <v>151</v>
      </c>
      <c r="E340" s="159" t="s">
        <v>1561</v>
      </c>
      <c r="F340" s="152"/>
      <c r="G340" s="152" t="s">
        <v>296</v>
      </c>
      <c r="H340" s="152" t="s">
        <v>42</v>
      </c>
      <c r="I340" s="152" t="s">
        <v>1562</v>
      </c>
      <c r="J340" s="151" t="s">
        <v>1125</v>
      </c>
      <c r="K340" s="153">
        <v>45658</v>
      </c>
      <c r="L340" s="154" t="s">
        <v>45</v>
      </c>
      <c r="M340" s="155" t="s">
        <v>288</v>
      </c>
      <c r="N340" s="155" t="s">
        <v>288</v>
      </c>
      <c r="O340" s="155">
        <v>45715</v>
      </c>
      <c r="P340" s="155">
        <v>45729</v>
      </c>
      <c r="Q340" s="155" t="s">
        <v>289</v>
      </c>
      <c r="R340" s="155"/>
      <c r="S340" s="151" t="s">
        <v>47</v>
      </c>
      <c r="T340" s="151" t="s">
        <v>48</v>
      </c>
      <c r="U340" s="156" t="s">
        <v>1563</v>
      </c>
      <c r="V340" s="151" t="s">
        <v>85</v>
      </c>
      <c r="W340" s="151" t="s">
        <v>124</v>
      </c>
      <c r="X340" s="151"/>
      <c r="Y340" s="156" t="s">
        <v>132</v>
      </c>
      <c r="Z340" s="156"/>
      <c r="AA340" s="156"/>
      <c r="AB340" s="156"/>
      <c r="AC340" s="156"/>
      <c r="AD340" s="155">
        <v>45734</v>
      </c>
      <c r="AE340" s="157">
        <v>2200</v>
      </c>
      <c r="AF340" s="157">
        <v>5200</v>
      </c>
      <c r="AG340" s="155">
        <v>45678</v>
      </c>
      <c r="AH340" s="155">
        <v>45687</v>
      </c>
      <c r="AI340" s="155">
        <v>45716</v>
      </c>
      <c r="AJ340" s="158">
        <v>45729</v>
      </c>
      <c r="AK340" s="211"/>
      <c r="AL340" s="158"/>
      <c r="AM340" s="1"/>
    </row>
    <row r="341" spans="1:48" ht="45" hidden="1" customHeight="1">
      <c r="B341" s="159" t="s">
        <v>1519</v>
      </c>
      <c r="C341" s="159" t="s">
        <v>1112</v>
      </c>
      <c r="D341" s="159" t="s">
        <v>1113</v>
      </c>
      <c r="E341" s="159" t="s">
        <v>1520</v>
      </c>
      <c r="F341" s="152" t="s">
        <v>40</v>
      </c>
      <c r="G341" s="152" t="s">
        <v>446</v>
      </c>
      <c r="H341" s="152" t="s">
        <v>747</v>
      </c>
      <c r="I341" s="152">
        <v>32</v>
      </c>
      <c r="J341" s="151"/>
      <c r="K341" s="153">
        <v>45658</v>
      </c>
      <c r="L341" s="154" t="s">
        <v>45</v>
      </c>
      <c r="M341" s="155"/>
      <c r="N341" s="155"/>
      <c r="O341" s="155">
        <v>45694</v>
      </c>
      <c r="P341" s="155">
        <v>45694</v>
      </c>
      <c r="Q341" s="155" t="s">
        <v>289</v>
      </c>
      <c r="R341" s="155"/>
      <c r="S341" s="151" t="s">
        <v>47</v>
      </c>
      <c r="T341" s="151" t="s">
        <v>48</v>
      </c>
      <c r="U341" s="156" t="s">
        <v>1521</v>
      </c>
      <c r="V341" s="151" t="s">
        <v>85</v>
      </c>
      <c r="W341" s="151" t="s">
        <v>1522</v>
      </c>
      <c r="X341" s="151"/>
      <c r="Y341" s="156" t="s">
        <v>200</v>
      </c>
      <c r="Z341" s="156"/>
      <c r="AA341" s="156"/>
      <c r="AB341" s="156"/>
      <c r="AC341" s="156"/>
      <c r="AD341" s="155" t="s">
        <v>1461</v>
      </c>
      <c r="AE341" s="157">
        <v>2100</v>
      </c>
      <c r="AF341" s="157">
        <v>1000</v>
      </c>
      <c r="AG341" s="155">
        <v>45681</v>
      </c>
      <c r="AH341" s="155">
        <v>45685</v>
      </c>
      <c r="AI341" s="155"/>
      <c r="AJ341" s="158">
        <v>45694</v>
      </c>
      <c r="AK341" s="211"/>
      <c r="AL341" s="158"/>
      <c r="AM341" s="1"/>
    </row>
    <row r="342" spans="1:48" ht="45" hidden="1" customHeight="1">
      <c r="A342" s="1"/>
      <c r="B342" s="159" t="s">
        <v>1538</v>
      </c>
      <c r="C342" s="159" t="s">
        <v>1030</v>
      </c>
      <c r="D342" s="159" t="s">
        <v>1031</v>
      </c>
      <c r="E342" s="159" t="s">
        <v>1539</v>
      </c>
      <c r="F342" s="152"/>
      <c r="G342" s="152" t="s">
        <v>308</v>
      </c>
      <c r="H342" s="152" t="s">
        <v>42</v>
      </c>
      <c r="I342" s="152" t="s">
        <v>1540</v>
      </c>
      <c r="J342" s="151"/>
      <c r="K342" s="153">
        <v>45658</v>
      </c>
      <c r="L342" s="154" t="s">
        <v>45</v>
      </c>
      <c r="M342" s="155" t="s">
        <v>288</v>
      </c>
      <c r="N342" s="155" t="s">
        <v>288</v>
      </c>
      <c r="O342" s="155">
        <v>45705</v>
      </c>
      <c r="P342" s="155">
        <v>45708</v>
      </c>
      <c r="Q342" s="155" t="s">
        <v>289</v>
      </c>
      <c r="R342" s="155"/>
      <c r="S342" s="151" t="s">
        <v>47</v>
      </c>
      <c r="T342" s="151" t="s">
        <v>48</v>
      </c>
      <c r="U342" s="156" t="s">
        <v>1541</v>
      </c>
      <c r="V342" s="151" t="s">
        <v>85</v>
      </c>
      <c r="W342" s="151" t="s">
        <v>76</v>
      </c>
      <c r="X342" s="151"/>
      <c r="Y342" s="156" t="s">
        <v>132</v>
      </c>
      <c r="Z342" s="156"/>
      <c r="AA342" s="156"/>
      <c r="AB342" s="156"/>
      <c r="AC342" s="156"/>
      <c r="AD342" s="155">
        <v>45708</v>
      </c>
      <c r="AE342" s="157">
        <v>2100</v>
      </c>
      <c r="AF342" s="157">
        <v>4200</v>
      </c>
      <c r="AG342" s="155">
        <v>45684</v>
      </c>
      <c r="AH342" s="155">
        <v>45703</v>
      </c>
      <c r="AI342" s="155">
        <v>45709</v>
      </c>
      <c r="AJ342" s="158">
        <v>45708</v>
      </c>
      <c r="AK342" s="211"/>
      <c r="AL342" s="158"/>
      <c r="AM342" s="1"/>
      <c r="AN342" s="1"/>
      <c r="AO342" s="1"/>
      <c r="AP342" s="1"/>
      <c r="AQ342" s="1"/>
      <c r="AR342" s="1"/>
      <c r="AS342" s="1"/>
      <c r="AT342" s="1"/>
      <c r="AU342" s="1"/>
      <c r="AV342" s="1"/>
    </row>
    <row r="343" spans="1:48" ht="45" hidden="1" customHeight="1">
      <c r="B343" s="159" t="s">
        <v>1567</v>
      </c>
      <c r="C343" s="159" t="s">
        <v>600</v>
      </c>
      <c r="D343" s="159" t="s">
        <v>601</v>
      </c>
      <c r="E343" s="159" t="s">
        <v>1568</v>
      </c>
      <c r="F343" s="152"/>
      <c r="G343" s="152" t="s">
        <v>296</v>
      </c>
      <c r="H343" s="152" t="s">
        <v>42</v>
      </c>
      <c r="I343" s="152" t="s">
        <v>1540</v>
      </c>
      <c r="J343" s="151"/>
      <c r="K343" s="153">
        <v>45658</v>
      </c>
      <c r="L343" s="154" t="s">
        <v>45</v>
      </c>
      <c r="M343" s="155" t="s">
        <v>288</v>
      </c>
      <c r="N343" s="155" t="s">
        <v>288</v>
      </c>
      <c r="O343" s="155"/>
      <c r="P343" s="155">
        <v>45735</v>
      </c>
      <c r="Q343" s="155" t="s">
        <v>289</v>
      </c>
      <c r="R343" s="155"/>
      <c r="S343" s="151" t="s">
        <v>47</v>
      </c>
      <c r="T343" s="151" t="s">
        <v>48</v>
      </c>
      <c r="U343" s="156" t="s">
        <v>1569</v>
      </c>
      <c r="V343" s="151" t="s">
        <v>85</v>
      </c>
      <c r="W343" s="151" t="s">
        <v>76</v>
      </c>
      <c r="X343" s="151"/>
      <c r="Y343" s="156" t="s">
        <v>1570</v>
      </c>
      <c r="Z343" s="156"/>
      <c r="AA343" s="156"/>
      <c r="AB343" s="156"/>
      <c r="AC343" s="156"/>
      <c r="AD343" s="155">
        <v>45739</v>
      </c>
      <c r="AE343" s="157">
        <v>1700</v>
      </c>
      <c r="AF343" s="157">
        <v>1200</v>
      </c>
      <c r="AG343" s="155">
        <v>45695</v>
      </c>
      <c r="AH343" s="155">
        <v>45709</v>
      </c>
      <c r="AI343" s="155">
        <v>45736</v>
      </c>
      <c r="AJ343" s="158">
        <v>45735</v>
      </c>
      <c r="AK343" s="211"/>
      <c r="AL343" s="158"/>
      <c r="AM343" s="1"/>
    </row>
    <row r="344" spans="1:48" ht="45" hidden="1" customHeight="1">
      <c r="B344" s="159" t="s">
        <v>1542</v>
      </c>
      <c r="C344" s="159" t="s">
        <v>600</v>
      </c>
      <c r="D344" s="159" t="s">
        <v>601</v>
      </c>
      <c r="E344" s="159" t="s">
        <v>1543</v>
      </c>
      <c r="F344" s="152"/>
      <c r="G344" s="152" t="s">
        <v>296</v>
      </c>
      <c r="H344" s="152" t="s">
        <v>42</v>
      </c>
      <c r="I344" s="152" t="s">
        <v>1416</v>
      </c>
      <c r="J344" s="151"/>
      <c r="K344" s="153">
        <v>45658</v>
      </c>
      <c r="L344" s="154" t="s">
        <v>1544</v>
      </c>
      <c r="M344" s="155" t="s">
        <v>288</v>
      </c>
      <c r="N344" s="155" t="s">
        <v>288</v>
      </c>
      <c r="O344" s="155">
        <v>45703</v>
      </c>
      <c r="P344" s="155">
        <v>45708</v>
      </c>
      <c r="Q344" s="155" t="s">
        <v>289</v>
      </c>
      <c r="R344" s="155"/>
      <c r="S344" s="151" t="s">
        <v>47</v>
      </c>
      <c r="T344" s="151" t="s">
        <v>48</v>
      </c>
      <c r="U344" s="156" t="s">
        <v>1545</v>
      </c>
      <c r="V344" s="151" t="s">
        <v>85</v>
      </c>
      <c r="W344" s="151" t="s">
        <v>669</v>
      </c>
      <c r="X344" s="151"/>
      <c r="Y344" s="156" t="s">
        <v>62</v>
      </c>
      <c r="Z344" s="156"/>
      <c r="AA344" s="156"/>
      <c r="AB344" s="156"/>
      <c r="AC344" s="156"/>
      <c r="AD344" s="155">
        <v>45708</v>
      </c>
      <c r="AE344" s="157">
        <v>900</v>
      </c>
      <c r="AF344" s="157">
        <v>1300</v>
      </c>
      <c r="AG344" s="155">
        <v>45693</v>
      </c>
      <c r="AH344" s="155">
        <v>45707</v>
      </c>
      <c r="AI344" s="155">
        <v>45708</v>
      </c>
      <c r="AJ344" s="158">
        <v>45708</v>
      </c>
      <c r="AK344" s="211"/>
      <c r="AL344" s="158"/>
      <c r="AM344" s="1"/>
    </row>
    <row r="345" spans="1:48" ht="45" hidden="1" customHeight="1">
      <c r="B345" s="159" t="s">
        <v>1599</v>
      </c>
      <c r="C345" s="159" t="s">
        <v>232</v>
      </c>
      <c r="D345" s="25" t="s">
        <v>8519</v>
      </c>
      <c r="E345" s="159" t="s">
        <v>1600</v>
      </c>
      <c r="F345" s="152"/>
      <c r="G345" s="152" t="s">
        <v>1557</v>
      </c>
      <c r="H345" s="152" t="s">
        <v>42</v>
      </c>
      <c r="I345" s="152" t="s">
        <v>1601</v>
      </c>
      <c r="J345" s="151"/>
      <c r="K345" s="153">
        <v>45658</v>
      </c>
      <c r="L345" s="154" t="s">
        <v>1602</v>
      </c>
      <c r="M345" s="155" t="s">
        <v>288</v>
      </c>
      <c r="N345" s="155" t="s">
        <v>288</v>
      </c>
      <c r="O345" s="155">
        <v>45723</v>
      </c>
      <c r="P345" s="155">
        <v>45729</v>
      </c>
      <c r="Q345" s="155" t="s">
        <v>289</v>
      </c>
      <c r="R345" s="155"/>
      <c r="S345" s="151" t="s">
        <v>47</v>
      </c>
      <c r="T345" s="151" t="s">
        <v>48</v>
      </c>
      <c r="U345" s="156" t="s">
        <v>1603</v>
      </c>
      <c r="V345" s="151" t="s">
        <v>85</v>
      </c>
      <c r="W345" s="151" t="s">
        <v>1598</v>
      </c>
      <c r="X345" s="151"/>
      <c r="Y345" s="156" t="s">
        <v>1598</v>
      </c>
      <c r="Z345" s="156" t="s">
        <v>62</v>
      </c>
      <c r="AA345" s="156"/>
      <c r="AB345" s="156"/>
      <c r="AC345" s="156"/>
      <c r="AD345" s="155">
        <v>45769</v>
      </c>
      <c r="AE345" s="157">
        <v>2000</v>
      </c>
      <c r="AF345" s="157">
        <v>1800</v>
      </c>
      <c r="AG345" s="155">
        <v>45712</v>
      </c>
      <c r="AH345" s="155">
        <v>45723</v>
      </c>
      <c r="AI345" s="155">
        <v>45734</v>
      </c>
      <c r="AJ345" s="158">
        <v>45745</v>
      </c>
      <c r="AK345" s="211"/>
      <c r="AL345" s="158"/>
      <c r="AM345" s="1"/>
    </row>
    <row r="346" spans="1:48" ht="45" hidden="1" customHeight="1">
      <c r="A346" s="1"/>
      <c r="B346" s="159" t="s">
        <v>1555</v>
      </c>
      <c r="C346" s="159" t="s">
        <v>232</v>
      </c>
      <c r="D346" s="25" t="s">
        <v>8519</v>
      </c>
      <c r="E346" s="159" t="s">
        <v>1556</v>
      </c>
      <c r="F346" s="152"/>
      <c r="G346" s="152" t="s">
        <v>1557</v>
      </c>
      <c r="H346" s="152" t="s">
        <v>42</v>
      </c>
      <c r="I346" s="152" t="s">
        <v>1558</v>
      </c>
      <c r="J346" s="151"/>
      <c r="K346" s="153">
        <v>45658</v>
      </c>
      <c r="L346" s="154" t="s">
        <v>45</v>
      </c>
      <c r="M346" s="155" t="s">
        <v>288</v>
      </c>
      <c r="N346" s="155" t="s">
        <v>288</v>
      </c>
      <c r="O346" s="155">
        <v>45708</v>
      </c>
      <c r="P346" s="155">
        <v>45714</v>
      </c>
      <c r="Q346" s="155" t="s">
        <v>289</v>
      </c>
      <c r="R346" s="155"/>
      <c r="S346" s="151" t="s">
        <v>47</v>
      </c>
      <c r="T346" s="151" t="s">
        <v>48</v>
      </c>
      <c r="U346" s="156" t="s">
        <v>1559</v>
      </c>
      <c r="V346" s="151" t="s">
        <v>85</v>
      </c>
      <c r="W346" s="151" t="s">
        <v>200</v>
      </c>
      <c r="X346" s="151"/>
      <c r="Y346" s="156" t="s">
        <v>200</v>
      </c>
      <c r="Z346" s="156"/>
      <c r="AA346" s="156"/>
      <c r="AB346" s="156"/>
      <c r="AC346" s="156"/>
      <c r="AD346" s="155">
        <v>45734</v>
      </c>
      <c r="AE346" s="157">
        <v>2800</v>
      </c>
      <c r="AF346" s="157">
        <v>5000</v>
      </c>
      <c r="AG346" s="155">
        <v>45691</v>
      </c>
      <c r="AH346" s="155">
        <v>45712</v>
      </c>
      <c r="AI346" s="155">
        <v>45716</v>
      </c>
      <c r="AJ346" s="158">
        <v>45714</v>
      </c>
      <c r="AK346" s="211"/>
      <c r="AL346" s="158"/>
      <c r="AM346" s="1"/>
      <c r="AN346" s="1"/>
      <c r="AO346" s="1"/>
      <c r="AP346" s="1"/>
      <c r="AQ346" s="1"/>
      <c r="AR346" s="1"/>
      <c r="AS346" s="1"/>
      <c r="AT346" s="1"/>
      <c r="AU346" s="1"/>
      <c r="AV346" s="1"/>
    </row>
    <row r="347" spans="1:48" ht="45" hidden="1" customHeight="1">
      <c r="B347" s="159" t="s">
        <v>1699</v>
      </c>
      <c r="C347" s="159" t="s">
        <v>1572</v>
      </c>
      <c r="D347" s="159" t="s">
        <v>1573</v>
      </c>
      <c r="E347" s="159" t="s">
        <v>1574</v>
      </c>
      <c r="F347" s="152"/>
      <c r="G347" s="152" t="s">
        <v>287</v>
      </c>
      <c r="H347" s="152" t="s">
        <v>427</v>
      </c>
      <c r="I347" s="152" t="s">
        <v>1700</v>
      </c>
      <c r="J347" s="151"/>
      <c r="K347" s="153">
        <v>45658</v>
      </c>
      <c r="L347" s="154" t="s">
        <v>1701</v>
      </c>
      <c r="M347" s="155"/>
      <c r="N347" s="155" t="s">
        <v>288</v>
      </c>
      <c r="O347" s="155"/>
      <c r="P347" s="155">
        <v>45737</v>
      </c>
      <c r="Q347" s="155" t="s">
        <v>289</v>
      </c>
      <c r="R347" s="155"/>
      <c r="S347" s="151" t="s">
        <v>47</v>
      </c>
      <c r="T347" s="151" t="s">
        <v>48</v>
      </c>
      <c r="U347" s="156" t="s">
        <v>1702</v>
      </c>
      <c r="V347" s="151" t="s">
        <v>85</v>
      </c>
      <c r="W347" s="151" t="s">
        <v>1522</v>
      </c>
      <c r="X347" s="151"/>
      <c r="Y347" s="156" t="s">
        <v>1478</v>
      </c>
      <c r="Z347" s="156"/>
      <c r="AA347" s="156"/>
      <c r="AB347" s="156"/>
      <c r="AC347" s="156"/>
      <c r="AD347" s="155">
        <v>45785</v>
      </c>
      <c r="AE347" s="157">
        <v>4200</v>
      </c>
      <c r="AF347" s="157">
        <v>10700</v>
      </c>
      <c r="AG347" s="155">
        <v>45695</v>
      </c>
      <c r="AH347" s="155">
        <v>45716</v>
      </c>
      <c r="AI347" s="155">
        <v>45761</v>
      </c>
      <c r="AJ347" s="158">
        <v>45777</v>
      </c>
      <c r="AK347" s="211"/>
      <c r="AL347" s="158"/>
      <c r="AM347" s="1"/>
    </row>
    <row r="348" spans="1:48" ht="45" hidden="1" customHeight="1">
      <c r="B348" s="159" t="s">
        <v>1703</v>
      </c>
      <c r="C348" s="159" t="s">
        <v>425</v>
      </c>
      <c r="D348" s="159" t="s">
        <v>1704</v>
      </c>
      <c r="E348" s="159" t="s">
        <v>1705</v>
      </c>
      <c r="F348" s="152"/>
      <c r="G348" s="152" t="s">
        <v>296</v>
      </c>
      <c r="H348" s="152" t="s">
        <v>822</v>
      </c>
      <c r="I348" s="152" t="s">
        <v>1706</v>
      </c>
      <c r="J348" s="151"/>
      <c r="K348" s="153">
        <v>45658</v>
      </c>
      <c r="L348" s="154" t="s">
        <v>45</v>
      </c>
      <c r="M348" s="155"/>
      <c r="N348" s="155"/>
      <c r="O348" s="155"/>
      <c r="P348" s="155"/>
      <c r="Q348" s="155"/>
      <c r="R348" s="155"/>
      <c r="S348" s="151" t="s">
        <v>47</v>
      </c>
      <c r="T348" s="151" t="s">
        <v>48</v>
      </c>
      <c r="U348" s="156" t="s">
        <v>1707</v>
      </c>
      <c r="V348" s="151" t="s">
        <v>85</v>
      </c>
      <c r="W348" s="151" t="s">
        <v>50</v>
      </c>
      <c r="X348" s="151"/>
      <c r="Y348" s="156" t="s">
        <v>1478</v>
      </c>
      <c r="Z348" s="156"/>
      <c r="AA348" s="156"/>
      <c r="AB348" s="156"/>
      <c r="AC348" s="156"/>
      <c r="AD348" s="155">
        <v>45785</v>
      </c>
      <c r="AE348" s="157">
        <v>3800</v>
      </c>
      <c r="AF348" s="157">
        <v>9400</v>
      </c>
      <c r="AG348" s="155">
        <v>45731</v>
      </c>
      <c r="AH348" s="155">
        <v>45766</v>
      </c>
      <c r="AI348" s="155">
        <v>45776</v>
      </c>
      <c r="AJ348" s="158">
        <v>45777</v>
      </c>
      <c r="AK348" s="211"/>
      <c r="AL348" s="158"/>
      <c r="AM348" s="1"/>
    </row>
    <row r="349" spans="1:48" ht="45" hidden="1" customHeight="1">
      <c r="A349" s="1"/>
      <c r="B349" s="159" t="s">
        <v>1637</v>
      </c>
      <c r="C349" s="159" t="s">
        <v>152</v>
      </c>
      <c r="D349" s="159" t="s">
        <v>321</v>
      </c>
      <c r="E349" s="159" t="s">
        <v>1638</v>
      </c>
      <c r="F349" s="152"/>
      <c r="G349" s="152" t="s">
        <v>145</v>
      </c>
      <c r="H349" s="152" t="s">
        <v>42</v>
      </c>
      <c r="I349" s="152" t="s">
        <v>1639</v>
      </c>
      <c r="J349" s="151"/>
      <c r="K349" s="153">
        <v>45658</v>
      </c>
      <c r="L349" s="297" t="s">
        <v>45</v>
      </c>
      <c r="M349" s="155"/>
      <c r="N349" s="155"/>
      <c r="O349" s="155"/>
      <c r="P349" s="155"/>
      <c r="Q349" s="155"/>
      <c r="R349" s="155"/>
      <c r="S349" s="151" t="s">
        <v>47</v>
      </c>
      <c r="T349" s="151" t="s">
        <v>48</v>
      </c>
      <c r="U349" s="156" t="s">
        <v>1640</v>
      </c>
      <c r="V349" s="151" t="s">
        <v>85</v>
      </c>
      <c r="W349" s="151" t="s">
        <v>77</v>
      </c>
      <c r="X349" s="151"/>
      <c r="Y349" s="156" t="s">
        <v>200</v>
      </c>
      <c r="Z349" s="156" t="s">
        <v>170</v>
      </c>
      <c r="AA349" s="156" t="s">
        <v>1641</v>
      </c>
      <c r="AB349" s="156"/>
      <c r="AC349" s="156"/>
      <c r="AD349" s="155">
        <v>45769</v>
      </c>
      <c r="AE349" s="157">
        <v>3300</v>
      </c>
      <c r="AF349" s="157">
        <v>11400</v>
      </c>
      <c r="AG349" s="155">
        <v>45660</v>
      </c>
      <c r="AH349" s="155">
        <v>45716</v>
      </c>
      <c r="AI349" s="155">
        <v>45746</v>
      </c>
      <c r="AJ349" s="158">
        <v>45759</v>
      </c>
      <c r="AK349" s="211"/>
      <c r="AL349" s="158"/>
      <c r="AM349" s="1"/>
      <c r="AN349" s="1"/>
      <c r="AO349" s="1"/>
      <c r="AP349" s="1"/>
      <c r="AQ349" s="1"/>
      <c r="AR349" s="1"/>
      <c r="AS349" s="1"/>
      <c r="AT349" s="1"/>
      <c r="AU349" s="1"/>
      <c r="AV349" s="1"/>
    </row>
    <row r="350" spans="1:48" ht="45" hidden="1" customHeight="1">
      <c r="B350" s="159" t="s">
        <v>1604</v>
      </c>
      <c r="C350" s="159" t="s">
        <v>479</v>
      </c>
      <c r="D350" s="159" t="s">
        <v>480</v>
      </c>
      <c r="E350" s="159" t="s">
        <v>1605</v>
      </c>
      <c r="F350" s="152"/>
      <c r="G350" s="152" t="s">
        <v>446</v>
      </c>
      <c r="H350" s="152" t="s">
        <v>42</v>
      </c>
      <c r="I350" s="152" t="s">
        <v>1606</v>
      </c>
      <c r="J350" s="151"/>
      <c r="K350" s="153">
        <v>45658</v>
      </c>
      <c r="L350" s="154" t="s">
        <v>1607</v>
      </c>
      <c r="M350" s="155"/>
      <c r="N350" s="155"/>
      <c r="O350" s="155"/>
      <c r="P350" s="155">
        <v>45743</v>
      </c>
      <c r="Q350" s="155" t="s">
        <v>289</v>
      </c>
      <c r="R350" s="155"/>
      <c r="S350" s="151" t="s">
        <v>47</v>
      </c>
      <c r="T350" s="151" t="s">
        <v>48</v>
      </c>
      <c r="U350" s="156" t="s">
        <v>1608</v>
      </c>
      <c r="V350" s="151">
        <v>4</v>
      </c>
      <c r="W350" s="151" t="s">
        <v>1609</v>
      </c>
      <c r="X350" s="151" t="s">
        <v>1610</v>
      </c>
      <c r="Y350" s="156" t="s">
        <v>132</v>
      </c>
      <c r="Z350" s="156"/>
      <c r="AA350" s="156"/>
      <c r="AB350" s="156"/>
      <c r="AC350" s="156"/>
      <c r="AD350" s="155">
        <v>45769</v>
      </c>
      <c r="AE350" s="157">
        <v>2200</v>
      </c>
      <c r="AF350" s="157">
        <v>5700</v>
      </c>
      <c r="AG350" s="155">
        <v>45695</v>
      </c>
      <c r="AH350" s="155">
        <v>45714</v>
      </c>
      <c r="AI350" s="155">
        <v>45745</v>
      </c>
      <c r="AJ350" s="158">
        <v>45747</v>
      </c>
      <c r="AK350" s="211"/>
      <c r="AL350" s="158"/>
      <c r="AM350" s="1"/>
    </row>
    <row r="351" spans="1:48" ht="45" hidden="1" customHeight="1">
      <c r="A351" s="1"/>
      <c r="B351" s="159" t="s">
        <v>1773</v>
      </c>
      <c r="C351" s="159" t="s">
        <v>311</v>
      </c>
      <c r="D351" s="159" t="s">
        <v>312</v>
      </c>
      <c r="E351" s="159" t="s">
        <v>1774</v>
      </c>
      <c r="F351" s="152"/>
      <c r="G351" s="152" t="s">
        <v>391</v>
      </c>
      <c r="H351" s="152" t="s">
        <v>42</v>
      </c>
      <c r="I351" s="152" t="s">
        <v>1775</v>
      </c>
      <c r="J351" s="151"/>
      <c r="K351" s="153">
        <v>45658</v>
      </c>
      <c r="L351" s="154" t="s">
        <v>1776</v>
      </c>
      <c r="M351" s="155"/>
      <c r="N351" s="155"/>
      <c r="O351" s="155"/>
      <c r="P351" s="155"/>
      <c r="Q351" s="155"/>
      <c r="R351" s="155" t="s">
        <v>46</v>
      </c>
      <c r="S351" s="151" t="s">
        <v>47</v>
      </c>
      <c r="T351" s="151" t="s">
        <v>48</v>
      </c>
      <c r="U351" s="156" t="s">
        <v>1777</v>
      </c>
      <c r="V351" s="151" t="s">
        <v>85</v>
      </c>
      <c r="W351" s="175" t="s">
        <v>147</v>
      </c>
      <c r="X351" s="151"/>
      <c r="Y351" s="156" t="s">
        <v>62</v>
      </c>
      <c r="Z351" s="156"/>
      <c r="AA351" s="156"/>
      <c r="AB351" s="156"/>
      <c r="AC351" s="156"/>
      <c r="AD351" s="155">
        <v>45826</v>
      </c>
      <c r="AE351" s="157">
        <v>1200</v>
      </c>
      <c r="AF351" s="157">
        <v>3500</v>
      </c>
      <c r="AG351" s="155">
        <v>45771</v>
      </c>
      <c r="AH351" s="155">
        <v>45783</v>
      </c>
      <c r="AI351" s="155"/>
      <c r="AJ351" s="158">
        <v>45799</v>
      </c>
      <c r="AK351" s="211"/>
      <c r="AL351" s="158"/>
      <c r="AM351" s="1"/>
      <c r="AN351" s="1"/>
      <c r="AO351" s="1"/>
      <c r="AP351" s="1"/>
      <c r="AQ351" s="1"/>
      <c r="AR351" s="1"/>
      <c r="AS351" s="1"/>
      <c r="AT351" s="1"/>
      <c r="AU351" s="1"/>
      <c r="AV351" s="1"/>
    </row>
    <row r="352" spans="1:48" ht="45" hidden="1" customHeight="1">
      <c r="A352" s="1"/>
      <c r="B352" s="159" t="s">
        <v>1591</v>
      </c>
      <c r="C352" s="159" t="s">
        <v>311</v>
      </c>
      <c r="D352" s="159" t="s">
        <v>312</v>
      </c>
      <c r="E352" s="159" t="s">
        <v>1592</v>
      </c>
      <c r="F352" s="152"/>
      <c r="G352" s="152" t="s">
        <v>391</v>
      </c>
      <c r="H352" s="152" t="s">
        <v>42</v>
      </c>
      <c r="I352" s="152" t="s">
        <v>1593</v>
      </c>
      <c r="J352" s="151"/>
      <c r="K352" s="153">
        <v>45658</v>
      </c>
      <c r="L352" s="154" t="s">
        <v>45</v>
      </c>
      <c r="M352" s="155"/>
      <c r="N352" s="155"/>
      <c r="O352" s="155"/>
      <c r="P352" s="155">
        <v>45743</v>
      </c>
      <c r="Q352" s="155" t="s">
        <v>289</v>
      </c>
      <c r="R352" s="155"/>
      <c r="S352" s="151" t="s">
        <v>47</v>
      </c>
      <c r="T352" s="151" t="s">
        <v>48</v>
      </c>
      <c r="U352" s="156" t="s">
        <v>1594</v>
      </c>
      <c r="V352" s="151" t="s">
        <v>85</v>
      </c>
      <c r="W352" s="151" t="s">
        <v>147</v>
      </c>
      <c r="X352" s="151"/>
      <c r="Y352" s="156" t="s">
        <v>77</v>
      </c>
      <c r="Z352" s="156"/>
      <c r="AA352" s="156"/>
      <c r="AB352" s="156"/>
      <c r="AC352" s="156"/>
      <c r="AD352" s="155">
        <v>45748</v>
      </c>
      <c r="AE352" s="157">
        <v>3200</v>
      </c>
      <c r="AF352" s="157">
        <v>5600</v>
      </c>
      <c r="AG352" s="155">
        <v>45691</v>
      </c>
      <c r="AH352" s="155">
        <v>45710</v>
      </c>
      <c r="AI352" s="155">
        <v>45746</v>
      </c>
      <c r="AJ352" s="158">
        <v>45743</v>
      </c>
      <c r="AK352" s="211"/>
      <c r="AL352" s="158"/>
      <c r="AM352" s="1"/>
      <c r="AN352" s="1"/>
      <c r="AO352" s="1"/>
      <c r="AP352" s="1"/>
      <c r="AQ352" s="1"/>
      <c r="AR352" s="1"/>
      <c r="AS352" s="1"/>
      <c r="AT352" s="1"/>
      <c r="AU352" s="1"/>
      <c r="AV352" s="1"/>
    </row>
    <row r="353" spans="1:48" ht="45" hidden="1" customHeight="1">
      <c r="B353" s="159" t="s">
        <v>1586</v>
      </c>
      <c r="C353" s="159" t="s">
        <v>425</v>
      </c>
      <c r="D353" s="159" t="s">
        <v>474</v>
      </c>
      <c r="E353" s="159" t="s">
        <v>1587</v>
      </c>
      <c r="F353" s="152"/>
      <c r="G353" s="152" t="s">
        <v>1557</v>
      </c>
      <c r="H353" s="152" t="s">
        <v>1408</v>
      </c>
      <c r="I353" s="152" t="s">
        <v>1588</v>
      </c>
      <c r="J353" s="151"/>
      <c r="K353" s="153">
        <v>45658</v>
      </c>
      <c r="L353" s="154" t="s">
        <v>45</v>
      </c>
      <c r="M353" s="155"/>
      <c r="N353" s="155"/>
      <c r="O353" s="155"/>
      <c r="P353" s="155">
        <v>45742</v>
      </c>
      <c r="Q353" s="155" t="s">
        <v>289</v>
      </c>
      <c r="R353" s="155"/>
      <c r="S353" s="151" t="s">
        <v>47</v>
      </c>
      <c r="T353" s="151" t="s">
        <v>48</v>
      </c>
      <c r="U353" s="156" t="s">
        <v>1589</v>
      </c>
      <c r="V353" s="151" t="s">
        <v>85</v>
      </c>
      <c r="W353" s="151" t="s">
        <v>50</v>
      </c>
      <c r="X353" s="151"/>
      <c r="Y353" s="156" t="s">
        <v>62</v>
      </c>
      <c r="Z353" s="156"/>
      <c r="AA353" s="156"/>
      <c r="AB353" s="156"/>
      <c r="AC353" s="156"/>
      <c r="AD353" s="155">
        <v>45742</v>
      </c>
      <c r="AE353" s="157">
        <v>1200</v>
      </c>
      <c r="AF353" s="157">
        <v>6300</v>
      </c>
      <c r="AG353" s="155">
        <v>45695</v>
      </c>
      <c r="AH353" s="155" t="s">
        <v>1590</v>
      </c>
      <c r="AI353" s="155">
        <v>45746</v>
      </c>
      <c r="AJ353" s="158">
        <v>45742</v>
      </c>
      <c r="AK353" s="211"/>
      <c r="AL353" s="158"/>
      <c r="AM353" s="1"/>
    </row>
    <row r="354" spans="1:48" ht="45" hidden="1" customHeight="1">
      <c r="A354" s="1"/>
      <c r="B354" s="159" t="s">
        <v>1626</v>
      </c>
      <c r="C354" s="159" t="s">
        <v>737</v>
      </c>
      <c r="D354" s="159" t="s">
        <v>738</v>
      </c>
      <c r="E354" s="159" t="s">
        <v>1627</v>
      </c>
      <c r="F354" s="152"/>
      <c r="G354" s="152" t="s">
        <v>287</v>
      </c>
      <c r="H354" s="152" t="s">
        <v>740</v>
      </c>
      <c r="I354" s="152" t="s">
        <v>1619</v>
      </c>
      <c r="J354" s="151"/>
      <c r="K354" s="153">
        <v>45658</v>
      </c>
      <c r="L354" s="154" t="s">
        <v>45</v>
      </c>
      <c r="M354" s="155" t="s">
        <v>288</v>
      </c>
      <c r="N354" s="155" t="s">
        <v>288</v>
      </c>
      <c r="O354" s="155">
        <v>45726</v>
      </c>
      <c r="P354" s="155">
        <v>45755</v>
      </c>
      <c r="Q354" s="155" t="s">
        <v>289</v>
      </c>
      <c r="R354" s="155"/>
      <c r="S354" s="151" t="s">
        <v>47</v>
      </c>
      <c r="T354" s="151" t="s">
        <v>48</v>
      </c>
      <c r="U354" s="156" t="s">
        <v>1628</v>
      </c>
      <c r="V354" s="151" t="s">
        <v>85</v>
      </c>
      <c r="W354" s="151" t="s">
        <v>50</v>
      </c>
      <c r="X354" s="151"/>
      <c r="Y354" s="156" t="s">
        <v>1478</v>
      </c>
      <c r="Z354" s="156"/>
      <c r="AA354" s="156"/>
      <c r="AB354" s="156"/>
      <c r="AC354" s="156"/>
      <c r="AD354" s="155">
        <v>45769</v>
      </c>
      <c r="AE354" s="157">
        <v>3900</v>
      </c>
      <c r="AF354" s="157">
        <v>8800</v>
      </c>
      <c r="AG354" s="155">
        <v>45713</v>
      </c>
      <c r="AH354" s="155">
        <v>45741</v>
      </c>
      <c r="AI354" s="155">
        <v>45755</v>
      </c>
      <c r="AJ354" s="158">
        <v>45755</v>
      </c>
      <c r="AK354" s="211"/>
      <c r="AL354" s="158"/>
      <c r="AM354" s="1"/>
      <c r="AN354" s="1"/>
      <c r="AO354" s="1"/>
      <c r="AP354" s="1"/>
      <c r="AQ354" s="1"/>
      <c r="AR354" s="1"/>
      <c r="AS354" s="1"/>
      <c r="AT354" s="1"/>
      <c r="AU354" s="1"/>
      <c r="AV354" s="1"/>
    </row>
    <row r="355" spans="1:48" ht="45" hidden="1" customHeight="1">
      <c r="A355" s="1"/>
      <c r="B355" s="159" t="s">
        <v>1577</v>
      </c>
      <c r="C355" s="159" t="s">
        <v>1432</v>
      </c>
      <c r="D355" s="159" t="s">
        <v>1578</v>
      </c>
      <c r="E355" s="159" t="s">
        <v>1579</v>
      </c>
      <c r="F355" s="152"/>
      <c r="G355" s="152" t="s">
        <v>145</v>
      </c>
      <c r="H355" s="152" t="s">
        <v>1580</v>
      </c>
      <c r="I355" s="152" t="s">
        <v>1198</v>
      </c>
      <c r="J355" s="151"/>
      <c r="K355" s="153">
        <v>45658</v>
      </c>
      <c r="L355" s="154" t="s">
        <v>45</v>
      </c>
      <c r="M355" s="155" t="s">
        <v>288</v>
      </c>
      <c r="N355" s="155" t="s">
        <v>288</v>
      </c>
      <c r="O355" s="155"/>
      <c r="P355" s="155">
        <v>45738</v>
      </c>
      <c r="Q355" s="155" t="s">
        <v>289</v>
      </c>
      <c r="R355" s="155"/>
      <c r="S355" s="151" t="s">
        <v>47</v>
      </c>
      <c r="T355" s="151" t="s">
        <v>48</v>
      </c>
      <c r="U355" s="156" t="s">
        <v>1581</v>
      </c>
      <c r="V355" s="151" t="s">
        <v>85</v>
      </c>
      <c r="W355" s="151" t="s">
        <v>1582</v>
      </c>
      <c r="X355" s="151"/>
      <c r="Y355" s="156" t="s">
        <v>1122</v>
      </c>
      <c r="Z355" s="156"/>
      <c r="AA355" s="156"/>
      <c r="AB355" s="156"/>
      <c r="AC355" s="156"/>
      <c r="AD355" s="155">
        <v>45739</v>
      </c>
      <c r="AE355" s="157">
        <v>1800</v>
      </c>
      <c r="AF355" s="157">
        <v>5800</v>
      </c>
      <c r="AG355" s="155">
        <v>45713</v>
      </c>
      <c r="AH355" s="155">
        <v>45739</v>
      </c>
      <c r="AI355" s="155">
        <v>45742</v>
      </c>
      <c r="AJ355" s="158">
        <v>45738</v>
      </c>
      <c r="AK355" s="211"/>
      <c r="AL355" s="158"/>
      <c r="AM355" s="1"/>
      <c r="AN355" s="1"/>
      <c r="AO355" s="1"/>
      <c r="AP355" s="1"/>
      <c r="AQ355" s="1"/>
      <c r="AR355" s="1"/>
      <c r="AS355" s="1"/>
      <c r="AT355" s="1"/>
      <c r="AU355" s="1"/>
      <c r="AV355" s="1"/>
    </row>
    <row r="356" spans="1:48" ht="45" hidden="1" customHeight="1">
      <c r="B356" s="159" t="s">
        <v>1618</v>
      </c>
      <c r="C356" s="159" t="s">
        <v>248</v>
      </c>
      <c r="D356" s="159" t="s">
        <v>249</v>
      </c>
      <c r="E356" s="159" t="s">
        <v>425</v>
      </c>
      <c r="F356" s="152"/>
      <c r="G356" s="152" t="s">
        <v>301</v>
      </c>
      <c r="H356" s="152" t="s">
        <v>42</v>
      </c>
      <c r="I356" s="152" t="s">
        <v>1619</v>
      </c>
      <c r="J356" s="151"/>
      <c r="K356" s="153">
        <v>45689</v>
      </c>
      <c r="L356" s="154" t="s">
        <v>1620</v>
      </c>
      <c r="M356" s="155" t="s">
        <v>288</v>
      </c>
      <c r="N356" s="155" t="s">
        <v>288</v>
      </c>
      <c r="O356" s="155"/>
      <c r="P356" s="155">
        <v>45753</v>
      </c>
      <c r="Q356" s="155" t="s">
        <v>289</v>
      </c>
      <c r="R356" s="155"/>
      <c r="S356" s="151" t="s">
        <v>47</v>
      </c>
      <c r="T356" s="151" t="s">
        <v>48</v>
      </c>
      <c r="U356" s="156" t="s">
        <v>1621</v>
      </c>
      <c r="V356" s="151">
        <v>1</v>
      </c>
      <c r="W356" s="151" t="s">
        <v>1460</v>
      </c>
      <c r="X356" s="151"/>
      <c r="Y356" s="156" t="s">
        <v>200</v>
      </c>
      <c r="Z356" s="156"/>
      <c r="AA356" s="156"/>
      <c r="AB356" s="156"/>
      <c r="AC356" s="156"/>
      <c r="AD356" s="155">
        <v>45769</v>
      </c>
      <c r="AE356" s="157">
        <v>2500</v>
      </c>
      <c r="AF356" s="157">
        <v>3300</v>
      </c>
      <c r="AG356" s="155">
        <v>45719</v>
      </c>
      <c r="AH356" s="155">
        <v>45736</v>
      </c>
      <c r="AI356" s="155">
        <v>45755</v>
      </c>
      <c r="AJ356" s="158">
        <v>45753</v>
      </c>
      <c r="AK356" s="211"/>
      <c r="AL356" s="158"/>
      <c r="AM356" s="1"/>
    </row>
    <row r="357" spans="1:48" ht="45" hidden="1" customHeight="1">
      <c r="B357" s="159" t="s">
        <v>1622</v>
      </c>
      <c r="C357" s="159" t="s">
        <v>425</v>
      </c>
      <c r="D357" s="218" t="s">
        <v>6858</v>
      </c>
      <c r="E357" s="159" t="s">
        <v>1624</v>
      </c>
      <c r="F357" s="152"/>
      <c r="G357" s="152" t="s">
        <v>41</v>
      </c>
      <c r="H357" s="152" t="s">
        <v>427</v>
      </c>
      <c r="I357" s="152">
        <v>201</v>
      </c>
      <c r="J357" s="151"/>
      <c r="K357" s="153">
        <v>45689</v>
      </c>
      <c r="L357" s="154" t="s">
        <v>45</v>
      </c>
      <c r="M357" s="155" t="s">
        <v>288</v>
      </c>
      <c r="N357" s="155" t="s">
        <v>288</v>
      </c>
      <c r="O357" s="155"/>
      <c r="P357" s="155">
        <v>45736</v>
      </c>
      <c r="Q357" s="155" t="s">
        <v>289</v>
      </c>
      <c r="R357" s="155"/>
      <c r="S357" s="151" t="s">
        <v>47</v>
      </c>
      <c r="T357" s="151" t="s">
        <v>48</v>
      </c>
      <c r="U357" s="156" t="s">
        <v>1625</v>
      </c>
      <c r="V357" s="151" t="s">
        <v>85</v>
      </c>
      <c r="W357" s="151" t="s">
        <v>124</v>
      </c>
      <c r="X357" s="151"/>
      <c r="Y357" s="156" t="s">
        <v>200</v>
      </c>
      <c r="Z357" s="156"/>
      <c r="AA357" s="156"/>
      <c r="AB357" s="156"/>
      <c r="AC357" s="156"/>
      <c r="AD357" s="155">
        <v>45769</v>
      </c>
      <c r="AE357" s="157">
        <v>1500</v>
      </c>
      <c r="AF357" s="157">
        <v>2200</v>
      </c>
      <c r="AG357" s="155">
        <v>45719</v>
      </c>
      <c r="AH357" s="155">
        <v>45731</v>
      </c>
      <c r="AI357" s="155">
        <v>45744</v>
      </c>
      <c r="AJ357" s="158">
        <v>45754</v>
      </c>
      <c r="AK357" s="211"/>
      <c r="AL357" s="158"/>
      <c r="AM357" s="1"/>
    </row>
    <row r="358" spans="1:48" ht="45" hidden="1" customHeight="1">
      <c r="B358" s="159" t="s">
        <v>1633</v>
      </c>
      <c r="C358" s="159" t="s">
        <v>336</v>
      </c>
      <c r="D358" s="159" t="s">
        <v>337</v>
      </c>
      <c r="E358" s="159" t="s">
        <v>1634</v>
      </c>
      <c r="F358" s="152"/>
      <c r="G358" s="152" t="s">
        <v>1464</v>
      </c>
      <c r="H358" s="152" t="s">
        <v>42</v>
      </c>
      <c r="I358" s="152" t="s">
        <v>1635</v>
      </c>
      <c r="J358" s="151"/>
      <c r="K358" s="153">
        <v>45689</v>
      </c>
      <c r="L358" s="154" t="s">
        <v>45</v>
      </c>
      <c r="M358" s="155"/>
      <c r="N358" s="155"/>
      <c r="O358" s="155"/>
      <c r="P358" s="155"/>
      <c r="Q358" s="155"/>
      <c r="R358" s="155"/>
      <c r="S358" s="151" t="s">
        <v>47</v>
      </c>
      <c r="T358" s="151" t="s">
        <v>48</v>
      </c>
      <c r="U358" s="156" t="s">
        <v>1636</v>
      </c>
      <c r="V358" s="151" t="s">
        <v>85</v>
      </c>
      <c r="W358" s="151" t="s">
        <v>124</v>
      </c>
      <c r="X358" s="151"/>
      <c r="Y358" s="156" t="s">
        <v>77</v>
      </c>
      <c r="Z358" s="156"/>
      <c r="AA358" s="156"/>
      <c r="AB358" s="156"/>
      <c r="AC358" s="156"/>
      <c r="AD358" s="155">
        <v>45769</v>
      </c>
      <c r="AE358" s="157">
        <v>2100</v>
      </c>
      <c r="AF358" s="157">
        <v>2800</v>
      </c>
      <c r="AG358" s="155">
        <v>45726</v>
      </c>
      <c r="AH358" s="155">
        <v>45741</v>
      </c>
      <c r="AI358" s="155">
        <v>45751</v>
      </c>
      <c r="AJ358" s="158">
        <v>45757</v>
      </c>
      <c r="AK358" s="211"/>
      <c r="AL358" s="158"/>
      <c r="AM358" s="1"/>
    </row>
    <row r="359" spans="1:48" ht="45" hidden="1" customHeight="1">
      <c r="A359" s="1"/>
      <c r="B359" s="159" t="s">
        <v>1583</v>
      </c>
      <c r="C359" s="159" t="s">
        <v>571</v>
      </c>
      <c r="D359" s="159" t="s">
        <v>572</v>
      </c>
      <c r="E359" s="159" t="s">
        <v>1584</v>
      </c>
      <c r="F359" s="152"/>
      <c r="G359" s="152" t="s">
        <v>41</v>
      </c>
      <c r="H359" s="152" t="s">
        <v>42</v>
      </c>
      <c r="I359" s="152">
        <v>31</v>
      </c>
      <c r="J359" s="151"/>
      <c r="K359" s="153">
        <v>45689</v>
      </c>
      <c r="L359" s="154" t="s">
        <v>45</v>
      </c>
      <c r="M359" s="155" t="s">
        <v>288</v>
      </c>
      <c r="N359" s="155" t="s">
        <v>288</v>
      </c>
      <c r="O359" s="155"/>
      <c r="P359" s="155">
        <v>45739</v>
      </c>
      <c r="Q359" s="155" t="s">
        <v>289</v>
      </c>
      <c r="R359" s="155"/>
      <c r="S359" s="151" t="s">
        <v>47</v>
      </c>
      <c r="T359" s="151" t="s">
        <v>48</v>
      </c>
      <c r="U359" s="156" t="s">
        <v>1585</v>
      </c>
      <c r="V359" s="151" t="s">
        <v>85</v>
      </c>
      <c r="W359" s="151" t="s">
        <v>76</v>
      </c>
      <c r="X359" s="151"/>
      <c r="Y359" s="156" t="s">
        <v>51</v>
      </c>
      <c r="Z359" s="156"/>
      <c r="AA359" s="156"/>
      <c r="AB359" s="156"/>
      <c r="AC359" s="156"/>
      <c r="AD359" s="155">
        <v>45739</v>
      </c>
      <c r="AE359" s="157">
        <v>1100</v>
      </c>
      <c r="AF359" s="157">
        <v>1900</v>
      </c>
      <c r="AG359" s="155">
        <v>45726</v>
      </c>
      <c r="AH359" s="155">
        <v>45734</v>
      </c>
      <c r="AI359" s="155">
        <v>45713</v>
      </c>
      <c r="AJ359" s="158">
        <v>45739</v>
      </c>
      <c r="AK359" s="211"/>
      <c r="AL359" s="158"/>
      <c r="AM359" s="1"/>
      <c r="AN359" s="1"/>
      <c r="AO359" s="1"/>
      <c r="AP359" s="1"/>
      <c r="AQ359" s="1"/>
      <c r="AR359" s="1"/>
      <c r="AS359" s="1"/>
      <c r="AT359" s="1"/>
      <c r="AU359" s="1"/>
      <c r="AV359" s="1"/>
    </row>
    <row r="360" spans="1:48" ht="45" hidden="1" customHeight="1">
      <c r="B360" s="159" t="s">
        <v>1662</v>
      </c>
      <c r="C360" s="159" t="s">
        <v>571</v>
      </c>
      <c r="D360" s="159" t="s">
        <v>572</v>
      </c>
      <c r="E360" s="159" t="s">
        <v>1663</v>
      </c>
      <c r="F360" s="152"/>
      <c r="G360" s="152" t="s">
        <v>41</v>
      </c>
      <c r="H360" s="152" t="s">
        <v>42</v>
      </c>
      <c r="I360" s="152" t="s">
        <v>1664</v>
      </c>
      <c r="J360" s="151"/>
      <c r="K360" s="153">
        <v>45689</v>
      </c>
      <c r="L360" s="154" t="s">
        <v>45</v>
      </c>
      <c r="M360" s="155"/>
      <c r="N360" s="155"/>
      <c r="O360" s="155"/>
      <c r="P360" s="155"/>
      <c r="Q360" s="155"/>
      <c r="R360" s="155"/>
      <c r="S360" s="151" t="s">
        <v>47</v>
      </c>
      <c r="T360" s="151" t="s">
        <v>187</v>
      </c>
      <c r="U360" s="156" t="s">
        <v>1665</v>
      </c>
      <c r="V360" s="151" t="s">
        <v>85</v>
      </c>
      <c r="W360" s="151" t="s">
        <v>124</v>
      </c>
      <c r="X360" s="151"/>
      <c r="Y360" s="156" t="s">
        <v>1122</v>
      </c>
      <c r="Z360" s="156" t="s">
        <v>170</v>
      </c>
      <c r="AA360" s="156"/>
      <c r="AB360" s="156"/>
      <c r="AC360" s="156"/>
      <c r="AD360" s="155">
        <v>45785</v>
      </c>
      <c r="AE360" s="157">
        <v>4200</v>
      </c>
      <c r="AF360" s="157">
        <v>9300</v>
      </c>
      <c r="AG360" s="155">
        <v>45730</v>
      </c>
      <c r="AH360" s="155">
        <v>45744</v>
      </c>
      <c r="AI360" s="155">
        <v>45769</v>
      </c>
      <c r="AJ360" s="158">
        <v>45767</v>
      </c>
      <c r="AK360" s="211"/>
      <c r="AL360" s="158"/>
      <c r="AM360" s="1"/>
    </row>
    <row r="361" spans="1:48" ht="45" hidden="1" customHeight="1">
      <c r="A361" s="1"/>
      <c r="B361" s="159" t="s">
        <v>1615</v>
      </c>
      <c r="C361" s="159" t="s">
        <v>571</v>
      </c>
      <c r="D361" s="159" t="s">
        <v>572</v>
      </c>
      <c r="E361" s="159" t="s">
        <v>1616</v>
      </c>
      <c r="F361" s="152"/>
      <c r="G361" s="152" t="s">
        <v>41</v>
      </c>
      <c r="H361" s="152" t="s">
        <v>42</v>
      </c>
      <c r="I361" s="152">
        <v>161</v>
      </c>
      <c r="J361" s="151"/>
      <c r="K361" s="153">
        <v>45689</v>
      </c>
      <c r="L361" s="154" t="s">
        <v>45</v>
      </c>
      <c r="M361" s="155"/>
      <c r="N361" s="155" t="s">
        <v>288</v>
      </c>
      <c r="O361" s="155"/>
      <c r="P361" s="155">
        <v>45741</v>
      </c>
      <c r="Q361" s="155" t="s">
        <v>289</v>
      </c>
      <c r="R361" s="155"/>
      <c r="S361" s="151" t="s">
        <v>47</v>
      </c>
      <c r="T361" s="151" t="s">
        <v>48</v>
      </c>
      <c r="U361" s="156" t="s">
        <v>1617</v>
      </c>
      <c r="V361" s="151" t="s">
        <v>85</v>
      </c>
      <c r="W361" s="151" t="s">
        <v>1460</v>
      </c>
      <c r="X361" s="151"/>
      <c r="Y361" s="156" t="s">
        <v>51</v>
      </c>
      <c r="Z361" s="156"/>
      <c r="AA361" s="156"/>
      <c r="AB361" s="156"/>
      <c r="AC361" s="156"/>
      <c r="AD361" s="155">
        <v>45769</v>
      </c>
      <c r="AE361" s="157">
        <v>700</v>
      </c>
      <c r="AF361" s="157">
        <v>1500</v>
      </c>
      <c r="AG361" s="155">
        <v>45719</v>
      </c>
      <c r="AH361" s="155">
        <v>45734</v>
      </c>
      <c r="AI361" s="155">
        <v>45742</v>
      </c>
      <c r="AJ361" s="158">
        <v>45749</v>
      </c>
      <c r="AK361" s="211"/>
      <c r="AL361" s="158"/>
      <c r="AM361" s="1"/>
      <c r="AN361" s="1"/>
      <c r="AO361" s="1"/>
      <c r="AP361" s="1"/>
      <c r="AQ361" s="1"/>
      <c r="AR361" s="1"/>
      <c r="AS361" s="1"/>
      <c r="AT361" s="1"/>
      <c r="AU361" s="1"/>
      <c r="AV361" s="1"/>
    </row>
    <row r="362" spans="1:48" ht="45" hidden="1" customHeight="1">
      <c r="B362" s="159" t="s">
        <v>1564</v>
      </c>
      <c r="C362" s="159" t="s">
        <v>571</v>
      </c>
      <c r="D362" s="159" t="s">
        <v>572</v>
      </c>
      <c r="E362" s="159" t="s">
        <v>1565</v>
      </c>
      <c r="F362" s="152"/>
      <c r="G362" s="152" t="s">
        <v>41</v>
      </c>
      <c r="H362" s="152" t="s">
        <v>42</v>
      </c>
      <c r="I362" s="152">
        <v>128</v>
      </c>
      <c r="J362" s="151"/>
      <c r="K362" s="153">
        <v>45689</v>
      </c>
      <c r="L362" s="154" t="s">
        <v>45</v>
      </c>
      <c r="M362" s="155" t="s">
        <v>288</v>
      </c>
      <c r="N362" s="155" t="s">
        <v>288</v>
      </c>
      <c r="O362" s="155">
        <v>45723</v>
      </c>
      <c r="P362" s="155">
        <v>45730</v>
      </c>
      <c r="Q362" s="155" t="s">
        <v>289</v>
      </c>
      <c r="R362" s="155"/>
      <c r="S362" s="151" t="s">
        <v>47</v>
      </c>
      <c r="T362" s="151" t="s">
        <v>48</v>
      </c>
      <c r="U362" s="156" t="s">
        <v>1566</v>
      </c>
      <c r="V362" s="151" t="s">
        <v>85</v>
      </c>
      <c r="W362" s="151" t="s">
        <v>147</v>
      </c>
      <c r="X362" s="151"/>
      <c r="Y362" s="156" t="s">
        <v>200</v>
      </c>
      <c r="Z362" s="156"/>
      <c r="AA362" s="156"/>
      <c r="AB362" s="156"/>
      <c r="AC362" s="156"/>
      <c r="AD362" s="155">
        <v>45734</v>
      </c>
      <c r="AE362" s="157">
        <v>1900</v>
      </c>
      <c r="AF362" s="157">
        <v>1700</v>
      </c>
      <c r="AG362" s="155">
        <v>45719</v>
      </c>
      <c r="AH362" s="155">
        <v>45734</v>
      </c>
      <c r="AI362" s="155"/>
      <c r="AJ362" s="158">
        <v>45730</v>
      </c>
      <c r="AK362" s="211">
        <v>45734</v>
      </c>
      <c r="AL362" s="158"/>
      <c r="AM362" s="1"/>
    </row>
    <row r="363" spans="1:48" ht="45" hidden="1" customHeight="1">
      <c r="B363" s="159" t="s">
        <v>2154</v>
      </c>
      <c r="C363" s="159" t="s">
        <v>1030</v>
      </c>
      <c r="D363" s="159" t="s">
        <v>1031</v>
      </c>
      <c r="E363" s="159" t="s">
        <v>2155</v>
      </c>
      <c r="F363" s="152" t="s">
        <v>40</v>
      </c>
      <c r="G363" s="152" t="s">
        <v>2156</v>
      </c>
      <c r="H363" s="152" t="s">
        <v>42</v>
      </c>
      <c r="I363" s="152">
        <v>11.013</v>
      </c>
      <c r="J363" s="151" t="s">
        <v>74</v>
      </c>
      <c r="K363" s="153">
        <v>45689</v>
      </c>
      <c r="L363" s="154" t="s">
        <v>45</v>
      </c>
      <c r="M363" s="155"/>
      <c r="N363" s="155"/>
      <c r="O363" s="155"/>
      <c r="P363" s="155"/>
      <c r="Q363" s="155"/>
      <c r="R363" s="155" t="s">
        <v>46</v>
      </c>
      <c r="S363" s="151" t="s">
        <v>47</v>
      </c>
      <c r="T363" s="151" t="s">
        <v>48</v>
      </c>
      <c r="U363" s="156" t="s">
        <v>2157</v>
      </c>
      <c r="V363" s="151" t="s">
        <v>140</v>
      </c>
      <c r="W363" s="151" t="s">
        <v>124</v>
      </c>
      <c r="X363" s="151"/>
      <c r="Y363" s="156" t="s">
        <v>62</v>
      </c>
      <c r="Z363" s="156"/>
      <c r="AA363" s="156"/>
      <c r="AB363" s="156"/>
      <c r="AC363" s="156"/>
      <c r="AD363" s="155">
        <v>45965</v>
      </c>
      <c r="AE363" s="157">
        <v>400</v>
      </c>
      <c r="AF363" s="157">
        <v>3100</v>
      </c>
      <c r="AG363" s="155">
        <v>45922</v>
      </c>
      <c r="AH363" s="155">
        <v>45937</v>
      </c>
      <c r="AI363" s="155">
        <v>45940</v>
      </c>
      <c r="AJ363" s="158">
        <v>45941</v>
      </c>
      <c r="AK363" s="211">
        <v>45965</v>
      </c>
      <c r="AL363" s="158"/>
      <c r="AM363" s="1"/>
    </row>
    <row r="364" spans="1:48" ht="45" hidden="1" customHeight="1">
      <c r="B364" s="159" t="s">
        <v>1595</v>
      </c>
      <c r="C364" s="159" t="s">
        <v>648</v>
      </c>
      <c r="D364" s="159" t="s">
        <v>997</v>
      </c>
      <c r="E364" s="159" t="s">
        <v>1596</v>
      </c>
      <c r="F364" s="152"/>
      <c r="G364" s="152" t="s">
        <v>308</v>
      </c>
      <c r="H364" s="152" t="s">
        <v>42</v>
      </c>
      <c r="I364" s="152">
        <v>181.18199999999999</v>
      </c>
      <c r="J364" s="151"/>
      <c r="K364" s="153">
        <v>45689</v>
      </c>
      <c r="L364" s="154" t="s">
        <v>1499</v>
      </c>
      <c r="M364" s="155"/>
      <c r="N364" s="155"/>
      <c r="O364" s="155"/>
      <c r="P364" s="155"/>
      <c r="Q364" s="155"/>
      <c r="R364" s="155"/>
      <c r="S364" s="151" t="s">
        <v>47</v>
      </c>
      <c r="T364" s="151" t="s">
        <v>48</v>
      </c>
      <c r="U364" s="156" t="s">
        <v>1597</v>
      </c>
      <c r="V364" s="151" t="s">
        <v>85</v>
      </c>
      <c r="W364" s="151" t="s">
        <v>1598</v>
      </c>
      <c r="X364" s="151"/>
      <c r="Y364" s="156" t="s">
        <v>1598</v>
      </c>
      <c r="Z364" s="156"/>
      <c r="AA364" s="156"/>
      <c r="AB364" s="156"/>
      <c r="AC364" s="156"/>
      <c r="AD364" s="155">
        <v>45744</v>
      </c>
      <c r="AE364" s="157">
        <v>1100</v>
      </c>
      <c r="AF364" s="157">
        <v>3000</v>
      </c>
      <c r="AG364" s="155">
        <v>45731</v>
      </c>
      <c r="AH364" s="155">
        <v>45744</v>
      </c>
      <c r="AI364" s="155">
        <v>45744</v>
      </c>
      <c r="AJ364" s="158">
        <v>45744</v>
      </c>
      <c r="AK364" s="211"/>
      <c r="AL364" s="158"/>
      <c r="AM364" s="1"/>
    </row>
    <row r="365" spans="1:48" ht="45" hidden="1" customHeight="1">
      <c r="B365" s="159" t="s">
        <v>1669</v>
      </c>
      <c r="C365" s="159" t="s">
        <v>1030</v>
      </c>
      <c r="D365" s="159" t="s">
        <v>1031</v>
      </c>
      <c r="E365" s="159" t="s">
        <v>1670</v>
      </c>
      <c r="F365" s="152"/>
      <c r="G365" s="152" t="s">
        <v>1671</v>
      </c>
      <c r="H365" s="152" t="s">
        <v>42</v>
      </c>
      <c r="I365" s="152" t="s">
        <v>1672</v>
      </c>
      <c r="J365" s="151"/>
      <c r="K365" s="153">
        <v>45689</v>
      </c>
      <c r="L365" s="154" t="s">
        <v>45</v>
      </c>
      <c r="M365" s="155"/>
      <c r="N365" s="155"/>
      <c r="O365" s="155"/>
      <c r="P365" s="155"/>
      <c r="Q365" s="155"/>
      <c r="R365" s="155"/>
      <c r="S365" s="151" t="s">
        <v>47</v>
      </c>
      <c r="T365" s="151" t="s">
        <v>48</v>
      </c>
      <c r="U365" s="156" t="s">
        <v>1673</v>
      </c>
      <c r="V365" s="151">
        <v>1</v>
      </c>
      <c r="W365" s="151" t="s">
        <v>50</v>
      </c>
      <c r="X365" s="151"/>
      <c r="Y365" s="156" t="s">
        <v>132</v>
      </c>
      <c r="Z365" s="156"/>
      <c r="AA365" s="156"/>
      <c r="AB365" s="156"/>
      <c r="AC365" s="156"/>
      <c r="AD365" s="155">
        <v>45785</v>
      </c>
      <c r="AE365" s="157">
        <v>2700</v>
      </c>
      <c r="AF365" s="157">
        <v>6300</v>
      </c>
      <c r="AG365" s="155">
        <v>45731</v>
      </c>
      <c r="AH365" s="155">
        <v>45746</v>
      </c>
      <c r="AI365" s="155">
        <v>45772</v>
      </c>
      <c r="AJ365" s="158">
        <v>45772</v>
      </c>
      <c r="AK365" s="211"/>
      <c r="AL365" s="158"/>
      <c r="AM365" s="1"/>
    </row>
    <row r="366" spans="1:48" ht="45" hidden="1" customHeight="1">
      <c r="B366" s="159" t="s">
        <v>1611</v>
      </c>
      <c r="C366" s="159" t="s">
        <v>1339</v>
      </c>
      <c r="D366" s="159" t="s">
        <v>1340</v>
      </c>
      <c r="E366" s="159" t="s">
        <v>1612</v>
      </c>
      <c r="F366" s="152"/>
      <c r="G366" s="152" t="s">
        <v>287</v>
      </c>
      <c r="H366" s="152" t="s">
        <v>982</v>
      </c>
      <c r="I366" s="152">
        <v>61</v>
      </c>
      <c r="J366" s="151" t="s">
        <v>1613</v>
      </c>
      <c r="K366" s="153">
        <v>45717</v>
      </c>
      <c r="L366" s="154" t="s">
        <v>45</v>
      </c>
      <c r="M366" s="155"/>
      <c r="N366" s="155"/>
      <c r="O366" s="155"/>
      <c r="P366" s="155">
        <v>45743</v>
      </c>
      <c r="Q366" s="155" t="s">
        <v>289</v>
      </c>
      <c r="R366" s="155"/>
      <c r="S366" s="151" t="s">
        <v>47</v>
      </c>
      <c r="T366" s="151" t="s">
        <v>48</v>
      </c>
      <c r="U366" s="156" t="s">
        <v>1614</v>
      </c>
      <c r="V366" s="151" t="s">
        <v>85</v>
      </c>
      <c r="W366" s="151" t="s">
        <v>67</v>
      </c>
      <c r="X366" s="151"/>
      <c r="Y366" s="156" t="s">
        <v>827</v>
      </c>
      <c r="Z366" s="156"/>
      <c r="AA366" s="156"/>
      <c r="AB366" s="156"/>
      <c r="AC366" s="156"/>
      <c r="AD366" s="155">
        <v>45748</v>
      </c>
      <c r="AE366" s="157">
        <v>300</v>
      </c>
      <c r="AF366" s="157">
        <v>6500</v>
      </c>
      <c r="AG366" s="155">
        <v>45729</v>
      </c>
      <c r="AH366" s="155">
        <v>45744</v>
      </c>
      <c r="AI366" s="155"/>
      <c r="AJ366" s="158">
        <v>45747</v>
      </c>
      <c r="AK366" s="211"/>
      <c r="AL366" s="158"/>
      <c r="AM366" s="1"/>
    </row>
    <row r="367" spans="1:48" ht="45" hidden="1" customHeight="1">
      <c r="B367" s="159" t="s">
        <v>1688</v>
      </c>
      <c r="C367" s="159" t="s">
        <v>126</v>
      </c>
      <c r="D367" s="159" t="s">
        <v>127</v>
      </c>
      <c r="E367" s="159" t="s">
        <v>1689</v>
      </c>
      <c r="F367" s="152"/>
      <c r="G367" s="152" t="s">
        <v>391</v>
      </c>
      <c r="H367" s="152" t="s">
        <v>42</v>
      </c>
      <c r="I367" s="152" t="s">
        <v>1690</v>
      </c>
      <c r="J367" s="151"/>
      <c r="K367" s="153">
        <v>45717</v>
      </c>
      <c r="L367" s="154" t="s">
        <v>45</v>
      </c>
      <c r="M367" s="155"/>
      <c r="N367" s="155"/>
      <c r="O367" s="155"/>
      <c r="P367" s="155"/>
      <c r="Q367" s="155"/>
      <c r="R367" s="155" t="s">
        <v>1631</v>
      </c>
      <c r="S367" s="151" t="s">
        <v>47</v>
      </c>
      <c r="T367" s="151" t="s">
        <v>48</v>
      </c>
      <c r="U367" s="156" t="s">
        <v>1691</v>
      </c>
      <c r="V367" s="151" t="s">
        <v>85</v>
      </c>
      <c r="W367" s="151" t="s">
        <v>1204</v>
      </c>
      <c r="X367" s="151"/>
      <c r="Y367" s="156" t="s">
        <v>170</v>
      </c>
      <c r="Z367" s="156"/>
      <c r="AA367" s="156"/>
      <c r="AB367" s="156"/>
      <c r="AC367" s="156"/>
      <c r="AD367" s="155">
        <v>45785</v>
      </c>
      <c r="AE367" s="157">
        <v>900</v>
      </c>
      <c r="AF367" s="157">
        <v>2300</v>
      </c>
      <c r="AG367" s="155" t="s">
        <v>1692</v>
      </c>
      <c r="AH367" s="155">
        <v>45762</v>
      </c>
      <c r="AI367" s="155">
        <v>45773</v>
      </c>
      <c r="AJ367" s="158">
        <v>45776</v>
      </c>
      <c r="AK367" s="211"/>
      <c r="AL367" s="158"/>
      <c r="AM367" s="1"/>
    </row>
    <row r="368" spans="1:48" ht="45" hidden="1" customHeight="1">
      <c r="A368" s="1"/>
      <c r="B368" s="159" t="s">
        <v>1642</v>
      </c>
      <c r="C368" s="159" t="s">
        <v>126</v>
      </c>
      <c r="D368" s="159" t="s">
        <v>127</v>
      </c>
      <c r="E368" s="159" t="s">
        <v>1643</v>
      </c>
      <c r="F368" s="152"/>
      <c r="G368" s="152" t="s">
        <v>391</v>
      </c>
      <c r="H368" s="152" t="s">
        <v>42</v>
      </c>
      <c r="I368" s="152" t="s">
        <v>1644</v>
      </c>
      <c r="J368" s="151"/>
      <c r="K368" s="153">
        <v>45717</v>
      </c>
      <c r="L368" s="154" t="s">
        <v>45</v>
      </c>
      <c r="M368" s="155"/>
      <c r="N368" s="155"/>
      <c r="O368" s="155"/>
      <c r="P368" s="155"/>
      <c r="Q368" s="155"/>
      <c r="R368" s="155" t="s">
        <v>157</v>
      </c>
      <c r="S368" s="151" t="s">
        <v>47</v>
      </c>
      <c r="T368" s="151" t="s">
        <v>48</v>
      </c>
      <c r="U368" s="156" t="s">
        <v>1645</v>
      </c>
      <c r="V368" s="151" t="s">
        <v>85</v>
      </c>
      <c r="W368" s="151" t="s">
        <v>67</v>
      </c>
      <c r="X368" s="151"/>
      <c r="Y368" s="156" t="s">
        <v>132</v>
      </c>
      <c r="Z368" s="156"/>
      <c r="AA368" s="156"/>
      <c r="AB368" s="156"/>
      <c r="AC368" s="156"/>
      <c r="AD368" s="155">
        <v>45769</v>
      </c>
      <c r="AE368" s="157">
        <v>1200</v>
      </c>
      <c r="AF368" s="157">
        <v>1600</v>
      </c>
      <c r="AG368" s="155">
        <v>45748</v>
      </c>
      <c r="AH368" s="155">
        <v>45759</v>
      </c>
      <c r="AI368" s="155"/>
      <c r="AJ368" s="158">
        <v>45759</v>
      </c>
      <c r="AK368" s="211"/>
      <c r="AL368" s="158"/>
      <c r="AM368" s="1"/>
      <c r="AN368" s="1"/>
      <c r="AO368" s="1"/>
      <c r="AP368" s="1"/>
      <c r="AQ368" s="1"/>
      <c r="AR368" s="1"/>
      <c r="AS368" s="1"/>
      <c r="AT368" s="1"/>
      <c r="AU368" s="1"/>
      <c r="AV368" s="1"/>
    </row>
    <row r="369" spans="1:48" ht="45" hidden="1" customHeight="1">
      <c r="A369" s="1"/>
      <c r="B369" s="159" t="s">
        <v>1708</v>
      </c>
      <c r="C369" s="159" t="s">
        <v>606</v>
      </c>
      <c r="D369" s="159" t="s">
        <v>607</v>
      </c>
      <c r="E369" s="159" t="s">
        <v>1709</v>
      </c>
      <c r="F369" s="152"/>
      <c r="G369" s="152" t="s">
        <v>287</v>
      </c>
      <c r="H369" s="152" t="s">
        <v>42</v>
      </c>
      <c r="I369" s="152">
        <v>71.072000000000003</v>
      </c>
      <c r="J369" s="151"/>
      <c r="K369" s="153">
        <v>45717</v>
      </c>
      <c r="L369" s="154" t="s">
        <v>45</v>
      </c>
      <c r="M369" s="155" t="s">
        <v>900</v>
      </c>
      <c r="N369" s="155" t="s">
        <v>288</v>
      </c>
      <c r="O369" s="155"/>
      <c r="P369" s="155"/>
      <c r="Q369" s="155" t="s">
        <v>289</v>
      </c>
      <c r="R369" s="155" t="s">
        <v>157</v>
      </c>
      <c r="S369" s="151" t="s">
        <v>47</v>
      </c>
      <c r="T369" s="151" t="s">
        <v>48</v>
      </c>
      <c r="U369" s="156" t="s">
        <v>1710</v>
      </c>
      <c r="V369" s="151" t="s">
        <v>85</v>
      </c>
      <c r="W369" s="151" t="s">
        <v>1460</v>
      </c>
      <c r="X369" s="151"/>
      <c r="Y369" s="156" t="s">
        <v>51</v>
      </c>
      <c r="Z369" s="156"/>
      <c r="AA369" s="156"/>
      <c r="AB369" s="156"/>
      <c r="AC369" s="156"/>
      <c r="AD369" s="155">
        <v>45785</v>
      </c>
      <c r="AE369" s="157">
        <v>900</v>
      </c>
      <c r="AF369" s="157">
        <v>700</v>
      </c>
      <c r="AG369" s="155">
        <v>45747</v>
      </c>
      <c r="AH369" s="155">
        <v>45763</v>
      </c>
      <c r="AI369" s="155"/>
      <c r="AJ369" s="158">
        <v>45777</v>
      </c>
      <c r="AK369" s="211"/>
      <c r="AL369" s="158"/>
      <c r="AM369" s="1"/>
      <c r="AN369" s="1"/>
      <c r="AO369" s="1"/>
      <c r="AP369" s="1"/>
      <c r="AQ369" s="1"/>
      <c r="AR369" s="1"/>
      <c r="AS369" s="1"/>
      <c r="AT369" s="1"/>
      <c r="AU369" s="1"/>
      <c r="AV369" s="1"/>
    </row>
    <row r="370" spans="1:48" ht="45" hidden="1" customHeight="1">
      <c r="B370" s="159" t="s">
        <v>1629</v>
      </c>
      <c r="C370" s="159" t="s">
        <v>648</v>
      </c>
      <c r="D370" s="159" t="s">
        <v>997</v>
      </c>
      <c r="E370" s="159" t="s">
        <v>1630</v>
      </c>
      <c r="F370" s="152"/>
      <c r="G370" s="152" t="s">
        <v>296</v>
      </c>
      <c r="H370" s="152" t="s">
        <v>42</v>
      </c>
      <c r="I370" s="152">
        <v>171</v>
      </c>
      <c r="J370" s="151"/>
      <c r="K370" s="153">
        <v>45717</v>
      </c>
      <c r="L370" s="154" t="s">
        <v>45</v>
      </c>
      <c r="M370" s="155"/>
      <c r="N370" s="155"/>
      <c r="O370" s="155"/>
      <c r="P370" s="155"/>
      <c r="Q370" s="155"/>
      <c r="R370" s="155" t="s">
        <v>1631</v>
      </c>
      <c r="S370" s="151" t="s">
        <v>47</v>
      </c>
      <c r="T370" s="151" t="s">
        <v>48</v>
      </c>
      <c r="U370" s="156" t="s">
        <v>1632</v>
      </c>
      <c r="V370" s="151" t="s">
        <v>85</v>
      </c>
      <c r="W370" s="195" t="s">
        <v>147</v>
      </c>
      <c r="X370" s="151"/>
      <c r="Y370" s="156" t="s">
        <v>62</v>
      </c>
      <c r="Z370" s="156"/>
      <c r="AA370" s="156"/>
      <c r="AB370" s="156"/>
      <c r="AC370" s="156"/>
      <c r="AD370" s="155">
        <v>45769</v>
      </c>
      <c r="AE370" s="157">
        <v>1800</v>
      </c>
      <c r="AF370" s="157">
        <v>1000</v>
      </c>
      <c r="AG370" s="155">
        <v>45748</v>
      </c>
      <c r="AH370" s="155">
        <v>45756</v>
      </c>
      <c r="AI370" s="155"/>
      <c r="AJ370" s="158">
        <v>45755</v>
      </c>
      <c r="AK370" s="211"/>
      <c r="AL370" s="158"/>
      <c r="AM370" s="1"/>
    </row>
    <row r="371" spans="1:48" ht="45" hidden="1" customHeight="1">
      <c r="B371" s="159" t="s">
        <v>1646</v>
      </c>
      <c r="C371" s="159" t="s">
        <v>54</v>
      </c>
      <c r="D371" s="159" t="s">
        <v>55</v>
      </c>
      <c r="E371" s="159" t="s">
        <v>1647</v>
      </c>
      <c r="F371" s="152"/>
      <c r="G371" s="152" t="s">
        <v>1648</v>
      </c>
      <c r="H371" s="152" t="s">
        <v>42</v>
      </c>
      <c r="I371" s="152" t="s">
        <v>1649</v>
      </c>
      <c r="J371" s="151"/>
      <c r="K371" s="153">
        <v>45717</v>
      </c>
      <c r="L371" s="154" t="s">
        <v>45</v>
      </c>
      <c r="M371" s="155"/>
      <c r="N371" s="155"/>
      <c r="O371" s="155"/>
      <c r="P371" s="155"/>
      <c r="Q371" s="155"/>
      <c r="R371" s="155" t="s">
        <v>1650</v>
      </c>
      <c r="S371" s="151" t="s">
        <v>47</v>
      </c>
      <c r="T371" s="151" t="s">
        <v>48</v>
      </c>
      <c r="U371" s="156" t="s">
        <v>1651</v>
      </c>
      <c r="V371" s="151" t="s">
        <v>85</v>
      </c>
      <c r="W371" s="151" t="s">
        <v>77</v>
      </c>
      <c r="X371" s="151"/>
      <c r="Y371" s="156" t="s">
        <v>77</v>
      </c>
      <c r="Z371" s="156"/>
      <c r="AA371" s="156"/>
      <c r="AB371" s="156"/>
      <c r="AC371" s="156"/>
      <c r="AD371" s="155">
        <v>45769</v>
      </c>
      <c r="AE371" s="157"/>
      <c r="AF371" s="157">
        <v>1300</v>
      </c>
      <c r="AG371" s="155">
        <v>45748</v>
      </c>
      <c r="AH371" s="155">
        <v>45762</v>
      </c>
      <c r="AI371" s="155"/>
      <c r="AJ371" s="158">
        <v>45762</v>
      </c>
      <c r="AK371" s="211"/>
      <c r="AL371" s="158"/>
      <c r="AM371" s="1"/>
    </row>
    <row r="372" spans="1:48" ht="45" hidden="1" customHeight="1">
      <c r="B372" s="159" t="s">
        <v>1652</v>
      </c>
      <c r="C372" s="159" t="s">
        <v>606</v>
      </c>
      <c r="D372" s="159" t="s">
        <v>607</v>
      </c>
      <c r="E372" s="159" t="s">
        <v>1653</v>
      </c>
      <c r="F372" s="152"/>
      <c r="G372" s="152" t="s">
        <v>145</v>
      </c>
      <c r="H372" s="152" t="s">
        <v>42</v>
      </c>
      <c r="I372" s="152">
        <v>22</v>
      </c>
      <c r="J372" s="151"/>
      <c r="K372" s="153">
        <v>45717</v>
      </c>
      <c r="L372" s="154" t="s">
        <v>45</v>
      </c>
      <c r="M372" s="155" t="s">
        <v>900</v>
      </c>
      <c r="N372" s="155" t="s">
        <v>288</v>
      </c>
      <c r="O372" s="155"/>
      <c r="P372" s="155"/>
      <c r="Q372" s="155" t="s">
        <v>289</v>
      </c>
      <c r="R372" s="155" t="s">
        <v>46</v>
      </c>
      <c r="S372" s="151" t="s">
        <v>47</v>
      </c>
      <c r="T372" s="151" t="s">
        <v>48</v>
      </c>
      <c r="U372" s="156" t="s">
        <v>1654</v>
      </c>
      <c r="V372" s="151" t="s">
        <v>85</v>
      </c>
      <c r="W372" s="151" t="s">
        <v>62</v>
      </c>
      <c r="X372" s="151"/>
      <c r="Y372" s="156" t="s">
        <v>62</v>
      </c>
      <c r="Z372" s="156"/>
      <c r="AA372" s="156"/>
      <c r="AB372" s="156"/>
      <c r="AC372" s="156"/>
      <c r="AD372" s="155">
        <v>45769</v>
      </c>
      <c r="AE372" s="157">
        <v>0</v>
      </c>
      <c r="AF372" s="157">
        <v>200</v>
      </c>
      <c r="AG372" s="155">
        <v>45754</v>
      </c>
      <c r="AH372" s="155">
        <v>45764</v>
      </c>
      <c r="AI372" s="155"/>
      <c r="AJ372" s="158">
        <v>45762</v>
      </c>
      <c r="AK372" s="211"/>
      <c r="AL372" s="158"/>
      <c r="AM372" s="1"/>
    </row>
    <row r="373" spans="1:48" ht="45" hidden="1" customHeight="1">
      <c r="B373" s="159" t="s">
        <v>1678</v>
      </c>
      <c r="C373" s="159" t="s">
        <v>248</v>
      </c>
      <c r="D373" s="159" t="s">
        <v>249</v>
      </c>
      <c r="E373" s="159" t="s">
        <v>1679</v>
      </c>
      <c r="F373" s="152"/>
      <c r="G373" s="152" t="s">
        <v>296</v>
      </c>
      <c r="H373" s="152" t="s">
        <v>42</v>
      </c>
      <c r="I373" s="152" t="s">
        <v>186</v>
      </c>
      <c r="J373" s="151"/>
      <c r="K373" s="153">
        <v>45717</v>
      </c>
      <c r="L373" s="154" t="s">
        <v>45</v>
      </c>
      <c r="M373" s="155"/>
      <c r="N373" s="155"/>
      <c r="O373" s="155"/>
      <c r="P373" s="155"/>
      <c r="Q373" s="155"/>
      <c r="R373" s="155" t="s">
        <v>46</v>
      </c>
      <c r="S373" s="151" t="s">
        <v>47</v>
      </c>
      <c r="T373" s="151" t="s">
        <v>48</v>
      </c>
      <c r="U373" s="156" t="s">
        <v>1680</v>
      </c>
      <c r="V373" s="151" t="s">
        <v>85</v>
      </c>
      <c r="W373" s="151" t="s">
        <v>200</v>
      </c>
      <c r="X373" s="151"/>
      <c r="Y373" s="156" t="s">
        <v>200</v>
      </c>
      <c r="Z373" s="156"/>
      <c r="AA373" s="156"/>
      <c r="AB373" s="156"/>
      <c r="AC373" s="156"/>
      <c r="AD373" s="155">
        <v>45785</v>
      </c>
      <c r="AE373" s="157">
        <v>600</v>
      </c>
      <c r="AF373" s="157">
        <v>1200</v>
      </c>
      <c r="AG373" s="155">
        <v>45758</v>
      </c>
      <c r="AH373" s="155">
        <v>45768</v>
      </c>
      <c r="AI373" s="155">
        <v>45775</v>
      </c>
      <c r="AJ373" s="158">
        <v>45774</v>
      </c>
      <c r="AK373" s="211"/>
      <c r="AL373" s="158"/>
      <c r="AM373" s="1"/>
    </row>
    <row r="374" spans="1:48" ht="45" hidden="1" customHeight="1">
      <c r="B374" s="159" t="s">
        <v>1778</v>
      </c>
      <c r="C374" s="159" t="s">
        <v>979</v>
      </c>
      <c r="D374" s="159" t="s">
        <v>980</v>
      </c>
      <c r="E374" s="159" t="s">
        <v>1779</v>
      </c>
      <c r="F374" s="152"/>
      <c r="G374" s="152" t="s">
        <v>1780</v>
      </c>
      <c r="H374" s="152" t="s">
        <v>982</v>
      </c>
      <c r="I374" s="152">
        <v>131.13200000000001</v>
      </c>
      <c r="J374" s="151"/>
      <c r="K374" s="153">
        <v>45717</v>
      </c>
      <c r="L374" s="154" t="s">
        <v>99</v>
      </c>
      <c r="M374" s="155"/>
      <c r="N374" s="155"/>
      <c r="O374" s="155"/>
      <c r="P374" s="155"/>
      <c r="Q374" s="155"/>
      <c r="R374" s="155" t="s">
        <v>46</v>
      </c>
      <c r="S374" s="151" t="s">
        <v>47</v>
      </c>
      <c r="T374" s="151" t="s">
        <v>48</v>
      </c>
      <c r="U374" s="156" t="s">
        <v>1781</v>
      </c>
      <c r="V374" s="151" t="s">
        <v>85</v>
      </c>
      <c r="W374" s="151" t="s">
        <v>1782</v>
      </c>
      <c r="X374" s="151"/>
      <c r="Y374" s="156" t="s">
        <v>827</v>
      </c>
      <c r="Z374" s="156"/>
      <c r="AA374" s="156"/>
      <c r="AB374" s="156"/>
      <c r="AC374" s="156"/>
      <c r="AD374" s="155">
        <v>45826</v>
      </c>
      <c r="AE374" s="157">
        <v>2200</v>
      </c>
      <c r="AF374" s="157">
        <v>7000</v>
      </c>
      <c r="AG374" s="155">
        <v>45754</v>
      </c>
      <c r="AH374" s="155">
        <v>45782</v>
      </c>
      <c r="AI374" s="155"/>
      <c r="AJ374" s="158">
        <v>45800</v>
      </c>
      <c r="AK374" s="211"/>
      <c r="AL374" s="158"/>
      <c r="AM374" s="1"/>
    </row>
    <row r="375" spans="1:48" ht="45" hidden="1" customHeight="1">
      <c r="B375" s="159" t="s">
        <v>1655</v>
      </c>
      <c r="C375" s="159" t="s">
        <v>267</v>
      </c>
      <c r="D375" s="159" t="s">
        <v>268</v>
      </c>
      <c r="E375" s="159" t="s">
        <v>1656</v>
      </c>
      <c r="F375" s="152"/>
      <c r="G375" s="152" t="s">
        <v>137</v>
      </c>
      <c r="H375" s="152" t="s">
        <v>42</v>
      </c>
      <c r="I375" s="152">
        <v>171</v>
      </c>
      <c r="J375" s="151"/>
      <c r="K375" s="153">
        <v>45748</v>
      </c>
      <c r="L375" s="154" t="s">
        <v>45</v>
      </c>
      <c r="M375" s="155"/>
      <c r="N375" s="155"/>
      <c r="O375" s="155"/>
      <c r="P375" s="155"/>
      <c r="Q375" s="155"/>
      <c r="R375" s="155" t="s">
        <v>46</v>
      </c>
      <c r="S375" s="151" t="s">
        <v>47</v>
      </c>
      <c r="T375" s="151" t="s">
        <v>48</v>
      </c>
      <c r="U375" s="156" t="s">
        <v>1657</v>
      </c>
      <c r="V375" s="151" t="s">
        <v>85</v>
      </c>
      <c r="W375" s="151" t="s">
        <v>1460</v>
      </c>
      <c r="X375" s="151"/>
      <c r="Y375" s="156" t="s">
        <v>51</v>
      </c>
      <c r="Z375" s="156"/>
      <c r="AA375" s="156"/>
      <c r="AB375" s="156"/>
      <c r="AC375" s="156"/>
      <c r="AD375" s="155">
        <v>45769</v>
      </c>
      <c r="AE375" s="157">
        <v>700</v>
      </c>
      <c r="AF375" s="157">
        <v>1000</v>
      </c>
      <c r="AG375" s="155">
        <v>45757</v>
      </c>
      <c r="AH375" s="155">
        <v>45764</v>
      </c>
      <c r="AI375" s="155"/>
      <c r="AJ375" s="158">
        <v>45766</v>
      </c>
      <c r="AK375" s="211"/>
      <c r="AL375" s="158"/>
      <c r="AM375" s="1"/>
    </row>
    <row r="376" spans="1:48" ht="45" hidden="1" customHeight="1">
      <c r="B376" s="159" t="s">
        <v>1693</v>
      </c>
      <c r="C376" s="159" t="s">
        <v>267</v>
      </c>
      <c r="D376" s="159" t="s">
        <v>268</v>
      </c>
      <c r="E376" s="159" t="s">
        <v>1694</v>
      </c>
      <c r="F376" s="152"/>
      <c r="G376" s="152" t="s">
        <v>137</v>
      </c>
      <c r="H376" s="152" t="s">
        <v>42</v>
      </c>
      <c r="I376" s="152">
        <v>151.15199999999999</v>
      </c>
      <c r="J376" s="151"/>
      <c r="K376" s="153">
        <v>45748</v>
      </c>
      <c r="L376" s="154" t="s">
        <v>45</v>
      </c>
      <c r="M376" s="155"/>
      <c r="N376" s="155"/>
      <c r="O376" s="155"/>
      <c r="P376" s="155"/>
      <c r="Q376" s="155"/>
      <c r="R376" s="155" t="s">
        <v>46</v>
      </c>
      <c r="S376" s="151" t="s">
        <v>47</v>
      </c>
      <c r="T376" s="151" t="s">
        <v>48</v>
      </c>
      <c r="U376" s="156" t="s">
        <v>1695</v>
      </c>
      <c r="V376" s="151" t="s">
        <v>85</v>
      </c>
      <c r="W376" s="151" t="s">
        <v>50</v>
      </c>
      <c r="X376" s="151"/>
      <c r="Y376" s="156" t="s">
        <v>62</v>
      </c>
      <c r="Z376" s="156"/>
      <c r="AA376" s="156"/>
      <c r="AB376" s="156"/>
      <c r="AC376" s="156"/>
      <c r="AD376" s="155">
        <v>45785</v>
      </c>
      <c r="AE376" s="157">
        <v>700</v>
      </c>
      <c r="AF376" s="157">
        <v>2800</v>
      </c>
      <c r="AG376" s="155">
        <v>45756</v>
      </c>
      <c r="AH376" s="155">
        <v>45770</v>
      </c>
      <c r="AI376" s="155"/>
      <c r="AJ376" s="158">
        <v>45776</v>
      </c>
      <c r="AK376" s="211"/>
      <c r="AL376" s="158"/>
      <c r="AM376" s="1"/>
    </row>
    <row r="377" spans="1:48" ht="45" hidden="1" customHeight="1">
      <c r="A377" s="1"/>
      <c r="B377" s="159" t="s">
        <v>1714</v>
      </c>
      <c r="C377" s="159" t="s">
        <v>267</v>
      </c>
      <c r="D377" s="159" t="s">
        <v>268</v>
      </c>
      <c r="E377" s="159" t="s">
        <v>1715</v>
      </c>
      <c r="F377" s="152"/>
      <c r="G377" s="152" t="s">
        <v>137</v>
      </c>
      <c r="H377" s="152" t="s">
        <v>42</v>
      </c>
      <c r="I377" s="152">
        <v>31.032</v>
      </c>
      <c r="J377" s="151"/>
      <c r="K377" s="153">
        <v>45748</v>
      </c>
      <c r="L377" s="154" t="s">
        <v>45</v>
      </c>
      <c r="M377" s="155"/>
      <c r="N377" s="155"/>
      <c r="O377" s="155"/>
      <c r="P377" s="155"/>
      <c r="Q377" s="155"/>
      <c r="R377" s="155" t="s">
        <v>46</v>
      </c>
      <c r="S377" s="151" t="s">
        <v>47</v>
      </c>
      <c r="T377" s="151" t="s">
        <v>48</v>
      </c>
      <c r="U377" s="156" t="s">
        <v>1716</v>
      </c>
      <c r="V377" s="151" t="s">
        <v>85</v>
      </c>
      <c r="W377" s="195" t="s">
        <v>147</v>
      </c>
      <c r="X377" s="151"/>
      <c r="Y377" s="156" t="s">
        <v>51</v>
      </c>
      <c r="Z377" s="156"/>
      <c r="AA377" s="156"/>
      <c r="AB377" s="156"/>
      <c r="AC377" s="156"/>
      <c r="AD377" s="155">
        <v>45785</v>
      </c>
      <c r="AE377" s="157">
        <v>500</v>
      </c>
      <c r="AF377" s="157">
        <v>1700</v>
      </c>
      <c r="AG377" s="155">
        <v>45758</v>
      </c>
      <c r="AH377" s="155">
        <v>45770</v>
      </c>
      <c r="AI377" s="155"/>
      <c r="AJ377" s="158">
        <v>45777</v>
      </c>
      <c r="AK377" s="211"/>
      <c r="AL377" s="158"/>
      <c r="AM377" s="1"/>
      <c r="AN377" s="1"/>
      <c r="AO377" s="1"/>
      <c r="AP377" s="1"/>
      <c r="AQ377" s="1"/>
      <c r="AR377" s="1"/>
      <c r="AS377" s="1"/>
      <c r="AT377" s="1"/>
      <c r="AU377" s="1"/>
      <c r="AV377" s="1"/>
    </row>
    <row r="378" spans="1:48" ht="45" hidden="1" customHeight="1">
      <c r="B378" s="159" t="s">
        <v>1658</v>
      </c>
      <c r="C378" s="159" t="s">
        <v>267</v>
      </c>
      <c r="D378" s="159" t="s">
        <v>268</v>
      </c>
      <c r="E378" s="159" t="s">
        <v>1659</v>
      </c>
      <c r="F378" s="152"/>
      <c r="G378" s="152" t="s">
        <v>137</v>
      </c>
      <c r="H378" s="152" t="s">
        <v>42</v>
      </c>
      <c r="I378" s="152">
        <v>111</v>
      </c>
      <c r="J378" s="151" t="s">
        <v>1660</v>
      </c>
      <c r="K378" s="153">
        <v>45748</v>
      </c>
      <c r="L378" s="154" t="s">
        <v>45</v>
      </c>
      <c r="M378" s="155"/>
      <c r="N378" s="155"/>
      <c r="O378" s="155"/>
      <c r="P378" s="155"/>
      <c r="Q378" s="155"/>
      <c r="R378" s="155" t="s">
        <v>46</v>
      </c>
      <c r="S378" s="151" t="s">
        <v>47</v>
      </c>
      <c r="T378" s="151" t="s">
        <v>48</v>
      </c>
      <c r="U378" s="156" t="s">
        <v>1661</v>
      </c>
      <c r="V378" s="151" t="s">
        <v>85</v>
      </c>
      <c r="W378" s="151" t="s">
        <v>94</v>
      </c>
      <c r="X378" s="151"/>
      <c r="Y378" s="156" t="s">
        <v>170</v>
      </c>
      <c r="Z378" s="156"/>
      <c r="AA378" s="156"/>
      <c r="AB378" s="156"/>
      <c r="AC378" s="156"/>
      <c r="AD378" s="155">
        <v>45769</v>
      </c>
      <c r="AE378" s="157">
        <v>1200</v>
      </c>
      <c r="AF378" s="157">
        <v>1300</v>
      </c>
      <c r="AG378" s="155">
        <v>45756</v>
      </c>
      <c r="AH378" s="155">
        <v>45764</v>
      </c>
      <c r="AI378" s="155"/>
      <c r="AJ378" s="158">
        <v>45766</v>
      </c>
      <c r="AK378" s="211"/>
      <c r="AL378" s="158"/>
      <c r="AM378" s="1"/>
    </row>
    <row r="379" spans="1:48" ht="45" hidden="1" customHeight="1">
      <c r="A379" s="1"/>
      <c r="B379" s="159" t="s">
        <v>1666</v>
      </c>
      <c r="C379" s="159" t="s">
        <v>267</v>
      </c>
      <c r="D379" s="159" t="s">
        <v>268</v>
      </c>
      <c r="E379" s="159" t="s">
        <v>1667</v>
      </c>
      <c r="F379" s="152"/>
      <c r="G379" s="152" t="s">
        <v>137</v>
      </c>
      <c r="H379" s="152" t="s">
        <v>42</v>
      </c>
      <c r="I379" s="152">
        <v>131</v>
      </c>
      <c r="J379" s="151"/>
      <c r="K379" s="153">
        <v>45748</v>
      </c>
      <c r="L379" s="154" t="s">
        <v>45</v>
      </c>
      <c r="M379" s="155"/>
      <c r="N379" s="155"/>
      <c r="O379" s="155"/>
      <c r="P379" s="155"/>
      <c r="Q379" s="155"/>
      <c r="R379" s="155" t="s">
        <v>46</v>
      </c>
      <c r="S379" s="151" t="s">
        <v>47</v>
      </c>
      <c r="T379" s="151" t="s">
        <v>48</v>
      </c>
      <c r="U379" s="156" t="s">
        <v>1668</v>
      </c>
      <c r="V379" s="151" t="s">
        <v>85</v>
      </c>
      <c r="W379" s="195" t="s">
        <v>147</v>
      </c>
      <c r="X379" s="151"/>
      <c r="Y379" s="156" t="s">
        <v>68</v>
      </c>
      <c r="Z379" s="156"/>
      <c r="AA379" s="156"/>
      <c r="AB379" s="156"/>
      <c r="AC379" s="156"/>
      <c r="AD379" s="155">
        <v>45785</v>
      </c>
      <c r="AE379" s="157">
        <v>400</v>
      </c>
      <c r="AF379" s="157">
        <v>500</v>
      </c>
      <c r="AG379" s="155">
        <v>45761</v>
      </c>
      <c r="AH379" s="155">
        <v>45773</v>
      </c>
      <c r="AI379" s="155"/>
      <c r="AJ379" s="158">
        <v>45771</v>
      </c>
      <c r="AK379" s="211"/>
      <c r="AL379" s="158"/>
      <c r="AM379" s="1"/>
      <c r="AN379" s="1"/>
      <c r="AO379" s="1"/>
      <c r="AP379" s="1"/>
      <c r="AQ379" s="1"/>
      <c r="AR379" s="1"/>
      <c r="AS379" s="1"/>
      <c r="AT379" s="1"/>
      <c r="AU379" s="1"/>
      <c r="AV379" s="1"/>
    </row>
    <row r="380" spans="1:48" ht="45" hidden="1" customHeight="1">
      <c r="B380" s="159" t="s">
        <v>1765</v>
      </c>
      <c r="C380" s="159" t="s">
        <v>111</v>
      </c>
      <c r="D380" s="159" t="s">
        <v>112</v>
      </c>
      <c r="E380" s="159" t="s">
        <v>1766</v>
      </c>
      <c r="F380" s="152"/>
      <c r="G380" s="152" t="s">
        <v>1676</v>
      </c>
      <c r="H380" s="152" t="s">
        <v>42</v>
      </c>
      <c r="I380" s="152" t="s">
        <v>1601</v>
      </c>
      <c r="J380" s="151" t="s">
        <v>1613</v>
      </c>
      <c r="K380" s="153">
        <v>45748</v>
      </c>
      <c r="L380" s="154" t="s">
        <v>45</v>
      </c>
      <c r="M380" s="155"/>
      <c r="N380" s="155"/>
      <c r="O380" s="155"/>
      <c r="P380" s="155"/>
      <c r="Q380" s="155"/>
      <c r="R380" s="155" t="s">
        <v>46</v>
      </c>
      <c r="S380" s="151" t="s">
        <v>47</v>
      </c>
      <c r="T380" s="151" t="s">
        <v>48</v>
      </c>
      <c r="U380" s="156" t="s">
        <v>1767</v>
      </c>
      <c r="V380" s="151" t="s">
        <v>85</v>
      </c>
      <c r="W380" s="151" t="s">
        <v>94</v>
      </c>
      <c r="X380" s="151"/>
      <c r="Y380" s="156" t="s">
        <v>62</v>
      </c>
      <c r="Z380" s="156"/>
      <c r="AA380" s="156"/>
      <c r="AB380" s="156" t="s">
        <v>1768</v>
      </c>
      <c r="AC380" s="156"/>
      <c r="AD380" s="155">
        <v>45826</v>
      </c>
      <c r="AE380" s="157">
        <v>1000</v>
      </c>
      <c r="AF380" s="157">
        <v>1700</v>
      </c>
      <c r="AG380" s="155">
        <v>45757</v>
      </c>
      <c r="AH380" s="155">
        <v>45764</v>
      </c>
      <c r="AI380" s="155" t="s">
        <v>1769</v>
      </c>
      <c r="AJ380" s="158">
        <v>45797</v>
      </c>
      <c r="AK380" s="211">
        <v>45826</v>
      </c>
      <c r="AL380" s="158"/>
      <c r="AM380" s="1"/>
    </row>
    <row r="381" spans="1:48" ht="45" hidden="1" customHeight="1">
      <c r="B381" s="159" t="s">
        <v>1674</v>
      </c>
      <c r="C381" s="159" t="s">
        <v>111</v>
      </c>
      <c r="D381" s="159" t="s">
        <v>112</v>
      </c>
      <c r="E381" s="159" t="s">
        <v>1675</v>
      </c>
      <c r="F381" s="152"/>
      <c r="G381" s="152" t="s">
        <v>1676</v>
      </c>
      <c r="H381" s="152" t="s">
        <v>42</v>
      </c>
      <c r="I381" s="152">
        <v>51</v>
      </c>
      <c r="J381" s="151" t="s">
        <v>1660</v>
      </c>
      <c r="K381" s="153">
        <v>45748</v>
      </c>
      <c r="L381" s="154" t="s">
        <v>45</v>
      </c>
      <c r="M381" s="155"/>
      <c r="N381" s="155"/>
      <c r="O381" s="155"/>
      <c r="P381" s="155"/>
      <c r="Q381" s="155"/>
      <c r="R381" s="155" t="s">
        <v>46</v>
      </c>
      <c r="S381" s="151" t="s">
        <v>47</v>
      </c>
      <c r="T381" s="151" t="s">
        <v>48</v>
      </c>
      <c r="U381" s="156" t="s">
        <v>1677</v>
      </c>
      <c r="V381" s="151" t="s">
        <v>85</v>
      </c>
      <c r="W381" s="151" t="s">
        <v>94</v>
      </c>
      <c r="X381" s="151"/>
      <c r="Y381" s="156" t="s">
        <v>77</v>
      </c>
      <c r="Z381" s="156"/>
      <c r="AA381" s="156"/>
      <c r="AB381" s="156"/>
      <c r="AC381" s="156"/>
      <c r="AD381" s="155">
        <v>45785</v>
      </c>
      <c r="AE381" s="157">
        <v>1500</v>
      </c>
      <c r="AF381" s="157">
        <v>100</v>
      </c>
      <c r="AG381" s="155">
        <v>45758</v>
      </c>
      <c r="AH381" s="155">
        <v>45779</v>
      </c>
      <c r="AI381" s="155"/>
      <c r="AJ381" s="158">
        <v>45773</v>
      </c>
      <c r="AK381" s="211"/>
      <c r="AL381" s="158"/>
      <c r="AM381" s="1"/>
    </row>
    <row r="382" spans="1:48" ht="45" hidden="1" customHeight="1">
      <c r="B382" s="159" t="s">
        <v>1684</v>
      </c>
      <c r="C382" s="159" t="s">
        <v>232</v>
      </c>
      <c r="D382" s="25" t="s">
        <v>8519</v>
      </c>
      <c r="E382" s="159" t="s">
        <v>1685</v>
      </c>
      <c r="F382" s="152"/>
      <c r="G382" s="152" t="s">
        <v>301</v>
      </c>
      <c r="H382" s="152" t="s">
        <v>42</v>
      </c>
      <c r="I382" s="152">
        <v>101.102</v>
      </c>
      <c r="J382" s="151"/>
      <c r="K382" s="153">
        <v>45748</v>
      </c>
      <c r="L382" s="154" t="s">
        <v>45</v>
      </c>
      <c r="M382" s="155"/>
      <c r="N382" s="155"/>
      <c r="O382" s="155"/>
      <c r="P382" s="155"/>
      <c r="Q382" s="155"/>
      <c r="R382" s="155" t="s">
        <v>46</v>
      </c>
      <c r="S382" s="151" t="s">
        <v>47</v>
      </c>
      <c r="T382" s="151" t="s">
        <v>48</v>
      </c>
      <c r="U382" s="156" t="s">
        <v>1686</v>
      </c>
      <c r="V382" s="151" t="s">
        <v>85</v>
      </c>
      <c r="W382" s="151" t="s">
        <v>50</v>
      </c>
      <c r="X382" s="151"/>
      <c r="Y382" s="156" t="s">
        <v>62</v>
      </c>
      <c r="Z382" s="156"/>
      <c r="AA382" s="156"/>
      <c r="AB382" s="156"/>
      <c r="AC382" s="156"/>
      <c r="AD382" s="155">
        <v>45785</v>
      </c>
      <c r="AE382" s="157">
        <v>500</v>
      </c>
      <c r="AF382" s="157">
        <v>1100</v>
      </c>
      <c r="AG382" s="155" t="s">
        <v>1687</v>
      </c>
      <c r="AH382" s="155">
        <v>45772</v>
      </c>
      <c r="AI382" s="155"/>
      <c r="AJ382" s="158">
        <v>45775</v>
      </c>
      <c r="AK382" s="211"/>
      <c r="AL382" s="158"/>
      <c r="AM382" s="1"/>
    </row>
    <row r="383" spans="1:48" ht="45" hidden="1" customHeight="1">
      <c r="A383" s="1"/>
      <c r="B383" s="159" t="s">
        <v>1717</v>
      </c>
      <c r="C383" s="159" t="s">
        <v>232</v>
      </c>
      <c r="D383" s="25" t="s">
        <v>8519</v>
      </c>
      <c r="E383" s="159" t="s">
        <v>1718</v>
      </c>
      <c r="F383" s="152"/>
      <c r="G383" s="152" t="s">
        <v>301</v>
      </c>
      <c r="H383" s="152" t="s">
        <v>42</v>
      </c>
      <c r="I383" s="152" t="s">
        <v>1719</v>
      </c>
      <c r="J383" s="151" t="s">
        <v>1660</v>
      </c>
      <c r="K383" s="153">
        <v>45748</v>
      </c>
      <c r="L383" s="154" t="s">
        <v>45</v>
      </c>
      <c r="M383" s="155"/>
      <c r="N383" s="155"/>
      <c r="O383" s="155"/>
      <c r="P383" s="155"/>
      <c r="Q383" s="155"/>
      <c r="R383" s="155" t="s">
        <v>46</v>
      </c>
      <c r="S383" s="151" t="s">
        <v>47</v>
      </c>
      <c r="T383" s="151" t="s">
        <v>48</v>
      </c>
      <c r="U383" s="156" t="s">
        <v>1720</v>
      </c>
      <c r="V383" s="151" t="s">
        <v>85</v>
      </c>
      <c r="W383" s="151" t="s">
        <v>77</v>
      </c>
      <c r="X383" s="151"/>
      <c r="Y383" s="156" t="s">
        <v>77</v>
      </c>
      <c r="Z383" s="156"/>
      <c r="AA383" s="156"/>
      <c r="AB383" s="156"/>
      <c r="AC383" s="156"/>
      <c r="AD383" s="155">
        <v>45785</v>
      </c>
      <c r="AE383" s="157">
        <v>1700</v>
      </c>
      <c r="AF383" s="157">
        <v>1600</v>
      </c>
      <c r="AG383" s="155">
        <v>45769</v>
      </c>
      <c r="AH383" s="155">
        <v>45781</v>
      </c>
      <c r="AI383" s="155"/>
      <c r="AJ383" s="158">
        <v>45779</v>
      </c>
      <c r="AK383" s="211"/>
      <c r="AL383" s="158"/>
      <c r="AM383" s="1"/>
      <c r="AN383" s="1"/>
      <c r="AO383" s="1"/>
      <c r="AP383" s="1"/>
      <c r="AQ383" s="1"/>
      <c r="AR383" s="1"/>
      <c r="AS383" s="1"/>
      <c r="AT383" s="1"/>
      <c r="AU383" s="1"/>
      <c r="AV383" s="1"/>
    </row>
    <row r="384" spans="1:48" ht="45" hidden="1" customHeight="1">
      <c r="A384" s="1"/>
      <c r="B384" s="159" t="s">
        <v>1729</v>
      </c>
      <c r="C384" s="159" t="s">
        <v>232</v>
      </c>
      <c r="D384" s="25" t="s">
        <v>8519</v>
      </c>
      <c r="E384" s="159" t="s">
        <v>1730</v>
      </c>
      <c r="F384" s="152"/>
      <c r="G384" s="152" t="s">
        <v>301</v>
      </c>
      <c r="H384" s="152" t="s">
        <v>42</v>
      </c>
      <c r="I384" s="152">
        <v>21</v>
      </c>
      <c r="J384" s="151" t="s">
        <v>1660</v>
      </c>
      <c r="K384" s="153">
        <v>45748</v>
      </c>
      <c r="L384" s="154" t="s">
        <v>45</v>
      </c>
      <c r="M384" s="155"/>
      <c r="N384" s="155"/>
      <c r="O384" s="155"/>
      <c r="P384" s="155"/>
      <c r="Q384" s="155"/>
      <c r="R384" s="155" t="s">
        <v>46</v>
      </c>
      <c r="S384" s="151" t="s">
        <v>47</v>
      </c>
      <c r="T384" s="151" t="s">
        <v>48</v>
      </c>
      <c r="U384" s="156" t="s">
        <v>1731</v>
      </c>
      <c r="V384" s="151" t="s">
        <v>85</v>
      </c>
      <c r="W384" s="151" t="s">
        <v>6824</v>
      </c>
      <c r="X384" s="151"/>
      <c r="Y384" s="156" t="s">
        <v>1732</v>
      </c>
      <c r="Z384" s="156"/>
      <c r="AA384" s="156"/>
      <c r="AB384" s="156"/>
      <c r="AC384" s="156"/>
      <c r="AD384" s="155">
        <v>45826</v>
      </c>
      <c r="AE384" s="157">
        <v>200</v>
      </c>
      <c r="AF384" s="157">
        <v>900</v>
      </c>
      <c r="AG384" s="155">
        <v>45776</v>
      </c>
      <c r="AH384" s="155">
        <v>45785</v>
      </c>
      <c r="AI384" s="155">
        <v>45791</v>
      </c>
      <c r="AJ384" s="158">
        <v>45791</v>
      </c>
      <c r="AK384" s="211"/>
      <c r="AL384" s="158"/>
      <c r="AM384" s="1"/>
      <c r="AN384" s="1"/>
      <c r="AO384" s="1"/>
      <c r="AP384" s="1"/>
      <c r="AQ384" s="1"/>
      <c r="AR384" s="1"/>
      <c r="AS384" s="1"/>
      <c r="AT384" s="1"/>
      <c r="AU384" s="1"/>
      <c r="AV384" s="1"/>
    </row>
    <row r="385" spans="1:48" ht="45" hidden="1" customHeight="1">
      <c r="A385" s="1"/>
      <c r="B385" s="159" t="s">
        <v>1783</v>
      </c>
      <c r="C385" s="159" t="s">
        <v>232</v>
      </c>
      <c r="D385" s="25" t="s">
        <v>8519</v>
      </c>
      <c r="E385" s="159" t="s">
        <v>1784</v>
      </c>
      <c r="F385" s="152"/>
      <c r="G385" s="152" t="s">
        <v>301</v>
      </c>
      <c r="H385" s="152" t="s">
        <v>42</v>
      </c>
      <c r="I385" s="152">
        <v>281</v>
      </c>
      <c r="J385" s="151" t="s">
        <v>1660</v>
      </c>
      <c r="K385" s="153">
        <v>45748</v>
      </c>
      <c r="L385" s="154" t="s">
        <v>45</v>
      </c>
      <c r="M385" s="155"/>
      <c r="N385" s="155"/>
      <c r="O385" s="155"/>
      <c r="P385" s="155"/>
      <c r="Q385" s="155"/>
      <c r="R385" s="155" t="s">
        <v>46</v>
      </c>
      <c r="S385" s="151" t="s">
        <v>47</v>
      </c>
      <c r="T385" s="151" t="s">
        <v>48</v>
      </c>
      <c r="U385" s="156" t="s">
        <v>1785</v>
      </c>
      <c r="V385" s="151" t="s">
        <v>85</v>
      </c>
      <c r="W385" s="151" t="s">
        <v>67</v>
      </c>
      <c r="X385" s="151"/>
      <c r="Y385" s="156" t="s">
        <v>51</v>
      </c>
      <c r="Z385" s="156"/>
      <c r="AA385" s="156"/>
      <c r="AB385" s="156"/>
      <c r="AC385" s="156"/>
      <c r="AD385" s="155">
        <v>45826</v>
      </c>
      <c r="AE385" s="157">
        <v>500</v>
      </c>
      <c r="AF385" s="157">
        <v>900</v>
      </c>
      <c r="AG385" s="155">
        <v>45795</v>
      </c>
      <c r="AH385" s="155">
        <v>45800</v>
      </c>
      <c r="AI385" s="155"/>
      <c r="AJ385" s="158">
        <v>45800</v>
      </c>
      <c r="AK385" s="211"/>
      <c r="AL385" s="158"/>
      <c r="AM385" s="1"/>
      <c r="AN385" s="1"/>
      <c r="AO385" s="1"/>
      <c r="AP385" s="1"/>
      <c r="AQ385" s="1"/>
      <c r="AR385" s="1"/>
      <c r="AS385" s="1"/>
      <c r="AT385" s="1"/>
      <c r="AU385" s="1"/>
      <c r="AV385" s="1"/>
    </row>
    <row r="386" spans="1:48" ht="45" hidden="1" customHeight="1">
      <c r="B386" s="159" t="s">
        <v>1696</v>
      </c>
      <c r="C386" s="159" t="s">
        <v>111</v>
      </c>
      <c r="D386" s="159" t="s">
        <v>112</v>
      </c>
      <c r="E386" s="159" t="s">
        <v>1697</v>
      </c>
      <c r="F386" s="152"/>
      <c r="G386" s="152" t="s">
        <v>1676</v>
      </c>
      <c r="H386" s="152" t="s">
        <v>42</v>
      </c>
      <c r="I386" s="152">
        <v>41.042000000000002</v>
      </c>
      <c r="J386" s="151" t="s">
        <v>1660</v>
      </c>
      <c r="K386" s="153">
        <v>45748</v>
      </c>
      <c r="L386" s="154" t="s">
        <v>45</v>
      </c>
      <c r="M386" s="155"/>
      <c r="N386" s="155"/>
      <c r="O386" s="155"/>
      <c r="P386" s="155"/>
      <c r="Q386" s="155"/>
      <c r="R386" s="155" t="s">
        <v>46</v>
      </c>
      <c r="S386" s="151" t="s">
        <v>47</v>
      </c>
      <c r="T386" s="151" t="s">
        <v>48</v>
      </c>
      <c r="U386" s="156" t="s">
        <v>1698</v>
      </c>
      <c r="V386" s="151" t="s">
        <v>85</v>
      </c>
      <c r="W386" s="151" t="s">
        <v>50</v>
      </c>
      <c r="X386" s="151"/>
      <c r="Y386" s="156" t="s">
        <v>77</v>
      </c>
      <c r="Z386" s="156"/>
      <c r="AA386" s="156"/>
      <c r="AB386" s="156"/>
      <c r="AC386" s="156"/>
      <c r="AD386" s="155">
        <v>45785</v>
      </c>
      <c r="AE386" s="157">
        <v>800</v>
      </c>
      <c r="AF386" s="157">
        <v>1100</v>
      </c>
      <c r="AG386" s="155">
        <v>45761</v>
      </c>
      <c r="AH386" s="155">
        <v>45772</v>
      </c>
      <c r="AI386" s="155"/>
      <c r="AJ386" s="158">
        <v>45776</v>
      </c>
      <c r="AK386" s="211"/>
      <c r="AL386" s="158"/>
      <c r="AM386" s="1"/>
    </row>
    <row r="387" spans="1:48" ht="45" hidden="1" customHeight="1">
      <c r="B387" s="159" t="s">
        <v>1744</v>
      </c>
      <c r="C387" s="159" t="s">
        <v>111</v>
      </c>
      <c r="D387" s="159" t="s">
        <v>112</v>
      </c>
      <c r="E387" s="159" t="s">
        <v>1745</v>
      </c>
      <c r="F387" s="152"/>
      <c r="G387" s="152" t="s">
        <v>1676</v>
      </c>
      <c r="H387" s="152" t="s">
        <v>42</v>
      </c>
      <c r="I387" s="152" t="s">
        <v>1746</v>
      </c>
      <c r="J387" s="151" t="s">
        <v>1660</v>
      </c>
      <c r="K387" s="153">
        <v>45748</v>
      </c>
      <c r="L387" s="154" t="s">
        <v>45</v>
      </c>
      <c r="M387" s="155"/>
      <c r="N387" s="155"/>
      <c r="O387" s="155"/>
      <c r="P387" s="155"/>
      <c r="Q387" s="155"/>
      <c r="R387" s="155" t="s">
        <v>46</v>
      </c>
      <c r="S387" s="151" t="s">
        <v>47</v>
      </c>
      <c r="T387" s="151" t="s">
        <v>48</v>
      </c>
      <c r="U387" s="156" t="s">
        <v>1747</v>
      </c>
      <c r="V387" s="151" t="s">
        <v>85</v>
      </c>
      <c r="W387" s="151" t="s">
        <v>1460</v>
      </c>
      <c r="X387" s="151"/>
      <c r="Y387" s="156" t="s">
        <v>170</v>
      </c>
      <c r="Z387" s="156"/>
      <c r="AA387" s="156"/>
      <c r="AB387" s="156"/>
      <c r="AC387" s="156"/>
      <c r="AD387" s="155">
        <v>45826</v>
      </c>
      <c r="AE387" s="157">
        <v>2700</v>
      </c>
      <c r="AF387" s="157">
        <v>5200</v>
      </c>
      <c r="AG387" s="155">
        <v>45772</v>
      </c>
      <c r="AH387" s="155">
        <v>45794</v>
      </c>
      <c r="AI387" s="155"/>
      <c r="AJ387" s="158">
        <v>45794</v>
      </c>
      <c r="AK387" s="211"/>
      <c r="AL387" s="158"/>
      <c r="AM387" s="1"/>
    </row>
    <row r="388" spans="1:48" ht="45" hidden="1" customHeight="1">
      <c r="B388" s="159" t="s">
        <v>1725</v>
      </c>
      <c r="C388" s="159" t="s">
        <v>311</v>
      </c>
      <c r="D388" s="159" t="s">
        <v>312</v>
      </c>
      <c r="E388" s="159" t="s">
        <v>1726</v>
      </c>
      <c r="F388" s="152"/>
      <c r="G388" s="152" t="s">
        <v>137</v>
      </c>
      <c r="H388" s="152" t="s">
        <v>42</v>
      </c>
      <c r="I388" s="152" t="s">
        <v>1727</v>
      </c>
      <c r="J388" s="151" t="s">
        <v>1660</v>
      </c>
      <c r="K388" s="153">
        <v>45748</v>
      </c>
      <c r="L388" s="154" t="s">
        <v>45</v>
      </c>
      <c r="M388" s="155"/>
      <c r="N388" s="155"/>
      <c r="O388" s="155"/>
      <c r="P388" s="155"/>
      <c r="Q388" s="155"/>
      <c r="R388" s="155" t="s">
        <v>46</v>
      </c>
      <c r="S388" s="151" t="s">
        <v>47</v>
      </c>
      <c r="T388" s="151" t="s">
        <v>48</v>
      </c>
      <c r="U388" s="156" t="s">
        <v>1728</v>
      </c>
      <c r="V388" s="151" t="s">
        <v>85</v>
      </c>
      <c r="W388" s="151" t="s">
        <v>94</v>
      </c>
      <c r="X388" s="151"/>
      <c r="Y388" s="156" t="s">
        <v>132</v>
      </c>
      <c r="Z388" s="156"/>
      <c r="AA388" s="156"/>
      <c r="AB388" s="156"/>
      <c r="AC388" s="156"/>
      <c r="AD388" s="155">
        <v>45785</v>
      </c>
      <c r="AE388" s="157">
        <v>2100</v>
      </c>
      <c r="AF388" s="157">
        <v>3800</v>
      </c>
      <c r="AG388" s="155">
        <v>45761</v>
      </c>
      <c r="AH388" s="155">
        <v>45785</v>
      </c>
      <c r="AI388" s="155"/>
      <c r="AJ388" s="158">
        <v>45784</v>
      </c>
      <c r="AK388" s="211"/>
      <c r="AL388" s="158"/>
      <c r="AM388" s="1"/>
    </row>
    <row r="389" spans="1:48" ht="45" hidden="1" customHeight="1">
      <c r="B389" s="159" t="s">
        <v>1571</v>
      </c>
      <c r="C389" s="159" t="s">
        <v>1572</v>
      </c>
      <c r="D389" s="159" t="s">
        <v>1573</v>
      </c>
      <c r="E389" s="159" t="s">
        <v>1574</v>
      </c>
      <c r="F389" s="152"/>
      <c r="G389" s="152"/>
      <c r="H389" s="152" t="s">
        <v>427</v>
      </c>
      <c r="I389" s="152" t="s">
        <v>1292</v>
      </c>
      <c r="J389" s="151"/>
      <c r="K389" s="153">
        <v>45689</v>
      </c>
      <c r="L389" s="154" t="s">
        <v>1544</v>
      </c>
      <c r="M389" s="155"/>
      <c r="N389" s="155"/>
      <c r="O389" s="155">
        <v>45724</v>
      </c>
      <c r="P389" s="155">
        <v>45735</v>
      </c>
      <c r="Q389" s="155"/>
      <c r="R389" s="155" t="s">
        <v>46</v>
      </c>
      <c r="S389" s="151" t="s">
        <v>47</v>
      </c>
      <c r="T389" s="151" t="s">
        <v>48</v>
      </c>
      <c r="U389" s="156" t="s">
        <v>1575</v>
      </c>
      <c r="V389" s="151" t="s">
        <v>85</v>
      </c>
      <c r="W389" s="151" t="s">
        <v>67</v>
      </c>
      <c r="X389" s="151"/>
      <c r="Y389" s="156" t="s">
        <v>200</v>
      </c>
      <c r="Z389" s="156"/>
      <c r="AA389" s="156"/>
      <c r="AB389" s="156"/>
      <c r="AC389" s="156"/>
      <c r="AD389" s="155" t="s">
        <v>1576</v>
      </c>
      <c r="AE389" s="157"/>
      <c r="AF389" s="157">
        <v>820</v>
      </c>
      <c r="AG389" s="155">
        <v>45724</v>
      </c>
      <c r="AH389" s="155">
        <v>45733</v>
      </c>
      <c r="AI389" s="155"/>
      <c r="AJ389" s="158">
        <v>45735</v>
      </c>
      <c r="AK389" s="211"/>
      <c r="AL389" s="158"/>
      <c r="AM389" s="1"/>
    </row>
    <row r="390" spans="1:48" ht="45" hidden="1" customHeight="1">
      <c r="B390" s="159" t="s">
        <v>1736</v>
      </c>
      <c r="C390" s="159" t="s">
        <v>203</v>
      </c>
      <c r="D390" s="159" t="s">
        <v>204</v>
      </c>
      <c r="E390" s="159" t="s">
        <v>1737</v>
      </c>
      <c r="F390" s="152"/>
      <c r="G390" s="152" t="s">
        <v>1738</v>
      </c>
      <c r="H390" s="152" t="s">
        <v>42</v>
      </c>
      <c r="I390" s="152">
        <v>132</v>
      </c>
      <c r="J390" s="151"/>
      <c r="K390" s="153">
        <v>45748</v>
      </c>
      <c r="L390" s="154" t="s">
        <v>45</v>
      </c>
      <c r="M390" s="155" t="s">
        <v>288</v>
      </c>
      <c r="N390" s="155" t="s">
        <v>288</v>
      </c>
      <c r="O390" s="155"/>
      <c r="P390" s="155"/>
      <c r="Q390" s="155" t="s">
        <v>289</v>
      </c>
      <c r="R390" s="155" t="s">
        <v>46</v>
      </c>
      <c r="S390" s="151" t="s">
        <v>47</v>
      </c>
      <c r="T390" s="151" t="s">
        <v>1739</v>
      </c>
      <c r="U390" s="156" t="s">
        <v>1740</v>
      </c>
      <c r="V390" s="151" t="s">
        <v>85</v>
      </c>
      <c r="W390" s="151" t="s">
        <v>124</v>
      </c>
      <c r="X390" s="151"/>
      <c r="Y390" s="156" t="s">
        <v>68</v>
      </c>
      <c r="Z390" s="156"/>
      <c r="AA390" s="156"/>
      <c r="AB390" s="156"/>
      <c r="AC390" s="156"/>
      <c r="AD390" s="155">
        <v>45826</v>
      </c>
      <c r="AE390" s="157"/>
      <c r="AF390" s="157">
        <v>1200</v>
      </c>
      <c r="AG390" s="155">
        <v>45769</v>
      </c>
      <c r="AH390" s="155">
        <v>45773</v>
      </c>
      <c r="AI390" s="155"/>
      <c r="AJ390" s="158">
        <v>45792</v>
      </c>
      <c r="AK390" s="211"/>
      <c r="AL390" s="158"/>
      <c r="AM390" s="1"/>
    </row>
    <row r="391" spans="1:48" ht="45" hidden="1" customHeight="1">
      <c r="B391" s="159" t="s">
        <v>1796</v>
      </c>
      <c r="C391" s="159" t="s">
        <v>267</v>
      </c>
      <c r="D391" s="159" t="s">
        <v>268</v>
      </c>
      <c r="E391" s="159" t="s">
        <v>1797</v>
      </c>
      <c r="F391" s="152"/>
      <c r="G391" s="152" t="s">
        <v>1321</v>
      </c>
      <c r="H391" s="152" t="s">
        <v>42</v>
      </c>
      <c r="I391" s="152">
        <v>51</v>
      </c>
      <c r="J391" s="151" t="s">
        <v>1613</v>
      </c>
      <c r="K391" s="153">
        <v>45748</v>
      </c>
      <c r="L391" s="154" t="s">
        <v>45</v>
      </c>
      <c r="M391" s="155"/>
      <c r="N391" s="155"/>
      <c r="O391" s="155"/>
      <c r="P391" s="155"/>
      <c r="Q391" s="155"/>
      <c r="R391" s="155" t="s">
        <v>46</v>
      </c>
      <c r="S391" s="151" t="s">
        <v>47</v>
      </c>
      <c r="T391" s="151" t="s">
        <v>48</v>
      </c>
      <c r="U391" s="156" t="s">
        <v>1798</v>
      </c>
      <c r="V391" s="151" t="s">
        <v>85</v>
      </c>
      <c r="W391" s="151" t="s">
        <v>94</v>
      </c>
      <c r="X391" s="151"/>
      <c r="Y391" s="156" t="s">
        <v>77</v>
      </c>
      <c r="Z391" s="156"/>
      <c r="AA391" s="156"/>
      <c r="AB391" s="158" t="s">
        <v>1799</v>
      </c>
      <c r="AC391" s="158"/>
      <c r="AD391" s="155">
        <v>45826</v>
      </c>
      <c r="AE391" s="157">
        <v>700</v>
      </c>
      <c r="AF391" s="157">
        <v>500</v>
      </c>
      <c r="AG391" s="155">
        <v>45800</v>
      </c>
      <c r="AH391" s="155">
        <v>45804</v>
      </c>
      <c r="AI391" s="155" t="s">
        <v>1761</v>
      </c>
      <c r="AJ391" s="158">
        <v>45810</v>
      </c>
      <c r="AK391" s="211">
        <v>45812</v>
      </c>
      <c r="AL391" s="158"/>
      <c r="AM391" s="1"/>
    </row>
    <row r="392" spans="1:48" ht="45" hidden="1" customHeight="1">
      <c r="B392" s="159" t="s">
        <v>1721</v>
      </c>
      <c r="C392" s="159" t="s">
        <v>232</v>
      </c>
      <c r="D392" s="25" t="s">
        <v>8519</v>
      </c>
      <c r="E392" s="159" t="s">
        <v>1722</v>
      </c>
      <c r="F392" s="152"/>
      <c r="G392" s="152" t="s">
        <v>91</v>
      </c>
      <c r="H392" s="152" t="s">
        <v>42</v>
      </c>
      <c r="I392" s="152" t="s">
        <v>1723</v>
      </c>
      <c r="J392" s="151" t="s">
        <v>1660</v>
      </c>
      <c r="K392" s="153">
        <v>45748</v>
      </c>
      <c r="L392" s="154" t="s">
        <v>45</v>
      </c>
      <c r="M392" s="155"/>
      <c r="N392" s="155"/>
      <c r="O392" s="155"/>
      <c r="P392" s="155"/>
      <c r="Q392" s="155"/>
      <c r="R392" s="155" t="s">
        <v>46</v>
      </c>
      <c r="S392" s="151" t="s">
        <v>47</v>
      </c>
      <c r="T392" s="151" t="s">
        <v>48</v>
      </c>
      <c r="U392" s="156" t="s">
        <v>1724</v>
      </c>
      <c r="V392" s="151" t="s">
        <v>85</v>
      </c>
      <c r="W392" s="151" t="s">
        <v>124</v>
      </c>
      <c r="X392" s="151"/>
      <c r="Y392" s="156" t="s">
        <v>1122</v>
      </c>
      <c r="Z392" s="156"/>
      <c r="AA392" s="156"/>
      <c r="AB392" s="156"/>
      <c r="AC392" s="156"/>
      <c r="AD392" s="155">
        <v>45785</v>
      </c>
      <c r="AE392" s="157">
        <v>1200</v>
      </c>
      <c r="AF392" s="157">
        <v>1200</v>
      </c>
      <c r="AG392" s="155">
        <v>45779</v>
      </c>
      <c r="AH392" s="155">
        <v>45792</v>
      </c>
      <c r="AI392" s="155"/>
      <c r="AJ392" s="158">
        <v>45782</v>
      </c>
      <c r="AK392" s="211"/>
      <c r="AL392" s="158"/>
      <c r="AM392" s="1"/>
    </row>
    <row r="393" spans="1:48" ht="45" hidden="1" customHeight="1">
      <c r="B393" s="159" t="s">
        <v>1748</v>
      </c>
      <c r="C393" s="159" t="s">
        <v>232</v>
      </c>
      <c r="D393" s="25" t="s">
        <v>8519</v>
      </c>
      <c r="E393" s="159" t="s">
        <v>1749</v>
      </c>
      <c r="F393" s="152"/>
      <c r="G393" s="152" t="s">
        <v>91</v>
      </c>
      <c r="H393" s="152" t="s">
        <v>42</v>
      </c>
      <c r="I393" s="152" t="s">
        <v>1750</v>
      </c>
      <c r="J393" s="151" t="s">
        <v>1660</v>
      </c>
      <c r="K393" s="153">
        <v>45748</v>
      </c>
      <c r="L393" s="154" t="s">
        <v>45</v>
      </c>
      <c r="M393" s="155"/>
      <c r="N393" s="155"/>
      <c r="O393" s="155"/>
      <c r="P393" s="155"/>
      <c r="Q393" s="155"/>
      <c r="R393" s="155" t="s">
        <v>46</v>
      </c>
      <c r="S393" s="151" t="s">
        <v>47</v>
      </c>
      <c r="T393" s="151" t="s">
        <v>48</v>
      </c>
      <c r="U393" s="156" t="s">
        <v>1751</v>
      </c>
      <c r="V393" s="151" t="s">
        <v>85</v>
      </c>
      <c r="W393" s="151" t="s">
        <v>77</v>
      </c>
      <c r="X393" s="151"/>
      <c r="Y393" s="156" t="s">
        <v>77</v>
      </c>
      <c r="Z393" s="156"/>
      <c r="AA393" s="156"/>
      <c r="AB393" s="156"/>
      <c r="AC393" s="156"/>
      <c r="AD393" s="155">
        <v>45826</v>
      </c>
      <c r="AE393" s="157">
        <v>1800</v>
      </c>
      <c r="AF393" s="157">
        <v>3500</v>
      </c>
      <c r="AG393" s="155">
        <v>45782</v>
      </c>
      <c r="AH393" s="155">
        <v>45800</v>
      </c>
      <c r="AI393" s="155"/>
      <c r="AJ393" s="158">
        <v>45794</v>
      </c>
      <c r="AK393" s="211">
        <v>45826</v>
      </c>
      <c r="AL393" s="158"/>
      <c r="AM393" s="1"/>
    </row>
    <row r="394" spans="1:48" ht="45" hidden="1" customHeight="1">
      <c r="B394" s="159" t="s">
        <v>1786</v>
      </c>
      <c r="C394" s="159" t="s">
        <v>232</v>
      </c>
      <c r="D394" s="25" t="s">
        <v>8519</v>
      </c>
      <c r="E394" s="159" t="s">
        <v>1787</v>
      </c>
      <c r="F394" s="152"/>
      <c r="G394" s="152" t="s">
        <v>91</v>
      </c>
      <c r="H394" s="152" t="s">
        <v>42</v>
      </c>
      <c r="I394" s="152">
        <v>311.31200000000001</v>
      </c>
      <c r="J394" s="151" t="s">
        <v>1660</v>
      </c>
      <c r="K394" s="153">
        <v>45748</v>
      </c>
      <c r="L394" s="154" t="s">
        <v>45</v>
      </c>
      <c r="M394" s="155"/>
      <c r="N394" s="155"/>
      <c r="O394" s="155"/>
      <c r="P394" s="155"/>
      <c r="Q394" s="155"/>
      <c r="R394" s="155" t="s">
        <v>46</v>
      </c>
      <c r="S394" s="151" t="s">
        <v>47</v>
      </c>
      <c r="T394" s="151" t="s">
        <v>48</v>
      </c>
      <c r="U394" s="156" t="s">
        <v>1788</v>
      </c>
      <c r="V394" s="151" t="s">
        <v>85</v>
      </c>
      <c r="W394" s="151" t="s">
        <v>239</v>
      </c>
      <c r="X394" s="151"/>
      <c r="Y394" s="156" t="s">
        <v>1122</v>
      </c>
      <c r="Z394" s="156"/>
      <c r="AA394" s="156"/>
      <c r="AB394" s="156"/>
      <c r="AC394" s="156"/>
      <c r="AD394" s="155">
        <v>45826</v>
      </c>
      <c r="AE394" s="157">
        <v>700</v>
      </c>
      <c r="AF394" s="157">
        <v>900</v>
      </c>
      <c r="AG394" s="155">
        <v>45786</v>
      </c>
      <c r="AH394" s="155">
        <v>45792</v>
      </c>
      <c r="AI394" s="155">
        <v>45800</v>
      </c>
      <c r="AJ394" s="158">
        <v>45800</v>
      </c>
      <c r="AK394" s="211">
        <v>45826</v>
      </c>
      <c r="AL394" s="158"/>
      <c r="AM394" s="1"/>
    </row>
    <row r="395" spans="1:48" ht="45" hidden="1" customHeight="1">
      <c r="A395" s="1"/>
      <c r="B395" s="159" t="s">
        <v>1792</v>
      </c>
      <c r="C395" s="159" t="s">
        <v>232</v>
      </c>
      <c r="D395" s="25" t="s">
        <v>8519</v>
      </c>
      <c r="E395" s="159" t="s">
        <v>1793</v>
      </c>
      <c r="F395" s="152"/>
      <c r="G395" s="152" t="s">
        <v>91</v>
      </c>
      <c r="H395" s="152" t="s">
        <v>42</v>
      </c>
      <c r="I395" s="152" t="s">
        <v>1794</v>
      </c>
      <c r="J395" s="151" t="s">
        <v>1660</v>
      </c>
      <c r="K395" s="153">
        <v>45748</v>
      </c>
      <c r="L395" s="154" t="s">
        <v>45</v>
      </c>
      <c r="M395" s="155"/>
      <c r="N395" s="155"/>
      <c r="O395" s="155"/>
      <c r="P395" s="155"/>
      <c r="Q395" s="155"/>
      <c r="R395" s="155" t="s">
        <v>46</v>
      </c>
      <c r="S395" s="151" t="s">
        <v>47</v>
      </c>
      <c r="T395" s="151" t="s">
        <v>48</v>
      </c>
      <c r="U395" s="156" t="s">
        <v>1795</v>
      </c>
      <c r="V395" s="151" t="s">
        <v>85</v>
      </c>
      <c r="W395" s="151" t="s">
        <v>94</v>
      </c>
      <c r="X395" s="151"/>
      <c r="Y395" s="156" t="s">
        <v>132</v>
      </c>
      <c r="Z395" s="156"/>
      <c r="AA395" s="156"/>
      <c r="AB395" s="156"/>
      <c r="AC395" s="156"/>
      <c r="AD395" s="155">
        <v>45826</v>
      </c>
      <c r="AE395" s="157">
        <v>1000</v>
      </c>
      <c r="AF395" s="157">
        <v>1900</v>
      </c>
      <c r="AG395" s="155">
        <v>45789</v>
      </c>
      <c r="AH395" s="155">
        <v>45797</v>
      </c>
      <c r="AI395" s="155">
        <v>45800</v>
      </c>
      <c r="AJ395" s="158">
        <v>45805</v>
      </c>
      <c r="AK395" s="211"/>
      <c r="AL395" s="158"/>
      <c r="AM395" s="1"/>
      <c r="AN395" s="1"/>
      <c r="AO395" s="1"/>
      <c r="AP395" s="1"/>
      <c r="AQ395" s="1"/>
      <c r="AR395" s="1"/>
      <c r="AS395" s="1"/>
      <c r="AT395" s="1"/>
      <c r="AU395" s="1"/>
      <c r="AV395" s="1"/>
    </row>
    <row r="396" spans="1:48" ht="45" hidden="1" customHeight="1">
      <c r="B396" s="159" t="s">
        <v>1741</v>
      </c>
      <c r="C396" s="159" t="s">
        <v>232</v>
      </c>
      <c r="D396" s="25" t="s">
        <v>8519</v>
      </c>
      <c r="E396" s="159" t="s">
        <v>1742</v>
      </c>
      <c r="F396" s="152"/>
      <c r="G396" s="152" t="s">
        <v>91</v>
      </c>
      <c r="H396" s="152" t="s">
        <v>42</v>
      </c>
      <c r="I396" s="152">
        <v>241</v>
      </c>
      <c r="J396" s="151" t="s">
        <v>1660</v>
      </c>
      <c r="K396" s="153">
        <v>45748</v>
      </c>
      <c r="L396" s="154" t="s">
        <v>45</v>
      </c>
      <c r="M396" s="155"/>
      <c r="N396" s="155"/>
      <c r="O396" s="155"/>
      <c r="P396" s="155"/>
      <c r="Q396" s="155"/>
      <c r="R396" s="155" t="s">
        <v>46</v>
      </c>
      <c r="S396" s="151" t="s">
        <v>47</v>
      </c>
      <c r="T396" s="151" t="s">
        <v>48</v>
      </c>
      <c r="U396" s="156" t="s">
        <v>1743</v>
      </c>
      <c r="V396" s="151" t="s">
        <v>85</v>
      </c>
      <c r="W396" s="151" t="s">
        <v>1319</v>
      </c>
      <c r="X396" s="151"/>
      <c r="Y396" s="156" t="s">
        <v>62</v>
      </c>
      <c r="Z396" s="156"/>
      <c r="AA396" s="156"/>
      <c r="AB396" s="156"/>
      <c r="AC396" s="156"/>
      <c r="AD396" s="155">
        <v>45826</v>
      </c>
      <c r="AE396" s="157">
        <v>200</v>
      </c>
      <c r="AF396" s="157">
        <v>800</v>
      </c>
      <c r="AG396" s="155">
        <v>45785</v>
      </c>
      <c r="AH396" s="155">
        <v>45790</v>
      </c>
      <c r="AI396" s="155"/>
      <c r="AJ396" s="158">
        <v>45792</v>
      </c>
      <c r="AK396" s="211">
        <v>45826</v>
      </c>
      <c r="AL396" s="158"/>
      <c r="AM396" s="1"/>
    </row>
    <row r="397" spans="1:48" ht="45" hidden="1" customHeight="1">
      <c r="A397" s="1"/>
      <c r="B397" s="159" t="s">
        <v>1770</v>
      </c>
      <c r="C397" s="159" t="s">
        <v>232</v>
      </c>
      <c r="D397" s="25" t="s">
        <v>8519</v>
      </c>
      <c r="E397" s="159" t="s">
        <v>1771</v>
      </c>
      <c r="F397" s="152"/>
      <c r="G397" s="152" t="s">
        <v>91</v>
      </c>
      <c r="H397" s="152" t="s">
        <v>42</v>
      </c>
      <c r="I397" s="152">
        <v>131.13200000000001</v>
      </c>
      <c r="J397" s="151" t="s">
        <v>1660</v>
      </c>
      <c r="K397" s="153">
        <v>45748</v>
      </c>
      <c r="L397" s="154" t="s">
        <v>45</v>
      </c>
      <c r="M397" s="155"/>
      <c r="N397" s="155"/>
      <c r="O397" s="155"/>
      <c r="P397" s="155"/>
      <c r="Q397" s="155"/>
      <c r="R397" s="155" t="s">
        <v>46</v>
      </c>
      <c r="S397" s="151" t="s">
        <v>47</v>
      </c>
      <c r="T397" s="151" t="s">
        <v>48</v>
      </c>
      <c r="U397" s="156" t="s">
        <v>1772</v>
      </c>
      <c r="V397" s="151" t="s">
        <v>85</v>
      </c>
      <c r="W397" s="151" t="s">
        <v>124</v>
      </c>
      <c r="X397" s="151"/>
      <c r="Y397" s="156" t="s">
        <v>170</v>
      </c>
      <c r="Z397" s="156"/>
      <c r="AA397" s="156"/>
      <c r="AB397" s="156"/>
      <c r="AC397" s="156"/>
      <c r="AD397" s="155">
        <v>45826</v>
      </c>
      <c r="AE397" s="157">
        <v>1300</v>
      </c>
      <c r="AF397" s="157">
        <v>1200</v>
      </c>
      <c r="AG397" s="155">
        <v>45789</v>
      </c>
      <c r="AH397" s="155">
        <v>45797</v>
      </c>
      <c r="AI397" s="155">
        <v>45800</v>
      </c>
      <c r="AJ397" s="158">
        <v>45799</v>
      </c>
      <c r="AK397" s="211"/>
      <c r="AL397" s="158"/>
      <c r="AM397" s="1"/>
      <c r="AN397" s="1"/>
      <c r="AO397" s="1"/>
      <c r="AP397" s="1"/>
      <c r="AQ397" s="1"/>
      <c r="AR397" s="1"/>
      <c r="AS397" s="1"/>
      <c r="AT397" s="1"/>
      <c r="AU397" s="1"/>
      <c r="AV397" s="1"/>
    </row>
    <row r="398" spans="1:48" ht="45" hidden="1" customHeight="1">
      <c r="B398" s="159" t="s">
        <v>1752</v>
      </c>
      <c r="C398" s="159" t="s">
        <v>232</v>
      </c>
      <c r="D398" s="25" t="s">
        <v>8519</v>
      </c>
      <c r="E398" s="159" t="s">
        <v>1753</v>
      </c>
      <c r="F398" s="152"/>
      <c r="G398" s="152" t="s">
        <v>91</v>
      </c>
      <c r="H398" s="152" t="s">
        <v>42</v>
      </c>
      <c r="I398" s="152">
        <v>41</v>
      </c>
      <c r="J398" s="151" t="s">
        <v>1660</v>
      </c>
      <c r="K398" s="153">
        <v>45748</v>
      </c>
      <c r="L398" s="154" t="s">
        <v>45</v>
      </c>
      <c r="M398" s="155"/>
      <c r="N398" s="155"/>
      <c r="O398" s="155"/>
      <c r="P398" s="155"/>
      <c r="Q398" s="155"/>
      <c r="R398" s="155" t="s">
        <v>46</v>
      </c>
      <c r="S398" s="151" t="s">
        <v>47</v>
      </c>
      <c r="T398" s="151" t="s">
        <v>48</v>
      </c>
      <c r="U398" s="156" t="s">
        <v>1754</v>
      </c>
      <c r="V398" s="151" t="s">
        <v>85</v>
      </c>
      <c r="W398" s="151" t="s">
        <v>1319</v>
      </c>
      <c r="X398" s="151"/>
      <c r="Y398" s="156" t="s">
        <v>62</v>
      </c>
      <c r="Z398" s="156"/>
      <c r="AA398" s="156"/>
      <c r="AB398" s="156"/>
      <c r="AC398" s="156"/>
      <c r="AD398" s="155">
        <v>45826</v>
      </c>
      <c r="AE398" s="157">
        <v>300</v>
      </c>
      <c r="AF398" s="157">
        <v>500</v>
      </c>
      <c r="AG398" s="155">
        <v>45787</v>
      </c>
      <c r="AH398" s="155">
        <v>45793</v>
      </c>
      <c r="AI398" s="155"/>
      <c r="AJ398" s="158">
        <v>45797</v>
      </c>
      <c r="AK398" s="211">
        <v>45826</v>
      </c>
      <c r="AL398" s="158"/>
      <c r="AM398" s="1"/>
    </row>
    <row r="399" spans="1:48" ht="45" hidden="1" customHeight="1">
      <c r="A399" s="1"/>
      <c r="B399" s="159" t="s">
        <v>1789</v>
      </c>
      <c r="C399" s="159" t="s">
        <v>232</v>
      </c>
      <c r="D399" s="25" t="s">
        <v>8519</v>
      </c>
      <c r="E399" s="159" t="s">
        <v>1790</v>
      </c>
      <c r="F399" s="152"/>
      <c r="G399" s="152" t="s">
        <v>91</v>
      </c>
      <c r="H399" s="152" t="s">
        <v>42</v>
      </c>
      <c r="I399" s="152">
        <v>81</v>
      </c>
      <c r="J399" s="151" t="s">
        <v>1660</v>
      </c>
      <c r="K399" s="153">
        <v>45748</v>
      </c>
      <c r="L399" s="154" t="s">
        <v>45</v>
      </c>
      <c r="M399" s="155"/>
      <c r="N399" s="155"/>
      <c r="O399" s="155"/>
      <c r="P399" s="155"/>
      <c r="Q399" s="155"/>
      <c r="R399" s="155" t="s">
        <v>46</v>
      </c>
      <c r="S399" s="151" t="s">
        <v>47</v>
      </c>
      <c r="T399" s="151" t="s">
        <v>48</v>
      </c>
      <c r="U399" s="156" t="s">
        <v>1791</v>
      </c>
      <c r="V399" s="151" t="s">
        <v>85</v>
      </c>
      <c r="W399" s="151" t="s">
        <v>1319</v>
      </c>
      <c r="X399" s="151"/>
      <c r="Y399" s="156" t="s">
        <v>68</v>
      </c>
      <c r="Z399" s="156"/>
      <c r="AA399" s="156"/>
      <c r="AB399" s="156"/>
      <c r="AC399" s="156"/>
      <c r="AD399" s="155">
        <v>45826</v>
      </c>
      <c r="AE399" s="157">
        <v>400</v>
      </c>
      <c r="AF399" s="157">
        <v>400</v>
      </c>
      <c r="AG399" s="155">
        <v>45786</v>
      </c>
      <c r="AH399" s="155">
        <v>45792</v>
      </c>
      <c r="AI399" s="155">
        <v>45800</v>
      </c>
      <c r="AJ399" s="158">
        <v>45800</v>
      </c>
      <c r="AK399" s="211">
        <v>45826</v>
      </c>
      <c r="AL399" s="158"/>
      <c r="AM399" s="1"/>
      <c r="AN399" s="1"/>
      <c r="AO399" s="1"/>
      <c r="AP399" s="1"/>
      <c r="AQ399" s="1"/>
      <c r="AR399" s="1"/>
      <c r="AS399" s="1"/>
      <c r="AT399" s="1"/>
      <c r="AU399" s="1"/>
      <c r="AV399" s="1"/>
    </row>
    <row r="400" spans="1:48" ht="45" hidden="1" customHeight="1">
      <c r="B400" s="159" t="s">
        <v>1810</v>
      </c>
      <c r="C400" s="159" t="s">
        <v>380</v>
      </c>
      <c r="D400" s="159" t="s">
        <v>685</v>
      </c>
      <c r="E400" s="159" t="s">
        <v>1811</v>
      </c>
      <c r="F400" s="152"/>
      <c r="G400" s="152" t="s">
        <v>137</v>
      </c>
      <c r="H400" s="152" t="s">
        <v>42</v>
      </c>
      <c r="I400" s="152" t="s">
        <v>1812</v>
      </c>
      <c r="J400" s="151" t="s">
        <v>1613</v>
      </c>
      <c r="K400" s="153">
        <v>45748</v>
      </c>
      <c r="L400" s="155" t="s">
        <v>45</v>
      </c>
      <c r="M400" s="155"/>
      <c r="N400" s="155"/>
      <c r="O400" s="155"/>
      <c r="P400" s="155"/>
      <c r="Q400" s="155"/>
      <c r="R400" s="155" t="s">
        <v>1813</v>
      </c>
      <c r="S400" s="151" t="s">
        <v>47</v>
      </c>
      <c r="T400" s="151" t="s">
        <v>48</v>
      </c>
      <c r="U400" s="156" t="s">
        <v>1814</v>
      </c>
      <c r="V400" s="151" t="s">
        <v>85</v>
      </c>
      <c r="W400" s="151" t="s">
        <v>200</v>
      </c>
      <c r="X400" s="151"/>
      <c r="Y400" s="156" t="s">
        <v>200</v>
      </c>
      <c r="Z400" s="156"/>
      <c r="AA400" s="156"/>
      <c r="AB400" s="156"/>
      <c r="AC400" s="156"/>
      <c r="AD400" s="155">
        <v>45826</v>
      </c>
      <c r="AE400" s="157">
        <v>6100</v>
      </c>
      <c r="AF400" s="157">
        <v>8700</v>
      </c>
      <c r="AG400" s="155">
        <v>45779</v>
      </c>
      <c r="AH400" s="155">
        <v>45811</v>
      </c>
      <c r="AI400" s="155">
        <v>45821</v>
      </c>
      <c r="AJ400" s="158">
        <v>45818</v>
      </c>
      <c r="AK400" s="211">
        <v>45819</v>
      </c>
      <c r="AL400" s="158"/>
      <c r="AM400" s="1"/>
    </row>
    <row r="401" spans="1:48" ht="45" hidden="1" customHeight="1">
      <c r="B401" s="159" t="s">
        <v>1755</v>
      </c>
      <c r="C401" s="159" t="s">
        <v>203</v>
      </c>
      <c r="D401" s="159" t="s">
        <v>204</v>
      </c>
      <c r="E401" s="159" t="s">
        <v>1756</v>
      </c>
      <c r="F401" s="152"/>
      <c r="G401" s="152" t="s">
        <v>1757</v>
      </c>
      <c r="H401" s="152" t="s">
        <v>42</v>
      </c>
      <c r="I401" s="152" t="s">
        <v>1758</v>
      </c>
      <c r="J401" s="151" t="s">
        <v>1613</v>
      </c>
      <c r="K401" s="153">
        <v>45748</v>
      </c>
      <c r="L401" s="154" t="s">
        <v>45</v>
      </c>
      <c r="M401" s="155"/>
      <c r="N401" s="155"/>
      <c r="O401" s="155"/>
      <c r="P401" s="155"/>
      <c r="Q401" s="155"/>
      <c r="R401" s="155" t="s">
        <v>46</v>
      </c>
      <c r="S401" s="151" t="s">
        <v>47</v>
      </c>
      <c r="T401" s="151" t="s">
        <v>48</v>
      </c>
      <c r="U401" s="156" t="s">
        <v>1759</v>
      </c>
      <c r="V401" s="151" t="s">
        <v>85</v>
      </c>
      <c r="W401" s="151" t="s">
        <v>50</v>
      </c>
      <c r="X401" s="151"/>
      <c r="Y401" s="156" t="s">
        <v>1478</v>
      </c>
      <c r="Z401" s="156" t="s">
        <v>1760</v>
      </c>
      <c r="AA401" s="156"/>
      <c r="AB401" s="156"/>
      <c r="AC401" s="156"/>
      <c r="AD401" s="155">
        <v>45826</v>
      </c>
      <c r="AE401" s="157">
        <v>1600</v>
      </c>
      <c r="AF401" s="157">
        <v>7900</v>
      </c>
      <c r="AG401" s="155">
        <v>45782</v>
      </c>
      <c r="AH401" s="155">
        <v>45810</v>
      </c>
      <c r="AI401" s="155" t="s">
        <v>1761</v>
      </c>
      <c r="AJ401" s="158">
        <v>45797</v>
      </c>
      <c r="AK401" s="211">
        <v>45812</v>
      </c>
      <c r="AL401" s="158"/>
      <c r="AM401" s="1"/>
    </row>
    <row r="402" spans="1:48" ht="45" hidden="1" customHeight="1">
      <c r="B402" s="159" t="s">
        <v>1733</v>
      </c>
      <c r="C402" s="159" t="s">
        <v>126</v>
      </c>
      <c r="D402" s="159" t="s">
        <v>127</v>
      </c>
      <c r="E402" s="159" t="s">
        <v>1734</v>
      </c>
      <c r="F402" s="152"/>
      <c r="G402" s="152" t="s">
        <v>107</v>
      </c>
      <c r="H402" s="152" t="s">
        <v>42</v>
      </c>
      <c r="I402" s="152">
        <v>41.042000000000002</v>
      </c>
      <c r="J402" s="151" t="s">
        <v>1660</v>
      </c>
      <c r="K402" s="153">
        <v>45748</v>
      </c>
      <c r="L402" s="154" t="s">
        <v>45</v>
      </c>
      <c r="M402" s="155"/>
      <c r="N402" s="155"/>
      <c r="O402" s="155"/>
      <c r="P402" s="155"/>
      <c r="Q402" s="155"/>
      <c r="R402" s="155" t="s">
        <v>46</v>
      </c>
      <c r="S402" s="151" t="s">
        <v>47</v>
      </c>
      <c r="T402" s="151" t="s">
        <v>48</v>
      </c>
      <c r="U402" s="156" t="s">
        <v>1735</v>
      </c>
      <c r="V402" s="151" t="s">
        <v>85</v>
      </c>
      <c r="W402" s="151" t="s">
        <v>124</v>
      </c>
      <c r="X402" s="151"/>
      <c r="Y402" s="156" t="s">
        <v>132</v>
      </c>
      <c r="Z402" s="156"/>
      <c r="AA402" s="156"/>
      <c r="AB402" s="156"/>
      <c r="AC402" s="156"/>
      <c r="AD402" s="155">
        <v>45826</v>
      </c>
      <c r="AE402" s="157">
        <v>600</v>
      </c>
      <c r="AF402" s="157">
        <v>1600</v>
      </c>
      <c r="AG402" s="155">
        <v>45796</v>
      </c>
      <c r="AH402" s="155">
        <v>45805</v>
      </c>
      <c r="AI402" s="155"/>
      <c r="AJ402" s="158">
        <v>45791</v>
      </c>
      <c r="AK402" s="211">
        <v>45826</v>
      </c>
      <c r="AL402" s="158"/>
      <c r="AM402" s="1"/>
    </row>
    <row r="403" spans="1:48" ht="45" hidden="1" customHeight="1">
      <c r="B403" s="159" t="s">
        <v>1804</v>
      </c>
      <c r="C403" s="159" t="s">
        <v>203</v>
      </c>
      <c r="D403" s="159" t="s">
        <v>204</v>
      </c>
      <c r="E403" s="159" t="s">
        <v>1805</v>
      </c>
      <c r="F403" s="152"/>
      <c r="G403" s="152" t="s">
        <v>1757</v>
      </c>
      <c r="H403" s="152" t="s">
        <v>42</v>
      </c>
      <c r="I403" s="152" t="s">
        <v>1806</v>
      </c>
      <c r="J403" s="151" t="s">
        <v>1613</v>
      </c>
      <c r="K403" s="153">
        <v>45748</v>
      </c>
      <c r="L403" s="154" t="s">
        <v>45</v>
      </c>
      <c r="M403" s="155"/>
      <c r="N403" s="155"/>
      <c r="O403" s="155"/>
      <c r="P403" s="155"/>
      <c r="Q403" s="155"/>
      <c r="R403" s="155" t="s">
        <v>46</v>
      </c>
      <c r="S403" s="151" t="s">
        <v>47</v>
      </c>
      <c r="T403" s="151" t="s">
        <v>48</v>
      </c>
      <c r="U403" s="156" t="s">
        <v>1807</v>
      </c>
      <c r="V403" s="151" t="s">
        <v>85</v>
      </c>
      <c r="W403" s="151" t="s">
        <v>1808</v>
      </c>
      <c r="X403" s="151"/>
      <c r="Y403" s="156" t="s">
        <v>62</v>
      </c>
      <c r="Z403" s="156"/>
      <c r="AA403" s="156"/>
      <c r="AB403" s="156"/>
      <c r="AC403" s="156"/>
      <c r="AD403" s="155">
        <v>45826</v>
      </c>
      <c r="AE403" s="157">
        <v>1200</v>
      </c>
      <c r="AF403" s="157">
        <v>3700</v>
      </c>
      <c r="AG403" s="155">
        <v>45782</v>
      </c>
      <c r="AH403" s="155">
        <v>45812</v>
      </c>
      <c r="AI403" s="155" t="s">
        <v>1809</v>
      </c>
      <c r="AJ403" s="158">
        <v>45812</v>
      </c>
      <c r="AK403" s="211">
        <v>45812</v>
      </c>
      <c r="AL403" s="158"/>
      <c r="AM403" s="1"/>
    </row>
    <row r="404" spans="1:48" ht="45" hidden="1" customHeight="1">
      <c r="B404" s="159" t="s">
        <v>1711</v>
      </c>
      <c r="C404" s="159" t="s">
        <v>152</v>
      </c>
      <c r="D404" s="159" t="s">
        <v>321</v>
      </c>
      <c r="E404" s="159" t="s">
        <v>1712</v>
      </c>
      <c r="F404" s="152"/>
      <c r="G404" s="152" t="s">
        <v>145</v>
      </c>
      <c r="H404" s="152" t="s">
        <v>42</v>
      </c>
      <c r="I404" s="152">
        <v>11</v>
      </c>
      <c r="J404" s="151"/>
      <c r="K404" s="153">
        <v>45748</v>
      </c>
      <c r="L404" s="154" t="s">
        <v>45</v>
      </c>
      <c r="M404" s="155"/>
      <c r="N404" s="155"/>
      <c r="O404" s="155"/>
      <c r="P404" s="155"/>
      <c r="Q404" s="155"/>
      <c r="R404" s="155" t="s">
        <v>46</v>
      </c>
      <c r="S404" s="151" t="s">
        <v>47</v>
      </c>
      <c r="T404" s="151" t="s">
        <v>48</v>
      </c>
      <c r="U404" s="156" t="s">
        <v>1713</v>
      </c>
      <c r="V404" s="151" t="s">
        <v>85</v>
      </c>
      <c r="W404" s="151" t="s">
        <v>200</v>
      </c>
      <c r="X404" s="151"/>
      <c r="Y404" s="156" t="s">
        <v>200</v>
      </c>
      <c r="Z404" s="156"/>
      <c r="AA404" s="156"/>
      <c r="AB404" s="156"/>
      <c r="AC404" s="156"/>
      <c r="AD404" s="155">
        <v>45785</v>
      </c>
      <c r="AE404" s="157">
        <v>0</v>
      </c>
      <c r="AF404" s="157">
        <v>1500</v>
      </c>
      <c r="AG404" s="155">
        <v>45776</v>
      </c>
      <c r="AH404" s="155">
        <v>45779</v>
      </c>
      <c r="AI404" s="155"/>
      <c r="AJ404" s="158">
        <v>45777</v>
      </c>
      <c r="AK404" s="211">
        <v>45785</v>
      </c>
      <c r="AL404" s="158"/>
      <c r="AM404" s="1"/>
    </row>
    <row r="405" spans="1:48" ht="45" hidden="1" customHeight="1">
      <c r="B405" s="159" t="s">
        <v>1944</v>
      </c>
      <c r="C405" s="159" t="s">
        <v>54</v>
      </c>
      <c r="D405" s="159" t="s">
        <v>55</v>
      </c>
      <c r="E405" s="159" t="s">
        <v>1945</v>
      </c>
      <c r="F405" s="152"/>
      <c r="G405" s="152" t="s">
        <v>1391</v>
      </c>
      <c r="H405" s="152" t="s">
        <v>42</v>
      </c>
      <c r="I405" s="152" t="s">
        <v>1946</v>
      </c>
      <c r="J405" s="151"/>
      <c r="K405" s="153">
        <v>45748</v>
      </c>
      <c r="L405" s="154" t="s">
        <v>45</v>
      </c>
      <c r="M405" s="155"/>
      <c r="N405" s="155"/>
      <c r="O405" s="155"/>
      <c r="P405" s="155"/>
      <c r="Q405" s="155"/>
      <c r="R405" s="155" t="s">
        <v>46</v>
      </c>
      <c r="S405" s="151" t="s">
        <v>47</v>
      </c>
      <c r="T405" s="151" t="s">
        <v>48</v>
      </c>
      <c r="U405" s="156" t="s">
        <v>1947</v>
      </c>
      <c r="V405" s="151" t="s">
        <v>85</v>
      </c>
      <c r="W405" s="151" t="s">
        <v>1460</v>
      </c>
      <c r="X405" s="151" t="s">
        <v>94</v>
      </c>
      <c r="Y405" s="156" t="s">
        <v>68</v>
      </c>
      <c r="Z405" s="156" t="s">
        <v>51</v>
      </c>
      <c r="AA405" s="156"/>
      <c r="AB405" s="156"/>
      <c r="AC405" s="156"/>
      <c r="AD405" s="155">
        <v>45889</v>
      </c>
      <c r="AE405" s="157">
        <v>1400</v>
      </c>
      <c r="AF405" s="157">
        <v>3100</v>
      </c>
      <c r="AG405" s="155">
        <v>45792</v>
      </c>
      <c r="AH405" s="155">
        <v>45806</v>
      </c>
      <c r="AI405" s="155"/>
      <c r="AJ405" s="158">
        <v>45875</v>
      </c>
      <c r="AK405" s="211">
        <v>45889</v>
      </c>
      <c r="AL405" s="158"/>
      <c r="AM405" s="1"/>
    </row>
    <row r="406" spans="1:48" ht="45" hidden="1" customHeight="1">
      <c r="B406" s="159" t="s">
        <v>1800</v>
      </c>
      <c r="C406" s="159" t="s">
        <v>232</v>
      </c>
      <c r="D406" s="25" t="s">
        <v>8519</v>
      </c>
      <c r="E406" s="159" t="s">
        <v>1801</v>
      </c>
      <c r="F406" s="152"/>
      <c r="G406" s="152" t="s">
        <v>1676</v>
      </c>
      <c r="H406" s="152" t="s">
        <v>42</v>
      </c>
      <c r="I406" s="152" t="s">
        <v>1802</v>
      </c>
      <c r="J406" s="151" t="s">
        <v>1484</v>
      </c>
      <c r="K406" s="153">
        <v>45778</v>
      </c>
      <c r="L406" s="154" t="s">
        <v>58</v>
      </c>
      <c r="M406" s="155"/>
      <c r="N406" s="155"/>
      <c r="O406" s="155"/>
      <c r="P406" s="155"/>
      <c r="Q406" s="155"/>
      <c r="R406" s="155" t="s">
        <v>46</v>
      </c>
      <c r="S406" s="151" t="s">
        <v>47</v>
      </c>
      <c r="T406" s="151" t="s">
        <v>48</v>
      </c>
      <c r="U406" s="156" t="s">
        <v>1803</v>
      </c>
      <c r="V406" s="151" t="s">
        <v>85</v>
      </c>
      <c r="W406" s="151" t="s">
        <v>50</v>
      </c>
      <c r="X406" s="151"/>
      <c r="Y406" s="156" t="s">
        <v>1122</v>
      </c>
      <c r="Z406" s="156"/>
      <c r="AA406" s="156"/>
      <c r="AB406" s="156"/>
      <c r="AC406" s="156"/>
      <c r="AD406" s="155">
        <v>45826</v>
      </c>
      <c r="AE406" s="157">
        <v>1200</v>
      </c>
      <c r="AF406" s="157">
        <v>2500</v>
      </c>
      <c r="AG406" s="155">
        <v>45790</v>
      </c>
      <c r="AH406" s="155">
        <v>45812</v>
      </c>
      <c r="AI406" s="155">
        <v>45812</v>
      </c>
      <c r="AJ406" s="158">
        <v>45810</v>
      </c>
      <c r="AK406" s="211"/>
      <c r="AL406" s="158"/>
      <c r="AM406" s="1"/>
    </row>
    <row r="407" spans="1:48" ht="45" hidden="1" customHeight="1">
      <c r="A407" s="1"/>
      <c r="B407" s="159" t="s">
        <v>1762</v>
      </c>
      <c r="C407" s="159" t="s">
        <v>979</v>
      </c>
      <c r="D407" s="159" t="s">
        <v>980</v>
      </c>
      <c r="E407" s="159" t="s">
        <v>1280</v>
      </c>
      <c r="F407" s="152"/>
      <c r="G407" s="152" t="s">
        <v>308</v>
      </c>
      <c r="H407" s="152" t="s">
        <v>982</v>
      </c>
      <c r="I407" s="152">
        <v>138.13900000000001</v>
      </c>
      <c r="J407" s="151"/>
      <c r="K407" s="153">
        <v>45778</v>
      </c>
      <c r="L407" s="154" t="s">
        <v>45</v>
      </c>
      <c r="M407" s="155"/>
      <c r="N407" s="155"/>
      <c r="O407" s="155"/>
      <c r="P407" s="155"/>
      <c r="Q407" s="155"/>
      <c r="R407" s="155" t="s">
        <v>46</v>
      </c>
      <c r="S407" s="151" t="s">
        <v>47</v>
      </c>
      <c r="T407" s="151" t="s">
        <v>48</v>
      </c>
      <c r="U407" s="156" t="s">
        <v>1763</v>
      </c>
      <c r="V407" s="151" t="s">
        <v>85</v>
      </c>
      <c r="W407" s="151" t="s">
        <v>239</v>
      </c>
      <c r="X407" s="151"/>
      <c r="Y407" s="156" t="s">
        <v>1764</v>
      </c>
      <c r="Z407" s="156"/>
      <c r="AA407" s="156"/>
      <c r="AB407" s="156"/>
      <c r="AC407" s="156"/>
      <c r="AD407" s="155">
        <v>45826</v>
      </c>
      <c r="AE407" s="157">
        <v>400</v>
      </c>
      <c r="AF407" s="157">
        <v>400</v>
      </c>
      <c r="AG407" s="155">
        <v>45825</v>
      </c>
      <c r="AH407" s="155">
        <v>45797</v>
      </c>
      <c r="AI407" s="155"/>
      <c r="AJ407" s="158">
        <v>45797</v>
      </c>
      <c r="AK407" s="211">
        <v>45826</v>
      </c>
      <c r="AL407" s="158"/>
      <c r="AM407" s="1"/>
      <c r="AN407" s="1"/>
      <c r="AO407" s="1"/>
      <c r="AP407" s="1"/>
      <c r="AQ407" s="1"/>
      <c r="AR407" s="1"/>
      <c r="AS407" s="1"/>
      <c r="AT407" s="1"/>
      <c r="AU407" s="1"/>
      <c r="AV407" s="1"/>
    </row>
    <row r="408" spans="1:48" ht="45" hidden="1" customHeight="1">
      <c r="B408" s="159" t="s">
        <v>1851</v>
      </c>
      <c r="C408" s="159" t="s">
        <v>606</v>
      </c>
      <c r="D408" s="159" t="s">
        <v>607</v>
      </c>
      <c r="E408" s="159" t="s">
        <v>1852</v>
      </c>
      <c r="F408" s="152"/>
      <c r="G408" s="152" t="s">
        <v>41</v>
      </c>
      <c r="H408" s="152" t="s">
        <v>42</v>
      </c>
      <c r="I408" s="152">
        <v>51</v>
      </c>
      <c r="J408" s="151" t="s">
        <v>1613</v>
      </c>
      <c r="K408" s="153">
        <v>45778</v>
      </c>
      <c r="L408" s="154" t="s">
        <v>45</v>
      </c>
      <c r="M408" s="155"/>
      <c r="N408" s="155"/>
      <c r="O408" s="155"/>
      <c r="P408" s="155"/>
      <c r="Q408" s="155"/>
      <c r="R408" s="155" t="s">
        <v>46</v>
      </c>
      <c r="S408" s="151" t="s">
        <v>47</v>
      </c>
      <c r="T408" s="151" t="s">
        <v>48</v>
      </c>
      <c r="U408" s="156" t="s">
        <v>1853</v>
      </c>
      <c r="V408" s="151" t="s">
        <v>85</v>
      </c>
      <c r="W408" s="151" t="s">
        <v>1854</v>
      </c>
      <c r="X408" s="151" t="s">
        <v>1204</v>
      </c>
      <c r="Y408" s="156" t="s">
        <v>1478</v>
      </c>
      <c r="Z408" s="156"/>
      <c r="AA408" s="156"/>
      <c r="AB408" s="156"/>
      <c r="AC408" s="156"/>
      <c r="AD408" s="155">
        <v>45838</v>
      </c>
      <c r="AE408" s="157">
        <v>1100</v>
      </c>
      <c r="AF408" s="157">
        <v>1200</v>
      </c>
      <c r="AG408" s="155">
        <v>45823</v>
      </c>
      <c r="AH408" s="155">
        <v>45832</v>
      </c>
      <c r="AI408" s="155"/>
      <c r="AJ408" s="158">
        <v>45838</v>
      </c>
      <c r="AK408" s="211">
        <v>45838</v>
      </c>
      <c r="AL408" s="158"/>
      <c r="AM408" s="1"/>
    </row>
    <row r="409" spans="1:48" ht="45" hidden="1" customHeight="1">
      <c r="B409" s="159" t="s">
        <v>1815</v>
      </c>
      <c r="C409" s="159" t="s">
        <v>293</v>
      </c>
      <c r="D409" s="159" t="s">
        <v>842</v>
      </c>
      <c r="E409" s="159" t="s">
        <v>1816</v>
      </c>
      <c r="F409" s="152"/>
      <c r="G409" s="152" t="s">
        <v>145</v>
      </c>
      <c r="H409" s="152" t="s">
        <v>42</v>
      </c>
      <c r="I409" s="152" t="s">
        <v>177</v>
      </c>
      <c r="J409" s="151" t="s">
        <v>1613</v>
      </c>
      <c r="K409" s="153">
        <v>45778</v>
      </c>
      <c r="L409" s="154" t="s">
        <v>1499</v>
      </c>
      <c r="M409" s="155"/>
      <c r="N409" s="155"/>
      <c r="O409" s="155"/>
      <c r="P409" s="155"/>
      <c r="Q409" s="155"/>
      <c r="R409" s="155" t="s">
        <v>46</v>
      </c>
      <c r="S409" s="151" t="s">
        <v>47</v>
      </c>
      <c r="T409" s="151" t="s">
        <v>48</v>
      </c>
      <c r="U409" s="156" t="s">
        <v>1817</v>
      </c>
      <c r="V409" s="151" t="s">
        <v>85</v>
      </c>
      <c r="W409" s="151" t="s">
        <v>1460</v>
      </c>
      <c r="X409" s="151"/>
      <c r="Y409" s="156" t="s">
        <v>62</v>
      </c>
      <c r="Z409" s="156"/>
      <c r="AA409" s="156"/>
      <c r="AB409" s="158" t="s">
        <v>1818</v>
      </c>
      <c r="AC409" s="158"/>
      <c r="AD409" s="155">
        <v>45826</v>
      </c>
      <c r="AE409" s="157">
        <v>3500</v>
      </c>
      <c r="AF409" s="157">
        <v>2100</v>
      </c>
      <c r="AG409" s="155">
        <v>45797</v>
      </c>
      <c r="AH409" s="155">
        <v>45818</v>
      </c>
      <c r="AI409" s="155">
        <v>45820</v>
      </c>
      <c r="AJ409" s="158">
        <v>45818</v>
      </c>
      <c r="AK409" s="211">
        <v>45824</v>
      </c>
      <c r="AL409" s="158"/>
      <c r="AM409" s="1"/>
    </row>
    <row r="410" spans="1:48" ht="45" hidden="1" customHeight="1">
      <c r="A410" s="1"/>
      <c r="B410" s="159" t="s">
        <v>1826</v>
      </c>
      <c r="C410" s="159" t="s">
        <v>293</v>
      </c>
      <c r="D410" s="159" t="s">
        <v>842</v>
      </c>
      <c r="E410" s="159" t="s">
        <v>1827</v>
      </c>
      <c r="F410" s="152"/>
      <c r="G410" s="152" t="s">
        <v>145</v>
      </c>
      <c r="H410" s="152" t="s">
        <v>42</v>
      </c>
      <c r="I410" s="152" t="s">
        <v>1644</v>
      </c>
      <c r="J410" s="151" t="s">
        <v>1613</v>
      </c>
      <c r="K410" s="153">
        <v>45778</v>
      </c>
      <c r="L410" s="154" t="s">
        <v>1499</v>
      </c>
      <c r="M410" s="155"/>
      <c r="N410" s="155"/>
      <c r="O410" s="155"/>
      <c r="P410" s="155"/>
      <c r="Q410" s="155"/>
      <c r="R410" s="155" t="s">
        <v>46</v>
      </c>
      <c r="S410" s="151" t="s">
        <v>47</v>
      </c>
      <c r="T410" s="151" t="s">
        <v>48</v>
      </c>
      <c r="U410" s="156" t="s">
        <v>1828</v>
      </c>
      <c r="V410" s="151" t="s">
        <v>85</v>
      </c>
      <c r="W410" s="151" t="s">
        <v>77</v>
      </c>
      <c r="X410" s="151"/>
      <c r="Y410" s="156" t="s">
        <v>77</v>
      </c>
      <c r="Z410" s="156"/>
      <c r="AA410" s="156"/>
      <c r="AB410" s="156" t="s">
        <v>1818</v>
      </c>
      <c r="AC410" s="156"/>
      <c r="AD410" s="155">
        <v>45826</v>
      </c>
      <c r="AE410" s="157">
        <v>900</v>
      </c>
      <c r="AF410" s="157">
        <v>1000</v>
      </c>
      <c r="AG410" s="155">
        <v>45809</v>
      </c>
      <c r="AH410" s="155">
        <v>45816</v>
      </c>
      <c r="AI410" s="155">
        <v>45818</v>
      </c>
      <c r="AJ410" s="158">
        <v>45821</v>
      </c>
      <c r="AK410" s="211">
        <v>45824</v>
      </c>
      <c r="AL410" s="158"/>
      <c r="AM410" s="1"/>
      <c r="AN410" s="1"/>
      <c r="AO410" s="1"/>
      <c r="AP410" s="1"/>
      <c r="AQ410" s="1"/>
      <c r="AR410" s="1"/>
      <c r="AS410" s="1"/>
      <c r="AT410" s="1"/>
      <c r="AU410" s="1"/>
      <c r="AV410" s="1"/>
    </row>
    <row r="411" spans="1:48" ht="45" hidden="1" customHeight="1">
      <c r="B411" s="159" t="s">
        <v>1837</v>
      </c>
      <c r="C411" s="159" t="s">
        <v>293</v>
      </c>
      <c r="D411" s="159" t="s">
        <v>842</v>
      </c>
      <c r="E411" s="159" t="s">
        <v>1838</v>
      </c>
      <c r="F411" s="152"/>
      <c r="G411" s="152" t="s">
        <v>145</v>
      </c>
      <c r="H411" s="152" t="s">
        <v>42</v>
      </c>
      <c r="I411" s="152">
        <v>81.081999999999994</v>
      </c>
      <c r="J411" s="151" t="s">
        <v>1613</v>
      </c>
      <c r="K411" s="153">
        <v>45778</v>
      </c>
      <c r="L411" s="154" t="s">
        <v>1499</v>
      </c>
      <c r="M411" s="155"/>
      <c r="N411" s="155"/>
      <c r="O411" s="155"/>
      <c r="P411" s="155"/>
      <c r="Q411" s="155"/>
      <c r="R411" s="155" t="s">
        <v>46</v>
      </c>
      <c r="S411" s="151" t="s">
        <v>47</v>
      </c>
      <c r="T411" s="151" t="s">
        <v>48</v>
      </c>
      <c r="U411" s="156" t="s">
        <v>1839</v>
      </c>
      <c r="V411" s="151" t="s">
        <v>85</v>
      </c>
      <c r="W411" s="151" t="s">
        <v>124</v>
      </c>
      <c r="X411" s="151"/>
      <c r="Y411" s="156" t="s">
        <v>51</v>
      </c>
      <c r="Z411" s="156"/>
      <c r="AA411" s="156"/>
      <c r="AB411" s="156" t="s">
        <v>1818</v>
      </c>
      <c r="AC411" s="156"/>
      <c r="AD411" s="155">
        <v>45838</v>
      </c>
      <c r="AE411" s="157">
        <v>1500</v>
      </c>
      <c r="AF411" s="157">
        <v>1300</v>
      </c>
      <c r="AG411" s="155">
        <v>45813</v>
      </c>
      <c r="AH411" s="155">
        <v>45824</v>
      </c>
      <c r="AI411" s="155">
        <v>45826</v>
      </c>
      <c r="AJ411" s="158">
        <v>45835</v>
      </c>
      <c r="AK411" s="211">
        <v>45838</v>
      </c>
      <c r="AL411" s="158"/>
      <c r="AM411" s="1"/>
    </row>
    <row r="412" spans="1:48" ht="45" hidden="1" customHeight="1">
      <c r="A412" s="1"/>
      <c r="B412" s="159" t="s">
        <v>1823</v>
      </c>
      <c r="C412" s="159" t="s">
        <v>571</v>
      </c>
      <c r="D412" s="159" t="s">
        <v>572</v>
      </c>
      <c r="E412" s="159" t="s">
        <v>1824</v>
      </c>
      <c r="F412" s="152"/>
      <c r="G412" s="152" t="s">
        <v>1557</v>
      </c>
      <c r="H412" s="152" t="s">
        <v>42</v>
      </c>
      <c r="I412" s="152">
        <v>21</v>
      </c>
      <c r="J412" s="151" t="s">
        <v>1613</v>
      </c>
      <c r="K412" s="153">
        <v>45778</v>
      </c>
      <c r="L412" s="154" t="s">
        <v>45</v>
      </c>
      <c r="M412" s="155"/>
      <c r="N412" s="155"/>
      <c r="O412" s="155"/>
      <c r="P412" s="155"/>
      <c r="Q412" s="155"/>
      <c r="R412" s="155" t="s">
        <v>46</v>
      </c>
      <c r="S412" s="151" t="s">
        <v>47</v>
      </c>
      <c r="T412" s="151" t="s">
        <v>48</v>
      </c>
      <c r="U412" s="156" t="s">
        <v>1825</v>
      </c>
      <c r="V412" s="151" t="s">
        <v>85</v>
      </c>
      <c r="W412" s="151" t="s">
        <v>147</v>
      </c>
      <c r="X412" s="151"/>
      <c r="Y412" s="156" t="s">
        <v>77</v>
      </c>
      <c r="Z412" s="156"/>
      <c r="AA412" s="156"/>
      <c r="AB412" s="156"/>
      <c r="AC412" s="156"/>
      <c r="AD412" s="155">
        <v>45826</v>
      </c>
      <c r="AE412" s="157">
        <v>700</v>
      </c>
      <c r="AF412" s="157">
        <v>1400</v>
      </c>
      <c r="AG412" s="155">
        <v>45819</v>
      </c>
      <c r="AH412" s="155">
        <v>45827</v>
      </c>
      <c r="AI412" s="155" t="s">
        <v>1822</v>
      </c>
      <c r="AJ412" s="158">
        <v>45821</v>
      </c>
      <c r="AK412" s="211">
        <v>45824</v>
      </c>
      <c r="AL412" s="158"/>
      <c r="AM412" s="1"/>
      <c r="AN412" s="1"/>
      <c r="AO412" s="1"/>
      <c r="AP412" s="1"/>
      <c r="AQ412" s="1"/>
      <c r="AR412" s="1"/>
      <c r="AS412" s="1"/>
      <c r="AT412" s="1"/>
      <c r="AU412" s="1"/>
      <c r="AV412" s="1"/>
    </row>
    <row r="413" spans="1:48" ht="45" hidden="1" customHeight="1">
      <c r="B413" s="159" t="s">
        <v>1819</v>
      </c>
      <c r="C413" s="159" t="s">
        <v>571</v>
      </c>
      <c r="D413" s="159" t="s">
        <v>572</v>
      </c>
      <c r="E413" s="159" t="s">
        <v>1820</v>
      </c>
      <c r="F413" s="152"/>
      <c r="G413" s="152" t="s">
        <v>1557</v>
      </c>
      <c r="H413" s="152" t="s">
        <v>42</v>
      </c>
      <c r="I413" s="152">
        <v>131</v>
      </c>
      <c r="J413" s="151" t="s">
        <v>1613</v>
      </c>
      <c r="K413" s="153">
        <v>45778</v>
      </c>
      <c r="L413" s="154" t="s">
        <v>1776</v>
      </c>
      <c r="M413" s="155"/>
      <c r="N413" s="155"/>
      <c r="O413" s="155"/>
      <c r="P413" s="155"/>
      <c r="Q413" s="155"/>
      <c r="R413" s="155" t="s">
        <v>46</v>
      </c>
      <c r="S413" s="151" t="s">
        <v>47</v>
      </c>
      <c r="T413" s="151" t="s">
        <v>48</v>
      </c>
      <c r="U413" s="156" t="s">
        <v>1821</v>
      </c>
      <c r="V413" s="151" t="s">
        <v>85</v>
      </c>
      <c r="W413" s="151" t="s">
        <v>94</v>
      </c>
      <c r="X413" s="151"/>
      <c r="Y413" s="156" t="s">
        <v>62</v>
      </c>
      <c r="Z413" s="156"/>
      <c r="AA413" s="156"/>
      <c r="AB413" s="156"/>
      <c r="AC413" s="156"/>
      <c r="AD413" s="155">
        <v>45826</v>
      </c>
      <c r="AE413" s="157">
        <v>2000</v>
      </c>
      <c r="AF413" s="157">
        <v>400</v>
      </c>
      <c r="AG413" s="155">
        <v>45811</v>
      </c>
      <c r="AH413" s="155">
        <v>45820</v>
      </c>
      <c r="AI413" s="155" t="s">
        <v>1822</v>
      </c>
      <c r="AJ413" s="158">
        <v>45819</v>
      </c>
      <c r="AK413" s="211">
        <v>45819</v>
      </c>
      <c r="AL413" s="158"/>
      <c r="AM413" s="1"/>
    </row>
    <row r="414" spans="1:48" ht="45" hidden="1" customHeight="1">
      <c r="B414" s="159" t="s">
        <v>1840</v>
      </c>
      <c r="C414" s="159" t="s">
        <v>261</v>
      </c>
      <c r="D414" s="159" t="s">
        <v>262</v>
      </c>
      <c r="E414" s="159" t="s">
        <v>1841</v>
      </c>
      <c r="F414" s="152"/>
      <c r="G414" s="152" t="s">
        <v>137</v>
      </c>
      <c r="H414" s="152" t="s">
        <v>42</v>
      </c>
      <c r="I414" s="152" t="s">
        <v>1842</v>
      </c>
      <c r="J414" s="151" t="s">
        <v>1613</v>
      </c>
      <c r="K414" s="153">
        <v>45778</v>
      </c>
      <c r="L414" s="154" t="s">
        <v>45</v>
      </c>
      <c r="M414" s="155"/>
      <c r="N414" s="155"/>
      <c r="O414" s="155"/>
      <c r="P414" s="155"/>
      <c r="Q414" s="155"/>
      <c r="R414" s="155" t="s">
        <v>46</v>
      </c>
      <c r="S414" s="151" t="s">
        <v>47</v>
      </c>
      <c r="T414" s="151" t="s">
        <v>48</v>
      </c>
      <c r="U414" s="156" t="s">
        <v>1843</v>
      </c>
      <c r="V414" s="151" t="s">
        <v>85</v>
      </c>
      <c r="W414" s="151" t="s">
        <v>50</v>
      </c>
      <c r="X414" s="151"/>
      <c r="Y414" s="156" t="s">
        <v>132</v>
      </c>
      <c r="Z414" s="156"/>
      <c r="AA414" s="156"/>
      <c r="AB414" s="156"/>
      <c r="AC414" s="156"/>
      <c r="AD414" s="155">
        <v>45838</v>
      </c>
      <c r="AE414" s="157">
        <v>3200</v>
      </c>
      <c r="AF414" s="157">
        <v>9300</v>
      </c>
      <c r="AG414" s="155">
        <v>45797</v>
      </c>
      <c r="AH414" s="155">
        <v>45820</v>
      </c>
      <c r="AI414" s="155">
        <v>45827</v>
      </c>
      <c r="AJ414" s="158">
        <v>45835</v>
      </c>
      <c r="AK414" s="211">
        <v>45838</v>
      </c>
      <c r="AL414" s="158"/>
      <c r="AM414" s="1"/>
    </row>
    <row r="415" spans="1:48" ht="45" hidden="1" customHeight="1">
      <c r="B415" s="159" t="s">
        <v>1883</v>
      </c>
      <c r="C415" s="159" t="s">
        <v>111</v>
      </c>
      <c r="D415" s="159" t="s">
        <v>112</v>
      </c>
      <c r="E415" s="159" t="s">
        <v>1884</v>
      </c>
      <c r="F415" s="152"/>
      <c r="G415" s="152" t="s">
        <v>1835</v>
      </c>
      <c r="H415" s="152" t="s">
        <v>42</v>
      </c>
      <c r="I415" s="152" t="s">
        <v>1885</v>
      </c>
      <c r="J415" s="151" t="s">
        <v>1846</v>
      </c>
      <c r="K415" s="153">
        <v>45778</v>
      </c>
      <c r="L415" s="154" t="s">
        <v>45</v>
      </c>
      <c r="M415" s="155"/>
      <c r="N415" s="155"/>
      <c r="O415" s="155"/>
      <c r="P415" s="155"/>
      <c r="Q415" s="155"/>
      <c r="R415" s="155" t="s">
        <v>46</v>
      </c>
      <c r="S415" s="151" t="s">
        <v>47</v>
      </c>
      <c r="T415" s="151" t="s">
        <v>48</v>
      </c>
      <c r="U415" s="156" t="s">
        <v>1886</v>
      </c>
      <c r="V415" s="151" t="s">
        <v>85</v>
      </c>
      <c r="W415" s="151" t="s">
        <v>50</v>
      </c>
      <c r="X415" s="151"/>
      <c r="Y415" s="156" t="s">
        <v>132</v>
      </c>
      <c r="Z415" s="156"/>
      <c r="AA415" s="156"/>
      <c r="AB415" s="156" t="s">
        <v>1768</v>
      </c>
      <c r="AC415" s="156"/>
      <c r="AD415" s="155">
        <v>45862</v>
      </c>
      <c r="AE415" s="157">
        <v>2000</v>
      </c>
      <c r="AF415" s="157">
        <v>6100</v>
      </c>
      <c r="AG415" s="155">
        <v>45834</v>
      </c>
      <c r="AH415" s="155">
        <v>45858</v>
      </c>
      <c r="AI415" s="155">
        <v>45852</v>
      </c>
      <c r="AJ415" s="158">
        <v>45853</v>
      </c>
      <c r="AK415" s="211">
        <v>45862</v>
      </c>
      <c r="AL415" s="158"/>
      <c r="AM415" s="1"/>
    </row>
    <row r="416" spans="1:48" ht="45" hidden="1" customHeight="1">
      <c r="B416" s="159" t="s">
        <v>1833</v>
      </c>
      <c r="C416" s="159" t="s">
        <v>111</v>
      </c>
      <c r="D416" s="159" t="s">
        <v>112</v>
      </c>
      <c r="E416" s="159" t="s">
        <v>1834</v>
      </c>
      <c r="F416" s="152"/>
      <c r="G416" s="152" t="s">
        <v>1835</v>
      </c>
      <c r="H416" s="152" t="s">
        <v>42</v>
      </c>
      <c r="I416" s="152">
        <v>201</v>
      </c>
      <c r="J416" s="151" t="s">
        <v>1613</v>
      </c>
      <c r="K416" s="153">
        <v>45778</v>
      </c>
      <c r="L416" s="154" t="s">
        <v>45</v>
      </c>
      <c r="M416" s="155"/>
      <c r="N416" s="155"/>
      <c r="O416" s="155"/>
      <c r="P416" s="155"/>
      <c r="Q416" s="155"/>
      <c r="R416" s="155" t="s">
        <v>46</v>
      </c>
      <c r="S416" s="151" t="s">
        <v>47</v>
      </c>
      <c r="T416" s="151" t="s">
        <v>48</v>
      </c>
      <c r="U416" s="156" t="s">
        <v>1836</v>
      </c>
      <c r="V416" s="151" t="s">
        <v>85</v>
      </c>
      <c r="W416" s="151" t="s">
        <v>77</v>
      </c>
      <c r="X416" s="151"/>
      <c r="Y416" s="156" t="s">
        <v>1478</v>
      </c>
      <c r="Z416" s="156"/>
      <c r="AA416" s="156"/>
      <c r="AB416" s="158" t="s">
        <v>1768</v>
      </c>
      <c r="AC416" s="158"/>
      <c r="AD416" s="155">
        <v>45838</v>
      </c>
      <c r="AE416" s="157">
        <v>800</v>
      </c>
      <c r="AF416" s="157">
        <v>1700</v>
      </c>
      <c r="AG416" s="155">
        <v>45804</v>
      </c>
      <c r="AH416" s="551">
        <v>45813</v>
      </c>
      <c r="AI416" s="155">
        <v>45831</v>
      </c>
      <c r="AJ416" s="158">
        <v>45831</v>
      </c>
      <c r="AK416" s="211">
        <v>45838</v>
      </c>
      <c r="AL416" s="158"/>
      <c r="AM416" s="1"/>
    </row>
    <row r="417" spans="1:48" ht="45" hidden="1" customHeight="1">
      <c r="B417" s="159" t="s">
        <v>2195</v>
      </c>
      <c r="C417" s="159" t="s">
        <v>88</v>
      </c>
      <c r="D417" s="159" t="s">
        <v>2196</v>
      </c>
      <c r="E417" s="159" t="s">
        <v>2197</v>
      </c>
      <c r="F417" s="152" t="s">
        <v>40</v>
      </c>
      <c r="G417" s="152" t="s">
        <v>121</v>
      </c>
      <c r="H417" s="152" t="s">
        <v>42</v>
      </c>
      <c r="I417" s="152">
        <v>143</v>
      </c>
      <c r="J417" s="151" t="s">
        <v>2020</v>
      </c>
      <c r="K417" s="153">
        <v>45778</v>
      </c>
      <c r="L417" s="154" t="s">
        <v>45</v>
      </c>
      <c r="M417" s="155"/>
      <c r="N417" s="155"/>
      <c r="O417" s="155"/>
      <c r="P417" s="155"/>
      <c r="Q417" s="155"/>
      <c r="R417" s="155" t="s">
        <v>46</v>
      </c>
      <c r="S417" s="151" t="s">
        <v>47</v>
      </c>
      <c r="T417" s="151" t="s">
        <v>48</v>
      </c>
      <c r="U417" s="156" t="s">
        <v>2198</v>
      </c>
      <c r="V417" s="151" t="s">
        <v>85</v>
      </c>
      <c r="W417" s="151" t="s">
        <v>147</v>
      </c>
      <c r="X417" s="151"/>
      <c r="Y417" s="156" t="s">
        <v>51</v>
      </c>
      <c r="Z417" s="156"/>
      <c r="AA417" s="156" t="s">
        <v>2199</v>
      </c>
      <c r="AB417" s="156"/>
      <c r="AC417" s="156"/>
      <c r="AD417" s="155">
        <v>45989</v>
      </c>
      <c r="AE417" s="157">
        <v>3200</v>
      </c>
      <c r="AF417" s="157">
        <v>13400</v>
      </c>
      <c r="AG417" s="155">
        <v>45901</v>
      </c>
      <c r="AH417" s="155">
        <v>45928</v>
      </c>
      <c r="AI417" s="155"/>
      <c r="AJ417" s="158">
        <v>45952</v>
      </c>
      <c r="AK417" s="211">
        <v>45989</v>
      </c>
      <c r="AL417" s="158"/>
      <c r="AM417" s="1"/>
    </row>
    <row r="418" spans="1:48" ht="45" hidden="1" customHeight="1">
      <c r="B418" s="159" t="s">
        <v>1829</v>
      </c>
      <c r="C418" s="159" t="s">
        <v>54</v>
      </c>
      <c r="D418" s="159" t="s">
        <v>55</v>
      </c>
      <c r="E418" s="159" t="s">
        <v>1830</v>
      </c>
      <c r="F418" s="152"/>
      <c r="G418" s="152" t="s">
        <v>1648</v>
      </c>
      <c r="H418" s="152" t="s">
        <v>42</v>
      </c>
      <c r="I418" s="152" t="s">
        <v>1831</v>
      </c>
      <c r="J418" s="151" t="s">
        <v>1613</v>
      </c>
      <c r="K418" s="153">
        <v>45778</v>
      </c>
      <c r="L418" s="154" t="s">
        <v>99</v>
      </c>
      <c r="M418" s="155"/>
      <c r="N418" s="155"/>
      <c r="O418" s="155"/>
      <c r="P418" s="155"/>
      <c r="Q418" s="155"/>
      <c r="R418" s="155" t="s">
        <v>46</v>
      </c>
      <c r="S418" s="151" t="s">
        <v>47</v>
      </c>
      <c r="T418" s="151" t="s">
        <v>48</v>
      </c>
      <c r="U418" s="156" t="s">
        <v>1832</v>
      </c>
      <c r="V418" s="151" t="s">
        <v>85</v>
      </c>
      <c r="W418" s="151" t="s">
        <v>239</v>
      </c>
      <c r="X418" s="151"/>
      <c r="Y418" s="156" t="s">
        <v>170</v>
      </c>
      <c r="Z418" s="156"/>
      <c r="AA418" s="156"/>
      <c r="AB418" s="156"/>
      <c r="AC418" s="156"/>
      <c r="AD418" s="155">
        <v>45838</v>
      </c>
      <c r="AE418" s="157">
        <v>2400</v>
      </c>
      <c r="AF418" s="157">
        <v>5000</v>
      </c>
      <c r="AG418" s="155">
        <v>45823</v>
      </c>
      <c r="AH418" s="155">
        <v>45837</v>
      </c>
      <c r="AI418" s="155"/>
      <c r="AJ418" s="158">
        <v>45831</v>
      </c>
      <c r="AK418" s="211">
        <v>45838</v>
      </c>
      <c r="AL418" s="158"/>
      <c r="AM418" s="1"/>
    </row>
    <row r="419" spans="1:48" ht="45" hidden="1" customHeight="1">
      <c r="B419" s="159" t="s">
        <v>1899</v>
      </c>
      <c r="C419" s="159" t="s">
        <v>1030</v>
      </c>
      <c r="D419" s="159" t="s">
        <v>1031</v>
      </c>
      <c r="E419" s="159" t="s">
        <v>1900</v>
      </c>
      <c r="F419" s="152"/>
      <c r="G419" s="152" t="s">
        <v>1871</v>
      </c>
      <c r="H419" s="152" t="s">
        <v>42</v>
      </c>
      <c r="I419" s="152" t="s">
        <v>1901</v>
      </c>
      <c r="J419" s="151" t="s">
        <v>1846</v>
      </c>
      <c r="K419" s="153">
        <v>45778</v>
      </c>
      <c r="L419" s="154" t="s">
        <v>45</v>
      </c>
      <c r="M419" s="155"/>
      <c r="N419" s="155"/>
      <c r="O419" s="155"/>
      <c r="P419" s="155"/>
      <c r="Q419" s="155"/>
      <c r="R419" s="155" t="s">
        <v>46</v>
      </c>
      <c r="S419" s="151" t="s">
        <v>47</v>
      </c>
      <c r="T419" s="151" t="s">
        <v>48</v>
      </c>
      <c r="U419" s="156" t="s">
        <v>1902</v>
      </c>
      <c r="V419" s="151" t="s">
        <v>85</v>
      </c>
      <c r="W419" s="151" t="s">
        <v>1460</v>
      </c>
      <c r="X419" s="151"/>
      <c r="Y419" s="156" t="s">
        <v>77</v>
      </c>
      <c r="Z419" s="156" t="s">
        <v>170</v>
      </c>
      <c r="AA419" s="156"/>
      <c r="AB419" s="156"/>
      <c r="AC419" s="156"/>
      <c r="AD419" s="155">
        <v>45866</v>
      </c>
      <c r="AE419" s="157">
        <v>4700</v>
      </c>
      <c r="AF419" s="157">
        <v>13900</v>
      </c>
      <c r="AG419" s="155">
        <v>45835</v>
      </c>
      <c r="AH419" s="155">
        <v>45867</v>
      </c>
      <c r="AI419" s="155">
        <v>45867</v>
      </c>
      <c r="AJ419" s="158">
        <v>45863</v>
      </c>
      <c r="AK419" s="211">
        <v>45866</v>
      </c>
      <c r="AL419" s="158"/>
      <c r="AM419" s="1"/>
    </row>
    <row r="420" spans="1:48" ht="45" hidden="1" customHeight="1">
      <c r="A420" s="1"/>
      <c r="B420" s="159" t="s">
        <v>1926</v>
      </c>
      <c r="C420" s="159" t="s">
        <v>1030</v>
      </c>
      <c r="D420" s="159" t="s">
        <v>1031</v>
      </c>
      <c r="E420" s="159" t="s">
        <v>1927</v>
      </c>
      <c r="F420" s="152"/>
      <c r="G420" s="152" t="s">
        <v>1871</v>
      </c>
      <c r="H420" s="152" t="s">
        <v>42</v>
      </c>
      <c r="I420" s="152">
        <v>1</v>
      </c>
      <c r="J420" s="151" t="s">
        <v>1846</v>
      </c>
      <c r="K420" s="153">
        <v>45778</v>
      </c>
      <c r="L420" s="154" t="s">
        <v>45</v>
      </c>
      <c r="M420" s="155"/>
      <c r="N420" s="155"/>
      <c r="O420" s="155"/>
      <c r="P420" s="155"/>
      <c r="Q420" s="155"/>
      <c r="R420" s="155" t="s">
        <v>46</v>
      </c>
      <c r="S420" s="151" t="s">
        <v>47</v>
      </c>
      <c r="T420" s="151" t="s">
        <v>48</v>
      </c>
      <c r="U420" s="156" t="s">
        <v>1928</v>
      </c>
      <c r="V420" s="151" t="s">
        <v>85</v>
      </c>
      <c r="W420" s="151" t="s">
        <v>94</v>
      </c>
      <c r="X420" s="151"/>
      <c r="Y420" s="156" t="s">
        <v>62</v>
      </c>
      <c r="Z420" s="156"/>
      <c r="AA420" s="156"/>
      <c r="AB420" s="156"/>
      <c r="AC420" s="156"/>
      <c r="AD420" s="155">
        <v>45868</v>
      </c>
      <c r="AE420" s="157">
        <v>700</v>
      </c>
      <c r="AF420" s="157">
        <v>1000</v>
      </c>
      <c r="AG420" s="155">
        <v>45841</v>
      </c>
      <c r="AH420" s="155">
        <v>45853</v>
      </c>
      <c r="AI420" s="155">
        <v>45853</v>
      </c>
      <c r="AJ420" s="158">
        <v>45868</v>
      </c>
      <c r="AK420" s="211">
        <v>45868</v>
      </c>
      <c r="AL420" s="158"/>
      <c r="AM420" s="1"/>
      <c r="AN420" s="1"/>
      <c r="AO420" s="1"/>
      <c r="AP420" s="1"/>
      <c r="AQ420" s="1"/>
      <c r="AR420" s="1"/>
      <c r="AS420" s="1"/>
      <c r="AT420" s="1"/>
      <c r="AU420" s="1"/>
      <c r="AV420" s="1"/>
    </row>
    <row r="421" spans="1:48" ht="45" hidden="1" customHeight="1">
      <c r="B421" s="159" t="s">
        <v>1869</v>
      </c>
      <c r="C421" s="159" t="s">
        <v>1030</v>
      </c>
      <c r="D421" s="159" t="s">
        <v>1031</v>
      </c>
      <c r="E421" s="159" t="s">
        <v>1870</v>
      </c>
      <c r="F421" s="152"/>
      <c r="G421" s="152" t="s">
        <v>1871</v>
      </c>
      <c r="H421" s="152" t="s">
        <v>42</v>
      </c>
      <c r="I421" s="152">
        <v>51.052</v>
      </c>
      <c r="J421" s="151" t="s">
        <v>1846</v>
      </c>
      <c r="K421" s="153">
        <v>45778</v>
      </c>
      <c r="L421" s="154" t="s">
        <v>45</v>
      </c>
      <c r="M421" s="155"/>
      <c r="N421" s="155"/>
      <c r="O421" s="155"/>
      <c r="P421" s="155"/>
      <c r="Q421" s="155"/>
      <c r="R421" s="155" t="s">
        <v>46</v>
      </c>
      <c r="S421" s="151" t="s">
        <v>47</v>
      </c>
      <c r="T421" s="151" t="s">
        <v>48</v>
      </c>
      <c r="U421" s="156" t="s">
        <v>1872</v>
      </c>
      <c r="V421" s="151" t="s">
        <v>85</v>
      </c>
      <c r="W421" s="151" t="s">
        <v>200</v>
      </c>
      <c r="X421" s="151"/>
      <c r="Y421" s="156" t="s">
        <v>200</v>
      </c>
      <c r="Z421" s="156"/>
      <c r="AA421" s="156"/>
      <c r="AB421" s="156"/>
      <c r="AC421" s="156"/>
      <c r="AD421" s="155">
        <v>45846</v>
      </c>
      <c r="AE421" s="157">
        <v>900</v>
      </c>
      <c r="AF421" s="157">
        <v>4900</v>
      </c>
      <c r="AG421" s="155">
        <v>45842</v>
      </c>
      <c r="AH421" s="155">
        <v>45858</v>
      </c>
      <c r="AI421" s="155">
        <v>45847</v>
      </c>
      <c r="AJ421" s="158">
        <v>45844</v>
      </c>
      <c r="AK421" s="211">
        <v>45846</v>
      </c>
      <c r="AL421" s="158"/>
      <c r="AM421" s="1"/>
    </row>
    <row r="422" spans="1:48" ht="45" hidden="1" customHeight="1">
      <c r="A422" s="1"/>
      <c r="B422" s="159" t="s">
        <v>1862</v>
      </c>
      <c r="C422" s="159" t="s">
        <v>232</v>
      </c>
      <c r="D422" s="25" t="s">
        <v>8519</v>
      </c>
      <c r="E422" s="159" t="s">
        <v>1863</v>
      </c>
      <c r="F422" s="152"/>
      <c r="G422" s="152" t="s">
        <v>1676</v>
      </c>
      <c r="H422" s="152" t="s">
        <v>42</v>
      </c>
      <c r="I422" s="152">
        <v>361</v>
      </c>
      <c r="J422" s="151" t="s">
        <v>1846</v>
      </c>
      <c r="K422" s="153">
        <v>45778</v>
      </c>
      <c r="L422" s="154" t="s">
        <v>45</v>
      </c>
      <c r="M422" s="155"/>
      <c r="N422" s="155"/>
      <c r="O422" s="155"/>
      <c r="P422" s="155"/>
      <c r="Q422" s="155"/>
      <c r="R422" s="155" t="s">
        <v>46</v>
      </c>
      <c r="S422" s="151" t="s">
        <v>47</v>
      </c>
      <c r="T422" s="151" t="s">
        <v>48</v>
      </c>
      <c r="U422" s="156" t="s">
        <v>1864</v>
      </c>
      <c r="V422" s="151" t="s">
        <v>85</v>
      </c>
      <c r="W422" s="151" t="s">
        <v>77</v>
      </c>
      <c r="X422" s="151"/>
      <c r="Y422" s="156" t="s">
        <v>1478</v>
      </c>
      <c r="Z422" s="156"/>
      <c r="AA422" s="156"/>
      <c r="AB422" s="156"/>
      <c r="AC422" s="156"/>
      <c r="AD422" s="155">
        <v>45846</v>
      </c>
      <c r="AE422" s="157">
        <v>400</v>
      </c>
      <c r="AF422" s="157">
        <v>600</v>
      </c>
      <c r="AG422" s="155">
        <v>45840</v>
      </c>
      <c r="AH422" s="155">
        <v>45848</v>
      </c>
      <c r="AI422" s="155">
        <v>45844</v>
      </c>
      <c r="AJ422" s="158">
        <v>45840</v>
      </c>
      <c r="AK422" s="211">
        <v>45846</v>
      </c>
      <c r="AL422" s="158"/>
      <c r="AM422" s="1"/>
      <c r="AN422" s="1"/>
      <c r="AO422" s="1"/>
      <c r="AP422" s="1"/>
      <c r="AQ422" s="1"/>
      <c r="AR422" s="1"/>
      <c r="AS422" s="1"/>
      <c r="AT422" s="1"/>
      <c r="AU422" s="1"/>
      <c r="AV422" s="1"/>
    </row>
    <row r="423" spans="1:48" ht="45" hidden="1" customHeight="1">
      <c r="B423" s="159" t="s">
        <v>1903</v>
      </c>
      <c r="C423" s="159" t="s">
        <v>232</v>
      </c>
      <c r="D423" s="25" t="s">
        <v>8519</v>
      </c>
      <c r="E423" s="159" t="s">
        <v>1904</v>
      </c>
      <c r="F423" s="152"/>
      <c r="G423" s="152" t="s">
        <v>1676</v>
      </c>
      <c r="H423" s="152" t="s">
        <v>42</v>
      </c>
      <c r="I423" s="152">
        <v>371</v>
      </c>
      <c r="J423" s="151" t="s">
        <v>1846</v>
      </c>
      <c r="K423" s="153">
        <v>45778</v>
      </c>
      <c r="L423" s="154" t="s">
        <v>45</v>
      </c>
      <c r="M423" s="155"/>
      <c r="N423" s="155"/>
      <c r="O423" s="155"/>
      <c r="P423" s="155"/>
      <c r="Q423" s="155"/>
      <c r="R423" s="155" t="s">
        <v>46</v>
      </c>
      <c r="S423" s="151" t="s">
        <v>47</v>
      </c>
      <c r="T423" s="151" t="s">
        <v>48</v>
      </c>
      <c r="U423" s="156" t="s">
        <v>1905</v>
      </c>
      <c r="V423" s="151" t="s">
        <v>85</v>
      </c>
      <c r="W423" s="151" t="s">
        <v>1204</v>
      </c>
      <c r="X423" s="151"/>
      <c r="Y423" s="156" t="s">
        <v>1122</v>
      </c>
      <c r="Z423" s="156" t="s">
        <v>62</v>
      </c>
      <c r="AA423" s="156"/>
      <c r="AB423" s="156"/>
      <c r="AC423" s="156"/>
      <c r="AD423" s="155">
        <v>45868</v>
      </c>
      <c r="AE423" s="157">
        <v>600</v>
      </c>
      <c r="AF423" s="157">
        <v>900</v>
      </c>
      <c r="AG423" s="155">
        <v>45841</v>
      </c>
      <c r="AH423" s="155">
        <v>45849</v>
      </c>
      <c r="AI423" s="155">
        <v>45853</v>
      </c>
      <c r="AJ423" s="158">
        <v>45863</v>
      </c>
      <c r="AK423" s="211">
        <v>45868</v>
      </c>
      <c r="AL423" s="158"/>
      <c r="AM423" s="1"/>
    </row>
    <row r="424" spans="1:48" ht="45" hidden="1" customHeight="1">
      <c r="B424" s="159" t="s">
        <v>1844</v>
      </c>
      <c r="C424" s="159" t="s">
        <v>232</v>
      </c>
      <c r="D424" s="25" t="s">
        <v>8519</v>
      </c>
      <c r="E424" s="159" t="s">
        <v>1845</v>
      </c>
      <c r="F424" s="152"/>
      <c r="G424" s="152" t="s">
        <v>1676</v>
      </c>
      <c r="H424" s="152" t="s">
        <v>42</v>
      </c>
      <c r="I424" s="152">
        <v>341</v>
      </c>
      <c r="J424" s="151" t="s">
        <v>1846</v>
      </c>
      <c r="K424" s="153">
        <v>45778</v>
      </c>
      <c r="L424" s="154" t="s">
        <v>45</v>
      </c>
      <c r="M424" s="155"/>
      <c r="N424" s="155"/>
      <c r="O424" s="155"/>
      <c r="P424" s="155"/>
      <c r="Q424" s="155"/>
      <c r="R424" s="155" t="s">
        <v>46</v>
      </c>
      <c r="S424" s="151" t="s">
        <v>47</v>
      </c>
      <c r="T424" s="151" t="s">
        <v>48</v>
      </c>
      <c r="U424" s="156" t="s">
        <v>1847</v>
      </c>
      <c r="V424" s="151" t="s">
        <v>85</v>
      </c>
      <c r="W424" s="151" t="s">
        <v>1994</v>
      </c>
      <c r="X424" s="151"/>
      <c r="Y424" s="156" t="s">
        <v>77</v>
      </c>
      <c r="Z424" s="156"/>
      <c r="AA424" s="156"/>
      <c r="AB424" s="156"/>
      <c r="AC424" s="156"/>
      <c r="AD424" s="155">
        <v>45842</v>
      </c>
      <c r="AE424" s="157">
        <v>200</v>
      </c>
      <c r="AF424" s="157">
        <v>600</v>
      </c>
      <c r="AG424" s="155">
        <v>45841</v>
      </c>
      <c r="AH424" s="155">
        <v>45847</v>
      </c>
      <c r="AI424" s="155"/>
      <c r="AJ424" s="158">
        <v>45835</v>
      </c>
      <c r="AK424" s="211">
        <v>45842</v>
      </c>
      <c r="AL424" s="158"/>
      <c r="AM424" s="1"/>
    </row>
    <row r="425" spans="1:48" ht="45" hidden="1" customHeight="1">
      <c r="B425" s="159" t="s">
        <v>1848</v>
      </c>
      <c r="C425" s="159" t="s">
        <v>111</v>
      </c>
      <c r="D425" s="159" t="s">
        <v>112</v>
      </c>
      <c r="E425" s="159" t="s">
        <v>1849</v>
      </c>
      <c r="F425" s="152"/>
      <c r="G425" s="152" t="s">
        <v>1835</v>
      </c>
      <c r="H425" s="152" t="s">
        <v>42</v>
      </c>
      <c r="I425" s="152">
        <v>181</v>
      </c>
      <c r="J425" s="151" t="s">
        <v>1613</v>
      </c>
      <c r="K425" s="153">
        <v>45778</v>
      </c>
      <c r="L425" s="154" t="s">
        <v>45</v>
      </c>
      <c r="M425" s="155"/>
      <c r="N425" s="155"/>
      <c r="O425" s="155"/>
      <c r="P425" s="155"/>
      <c r="Q425" s="155"/>
      <c r="R425" s="155" t="s">
        <v>46</v>
      </c>
      <c r="S425" s="151" t="s">
        <v>47</v>
      </c>
      <c r="T425" s="151" t="s">
        <v>48</v>
      </c>
      <c r="U425" s="156" t="s">
        <v>1850</v>
      </c>
      <c r="V425" s="151" t="s">
        <v>85</v>
      </c>
      <c r="W425" s="151" t="s">
        <v>1808</v>
      </c>
      <c r="X425" s="151" t="s">
        <v>94</v>
      </c>
      <c r="Y425" s="156" t="s">
        <v>1478</v>
      </c>
      <c r="Z425" s="156" t="s">
        <v>774</v>
      </c>
      <c r="AA425" s="156"/>
      <c r="AB425" s="156" t="s">
        <v>1768</v>
      </c>
      <c r="AC425" s="156"/>
      <c r="AD425" s="155">
        <v>45838</v>
      </c>
      <c r="AE425" s="157">
        <v>1100</v>
      </c>
      <c r="AF425" s="157">
        <v>700</v>
      </c>
      <c r="AG425" s="155">
        <v>45828</v>
      </c>
      <c r="AH425" s="155">
        <v>45838</v>
      </c>
      <c r="AI425" s="155"/>
      <c r="AJ425" s="158">
        <v>45836</v>
      </c>
      <c r="AK425" s="211">
        <v>45838</v>
      </c>
      <c r="AL425" s="158"/>
      <c r="AM425" s="1"/>
    </row>
    <row r="426" spans="1:48" ht="45" hidden="1" customHeight="1">
      <c r="B426" s="159" t="s">
        <v>1855</v>
      </c>
      <c r="C426" s="159" t="s">
        <v>111</v>
      </c>
      <c r="D426" s="159" t="s">
        <v>112</v>
      </c>
      <c r="E426" s="159" t="s">
        <v>1856</v>
      </c>
      <c r="F426" s="152"/>
      <c r="G426" s="152" t="s">
        <v>1835</v>
      </c>
      <c r="H426" s="152" t="s">
        <v>42</v>
      </c>
      <c r="I426" s="152">
        <v>231.232</v>
      </c>
      <c r="J426" s="151" t="s">
        <v>1613</v>
      </c>
      <c r="K426" s="153">
        <v>45778</v>
      </c>
      <c r="L426" s="154" t="s">
        <v>99</v>
      </c>
      <c r="M426" s="155"/>
      <c r="N426" s="155"/>
      <c r="O426" s="155"/>
      <c r="P426" s="155"/>
      <c r="Q426" s="155"/>
      <c r="R426" s="155" t="s">
        <v>46</v>
      </c>
      <c r="S426" s="151" t="s">
        <v>47</v>
      </c>
      <c r="T426" s="151" t="s">
        <v>48</v>
      </c>
      <c r="U426" s="156" t="s">
        <v>1857</v>
      </c>
      <c r="V426" s="151" t="s">
        <v>85</v>
      </c>
      <c r="W426" s="151" t="s">
        <v>124</v>
      </c>
      <c r="X426" s="151"/>
      <c r="Y426" s="156" t="s">
        <v>62</v>
      </c>
      <c r="Z426" s="156"/>
      <c r="AA426" s="156"/>
      <c r="AB426" s="156" t="s">
        <v>1799</v>
      </c>
      <c r="AC426" s="156"/>
      <c r="AD426" s="155">
        <v>45811</v>
      </c>
      <c r="AE426" s="157">
        <v>2000</v>
      </c>
      <c r="AF426" s="157">
        <v>1400</v>
      </c>
      <c r="AG426" s="155">
        <v>45809</v>
      </c>
      <c r="AH426" s="155">
        <v>45822</v>
      </c>
      <c r="AI426" s="155"/>
      <c r="AJ426" s="158">
        <v>45838</v>
      </c>
      <c r="AK426" s="211">
        <v>45838</v>
      </c>
      <c r="AL426" s="158"/>
      <c r="AM426" s="1"/>
    </row>
    <row r="427" spans="1:48" ht="45" hidden="1" customHeight="1">
      <c r="A427" s="1"/>
      <c r="B427" s="159" t="s">
        <v>1873</v>
      </c>
      <c r="C427" s="159" t="s">
        <v>571</v>
      </c>
      <c r="D427" s="159" t="s">
        <v>572</v>
      </c>
      <c r="E427" s="159" t="s">
        <v>1874</v>
      </c>
      <c r="F427" s="152"/>
      <c r="G427" s="152" t="s">
        <v>1875</v>
      </c>
      <c r="H427" s="152" t="s">
        <v>42</v>
      </c>
      <c r="I427" s="152">
        <v>141</v>
      </c>
      <c r="J427" s="151" t="s">
        <v>1846</v>
      </c>
      <c r="K427" s="153">
        <v>45809</v>
      </c>
      <c r="L427" s="154" t="s">
        <v>45</v>
      </c>
      <c r="M427" s="155"/>
      <c r="N427" s="155"/>
      <c r="O427" s="155"/>
      <c r="P427" s="155"/>
      <c r="Q427" s="155"/>
      <c r="R427" s="155" t="s">
        <v>46</v>
      </c>
      <c r="S427" s="151" t="s">
        <v>47</v>
      </c>
      <c r="T427" s="151" t="s">
        <v>48</v>
      </c>
      <c r="U427" s="156" t="s">
        <v>1876</v>
      </c>
      <c r="V427" s="151" t="s">
        <v>85</v>
      </c>
      <c r="W427" s="151" t="s">
        <v>94</v>
      </c>
      <c r="X427" s="151"/>
      <c r="Y427" s="156" t="s">
        <v>62</v>
      </c>
      <c r="Z427" s="156"/>
      <c r="AA427" s="156"/>
      <c r="AB427" s="156"/>
      <c r="AC427" s="156"/>
      <c r="AD427" s="155">
        <v>45866</v>
      </c>
      <c r="AE427" s="157">
        <v>1700</v>
      </c>
      <c r="AF427" s="157">
        <v>1900</v>
      </c>
      <c r="AG427" s="155">
        <v>45824</v>
      </c>
      <c r="AH427" s="155">
        <v>45842</v>
      </c>
      <c r="AI427" s="155">
        <v>45856</v>
      </c>
      <c r="AJ427" s="158">
        <v>45848</v>
      </c>
      <c r="AK427" s="211">
        <v>45866</v>
      </c>
      <c r="AL427" s="158"/>
      <c r="AM427" s="1"/>
      <c r="AN427" s="1"/>
      <c r="AO427" s="1"/>
      <c r="AP427" s="1"/>
      <c r="AQ427" s="1"/>
      <c r="AR427" s="1"/>
      <c r="AS427" s="1"/>
      <c r="AT427" s="1"/>
      <c r="AU427" s="1"/>
      <c r="AV427" s="1"/>
    </row>
    <row r="428" spans="1:48" ht="45" hidden="1" customHeight="1">
      <c r="A428" s="1"/>
      <c r="B428" s="159" t="s">
        <v>1880</v>
      </c>
      <c r="C428" s="159" t="s">
        <v>571</v>
      </c>
      <c r="D428" s="159" t="s">
        <v>572</v>
      </c>
      <c r="E428" s="159" t="s">
        <v>1881</v>
      </c>
      <c r="F428" s="152"/>
      <c r="G428" s="152" t="s">
        <v>1875</v>
      </c>
      <c r="H428" s="152" t="s">
        <v>42</v>
      </c>
      <c r="I428" s="152">
        <v>181</v>
      </c>
      <c r="J428" s="151" t="s">
        <v>1846</v>
      </c>
      <c r="K428" s="153">
        <v>45809</v>
      </c>
      <c r="L428" s="154" t="s">
        <v>45</v>
      </c>
      <c r="M428" s="155"/>
      <c r="N428" s="155"/>
      <c r="O428" s="155"/>
      <c r="P428" s="155"/>
      <c r="Q428" s="155"/>
      <c r="R428" s="155" t="s">
        <v>46</v>
      </c>
      <c r="S428" s="151" t="s">
        <v>47</v>
      </c>
      <c r="T428" s="151" t="s">
        <v>48</v>
      </c>
      <c r="U428" s="156" t="s">
        <v>1882</v>
      </c>
      <c r="V428" s="151" t="s">
        <v>85</v>
      </c>
      <c r="W428" s="151" t="s">
        <v>1204</v>
      </c>
      <c r="X428" s="151"/>
      <c r="Y428" s="156" t="s">
        <v>62</v>
      </c>
      <c r="Z428" s="156"/>
      <c r="AA428" s="156"/>
      <c r="AB428" s="156"/>
      <c r="AC428" s="156"/>
      <c r="AD428" s="155">
        <v>45852</v>
      </c>
      <c r="AE428" s="157">
        <v>200</v>
      </c>
      <c r="AF428" s="157">
        <v>1300</v>
      </c>
      <c r="AG428" s="155">
        <v>45824</v>
      </c>
      <c r="AH428" s="551">
        <v>45841</v>
      </c>
      <c r="AI428" s="155">
        <v>45853</v>
      </c>
      <c r="AJ428" s="158">
        <v>45852</v>
      </c>
      <c r="AK428" s="211">
        <v>45852</v>
      </c>
      <c r="AL428" s="158"/>
      <c r="AM428" s="1"/>
      <c r="AN428" s="1"/>
      <c r="AO428" s="1"/>
      <c r="AP428" s="1"/>
      <c r="AQ428" s="1"/>
      <c r="AR428" s="1"/>
      <c r="AS428" s="1"/>
      <c r="AT428" s="1"/>
      <c r="AU428" s="1"/>
      <c r="AV428" s="1"/>
    </row>
    <row r="429" spans="1:48" ht="45" hidden="1" customHeight="1">
      <c r="A429" s="1"/>
      <c r="B429" s="159" t="s">
        <v>1890</v>
      </c>
      <c r="C429" s="159" t="s">
        <v>571</v>
      </c>
      <c r="D429" s="159" t="s">
        <v>572</v>
      </c>
      <c r="E429" s="159" t="s">
        <v>1891</v>
      </c>
      <c r="F429" s="152"/>
      <c r="G429" s="152" t="s">
        <v>1875</v>
      </c>
      <c r="H429" s="152" t="s">
        <v>42</v>
      </c>
      <c r="I429" s="152">
        <v>151.15199999999999</v>
      </c>
      <c r="J429" s="151" t="s">
        <v>1846</v>
      </c>
      <c r="K429" s="153">
        <v>45809</v>
      </c>
      <c r="L429" s="154" t="s">
        <v>45</v>
      </c>
      <c r="M429" s="155"/>
      <c r="N429" s="155"/>
      <c r="O429" s="155"/>
      <c r="P429" s="155"/>
      <c r="Q429" s="155"/>
      <c r="R429" s="155" t="s">
        <v>46</v>
      </c>
      <c r="S429" s="151" t="s">
        <v>47</v>
      </c>
      <c r="T429" s="151" t="s">
        <v>48</v>
      </c>
      <c r="U429" s="156" t="s">
        <v>1892</v>
      </c>
      <c r="V429" s="151" t="s">
        <v>85</v>
      </c>
      <c r="W429" s="151" t="s">
        <v>124</v>
      </c>
      <c r="X429" s="151"/>
      <c r="Y429" s="156" t="s">
        <v>51</v>
      </c>
      <c r="Z429" s="156"/>
      <c r="AA429" s="156"/>
      <c r="AB429" s="156"/>
      <c r="AC429" s="156"/>
      <c r="AD429" s="155">
        <v>45866</v>
      </c>
      <c r="AE429" s="157">
        <v>900</v>
      </c>
      <c r="AF429" s="157">
        <v>3700</v>
      </c>
      <c r="AG429" s="155">
        <v>45824</v>
      </c>
      <c r="AH429" s="155">
        <v>45846</v>
      </c>
      <c r="AI429" s="155">
        <v>45856</v>
      </c>
      <c r="AJ429" s="158">
        <v>45855</v>
      </c>
      <c r="AK429" s="211">
        <v>45866</v>
      </c>
      <c r="AL429" s="158"/>
      <c r="AM429" s="1"/>
      <c r="AN429" s="1"/>
      <c r="AO429" s="1"/>
      <c r="AP429" s="1"/>
      <c r="AQ429" s="1"/>
      <c r="AR429" s="1"/>
      <c r="AS429" s="1"/>
      <c r="AT429" s="1"/>
      <c r="AU429" s="1"/>
      <c r="AV429" s="1"/>
    </row>
    <row r="430" spans="1:48" ht="45" hidden="1" customHeight="1">
      <c r="A430" s="1"/>
      <c r="B430" s="159" t="s">
        <v>1877</v>
      </c>
      <c r="C430" s="159" t="s">
        <v>150</v>
      </c>
      <c r="D430" s="159" t="s">
        <v>151</v>
      </c>
      <c r="E430" s="159" t="s">
        <v>1878</v>
      </c>
      <c r="F430" s="152"/>
      <c r="G430" s="152" t="s">
        <v>107</v>
      </c>
      <c r="H430" s="152" t="s">
        <v>42</v>
      </c>
      <c r="I430" s="152" t="s">
        <v>1879</v>
      </c>
      <c r="J430" s="151"/>
      <c r="K430" s="153">
        <v>45809</v>
      </c>
      <c r="L430" s="154" t="s">
        <v>45</v>
      </c>
      <c r="M430" s="155"/>
      <c r="N430" s="155"/>
      <c r="O430" s="155"/>
      <c r="P430" s="155"/>
      <c r="Q430" s="155"/>
      <c r="R430" s="155" t="s">
        <v>46</v>
      </c>
      <c r="S430" s="151" t="s">
        <v>47</v>
      </c>
      <c r="T430" s="151" t="s">
        <v>48</v>
      </c>
      <c r="U430" s="156" t="s">
        <v>7000</v>
      </c>
      <c r="V430" s="151" t="s">
        <v>85</v>
      </c>
      <c r="W430" s="151" t="s">
        <v>94</v>
      </c>
      <c r="X430" s="151"/>
      <c r="Y430" s="156" t="s">
        <v>1155</v>
      </c>
      <c r="Z430" s="156" t="s">
        <v>51</v>
      </c>
      <c r="AA430" s="156"/>
      <c r="AB430" s="156"/>
      <c r="AC430" s="156"/>
      <c r="AD430" s="158">
        <v>45911</v>
      </c>
      <c r="AE430" s="157">
        <v>0</v>
      </c>
      <c r="AF430" s="157">
        <v>1700</v>
      </c>
      <c r="AG430" s="155">
        <v>45821</v>
      </c>
      <c r="AH430" s="155">
        <v>45842</v>
      </c>
      <c r="AI430" s="155"/>
      <c r="AJ430" s="158">
        <v>45849</v>
      </c>
      <c r="AK430" s="211">
        <v>45911</v>
      </c>
      <c r="AL430" s="158"/>
      <c r="AM430" s="1"/>
      <c r="AN430" s="1"/>
      <c r="AO430" s="1"/>
      <c r="AP430" s="1"/>
      <c r="AQ430" s="1"/>
      <c r="AR430" s="1"/>
      <c r="AS430" s="1"/>
      <c r="AT430" s="1"/>
      <c r="AU430" s="1"/>
      <c r="AV430" s="1"/>
    </row>
    <row r="431" spans="1:48" ht="45" hidden="1" customHeight="1">
      <c r="A431" s="1"/>
      <c r="B431" s="159" t="s">
        <v>1982</v>
      </c>
      <c r="C431" s="159" t="s">
        <v>79</v>
      </c>
      <c r="D431" s="218" t="s">
        <v>80</v>
      </c>
      <c r="E431" s="159" t="s">
        <v>1983</v>
      </c>
      <c r="F431" s="152"/>
      <c r="G431" s="152" t="s">
        <v>121</v>
      </c>
      <c r="H431" s="152" t="s">
        <v>42</v>
      </c>
      <c r="I431" s="152">
        <v>171</v>
      </c>
      <c r="J431" s="151" t="s">
        <v>1484</v>
      </c>
      <c r="K431" s="153">
        <v>45809</v>
      </c>
      <c r="L431" s="154" t="s">
        <v>45</v>
      </c>
      <c r="M431" s="155"/>
      <c r="N431" s="155"/>
      <c r="O431" s="155"/>
      <c r="P431" s="155"/>
      <c r="Q431" s="155"/>
      <c r="R431" s="155" t="s">
        <v>46</v>
      </c>
      <c r="S431" s="151" t="s">
        <v>47</v>
      </c>
      <c r="T431" s="151" t="s">
        <v>48</v>
      </c>
      <c r="U431" s="156" t="s">
        <v>1984</v>
      </c>
      <c r="V431" s="151" t="s">
        <v>85</v>
      </c>
      <c r="W431" s="151" t="s">
        <v>147</v>
      </c>
      <c r="X431" s="151"/>
      <c r="Y431" s="156" t="s">
        <v>170</v>
      </c>
      <c r="Z431" s="156"/>
      <c r="AA431" s="156"/>
      <c r="AB431" s="156"/>
      <c r="AC431" s="156"/>
      <c r="AD431" s="155">
        <v>45890</v>
      </c>
      <c r="AE431" s="157">
        <v>400</v>
      </c>
      <c r="AF431" s="157">
        <v>500</v>
      </c>
      <c r="AG431" s="155">
        <v>45881</v>
      </c>
      <c r="AH431" s="155">
        <v>45889</v>
      </c>
      <c r="AI431" s="155"/>
      <c r="AJ431" s="158">
        <v>45890</v>
      </c>
      <c r="AK431" s="211">
        <v>45890</v>
      </c>
      <c r="AL431" s="158"/>
      <c r="AM431" s="1"/>
      <c r="AN431" s="1"/>
      <c r="AO431" s="1"/>
      <c r="AP431" s="1"/>
      <c r="AQ431" s="1"/>
      <c r="AR431" s="1"/>
      <c r="AS431" s="1"/>
      <c r="AT431" s="1"/>
      <c r="AU431" s="1"/>
      <c r="AV431" s="1"/>
    </row>
    <row r="432" spans="1:48" ht="45" hidden="1" customHeight="1">
      <c r="B432" s="159" t="s">
        <v>2005</v>
      </c>
      <c r="C432" s="159" t="s">
        <v>2249</v>
      </c>
      <c r="D432" s="159" t="s">
        <v>6874</v>
      </c>
      <c r="E432" s="159" t="s">
        <v>2006</v>
      </c>
      <c r="F432" s="152" t="s">
        <v>520</v>
      </c>
      <c r="G432" s="152" t="s">
        <v>121</v>
      </c>
      <c r="H432" s="152" t="s">
        <v>42</v>
      </c>
      <c r="I432" s="152" t="s">
        <v>2007</v>
      </c>
      <c r="J432" s="151" t="s">
        <v>1484</v>
      </c>
      <c r="K432" s="153">
        <v>45809</v>
      </c>
      <c r="L432" s="154" t="s">
        <v>45</v>
      </c>
      <c r="M432" s="155"/>
      <c r="N432" s="155"/>
      <c r="O432" s="155"/>
      <c r="P432" s="155"/>
      <c r="Q432" s="155"/>
      <c r="R432" s="155" t="s">
        <v>46</v>
      </c>
      <c r="S432" s="151" t="s">
        <v>47</v>
      </c>
      <c r="T432" s="151" t="s">
        <v>48</v>
      </c>
      <c r="U432" s="156" t="s">
        <v>2008</v>
      </c>
      <c r="V432" s="151" t="s">
        <v>85</v>
      </c>
      <c r="W432" s="151" t="s">
        <v>94</v>
      </c>
      <c r="X432" s="151"/>
      <c r="Y432" s="156" t="s">
        <v>62</v>
      </c>
      <c r="Z432" s="156"/>
      <c r="AA432" s="156"/>
      <c r="AB432" s="156"/>
      <c r="AC432" s="156"/>
      <c r="AD432" s="155">
        <v>45902</v>
      </c>
      <c r="AE432" s="157">
        <v>2200</v>
      </c>
      <c r="AF432" s="157">
        <v>3900</v>
      </c>
      <c r="AG432" s="155">
        <v>45858</v>
      </c>
      <c r="AH432" s="155">
        <v>45881</v>
      </c>
      <c r="AI432" s="155">
        <v>45897</v>
      </c>
      <c r="AJ432" s="155">
        <v>45898</v>
      </c>
      <c r="AK432" s="211">
        <v>45902</v>
      </c>
      <c r="AL432" s="158"/>
      <c r="AM432" s="1"/>
    </row>
    <row r="433" spans="1:48" ht="45" hidden="1" customHeight="1">
      <c r="B433" s="159" t="s">
        <v>1955</v>
      </c>
      <c r="C433" s="159" t="s">
        <v>79</v>
      </c>
      <c r="D433" s="218" t="s">
        <v>80</v>
      </c>
      <c r="E433" s="159" t="s">
        <v>1956</v>
      </c>
      <c r="F433" s="152"/>
      <c r="G433" s="152" t="s">
        <v>121</v>
      </c>
      <c r="H433" s="152" t="s">
        <v>42</v>
      </c>
      <c r="I433" s="152" t="s">
        <v>1957</v>
      </c>
      <c r="J433" s="151" t="s">
        <v>1484</v>
      </c>
      <c r="K433" s="153">
        <v>45809</v>
      </c>
      <c r="L433" s="154" t="s">
        <v>45</v>
      </c>
      <c r="M433" s="155"/>
      <c r="N433" s="155"/>
      <c r="O433" s="155"/>
      <c r="P433" s="155"/>
      <c r="Q433" s="155"/>
      <c r="R433" s="155" t="s">
        <v>46</v>
      </c>
      <c r="S433" s="151" t="s">
        <v>47</v>
      </c>
      <c r="T433" s="151" t="s">
        <v>48</v>
      </c>
      <c r="U433" s="156" t="s">
        <v>1958</v>
      </c>
      <c r="V433" s="151" t="s">
        <v>85</v>
      </c>
      <c r="W433" s="151" t="s">
        <v>1478</v>
      </c>
      <c r="X433" s="151"/>
      <c r="Y433" s="151" t="s">
        <v>1478</v>
      </c>
      <c r="Z433" s="156"/>
      <c r="AA433" s="156"/>
      <c r="AB433" s="156"/>
      <c r="AC433" s="156"/>
      <c r="AD433" s="155">
        <v>45888</v>
      </c>
      <c r="AE433" s="157">
        <v>1800</v>
      </c>
      <c r="AF433" s="157">
        <v>2300</v>
      </c>
      <c r="AG433" s="155">
        <v>45858</v>
      </c>
      <c r="AH433" s="155">
        <v>45883</v>
      </c>
      <c r="AI433" s="155"/>
      <c r="AJ433" s="158">
        <v>45882</v>
      </c>
      <c r="AK433" s="211">
        <v>45888</v>
      </c>
      <c r="AL433" s="158"/>
      <c r="AM433" s="1"/>
    </row>
    <row r="434" spans="1:48" ht="45" customHeight="1">
      <c r="A434" s="1"/>
      <c r="B434" s="159" t="s">
        <v>1906</v>
      </c>
      <c r="C434" s="159" t="s">
        <v>142</v>
      </c>
      <c r="D434" s="159" t="s">
        <v>143</v>
      </c>
      <c r="E434" s="159" t="s">
        <v>1907</v>
      </c>
      <c r="F434" s="152"/>
      <c r="G434" s="152" t="s">
        <v>446</v>
      </c>
      <c r="H434" s="152" t="s">
        <v>42</v>
      </c>
      <c r="I434" s="152">
        <v>91.091999999999999</v>
      </c>
      <c r="J434" s="151" t="s">
        <v>1846</v>
      </c>
      <c r="K434" s="153">
        <v>45809</v>
      </c>
      <c r="L434" s="154" t="s">
        <v>1908</v>
      </c>
      <c r="M434" s="155"/>
      <c r="N434" s="155"/>
      <c r="O434" s="155"/>
      <c r="P434" s="155"/>
      <c r="Q434" s="155"/>
      <c r="R434" s="155" t="s">
        <v>46</v>
      </c>
      <c r="S434" s="151" t="s">
        <v>47</v>
      </c>
      <c r="T434" s="151" t="s">
        <v>48</v>
      </c>
      <c r="U434" s="156" t="s">
        <v>1909</v>
      </c>
      <c r="V434" s="151" t="s">
        <v>85</v>
      </c>
      <c r="W434" s="151" t="s">
        <v>200</v>
      </c>
      <c r="X434" s="151"/>
      <c r="Y434" s="156" t="s">
        <v>200</v>
      </c>
      <c r="Z434" s="156"/>
      <c r="AA434" s="156"/>
      <c r="AB434" s="156"/>
      <c r="AC434" s="156"/>
      <c r="AD434" s="155">
        <v>45866</v>
      </c>
      <c r="AE434" s="157">
        <v>1400</v>
      </c>
      <c r="AF434" s="157">
        <v>4200</v>
      </c>
      <c r="AG434" s="155">
        <v>45826</v>
      </c>
      <c r="AH434" s="155">
        <v>45850</v>
      </c>
      <c r="AI434" s="155">
        <v>45854</v>
      </c>
      <c r="AJ434" s="158">
        <v>45863</v>
      </c>
      <c r="AK434" s="211">
        <v>45866</v>
      </c>
      <c r="AL434" s="158"/>
      <c r="AM434" s="1"/>
      <c r="AN434" s="1"/>
      <c r="AO434" s="1"/>
      <c r="AP434" s="1"/>
      <c r="AQ434" s="1"/>
      <c r="AR434" s="1"/>
      <c r="AS434" s="1"/>
      <c r="AT434" s="1"/>
      <c r="AU434" s="1"/>
      <c r="AV434" s="1"/>
    </row>
    <row r="435" spans="1:48" ht="45" customHeight="1">
      <c r="B435" s="159" t="s">
        <v>1929</v>
      </c>
      <c r="C435" s="159" t="s">
        <v>142</v>
      </c>
      <c r="D435" s="159" t="s">
        <v>143</v>
      </c>
      <c r="E435" s="159" t="s">
        <v>1930</v>
      </c>
      <c r="F435" s="152"/>
      <c r="G435" s="152" t="s">
        <v>446</v>
      </c>
      <c r="H435" s="152" t="s">
        <v>42</v>
      </c>
      <c r="I435" s="152">
        <v>71</v>
      </c>
      <c r="J435" s="151" t="s">
        <v>1846</v>
      </c>
      <c r="K435" s="153">
        <v>45809</v>
      </c>
      <c r="L435" s="154" t="s">
        <v>45</v>
      </c>
      <c r="M435" s="155"/>
      <c r="N435" s="155"/>
      <c r="O435" s="155"/>
      <c r="P435" s="155"/>
      <c r="Q435" s="155"/>
      <c r="R435" s="155" t="s">
        <v>46</v>
      </c>
      <c r="S435" s="151" t="s">
        <v>47</v>
      </c>
      <c r="T435" s="151" t="s">
        <v>48</v>
      </c>
      <c r="U435" s="156" t="s">
        <v>1931</v>
      </c>
      <c r="V435" s="151" t="s">
        <v>85</v>
      </c>
      <c r="W435" s="151" t="s">
        <v>254</v>
      </c>
      <c r="X435" s="151"/>
      <c r="Y435" s="156" t="s">
        <v>200</v>
      </c>
      <c r="Z435" s="156"/>
      <c r="AA435" s="156"/>
      <c r="AB435" s="156"/>
      <c r="AC435" s="156"/>
      <c r="AD435" s="155">
        <v>45868</v>
      </c>
      <c r="AE435" s="157">
        <v>700</v>
      </c>
      <c r="AF435" s="157">
        <v>2700</v>
      </c>
      <c r="AG435" s="155">
        <v>45827</v>
      </c>
      <c r="AH435" s="155">
        <v>45851</v>
      </c>
      <c r="AI435" s="155">
        <v>45863</v>
      </c>
      <c r="AJ435" s="158">
        <v>45868</v>
      </c>
      <c r="AK435" s="211">
        <v>45868</v>
      </c>
      <c r="AL435" s="158"/>
      <c r="AM435" s="1"/>
    </row>
    <row r="436" spans="1:48" ht="45" customHeight="1">
      <c r="B436" s="159" t="s">
        <v>1896</v>
      </c>
      <c r="C436" s="159" t="s">
        <v>142</v>
      </c>
      <c r="D436" s="159" t="s">
        <v>143</v>
      </c>
      <c r="E436" s="159" t="s">
        <v>1897</v>
      </c>
      <c r="F436" s="152"/>
      <c r="G436" s="152" t="s">
        <v>446</v>
      </c>
      <c r="H436" s="152" t="s">
        <v>42</v>
      </c>
      <c r="I436" s="152">
        <v>61</v>
      </c>
      <c r="J436" s="151" t="s">
        <v>1846</v>
      </c>
      <c r="K436" s="153">
        <v>45809</v>
      </c>
      <c r="L436" s="154" t="s">
        <v>45</v>
      </c>
      <c r="M436" s="155"/>
      <c r="N436" s="155"/>
      <c r="O436" s="155"/>
      <c r="P436" s="155"/>
      <c r="Q436" s="155"/>
      <c r="R436" s="155" t="s">
        <v>46</v>
      </c>
      <c r="S436" s="151" t="s">
        <v>47</v>
      </c>
      <c r="T436" s="151" t="s">
        <v>48</v>
      </c>
      <c r="U436" s="156" t="s">
        <v>1898</v>
      </c>
      <c r="V436" s="151" t="s">
        <v>85</v>
      </c>
      <c r="W436" s="151" t="s">
        <v>124</v>
      </c>
      <c r="X436" s="151"/>
      <c r="Y436" s="156" t="s">
        <v>200</v>
      </c>
      <c r="Z436" s="156"/>
      <c r="AA436" s="156"/>
      <c r="AB436" s="156"/>
      <c r="AC436" s="156"/>
      <c r="AD436" s="155">
        <v>45862</v>
      </c>
      <c r="AE436" s="157">
        <v>300</v>
      </c>
      <c r="AF436" s="157">
        <v>400</v>
      </c>
      <c r="AG436" s="155">
        <v>45828</v>
      </c>
      <c r="AH436" s="155">
        <v>45849</v>
      </c>
      <c r="AI436" s="155">
        <v>45862</v>
      </c>
      <c r="AJ436" s="158">
        <v>45862</v>
      </c>
      <c r="AK436" s="211">
        <v>45862</v>
      </c>
      <c r="AL436" s="158"/>
      <c r="AM436" s="1"/>
    </row>
    <row r="437" spans="1:48" ht="45" customHeight="1">
      <c r="B437" s="159" t="s">
        <v>1893</v>
      </c>
      <c r="C437" s="159" t="s">
        <v>142</v>
      </c>
      <c r="D437" s="159" t="s">
        <v>143</v>
      </c>
      <c r="E437" s="159" t="s">
        <v>1894</v>
      </c>
      <c r="F437" s="152"/>
      <c r="G437" s="152" t="s">
        <v>446</v>
      </c>
      <c r="H437" s="152" t="s">
        <v>42</v>
      </c>
      <c r="I437" s="152">
        <v>51</v>
      </c>
      <c r="J437" s="151" t="s">
        <v>1484</v>
      </c>
      <c r="K437" s="153">
        <v>45809</v>
      </c>
      <c r="L437" s="154" t="s">
        <v>45</v>
      </c>
      <c r="M437" s="155"/>
      <c r="N437" s="155"/>
      <c r="O437" s="155"/>
      <c r="P437" s="155"/>
      <c r="Q437" s="155"/>
      <c r="R437" s="155" t="s">
        <v>46</v>
      </c>
      <c r="S437" s="151" t="s">
        <v>47</v>
      </c>
      <c r="T437" s="151" t="s">
        <v>48</v>
      </c>
      <c r="U437" s="156" t="s">
        <v>1895</v>
      </c>
      <c r="V437" s="151" t="s">
        <v>85</v>
      </c>
      <c r="W437" s="151" t="s">
        <v>94</v>
      </c>
      <c r="X437" s="151"/>
      <c r="Y437" s="156" t="s">
        <v>200</v>
      </c>
      <c r="Z437" s="156"/>
      <c r="AA437" s="156"/>
      <c r="AB437" s="156"/>
      <c r="AC437" s="156"/>
      <c r="AD437" s="155">
        <v>45881</v>
      </c>
      <c r="AE437" s="157">
        <v>600</v>
      </c>
      <c r="AF437" s="157">
        <v>3200</v>
      </c>
      <c r="AG437" s="155">
        <v>45877</v>
      </c>
      <c r="AH437" s="155">
        <v>45888</v>
      </c>
      <c r="AI437" s="155">
        <v>45876</v>
      </c>
      <c r="AJ437" s="158">
        <v>45862</v>
      </c>
      <c r="AK437" s="211">
        <v>45881</v>
      </c>
      <c r="AL437" s="158"/>
      <c r="AM437" s="1"/>
    </row>
    <row r="438" spans="1:48" ht="45" customHeight="1">
      <c r="B438" s="159" t="s">
        <v>1920</v>
      </c>
      <c r="C438" s="159" t="s">
        <v>142</v>
      </c>
      <c r="D438" s="159" t="s">
        <v>143</v>
      </c>
      <c r="E438" s="159" t="s">
        <v>1921</v>
      </c>
      <c r="F438" s="152"/>
      <c r="G438" s="152" t="s">
        <v>446</v>
      </c>
      <c r="H438" s="152" t="s">
        <v>42</v>
      </c>
      <c r="I438" s="152">
        <v>21</v>
      </c>
      <c r="J438" s="151" t="s">
        <v>1484</v>
      </c>
      <c r="K438" s="153">
        <v>45809</v>
      </c>
      <c r="L438" s="154" t="s">
        <v>45</v>
      </c>
      <c r="M438" s="155"/>
      <c r="N438" s="155"/>
      <c r="O438" s="155"/>
      <c r="P438" s="155"/>
      <c r="Q438" s="155"/>
      <c r="R438" s="155" t="s">
        <v>46</v>
      </c>
      <c r="S438" s="151" t="s">
        <v>47</v>
      </c>
      <c r="T438" s="151" t="s">
        <v>48</v>
      </c>
      <c r="U438" s="156" t="s">
        <v>1922</v>
      </c>
      <c r="V438" s="151" t="s">
        <v>85</v>
      </c>
      <c r="W438" s="151" t="s">
        <v>61</v>
      </c>
      <c r="X438" s="151"/>
      <c r="Y438" s="156" t="s">
        <v>200</v>
      </c>
      <c r="Z438" s="156"/>
      <c r="AA438" s="156"/>
      <c r="AB438" s="156"/>
      <c r="AC438" s="156"/>
      <c r="AD438" s="155">
        <v>45880</v>
      </c>
      <c r="AE438" s="157">
        <v>1400</v>
      </c>
      <c r="AF438" s="157">
        <v>500</v>
      </c>
      <c r="AG438" s="155">
        <v>45828</v>
      </c>
      <c r="AH438" s="155">
        <v>45852</v>
      </c>
      <c r="AI438" s="155"/>
      <c r="AJ438" s="158">
        <v>45867</v>
      </c>
      <c r="AK438" s="211">
        <v>45880</v>
      </c>
      <c r="AL438" s="158"/>
      <c r="AM438" s="1"/>
    </row>
    <row r="439" spans="1:48" ht="45" hidden="1" customHeight="1">
      <c r="B439" s="159" t="s">
        <v>1963</v>
      </c>
      <c r="C439" s="159" t="s">
        <v>600</v>
      </c>
      <c r="D439" s="159" t="s">
        <v>601</v>
      </c>
      <c r="E439" s="159" t="s">
        <v>1964</v>
      </c>
      <c r="F439" s="152"/>
      <c r="G439" s="152" t="s">
        <v>446</v>
      </c>
      <c r="H439" s="152" t="s">
        <v>42</v>
      </c>
      <c r="I439" s="152" t="s">
        <v>238</v>
      </c>
      <c r="J439" s="151" t="s">
        <v>1484</v>
      </c>
      <c r="K439" s="153">
        <v>45809</v>
      </c>
      <c r="L439" s="154" t="s">
        <v>1607</v>
      </c>
      <c r="M439" s="155"/>
      <c r="N439" s="155"/>
      <c r="O439" s="155"/>
      <c r="P439" s="155"/>
      <c r="Q439" s="155"/>
      <c r="R439" s="155" t="s">
        <v>46</v>
      </c>
      <c r="S439" s="151" t="s">
        <v>47</v>
      </c>
      <c r="T439" s="151" t="s">
        <v>48</v>
      </c>
      <c r="U439" s="156" t="s">
        <v>1965</v>
      </c>
      <c r="V439" s="151" t="s">
        <v>85</v>
      </c>
      <c r="W439" s="151" t="s">
        <v>124</v>
      </c>
      <c r="X439" s="151"/>
      <c r="Y439" s="156" t="s">
        <v>77</v>
      </c>
      <c r="Z439" s="156"/>
      <c r="AA439" s="156"/>
      <c r="AB439" s="156"/>
      <c r="AC439" s="156"/>
      <c r="AD439" s="155">
        <v>45888</v>
      </c>
      <c r="AE439" s="157">
        <v>2600</v>
      </c>
      <c r="AF439" s="157">
        <v>3900</v>
      </c>
      <c r="AG439" s="155">
        <v>45876</v>
      </c>
      <c r="AH439" s="155">
        <v>45874</v>
      </c>
      <c r="AI439" s="155"/>
      <c r="AJ439" s="158">
        <v>45882</v>
      </c>
      <c r="AK439" s="211">
        <v>45888</v>
      </c>
      <c r="AL439" s="158"/>
      <c r="AM439" s="1"/>
    </row>
    <row r="440" spans="1:48" ht="45" hidden="1" customHeight="1">
      <c r="B440" s="159" t="s">
        <v>1940</v>
      </c>
      <c r="C440" s="159" t="s">
        <v>600</v>
      </c>
      <c r="D440" s="159" t="s">
        <v>601</v>
      </c>
      <c r="E440" s="159" t="s">
        <v>1941</v>
      </c>
      <c r="F440" s="152"/>
      <c r="G440" s="152" t="s">
        <v>446</v>
      </c>
      <c r="H440" s="152" t="s">
        <v>42</v>
      </c>
      <c r="I440" s="152" t="s">
        <v>1942</v>
      </c>
      <c r="J440" s="151" t="s">
        <v>1484</v>
      </c>
      <c r="K440" s="153">
        <v>45809</v>
      </c>
      <c r="L440" s="154" t="s">
        <v>45</v>
      </c>
      <c r="M440" s="155"/>
      <c r="N440" s="155"/>
      <c r="O440" s="155"/>
      <c r="P440" s="155"/>
      <c r="Q440" s="155"/>
      <c r="R440" s="155" t="s">
        <v>46</v>
      </c>
      <c r="S440" s="151" t="s">
        <v>47</v>
      </c>
      <c r="T440" s="151" t="s">
        <v>48</v>
      </c>
      <c r="U440" s="156" t="s">
        <v>1943</v>
      </c>
      <c r="V440" s="151" t="s">
        <v>85</v>
      </c>
      <c r="W440" s="151" t="s">
        <v>200</v>
      </c>
      <c r="X440" s="151"/>
      <c r="Y440" s="156" t="s">
        <v>200</v>
      </c>
      <c r="Z440" s="156"/>
      <c r="AA440" s="156"/>
      <c r="AB440" s="156"/>
      <c r="AC440" s="156"/>
      <c r="AD440" s="155">
        <v>45881</v>
      </c>
      <c r="AE440" s="157">
        <v>1000</v>
      </c>
      <c r="AF440" s="157">
        <v>1200</v>
      </c>
      <c r="AG440" s="155">
        <v>45873</v>
      </c>
      <c r="AH440" s="155">
        <v>45886</v>
      </c>
      <c r="AI440" s="155">
        <v>45874</v>
      </c>
      <c r="AJ440" s="158">
        <v>45874</v>
      </c>
      <c r="AK440" s="211">
        <v>45881</v>
      </c>
      <c r="AL440" s="158"/>
      <c r="AM440" s="1"/>
    </row>
    <row r="441" spans="1:48" ht="45" hidden="1" customHeight="1">
      <c r="B441" s="159" t="s">
        <v>1923</v>
      </c>
      <c r="C441" s="159" t="s">
        <v>600</v>
      </c>
      <c r="D441" s="159" t="s">
        <v>601</v>
      </c>
      <c r="E441" s="159" t="s">
        <v>1924</v>
      </c>
      <c r="F441" s="152"/>
      <c r="G441" s="152" t="s">
        <v>446</v>
      </c>
      <c r="H441" s="152" t="s">
        <v>42</v>
      </c>
      <c r="I441" s="152">
        <v>181</v>
      </c>
      <c r="J441" s="151" t="s">
        <v>1484</v>
      </c>
      <c r="K441" s="153">
        <v>45809</v>
      </c>
      <c r="L441" s="154" t="s">
        <v>45</v>
      </c>
      <c r="M441" s="155"/>
      <c r="N441" s="155"/>
      <c r="O441" s="155"/>
      <c r="P441" s="155"/>
      <c r="Q441" s="155"/>
      <c r="R441" s="155" t="s">
        <v>46</v>
      </c>
      <c r="S441" s="151" t="s">
        <v>47</v>
      </c>
      <c r="T441" s="151" t="s">
        <v>48</v>
      </c>
      <c r="U441" s="156" t="s">
        <v>1925</v>
      </c>
      <c r="V441" s="151" t="s">
        <v>85</v>
      </c>
      <c r="W441" s="151" t="s">
        <v>147</v>
      </c>
      <c r="X441" s="151"/>
      <c r="Y441" s="156" t="s">
        <v>200</v>
      </c>
      <c r="Z441" s="156"/>
      <c r="AA441" s="156"/>
      <c r="AB441" s="156"/>
      <c r="AC441" s="156"/>
      <c r="AD441" s="155">
        <v>45880</v>
      </c>
      <c r="AE441" s="157">
        <v>600</v>
      </c>
      <c r="AF441" s="157">
        <v>600</v>
      </c>
      <c r="AG441" s="155">
        <v>45862</v>
      </c>
      <c r="AH441" s="155">
        <v>45876</v>
      </c>
      <c r="AI441" s="155"/>
      <c r="AJ441" s="158">
        <v>45868</v>
      </c>
      <c r="AK441" s="211">
        <v>45880</v>
      </c>
      <c r="AL441" s="158"/>
      <c r="AM441" s="1"/>
    </row>
    <row r="442" spans="1:48" ht="45" hidden="1" customHeight="1">
      <c r="B442" s="159" t="s">
        <v>1887</v>
      </c>
      <c r="C442" s="159" t="s">
        <v>600</v>
      </c>
      <c r="D442" s="159" t="s">
        <v>601</v>
      </c>
      <c r="E442" s="159" t="s">
        <v>1888</v>
      </c>
      <c r="F442" s="152"/>
      <c r="G442" s="152" t="s">
        <v>446</v>
      </c>
      <c r="H442" s="152" t="s">
        <v>42</v>
      </c>
      <c r="I442" s="152">
        <v>161</v>
      </c>
      <c r="J442" s="151" t="s">
        <v>1846</v>
      </c>
      <c r="K442" s="153">
        <v>45809</v>
      </c>
      <c r="L442" s="154" t="s">
        <v>45</v>
      </c>
      <c r="M442" s="155"/>
      <c r="N442" s="155"/>
      <c r="O442" s="155"/>
      <c r="P442" s="155"/>
      <c r="Q442" s="155"/>
      <c r="R442" s="155" t="s">
        <v>46</v>
      </c>
      <c r="S442" s="151" t="s">
        <v>47</v>
      </c>
      <c r="T442" s="151" t="s">
        <v>48</v>
      </c>
      <c r="U442" s="156" t="s">
        <v>1889</v>
      </c>
      <c r="V442" s="151" t="s">
        <v>85</v>
      </c>
      <c r="W442" s="151" t="s">
        <v>61</v>
      </c>
      <c r="X442" s="151"/>
      <c r="Y442" s="156" t="s">
        <v>200</v>
      </c>
      <c r="Z442" s="156"/>
      <c r="AA442" s="156"/>
      <c r="AB442" s="156"/>
      <c r="AC442" s="156"/>
      <c r="AD442" s="155">
        <v>45862</v>
      </c>
      <c r="AE442" s="157">
        <v>400</v>
      </c>
      <c r="AF442" s="157">
        <v>600</v>
      </c>
      <c r="AG442" s="155">
        <v>45831</v>
      </c>
      <c r="AH442" s="155">
        <v>45853</v>
      </c>
      <c r="AI442" s="155">
        <v>45854</v>
      </c>
      <c r="AJ442" s="158">
        <v>45854</v>
      </c>
      <c r="AK442" s="211">
        <v>45862</v>
      </c>
      <c r="AL442" s="158"/>
      <c r="AM442" s="1"/>
    </row>
    <row r="443" spans="1:48" ht="45" hidden="1" customHeight="1">
      <c r="A443" s="1"/>
      <c r="B443" s="159" t="s">
        <v>1932</v>
      </c>
      <c r="C443" s="159" t="s">
        <v>600</v>
      </c>
      <c r="D443" s="159" t="s">
        <v>601</v>
      </c>
      <c r="E443" s="159" t="s">
        <v>1933</v>
      </c>
      <c r="F443" s="152"/>
      <c r="G443" s="152" t="s">
        <v>446</v>
      </c>
      <c r="H443" s="152" t="s">
        <v>42</v>
      </c>
      <c r="I443" s="152">
        <v>121</v>
      </c>
      <c r="J443" s="151" t="s">
        <v>1484</v>
      </c>
      <c r="K443" s="153">
        <v>45809</v>
      </c>
      <c r="L443" s="154" t="s">
        <v>45</v>
      </c>
      <c r="M443" s="155"/>
      <c r="N443" s="155"/>
      <c r="O443" s="155"/>
      <c r="P443" s="155"/>
      <c r="Q443" s="155"/>
      <c r="R443" s="155" t="s">
        <v>46</v>
      </c>
      <c r="S443" s="151" t="s">
        <v>47</v>
      </c>
      <c r="T443" s="151" t="s">
        <v>48</v>
      </c>
      <c r="U443" s="156" t="s">
        <v>1934</v>
      </c>
      <c r="V443" s="151" t="s">
        <v>85</v>
      </c>
      <c r="W443" s="151" t="s">
        <v>1478</v>
      </c>
      <c r="X443" s="151" t="s">
        <v>94</v>
      </c>
      <c r="Y443" s="156" t="s">
        <v>94</v>
      </c>
      <c r="Z443" s="156"/>
      <c r="AA443" s="156"/>
      <c r="AB443" s="156"/>
      <c r="AC443" s="156"/>
      <c r="AD443" s="155">
        <v>45881</v>
      </c>
      <c r="AE443" s="157">
        <v>300</v>
      </c>
      <c r="AF443" s="157">
        <v>800</v>
      </c>
      <c r="AG443" s="155">
        <v>45867</v>
      </c>
      <c r="AH443" s="155">
        <v>45880</v>
      </c>
      <c r="AI443" s="155"/>
      <c r="AJ443" s="158">
        <v>45869</v>
      </c>
      <c r="AK443" s="211">
        <v>45881</v>
      </c>
      <c r="AL443" s="158"/>
      <c r="AM443" s="1"/>
      <c r="AN443" s="1"/>
      <c r="AO443" s="1"/>
      <c r="AP443" s="1"/>
      <c r="AQ443" s="1"/>
      <c r="AR443" s="1"/>
      <c r="AS443" s="1"/>
      <c r="AT443" s="1"/>
      <c r="AU443" s="1"/>
      <c r="AV443" s="1"/>
    </row>
    <row r="444" spans="1:48" ht="45" hidden="1" customHeight="1">
      <c r="B444" s="159" t="s">
        <v>1935</v>
      </c>
      <c r="C444" s="159" t="s">
        <v>600</v>
      </c>
      <c r="D444" s="159" t="s">
        <v>601</v>
      </c>
      <c r="E444" s="159" t="s">
        <v>1936</v>
      </c>
      <c r="F444" s="152"/>
      <c r="G444" s="152" t="s">
        <v>446</v>
      </c>
      <c r="H444" s="152" t="s">
        <v>42</v>
      </c>
      <c r="I444" s="152" t="s">
        <v>1937</v>
      </c>
      <c r="J444" s="151" t="s">
        <v>1846</v>
      </c>
      <c r="K444" s="153">
        <v>45809</v>
      </c>
      <c r="L444" s="154" t="s">
        <v>45</v>
      </c>
      <c r="M444" s="155"/>
      <c r="N444" s="155"/>
      <c r="O444" s="155"/>
      <c r="P444" s="155"/>
      <c r="Q444" s="155"/>
      <c r="R444" s="155" t="s">
        <v>46</v>
      </c>
      <c r="S444" s="151" t="s">
        <v>47</v>
      </c>
      <c r="T444" s="151" t="s">
        <v>48</v>
      </c>
      <c r="U444" s="156" t="s">
        <v>1938</v>
      </c>
      <c r="V444" s="151">
        <v>2</v>
      </c>
      <c r="W444" s="151" t="s">
        <v>50</v>
      </c>
      <c r="X444" s="151"/>
      <c r="Y444" s="156" t="s">
        <v>1939</v>
      </c>
      <c r="Z444" s="156" t="s">
        <v>1478</v>
      </c>
      <c r="AA444" s="156"/>
      <c r="AB444" s="156"/>
      <c r="AC444" s="156"/>
      <c r="AD444" s="158">
        <v>45869</v>
      </c>
      <c r="AE444" s="157">
        <v>2100</v>
      </c>
      <c r="AF444" s="157">
        <v>5400</v>
      </c>
      <c r="AG444" s="155">
        <v>45832</v>
      </c>
      <c r="AH444" s="155">
        <v>45854</v>
      </c>
      <c r="AI444" s="155">
        <v>45866</v>
      </c>
      <c r="AJ444" s="158">
        <v>45869</v>
      </c>
      <c r="AK444" s="211">
        <v>45869</v>
      </c>
      <c r="AL444" s="158"/>
      <c r="AM444" s="1"/>
    </row>
    <row r="445" spans="1:48" ht="45" hidden="1" customHeight="1">
      <c r="B445" s="159" t="s">
        <v>1913</v>
      </c>
      <c r="C445" s="159" t="s">
        <v>600</v>
      </c>
      <c r="D445" s="159" t="s">
        <v>601</v>
      </c>
      <c r="E445" s="159" t="s">
        <v>1914</v>
      </c>
      <c r="F445" s="152"/>
      <c r="G445" s="152" t="s">
        <v>446</v>
      </c>
      <c r="H445" s="152" t="s">
        <v>42</v>
      </c>
      <c r="I445" s="152">
        <v>71</v>
      </c>
      <c r="J445" s="151" t="s">
        <v>1846</v>
      </c>
      <c r="K445" s="153">
        <v>45809</v>
      </c>
      <c r="L445" s="154" t="s">
        <v>45</v>
      </c>
      <c r="M445" s="155"/>
      <c r="N445" s="155"/>
      <c r="O445" s="155"/>
      <c r="P445" s="155"/>
      <c r="Q445" s="155"/>
      <c r="R445" s="155" t="s">
        <v>46</v>
      </c>
      <c r="S445" s="151" t="s">
        <v>47</v>
      </c>
      <c r="T445" s="151" t="s">
        <v>48</v>
      </c>
      <c r="U445" s="156" t="s">
        <v>1915</v>
      </c>
      <c r="V445" s="151" t="s">
        <v>85</v>
      </c>
      <c r="W445" s="151" t="s">
        <v>94</v>
      </c>
      <c r="X445" s="151"/>
      <c r="Y445" s="156" t="s">
        <v>94</v>
      </c>
      <c r="Z445" s="156"/>
      <c r="AA445" s="156"/>
      <c r="AB445" s="156"/>
      <c r="AC445" s="156"/>
      <c r="AD445" s="158">
        <v>45868</v>
      </c>
      <c r="AE445" s="157">
        <v>600</v>
      </c>
      <c r="AF445" s="157">
        <v>300</v>
      </c>
      <c r="AG445" s="155">
        <v>45859</v>
      </c>
      <c r="AH445" s="155">
        <v>45867</v>
      </c>
      <c r="AI445" s="155"/>
      <c r="AJ445" s="158">
        <v>45866</v>
      </c>
      <c r="AK445" s="211">
        <v>45868</v>
      </c>
      <c r="AL445" s="158"/>
      <c r="AM445" s="1"/>
    </row>
    <row r="446" spans="1:48" ht="45" hidden="1" customHeight="1">
      <c r="B446" s="159" t="s">
        <v>1991</v>
      </c>
      <c r="C446" s="159" t="s">
        <v>600</v>
      </c>
      <c r="D446" s="159" t="s">
        <v>601</v>
      </c>
      <c r="E446" s="159" t="s">
        <v>1992</v>
      </c>
      <c r="F446" s="152"/>
      <c r="G446" s="152" t="s">
        <v>446</v>
      </c>
      <c r="H446" s="152" t="s">
        <v>42</v>
      </c>
      <c r="I446" s="152">
        <v>91</v>
      </c>
      <c r="J446" s="151" t="s">
        <v>1484</v>
      </c>
      <c r="K446" s="153">
        <v>45809</v>
      </c>
      <c r="L446" s="154" t="s">
        <v>45</v>
      </c>
      <c r="M446" s="155"/>
      <c r="N446" s="155"/>
      <c r="O446" s="155"/>
      <c r="P446" s="155"/>
      <c r="Q446" s="155"/>
      <c r="R446" s="155" t="s">
        <v>46</v>
      </c>
      <c r="S446" s="151" t="s">
        <v>47</v>
      </c>
      <c r="T446" s="151" t="s">
        <v>48</v>
      </c>
      <c r="U446" s="156" t="s">
        <v>1993</v>
      </c>
      <c r="V446" s="151" t="s">
        <v>85</v>
      </c>
      <c r="W446" s="151" t="s">
        <v>1994</v>
      </c>
      <c r="X446" s="151"/>
      <c r="Y446" s="156" t="s">
        <v>51</v>
      </c>
      <c r="Z446" s="156"/>
      <c r="AA446" s="156"/>
      <c r="AB446" s="156"/>
      <c r="AC446" s="156"/>
      <c r="AD446" s="155">
        <v>45901</v>
      </c>
      <c r="AE446" s="157">
        <v>500</v>
      </c>
      <c r="AF446" s="157">
        <v>700</v>
      </c>
      <c r="AG446" s="155">
        <v>45870</v>
      </c>
      <c r="AH446" s="155">
        <v>45884</v>
      </c>
      <c r="AI446" s="155">
        <v>45894</v>
      </c>
      <c r="AJ446" s="158">
        <v>45895</v>
      </c>
      <c r="AK446" s="211">
        <v>45901</v>
      </c>
      <c r="AL446" s="158"/>
      <c r="AM446" s="1"/>
    </row>
    <row r="447" spans="1:48" ht="45" hidden="1" customHeight="1">
      <c r="B447" s="159" t="s">
        <v>1916</v>
      </c>
      <c r="C447" s="159" t="s">
        <v>600</v>
      </c>
      <c r="D447" s="159" t="s">
        <v>601</v>
      </c>
      <c r="E447" s="159" t="s">
        <v>1917</v>
      </c>
      <c r="F447" s="152"/>
      <c r="G447" s="152" t="s">
        <v>446</v>
      </c>
      <c r="H447" s="152" t="s">
        <v>42</v>
      </c>
      <c r="I447" s="152" t="s">
        <v>1918</v>
      </c>
      <c r="J447" s="151" t="s">
        <v>1846</v>
      </c>
      <c r="K447" s="153">
        <v>45809</v>
      </c>
      <c r="L447" s="154" t="s">
        <v>45</v>
      </c>
      <c r="M447" s="155"/>
      <c r="N447" s="155"/>
      <c r="O447" s="155"/>
      <c r="P447" s="155"/>
      <c r="Q447" s="155"/>
      <c r="R447" s="155" t="s">
        <v>46</v>
      </c>
      <c r="S447" s="151" t="s">
        <v>47</v>
      </c>
      <c r="T447" s="151" t="s">
        <v>48</v>
      </c>
      <c r="U447" s="156" t="s">
        <v>1919</v>
      </c>
      <c r="V447" s="151" t="s">
        <v>85</v>
      </c>
      <c r="W447" s="151" t="s">
        <v>50</v>
      </c>
      <c r="X447" s="151"/>
      <c r="Y447" s="156" t="s">
        <v>77</v>
      </c>
      <c r="Z447" s="156"/>
      <c r="AA447" s="156"/>
      <c r="AB447" s="156"/>
      <c r="AC447" s="156"/>
      <c r="AD447" s="158">
        <v>45866</v>
      </c>
      <c r="AE447" s="157">
        <v>2200</v>
      </c>
      <c r="AF447" s="157">
        <v>4300</v>
      </c>
      <c r="AG447" s="155">
        <v>45832</v>
      </c>
      <c r="AH447" s="155">
        <v>45853</v>
      </c>
      <c r="AI447" s="155">
        <v>45863</v>
      </c>
      <c r="AJ447" s="158">
        <v>45866</v>
      </c>
      <c r="AK447" s="211">
        <v>45866</v>
      </c>
      <c r="AL447" s="158"/>
      <c r="AM447" s="1"/>
    </row>
    <row r="448" spans="1:48" ht="45" hidden="1" customHeight="1">
      <c r="B448" s="159" t="s">
        <v>1959</v>
      </c>
      <c r="C448" s="159" t="s">
        <v>600</v>
      </c>
      <c r="D448" s="159" t="s">
        <v>601</v>
      </c>
      <c r="E448" s="159" t="s">
        <v>1960</v>
      </c>
      <c r="F448" s="152"/>
      <c r="G448" s="152" t="s">
        <v>446</v>
      </c>
      <c r="H448" s="152" t="s">
        <v>42</v>
      </c>
      <c r="I448" s="152">
        <v>171</v>
      </c>
      <c r="J448" s="151" t="s">
        <v>1484</v>
      </c>
      <c r="K448" s="153">
        <v>45809</v>
      </c>
      <c r="L448" s="154" t="s">
        <v>1607</v>
      </c>
      <c r="M448" s="155"/>
      <c r="N448" s="155"/>
      <c r="O448" s="155"/>
      <c r="P448" s="155"/>
      <c r="Q448" s="155"/>
      <c r="R448" s="155" t="s">
        <v>46</v>
      </c>
      <c r="S448" s="151" t="s">
        <v>47</v>
      </c>
      <c r="T448" s="151" t="s">
        <v>48</v>
      </c>
      <c r="U448" s="156" t="s">
        <v>1961</v>
      </c>
      <c r="V448" s="151" t="s">
        <v>85</v>
      </c>
      <c r="W448" s="151" t="s">
        <v>1478</v>
      </c>
      <c r="X448" s="151" t="s">
        <v>1962</v>
      </c>
      <c r="Y448" s="156" t="s">
        <v>94</v>
      </c>
      <c r="Z448" s="156"/>
      <c r="AA448" s="156"/>
      <c r="AB448" s="156"/>
      <c r="AC448" s="156"/>
      <c r="AD448" s="155">
        <v>45888</v>
      </c>
      <c r="AE448" s="157">
        <v>600</v>
      </c>
      <c r="AF448" s="157">
        <v>800</v>
      </c>
      <c r="AG448" s="155">
        <v>45860</v>
      </c>
      <c r="AH448" s="155">
        <v>45877</v>
      </c>
      <c r="AI448" s="155"/>
      <c r="AJ448" s="158">
        <v>45882</v>
      </c>
      <c r="AK448" s="211">
        <v>45888</v>
      </c>
      <c r="AL448" s="158"/>
      <c r="AM448" s="1"/>
    </row>
    <row r="449" spans="1:48" ht="45" hidden="1" customHeight="1">
      <c r="B449" s="159" t="s">
        <v>1948</v>
      </c>
      <c r="C449" s="159" t="s">
        <v>600</v>
      </c>
      <c r="D449" s="159" t="s">
        <v>601</v>
      </c>
      <c r="E449" s="159" t="s">
        <v>1949</v>
      </c>
      <c r="F449" s="152"/>
      <c r="G449" s="152" t="s">
        <v>446</v>
      </c>
      <c r="H449" s="152" t="s">
        <v>42</v>
      </c>
      <c r="I449" s="152" t="s">
        <v>1950</v>
      </c>
      <c r="J449" s="151" t="s">
        <v>1484</v>
      </c>
      <c r="K449" s="153">
        <v>45809</v>
      </c>
      <c r="L449" s="154" t="s">
        <v>45</v>
      </c>
      <c r="M449" s="155"/>
      <c r="N449" s="155"/>
      <c r="O449" s="155"/>
      <c r="P449" s="155"/>
      <c r="Q449" s="155"/>
      <c r="R449" s="155" t="s">
        <v>46</v>
      </c>
      <c r="S449" s="151" t="s">
        <v>47</v>
      </c>
      <c r="T449" s="151" t="s">
        <v>48</v>
      </c>
      <c r="U449" s="156" t="s">
        <v>1951</v>
      </c>
      <c r="V449" s="151" t="s">
        <v>85</v>
      </c>
      <c r="W449" s="151" t="s">
        <v>61</v>
      </c>
      <c r="X449" s="151"/>
      <c r="Y449" s="156" t="s">
        <v>94</v>
      </c>
      <c r="Z449" s="156"/>
      <c r="AA449" s="156"/>
      <c r="AB449" s="156"/>
      <c r="AC449" s="156"/>
      <c r="AD449" s="155">
        <v>45881</v>
      </c>
      <c r="AE449" s="157">
        <v>800</v>
      </c>
      <c r="AF449" s="157">
        <v>1300</v>
      </c>
      <c r="AG449" s="155">
        <v>45876</v>
      </c>
      <c r="AH449" s="155">
        <v>45884</v>
      </c>
      <c r="AI449" s="155"/>
      <c r="AJ449" s="158">
        <v>45875</v>
      </c>
      <c r="AK449" s="211">
        <v>45881</v>
      </c>
      <c r="AL449" s="158"/>
      <c r="AM449" s="1"/>
    </row>
    <row r="450" spans="1:48" ht="45" hidden="1" customHeight="1">
      <c r="B450" s="159" t="s">
        <v>1858</v>
      </c>
      <c r="C450" s="159" t="s">
        <v>160</v>
      </c>
      <c r="D450" s="159" t="s">
        <v>161</v>
      </c>
      <c r="E450" s="159" t="s">
        <v>1859</v>
      </c>
      <c r="F450" s="152"/>
      <c r="G450" s="152" t="s">
        <v>1860</v>
      </c>
      <c r="H450" s="152" t="s">
        <v>42</v>
      </c>
      <c r="I450" s="152">
        <v>42</v>
      </c>
      <c r="J450" s="151"/>
      <c r="K450" s="153">
        <v>45809</v>
      </c>
      <c r="L450" s="154" t="s">
        <v>45</v>
      </c>
      <c r="M450" s="155"/>
      <c r="N450" s="155"/>
      <c r="O450" s="155"/>
      <c r="P450" s="155"/>
      <c r="Q450" s="155"/>
      <c r="R450" s="155" t="s">
        <v>46</v>
      </c>
      <c r="S450" s="151" t="s">
        <v>47</v>
      </c>
      <c r="T450" s="151" t="s">
        <v>48</v>
      </c>
      <c r="U450" s="156" t="s">
        <v>1861</v>
      </c>
      <c r="V450" s="151" t="s">
        <v>85</v>
      </c>
      <c r="W450" s="195" t="s">
        <v>147</v>
      </c>
      <c r="X450" s="151"/>
      <c r="Y450" s="156" t="s">
        <v>132</v>
      </c>
      <c r="Z450" s="156"/>
      <c r="AA450" s="156"/>
      <c r="AB450" s="156"/>
      <c r="AC450" s="156"/>
      <c r="AD450" s="155">
        <v>45846</v>
      </c>
      <c r="AE450" s="157">
        <v>0</v>
      </c>
      <c r="AF450" s="157">
        <v>2100</v>
      </c>
      <c r="AG450" s="155">
        <v>45821</v>
      </c>
      <c r="AH450" s="155">
        <v>45840</v>
      </c>
      <c r="AI450" s="155"/>
      <c r="AJ450" s="158">
        <v>45838</v>
      </c>
      <c r="AK450" s="211">
        <v>45846</v>
      </c>
      <c r="AL450" s="158"/>
      <c r="AM450" s="1"/>
    </row>
    <row r="451" spans="1:48" ht="45" hidden="1" customHeight="1">
      <c r="A451" s="1"/>
      <c r="B451" s="159" t="s">
        <v>1910</v>
      </c>
      <c r="C451" s="159" t="s">
        <v>555</v>
      </c>
      <c r="D451" s="159" t="s">
        <v>556</v>
      </c>
      <c r="E451" s="159" t="s">
        <v>1911</v>
      </c>
      <c r="F451" s="152"/>
      <c r="G451" s="152" t="s">
        <v>446</v>
      </c>
      <c r="H451" s="152" t="s">
        <v>42</v>
      </c>
      <c r="I451" s="349">
        <v>59.6</v>
      </c>
      <c r="J451" s="151"/>
      <c r="K451" s="153">
        <v>45809</v>
      </c>
      <c r="L451" s="154" t="s">
        <v>45</v>
      </c>
      <c r="M451" s="155"/>
      <c r="N451" s="155"/>
      <c r="O451" s="155"/>
      <c r="P451" s="155"/>
      <c r="Q451" s="155"/>
      <c r="R451" s="155" t="s">
        <v>46</v>
      </c>
      <c r="S451" s="151" t="s">
        <v>47</v>
      </c>
      <c r="T451" s="151" t="s">
        <v>48</v>
      </c>
      <c r="U451" s="156" t="s">
        <v>1912</v>
      </c>
      <c r="V451" s="151" t="s">
        <v>85</v>
      </c>
      <c r="W451" s="151" t="s">
        <v>1808</v>
      </c>
      <c r="X451" s="151" t="s">
        <v>94</v>
      </c>
      <c r="Y451" s="156" t="s">
        <v>62</v>
      </c>
      <c r="Z451" s="156" t="s">
        <v>1478</v>
      </c>
      <c r="AA451" s="156"/>
      <c r="AB451" s="156"/>
      <c r="AC451" s="156"/>
      <c r="AD451" s="155">
        <v>45880</v>
      </c>
      <c r="AE451" s="157">
        <v>1000</v>
      </c>
      <c r="AF451" s="157">
        <v>2800</v>
      </c>
      <c r="AG451" s="155">
        <v>45820</v>
      </c>
      <c r="AH451" s="155">
        <v>45845</v>
      </c>
      <c r="AI451" s="155">
        <v>45853</v>
      </c>
      <c r="AJ451" s="158">
        <v>45863</v>
      </c>
      <c r="AK451" s="211">
        <v>45880</v>
      </c>
      <c r="AL451" s="158"/>
      <c r="AM451" s="1"/>
      <c r="AN451" s="1"/>
      <c r="AO451" s="1"/>
      <c r="AP451" s="1"/>
      <c r="AQ451" s="1"/>
      <c r="AR451" s="1"/>
      <c r="AS451" s="1"/>
      <c r="AT451" s="1"/>
      <c r="AU451" s="1"/>
      <c r="AV451" s="1"/>
    </row>
    <row r="452" spans="1:48" ht="45" hidden="1" customHeight="1">
      <c r="A452" s="1"/>
      <c r="B452" s="159" t="s">
        <v>1865</v>
      </c>
      <c r="C452" s="159" t="s">
        <v>1866</v>
      </c>
      <c r="D452" s="159" t="s">
        <v>1340</v>
      </c>
      <c r="E452" s="159" t="s">
        <v>1867</v>
      </c>
      <c r="F452" s="152"/>
      <c r="G452" s="152" t="s">
        <v>287</v>
      </c>
      <c r="H452" s="152" t="s">
        <v>786</v>
      </c>
      <c r="I452" s="152">
        <v>181</v>
      </c>
      <c r="J452" s="151"/>
      <c r="K452" s="153">
        <v>45809</v>
      </c>
      <c r="L452" s="154" t="s">
        <v>45</v>
      </c>
      <c r="M452" s="155"/>
      <c r="N452" s="155"/>
      <c r="O452" s="155"/>
      <c r="P452" s="155"/>
      <c r="Q452" s="155"/>
      <c r="R452" s="155" t="s">
        <v>46</v>
      </c>
      <c r="S452" s="151" t="s">
        <v>47</v>
      </c>
      <c r="T452" s="151" t="s">
        <v>48</v>
      </c>
      <c r="U452" s="156" t="s">
        <v>1868</v>
      </c>
      <c r="V452" s="151" t="s">
        <v>85</v>
      </c>
      <c r="W452" s="151" t="s">
        <v>1478</v>
      </c>
      <c r="X452" s="151"/>
      <c r="Y452" s="156" t="s">
        <v>1478</v>
      </c>
      <c r="Z452" s="156" t="s">
        <v>132</v>
      </c>
      <c r="AA452" s="156"/>
      <c r="AB452" s="156"/>
      <c r="AC452" s="156"/>
      <c r="AD452" s="155">
        <v>45846</v>
      </c>
      <c r="AE452" s="157"/>
      <c r="AF452" s="157">
        <v>4800</v>
      </c>
      <c r="AG452" s="155">
        <v>45831</v>
      </c>
      <c r="AH452" s="155">
        <v>45835</v>
      </c>
      <c r="AI452" s="155"/>
      <c r="AJ452" s="158">
        <v>45842</v>
      </c>
      <c r="AK452" s="211">
        <v>45846</v>
      </c>
      <c r="AL452" s="158"/>
      <c r="AM452" s="1"/>
      <c r="AN452" s="1"/>
      <c r="AO452" s="1"/>
      <c r="AP452" s="1"/>
      <c r="AQ452" s="1"/>
      <c r="AR452" s="1"/>
      <c r="AS452" s="1"/>
      <c r="AT452" s="1"/>
      <c r="AU452" s="1"/>
      <c r="AV452" s="1"/>
    </row>
    <row r="453" spans="1:48" ht="45" hidden="1" customHeight="1">
      <c r="B453" s="159" t="s">
        <v>2032</v>
      </c>
      <c r="C453" s="159" t="s">
        <v>555</v>
      </c>
      <c r="D453" s="159" t="s">
        <v>556</v>
      </c>
      <c r="E453" s="159" t="s">
        <v>2033</v>
      </c>
      <c r="F453" s="152"/>
      <c r="G453" s="152" t="s">
        <v>446</v>
      </c>
      <c r="H453" s="152" t="s">
        <v>42</v>
      </c>
      <c r="I453" s="152" t="s">
        <v>2034</v>
      </c>
      <c r="J453" s="151"/>
      <c r="K453" s="153">
        <v>45809</v>
      </c>
      <c r="L453" s="154" t="s">
        <v>45</v>
      </c>
      <c r="M453" s="155"/>
      <c r="N453" s="155"/>
      <c r="O453" s="155"/>
      <c r="P453" s="155"/>
      <c r="Q453" s="155"/>
      <c r="R453" s="155" t="s">
        <v>46</v>
      </c>
      <c r="S453" s="151" t="s">
        <v>47</v>
      </c>
      <c r="T453" s="151" t="s">
        <v>48</v>
      </c>
      <c r="U453" s="156" t="s">
        <v>2035</v>
      </c>
      <c r="V453" s="151"/>
      <c r="W453" s="151" t="s">
        <v>94</v>
      </c>
      <c r="X453" s="151" t="s">
        <v>200</v>
      </c>
      <c r="Y453" s="156" t="s">
        <v>62</v>
      </c>
      <c r="Z453" s="156" t="s">
        <v>200</v>
      </c>
      <c r="AA453" s="156"/>
      <c r="AB453" s="156"/>
      <c r="AC453" s="156"/>
      <c r="AD453" s="155"/>
      <c r="AE453" s="157"/>
      <c r="AF453" s="157"/>
      <c r="AG453" s="155">
        <v>45838</v>
      </c>
      <c r="AH453" s="155">
        <v>45854</v>
      </c>
      <c r="AI453" s="155">
        <v>45856</v>
      </c>
      <c r="AJ453" s="158">
        <v>45912</v>
      </c>
      <c r="AK453" s="211"/>
      <c r="AL453" s="158"/>
      <c r="AM453" s="1"/>
    </row>
    <row r="454" spans="1:48" ht="45" hidden="1" customHeight="1">
      <c r="A454" s="1"/>
      <c r="B454" s="159" t="s">
        <v>1952</v>
      </c>
      <c r="C454" s="159" t="s">
        <v>555</v>
      </c>
      <c r="D454" s="159" t="s">
        <v>556</v>
      </c>
      <c r="E454" s="159" t="s">
        <v>1953</v>
      </c>
      <c r="F454" s="152"/>
      <c r="G454" s="152" t="s">
        <v>446</v>
      </c>
      <c r="H454" s="152" t="s">
        <v>42</v>
      </c>
      <c r="I454" s="152">
        <v>20</v>
      </c>
      <c r="J454" s="151"/>
      <c r="K454" s="153">
        <v>45839</v>
      </c>
      <c r="L454" s="154" t="s">
        <v>45</v>
      </c>
      <c r="M454" s="155"/>
      <c r="N454" s="155"/>
      <c r="O454" s="155"/>
      <c r="P454" s="155"/>
      <c r="Q454" s="155"/>
      <c r="R454" s="155" t="s">
        <v>46</v>
      </c>
      <c r="S454" s="151" t="s">
        <v>47</v>
      </c>
      <c r="T454" s="151" t="s">
        <v>48</v>
      </c>
      <c r="U454" s="156" t="s">
        <v>1954</v>
      </c>
      <c r="V454" s="151" t="s">
        <v>85</v>
      </c>
      <c r="W454" s="151" t="s">
        <v>147</v>
      </c>
      <c r="X454" s="151" t="s">
        <v>200</v>
      </c>
      <c r="Y454" s="156" t="s">
        <v>62</v>
      </c>
      <c r="Z454" s="156" t="s">
        <v>200</v>
      </c>
      <c r="AA454" s="156"/>
      <c r="AB454" s="156"/>
      <c r="AC454" s="156"/>
      <c r="AD454" s="155">
        <v>45901</v>
      </c>
      <c r="AE454" s="157"/>
      <c r="AF454" s="157"/>
      <c r="AG454" s="155">
        <v>45846</v>
      </c>
      <c r="AH454" s="155">
        <v>45858</v>
      </c>
      <c r="AI454" s="155"/>
      <c r="AJ454" s="158">
        <v>45881</v>
      </c>
      <c r="AK454" s="211">
        <v>45901</v>
      </c>
      <c r="AL454" s="158"/>
      <c r="AM454" s="1"/>
      <c r="AN454" s="1"/>
      <c r="AO454" s="1"/>
      <c r="AP454" s="1"/>
      <c r="AQ454" s="1"/>
      <c r="AR454" s="1"/>
      <c r="AS454" s="1"/>
      <c r="AT454" s="1"/>
      <c r="AU454" s="1"/>
      <c r="AV454" s="1"/>
    </row>
    <row r="455" spans="1:48" ht="45" hidden="1" customHeight="1">
      <c r="B455" s="159" t="s">
        <v>1970</v>
      </c>
      <c r="C455" s="159" t="s">
        <v>449</v>
      </c>
      <c r="D455" s="159" t="s">
        <v>450</v>
      </c>
      <c r="E455" s="159" t="s">
        <v>1971</v>
      </c>
      <c r="F455" s="152"/>
      <c r="G455" s="152"/>
      <c r="H455" s="152" t="s">
        <v>42</v>
      </c>
      <c r="I455" s="152" t="s">
        <v>1972</v>
      </c>
      <c r="J455" s="151"/>
      <c r="K455" s="153">
        <v>45839</v>
      </c>
      <c r="L455" s="154" t="s">
        <v>45</v>
      </c>
      <c r="M455" s="155"/>
      <c r="N455" s="155"/>
      <c r="O455" s="155"/>
      <c r="P455" s="155"/>
      <c r="Q455" s="155"/>
      <c r="R455" s="155" t="s">
        <v>46</v>
      </c>
      <c r="S455" s="151" t="s">
        <v>47</v>
      </c>
      <c r="T455" s="151" t="s">
        <v>48</v>
      </c>
      <c r="U455" s="156" t="s">
        <v>1973</v>
      </c>
      <c r="V455" s="151"/>
      <c r="W455" s="151" t="s">
        <v>124</v>
      </c>
      <c r="X455" s="151"/>
      <c r="Y455" s="156" t="s">
        <v>132</v>
      </c>
      <c r="Z455" s="156"/>
      <c r="AA455" s="156"/>
      <c r="AB455" s="156"/>
      <c r="AC455" s="156"/>
      <c r="AD455" s="155">
        <v>45902</v>
      </c>
      <c r="AE455" s="157">
        <v>1700</v>
      </c>
      <c r="AF455" s="157">
        <v>7700</v>
      </c>
      <c r="AG455" s="155">
        <v>45842</v>
      </c>
      <c r="AH455" s="155">
        <v>45860</v>
      </c>
      <c r="AI455" s="155"/>
      <c r="AJ455" s="158">
        <v>45882</v>
      </c>
      <c r="AK455" s="211">
        <v>45902</v>
      </c>
      <c r="AL455" s="158"/>
      <c r="AM455" s="1"/>
    </row>
    <row r="456" spans="1:48" ht="45" hidden="1" customHeight="1">
      <c r="B456" s="159" t="s">
        <v>2079</v>
      </c>
      <c r="C456" s="159" t="s">
        <v>571</v>
      </c>
      <c r="D456" s="159" t="s">
        <v>572</v>
      </c>
      <c r="E456" s="159" t="s">
        <v>2080</v>
      </c>
      <c r="F456" s="152"/>
      <c r="G456" s="152" t="s">
        <v>91</v>
      </c>
      <c r="H456" s="152" t="s">
        <v>42</v>
      </c>
      <c r="I456" s="152" t="s">
        <v>1746</v>
      </c>
      <c r="J456" s="151" t="s">
        <v>1484</v>
      </c>
      <c r="K456" s="153">
        <v>45839</v>
      </c>
      <c r="L456" s="154" t="s">
        <v>45</v>
      </c>
      <c r="M456" s="155"/>
      <c r="N456" s="155"/>
      <c r="O456" s="155"/>
      <c r="P456" s="155"/>
      <c r="Q456" s="155"/>
      <c r="R456" s="155" t="s">
        <v>46</v>
      </c>
      <c r="S456" s="151" t="s">
        <v>47</v>
      </c>
      <c r="T456" s="151" t="s">
        <v>48</v>
      </c>
      <c r="U456" s="156" t="s">
        <v>2081</v>
      </c>
      <c r="V456" s="151" t="s">
        <v>85</v>
      </c>
      <c r="W456" s="151" t="s">
        <v>1460</v>
      </c>
      <c r="X456" s="151"/>
      <c r="Y456" s="156" t="s">
        <v>77</v>
      </c>
      <c r="Z456" s="156"/>
      <c r="AA456" s="156"/>
      <c r="AB456" s="156"/>
      <c r="AC456" s="156"/>
      <c r="AD456" s="155">
        <v>45902</v>
      </c>
      <c r="AE456" s="157">
        <v>2100</v>
      </c>
      <c r="AF456" s="157">
        <v>7600</v>
      </c>
      <c r="AG456" s="155">
        <v>45859</v>
      </c>
      <c r="AH456" s="155">
        <v>45887</v>
      </c>
      <c r="AI456" s="155">
        <v>45898</v>
      </c>
      <c r="AJ456" s="158">
        <v>45928</v>
      </c>
      <c r="AK456" s="211">
        <v>45902</v>
      </c>
      <c r="AL456" s="158"/>
      <c r="AM456" s="1"/>
    </row>
    <row r="457" spans="1:48" ht="45" hidden="1" customHeight="1">
      <c r="B457" s="159" t="s">
        <v>2002</v>
      </c>
      <c r="C457" s="159" t="s">
        <v>328</v>
      </c>
      <c r="D457" s="159" t="s">
        <v>329</v>
      </c>
      <c r="E457" s="159" t="s">
        <v>267</v>
      </c>
      <c r="F457" s="152"/>
      <c r="G457" s="152" t="s">
        <v>1215</v>
      </c>
      <c r="H457" s="152" t="s">
        <v>42</v>
      </c>
      <c r="I457" s="152">
        <v>91.091999999999999</v>
      </c>
      <c r="J457" s="151" t="s">
        <v>1484</v>
      </c>
      <c r="K457" s="153">
        <v>45839</v>
      </c>
      <c r="L457" s="154" t="s">
        <v>2003</v>
      </c>
      <c r="M457" s="155"/>
      <c r="N457" s="155"/>
      <c r="O457" s="155"/>
      <c r="P457" s="155"/>
      <c r="Q457" s="155"/>
      <c r="R457" s="155" t="s">
        <v>46</v>
      </c>
      <c r="S457" s="151" t="s">
        <v>47</v>
      </c>
      <c r="T457" s="151" t="s">
        <v>48</v>
      </c>
      <c r="U457" s="156" t="s">
        <v>2004</v>
      </c>
      <c r="V457" s="151" t="s">
        <v>85</v>
      </c>
      <c r="W457" s="151" t="s">
        <v>94</v>
      </c>
      <c r="X457" s="151"/>
      <c r="Y457" s="156" t="s">
        <v>94</v>
      </c>
      <c r="Z457" s="156"/>
      <c r="AA457" s="156"/>
      <c r="AB457" s="156"/>
      <c r="AC457" s="156"/>
      <c r="AD457" s="155">
        <v>45898</v>
      </c>
      <c r="AE457" s="157">
        <v>900</v>
      </c>
      <c r="AF457" s="157">
        <v>700</v>
      </c>
      <c r="AG457" s="155">
        <v>45880</v>
      </c>
      <c r="AH457" s="155">
        <v>45890</v>
      </c>
      <c r="AI457" s="155">
        <v>45898</v>
      </c>
      <c r="AJ457" s="158">
        <v>45897</v>
      </c>
      <c r="AK457" s="211">
        <v>45898</v>
      </c>
      <c r="AL457" s="158"/>
      <c r="AM457" s="1"/>
    </row>
    <row r="458" spans="1:48" ht="45" hidden="1" customHeight="1">
      <c r="A458" s="1"/>
      <c r="B458" s="159" t="s">
        <v>1974</v>
      </c>
      <c r="C458" s="159" t="s">
        <v>111</v>
      </c>
      <c r="D458" s="159" t="s">
        <v>112</v>
      </c>
      <c r="E458" s="159" t="s">
        <v>1975</v>
      </c>
      <c r="F458" s="152"/>
      <c r="G458" s="152" t="s">
        <v>1976</v>
      </c>
      <c r="H458" s="152" t="s">
        <v>42</v>
      </c>
      <c r="I458" s="152">
        <v>161</v>
      </c>
      <c r="J458" s="151" t="s">
        <v>1484</v>
      </c>
      <c r="K458" s="153">
        <v>45839</v>
      </c>
      <c r="L458" s="154" t="s">
        <v>45</v>
      </c>
      <c r="M458" s="155"/>
      <c r="N458" s="155"/>
      <c r="O458" s="155"/>
      <c r="P458" s="155"/>
      <c r="Q458" s="155"/>
      <c r="R458" s="155" t="s">
        <v>46</v>
      </c>
      <c r="S458" s="151" t="s">
        <v>47</v>
      </c>
      <c r="T458" s="151" t="s">
        <v>48</v>
      </c>
      <c r="U458" s="156" t="s">
        <v>1977</v>
      </c>
      <c r="V458" s="151"/>
      <c r="W458" s="151" t="s">
        <v>94</v>
      </c>
      <c r="X458" s="151"/>
      <c r="Y458" s="156" t="s">
        <v>132</v>
      </c>
      <c r="Z458" s="156"/>
      <c r="AA458" s="156"/>
      <c r="AB458" s="156"/>
      <c r="AC458" s="156"/>
      <c r="AD458" s="155">
        <v>45902</v>
      </c>
      <c r="AE458" s="157">
        <v>600</v>
      </c>
      <c r="AF458" s="157">
        <v>600</v>
      </c>
      <c r="AG458" s="155">
        <v>45881</v>
      </c>
      <c r="AH458" s="155">
        <v>45891</v>
      </c>
      <c r="AI458" s="155"/>
      <c r="AJ458" s="158">
        <v>45890</v>
      </c>
      <c r="AK458" s="211">
        <v>45902</v>
      </c>
      <c r="AL458" s="158"/>
      <c r="AM458" s="1"/>
      <c r="AN458" s="1"/>
      <c r="AO458" s="1"/>
      <c r="AP458" s="1"/>
      <c r="AQ458" s="1"/>
      <c r="AR458" s="1"/>
      <c r="AS458" s="1"/>
      <c r="AT458" s="1"/>
      <c r="AU458" s="1"/>
      <c r="AV458" s="1"/>
    </row>
    <row r="459" spans="1:48" ht="45" hidden="1" customHeight="1">
      <c r="B459" s="159" t="s">
        <v>1978</v>
      </c>
      <c r="C459" s="159" t="s">
        <v>111</v>
      </c>
      <c r="D459" s="159" t="s">
        <v>112</v>
      </c>
      <c r="E459" s="159" t="s">
        <v>1979</v>
      </c>
      <c r="F459" s="152"/>
      <c r="G459" s="152" t="s">
        <v>1976</v>
      </c>
      <c r="H459" s="152" t="s">
        <v>42</v>
      </c>
      <c r="I459" s="152" t="s">
        <v>1980</v>
      </c>
      <c r="J459" s="151" t="s">
        <v>1484</v>
      </c>
      <c r="K459" s="153">
        <v>45839</v>
      </c>
      <c r="L459" s="154" t="s">
        <v>45</v>
      </c>
      <c r="M459" s="155"/>
      <c r="N459" s="155"/>
      <c r="O459" s="155"/>
      <c r="P459" s="155"/>
      <c r="Q459" s="155"/>
      <c r="R459" s="155" t="s">
        <v>46</v>
      </c>
      <c r="S459" s="151" t="s">
        <v>47</v>
      </c>
      <c r="T459" s="151" t="s">
        <v>48</v>
      </c>
      <c r="U459" s="156" t="s">
        <v>1981</v>
      </c>
      <c r="V459" s="151" t="s">
        <v>85</v>
      </c>
      <c r="W459" s="151" t="s">
        <v>94</v>
      </c>
      <c r="X459" s="151"/>
      <c r="Y459" s="156" t="s">
        <v>132</v>
      </c>
      <c r="Z459" s="156"/>
      <c r="AA459" s="156"/>
      <c r="AB459" s="156"/>
      <c r="AC459" s="156"/>
      <c r="AD459" s="155">
        <v>45890</v>
      </c>
      <c r="AE459" s="157">
        <v>1200</v>
      </c>
      <c r="AF459" s="157">
        <v>1000</v>
      </c>
      <c r="AG459" s="155">
        <v>45882</v>
      </c>
      <c r="AH459" s="155">
        <v>45895</v>
      </c>
      <c r="AI459" s="155"/>
      <c r="AJ459" s="158">
        <v>45890</v>
      </c>
      <c r="AK459" s="211">
        <v>45890</v>
      </c>
      <c r="AL459" s="158"/>
      <c r="AM459" s="1"/>
    </row>
    <row r="460" spans="1:48" ht="45" hidden="1" customHeight="1">
      <c r="B460" s="159" t="s">
        <v>2012</v>
      </c>
      <c r="C460" s="159" t="s">
        <v>241</v>
      </c>
      <c r="D460" s="159" t="s">
        <v>8273</v>
      </c>
      <c r="E460" s="159" t="s">
        <v>2013</v>
      </c>
      <c r="F460" s="152"/>
      <c r="G460" s="152" t="s">
        <v>296</v>
      </c>
      <c r="H460" s="152" t="s">
        <v>42</v>
      </c>
      <c r="I460" s="152">
        <v>21</v>
      </c>
      <c r="J460" s="151" t="s">
        <v>1484</v>
      </c>
      <c r="K460" s="153">
        <v>45839</v>
      </c>
      <c r="L460" s="551" t="s">
        <v>45</v>
      </c>
      <c r="M460" s="155"/>
      <c r="N460" s="155"/>
      <c r="O460" s="155"/>
      <c r="P460" s="155"/>
      <c r="Q460" s="155"/>
      <c r="R460" s="155" t="s">
        <v>46</v>
      </c>
      <c r="S460" s="151" t="s">
        <v>47</v>
      </c>
      <c r="T460" s="151" t="s">
        <v>48</v>
      </c>
      <c r="U460" s="156" t="s">
        <v>2014</v>
      </c>
      <c r="V460" s="151"/>
      <c r="W460" s="151" t="s">
        <v>61</v>
      </c>
      <c r="X460" s="151" t="s">
        <v>147</v>
      </c>
      <c r="Y460" s="156" t="s">
        <v>51</v>
      </c>
      <c r="Z460" s="156"/>
      <c r="AA460" s="156"/>
      <c r="AB460" s="156"/>
      <c r="AC460" s="156"/>
      <c r="AD460" s="155">
        <v>45912</v>
      </c>
      <c r="AE460" s="157">
        <v>1200</v>
      </c>
      <c r="AF460" s="157">
        <v>200</v>
      </c>
      <c r="AG460" s="155">
        <v>45883</v>
      </c>
      <c r="AH460" s="155">
        <v>45895</v>
      </c>
      <c r="AI460" s="155"/>
      <c r="AJ460" s="158">
        <v>45900</v>
      </c>
      <c r="AK460" s="211">
        <v>45912</v>
      </c>
      <c r="AL460" s="158"/>
      <c r="AM460" s="1"/>
    </row>
    <row r="461" spans="1:48" ht="45" hidden="1" customHeight="1">
      <c r="B461" s="159" t="s">
        <v>2015</v>
      </c>
      <c r="C461" s="159" t="s">
        <v>241</v>
      </c>
      <c r="D461" s="159" t="s">
        <v>8273</v>
      </c>
      <c r="E461" s="159" t="s">
        <v>2016</v>
      </c>
      <c r="F461" s="152"/>
      <c r="G461" s="152" t="s">
        <v>296</v>
      </c>
      <c r="H461" s="152" t="s">
        <v>42</v>
      </c>
      <c r="I461" s="152">
        <v>101</v>
      </c>
      <c r="J461" s="151" t="s">
        <v>1484</v>
      </c>
      <c r="K461" s="153">
        <v>45839</v>
      </c>
      <c r="L461" s="154" t="s">
        <v>45</v>
      </c>
      <c r="M461" s="155"/>
      <c r="N461" s="155"/>
      <c r="O461" s="155"/>
      <c r="P461" s="155"/>
      <c r="Q461" s="155"/>
      <c r="R461" s="155" t="s">
        <v>46</v>
      </c>
      <c r="S461" s="151" t="s">
        <v>47</v>
      </c>
      <c r="T461" s="151" t="s">
        <v>48</v>
      </c>
      <c r="U461" s="156" t="s">
        <v>6936</v>
      </c>
      <c r="V461" s="151"/>
      <c r="W461" s="151" t="s">
        <v>61</v>
      </c>
      <c r="X461" s="151" t="s">
        <v>124</v>
      </c>
      <c r="Y461" s="156" t="s">
        <v>51</v>
      </c>
      <c r="Z461" s="156"/>
      <c r="AA461" s="156"/>
      <c r="AB461" s="156"/>
      <c r="AC461" s="156"/>
      <c r="AD461" s="155">
        <v>45902</v>
      </c>
      <c r="AE461" s="157">
        <v>600</v>
      </c>
      <c r="AF461" s="157">
        <v>200</v>
      </c>
      <c r="AG461" s="155">
        <v>45884</v>
      </c>
      <c r="AH461" s="155">
        <v>45894</v>
      </c>
      <c r="AI461" s="155"/>
      <c r="AJ461" s="158">
        <v>45900</v>
      </c>
      <c r="AK461" s="211">
        <v>45902</v>
      </c>
      <c r="AL461" s="158"/>
      <c r="AM461" s="1"/>
    </row>
    <row r="462" spans="1:48" ht="45" hidden="1" customHeight="1">
      <c r="B462" s="159" t="s">
        <v>1985</v>
      </c>
      <c r="C462" s="159" t="s">
        <v>293</v>
      </c>
      <c r="D462" s="159" t="s">
        <v>842</v>
      </c>
      <c r="E462" s="159" t="s">
        <v>1986</v>
      </c>
      <c r="F462" s="152"/>
      <c r="G462" s="152" t="s">
        <v>264</v>
      </c>
      <c r="H462" s="152" t="s">
        <v>42</v>
      </c>
      <c r="I462" s="152" t="s">
        <v>1664</v>
      </c>
      <c r="J462" s="151" t="s">
        <v>1484</v>
      </c>
      <c r="K462" s="153">
        <v>45839</v>
      </c>
      <c r="L462" s="154" t="s">
        <v>45</v>
      </c>
      <c r="M462" s="155"/>
      <c r="N462" s="155"/>
      <c r="O462" s="155"/>
      <c r="P462" s="155"/>
      <c r="Q462" s="155"/>
      <c r="R462" s="155" t="s">
        <v>46</v>
      </c>
      <c r="S462" s="151" t="s">
        <v>47</v>
      </c>
      <c r="T462" s="151" t="s">
        <v>48</v>
      </c>
      <c r="U462" s="156" t="s">
        <v>1987</v>
      </c>
      <c r="V462" s="151"/>
      <c r="W462" s="151" t="s">
        <v>50</v>
      </c>
      <c r="X462" s="151"/>
      <c r="Y462" s="156" t="s">
        <v>170</v>
      </c>
      <c r="Z462" s="156"/>
      <c r="AA462" s="156"/>
      <c r="AB462" s="156"/>
      <c r="AC462" s="156"/>
      <c r="AD462" s="155">
        <v>45904</v>
      </c>
      <c r="AE462" s="157">
        <v>2000</v>
      </c>
      <c r="AF462" s="157">
        <v>4500</v>
      </c>
      <c r="AG462" s="155">
        <v>45857</v>
      </c>
      <c r="AH462" s="155">
        <v>45878</v>
      </c>
      <c r="AI462" s="155"/>
      <c r="AJ462" s="158">
        <v>45890</v>
      </c>
      <c r="AK462" s="211">
        <v>45904</v>
      </c>
      <c r="AL462" s="158"/>
      <c r="AM462" s="1"/>
    </row>
    <row r="463" spans="1:48" ht="45" hidden="1" customHeight="1">
      <c r="B463" s="159" t="s">
        <v>2017</v>
      </c>
      <c r="C463" s="159" t="s">
        <v>88</v>
      </c>
      <c r="D463" s="159" t="s">
        <v>89</v>
      </c>
      <c r="E463" s="159" t="s">
        <v>2018</v>
      </c>
      <c r="F463" s="152" t="s">
        <v>40</v>
      </c>
      <c r="G463" s="152" t="s">
        <v>2019</v>
      </c>
      <c r="H463" s="152" t="s">
        <v>42</v>
      </c>
      <c r="I463" s="152">
        <v>211</v>
      </c>
      <c r="J463" s="151" t="s">
        <v>2020</v>
      </c>
      <c r="K463" s="153">
        <v>45839</v>
      </c>
      <c r="L463" s="154" t="s">
        <v>45</v>
      </c>
      <c r="M463" s="155"/>
      <c r="N463" s="155"/>
      <c r="O463" s="155"/>
      <c r="P463" s="155"/>
      <c r="Q463" s="155"/>
      <c r="R463" s="155" t="s">
        <v>46</v>
      </c>
      <c r="S463" s="151" t="s">
        <v>47</v>
      </c>
      <c r="T463" s="151" t="s">
        <v>48</v>
      </c>
      <c r="U463" s="156" t="s">
        <v>2021</v>
      </c>
      <c r="V463" s="151" t="s">
        <v>85</v>
      </c>
      <c r="W463" s="151" t="s">
        <v>50</v>
      </c>
      <c r="X463" s="151"/>
      <c r="Y463" s="156" t="s">
        <v>94</v>
      </c>
      <c r="Z463" s="156" t="s">
        <v>1155</v>
      </c>
      <c r="AA463" s="156"/>
      <c r="AB463" s="156"/>
      <c r="AC463" s="156"/>
      <c r="AD463" s="155">
        <v>45902</v>
      </c>
      <c r="AE463" s="157">
        <v>4000</v>
      </c>
      <c r="AF463" s="157">
        <v>6000</v>
      </c>
      <c r="AG463" s="155">
        <v>45867</v>
      </c>
      <c r="AH463" s="155">
        <v>45902</v>
      </c>
      <c r="AI463" s="155"/>
      <c r="AJ463" s="158">
        <v>45901</v>
      </c>
      <c r="AK463" s="211">
        <v>45902</v>
      </c>
      <c r="AL463" s="158"/>
      <c r="AM463" s="1"/>
    </row>
    <row r="464" spans="1:48" ht="45" hidden="1" customHeight="1">
      <c r="A464" s="1"/>
      <c r="B464" s="159" t="s">
        <v>1988</v>
      </c>
      <c r="C464" s="159" t="s">
        <v>79</v>
      </c>
      <c r="D464" s="218" t="s">
        <v>80</v>
      </c>
      <c r="E464" s="159" t="s">
        <v>1989</v>
      </c>
      <c r="F464" s="152"/>
      <c r="G464" s="152" t="s">
        <v>1968</v>
      </c>
      <c r="H464" s="152" t="s">
        <v>42</v>
      </c>
      <c r="I464" s="152" t="s">
        <v>1719</v>
      </c>
      <c r="J464" s="151" t="s">
        <v>1484</v>
      </c>
      <c r="K464" s="153">
        <v>45839</v>
      </c>
      <c r="L464" s="154" t="s">
        <v>45</v>
      </c>
      <c r="M464" s="155"/>
      <c r="N464" s="155"/>
      <c r="O464" s="155"/>
      <c r="P464" s="155"/>
      <c r="Q464" s="155"/>
      <c r="R464" s="155" t="s">
        <v>46</v>
      </c>
      <c r="S464" s="151" t="s">
        <v>47</v>
      </c>
      <c r="T464" s="151" t="s">
        <v>48</v>
      </c>
      <c r="U464" s="156" t="s">
        <v>1990</v>
      </c>
      <c r="V464" s="151" t="s">
        <v>85</v>
      </c>
      <c r="W464" s="151" t="s">
        <v>94</v>
      </c>
      <c r="X464" s="151" t="s">
        <v>147</v>
      </c>
      <c r="Y464" s="156" t="s">
        <v>51</v>
      </c>
      <c r="Z464" s="156"/>
      <c r="AA464" s="156"/>
      <c r="AB464" s="156"/>
      <c r="AC464" s="156"/>
      <c r="AD464" s="155">
        <v>45895</v>
      </c>
      <c r="AE464" s="157">
        <v>1600</v>
      </c>
      <c r="AF464" s="157">
        <v>2000</v>
      </c>
      <c r="AG464" s="155">
        <v>45867</v>
      </c>
      <c r="AH464" s="155">
        <v>45877</v>
      </c>
      <c r="AI464" s="155">
        <v>45894</v>
      </c>
      <c r="AJ464" s="155">
        <v>45894</v>
      </c>
      <c r="AK464" s="211">
        <v>45895</v>
      </c>
      <c r="AL464" s="158"/>
      <c r="AM464" s="1"/>
      <c r="AN464" s="1"/>
      <c r="AO464" s="1"/>
      <c r="AP464" s="1"/>
      <c r="AQ464" s="1"/>
      <c r="AR464" s="1"/>
      <c r="AS464" s="1"/>
      <c r="AT464" s="1"/>
      <c r="AU464" s="1"/>
      <c r="AV464" s="1"/>
    </row>
    <row r="465" spans="1:48" ht="45" hidden="1" customHeight="1">
      <c r="B465" s="159" t="s">
        <v>1999</v>
      </c>
      <c r="C465" s="159" t="s">
        <v>479</v>
      </c>
      <c r="D465" s="159" t="s">
        <v>480</v>
      </c>
      <c r="E465" s="159" t="s">
        <v>2000</v>
      </c>
      <c r="F465" s="152"/>
      <c r="G465" s="152" t="s">
        <v>1968</v>
      </c>
      <c r="H465" s="152" t="s">
        <v>42</v>
      </c>
      <c r="I465" s="152">
        <v>31</v>
      </c>
      <c r="J465" s="151" t="s">
        <v>1484</v>
      </c>
      <c r="K465" s="153">
        <v>45839</v>
      </c>
      <c r="L465" s="154" t="s">
        <v>45</v>
      </c>
      <c r="M465" s="155"/>
      <c r="N465" s="155"/>
      <c r="O465" s="155"/>
      <c r="P465" s="155"/>
      <c r="Q465" s="155"/>
      <c r="R465" s="155" t="s">
        <v>46</v>
      </c>
      <c r="S465" s="151" t="s">
        <v>47</v>
      </c>
      <c r="T465" s="151" t="s">
        <v>48</v>
      </c>
      <c r="U465" s="156" t="s">
        <v>2001</v>
      </c>
      <c r="V465" s="151" t="s">
        <v>85</v>
      </c>
      <c r="W465" s="151" t="s">
        <v>147</v>
      </c>
      <c r="X465" s="151"/>
      <c r="Y465" s="156" t="s">
        <v>132</v>
      </c>
      <c r="Z465" s="156"/>
      <c r="AA465" s="156"/>
      <c r="AB465" s="156"/>
      <c r="AC465" s="156"/>
      <c r="AD465" s="155">
        <v>45897</v>
      </c>
      <c r="AE465" s="157">
        <v>400</v>
      </c>
      <c r="AF465" s="157">
        <v>600</v>
      </c>
      <c r="AG465" s="155">
        <v>45880</v>
      </c>
      <c r="AH465" s="155">
        <v>45897</v>
      </c>
      <c r="AI465" s="155"/>
      <c r="AJ465" s="158">
        <v>45896</v>
      </c>
      <c r="AK465" s="211">
        <v>45897</v>
      </c>
      <c r="AL465" s="158"/>
      <c r="AM465" s="1"/>
    </row>
    <row r="466" spans="1:48" ht="45" hidden="1" customHeight="1">
      <c r="B466" s="159" t="s">
        <v>1995</v>
      </c>
      <c r="C466" s="159" t="s">
        <v>126</v>
      </c>
      <c r="D466" s="159" t="s">
        <v>127</v>
      </c>
      <c r="E466" s="159" t="s">
        <v>1996</v>
      </c>
      <c r="F466" s="152"/>
      <c r="G466" s="152" t="s">
        <v>1321</v>
      </c>
      <c r="H466" s="152" t="s">
        <v>42</v>
      </c>
      <c r="I466" s="152">
        <v>131</v>
      </c>
      <c r="J466" s="151" t="s">
        <v>1484</v>
      </c>
      <c r="K466" s="153">
        <v>45839</v>
      </c>
      <c r="L466" s="154" t="s">
        <v>1997</v>
      </c>
      <c r="M466" s="155"/>
      <c r="N466" s="155"/>
      <c r="O466" s="155"/>
      <c r="P466" s="155"/>
      <c r="Q466" s="155"/>
      <c r="R466" s="155" t="s">
        <v>46</v>
      </c>
      <c r="S466" s="151" t="s">
        <v>47</v>
      </c>
      <c r="T466" s="151" t="s">
        <v>48</v>
      </c>
      <c r="U466" s="156" t="s">
        <v>1998</v>
      </c>
      <c r="V466" s="151" t="s">
        <v>85</v>
      </c>
      <c r="W466" s="151" t="s">
        <v>94</v>
      </c>
      <c r="X466" s="151"/>
      <c r="Y466" s="156" t="s">
        <v>94</v>
      </c>
      <c r="Z466" s="156"/>
      <c r="AA466" s="156"/>
      <c r="AB466" s="156"/>
      <c r="AC466" s="156"/>
      <c r="AD466" s="155">
        <v>45897</v>
      </c>
      <c r="AE466" s="157">
        <v>400</v>
      </c>
      <c r="AF466" s="157">
        <v>1800</v>
      </c>
      <c r="AG466" s="155">
        <v>45881</v>
      </c>
      <c r="AH466" s="155">
        <v>45897</v>
      </c>
      <c r="AI466" s="155"/>
      <c r="AJ466" s="158">
        <v>45895</v>
      </c>
      <c r="AK466" s="211">
        <v>45897</v>
      </c>
      <c r="AL466" s="158"/>
      <c r="AM466" s="1"/>
    </row>
    <row r="467" spans="1:48" ht="45" hidden="1" customHeight="1">
      <c r="B467" s="159" t="s">
        <v>2039</v>
      </c>
      <c r="C467" s="159" t="s">
        <v>248</v>
      </c>
      <c r="D467" s="159" t="s">
        <v>967</v>
      </c>
      <c r="E467" s="159" t="s">
        <v>2040</v>
      </c>
      <c r="F467" s="152" t="s">
        <v>40</v>
      </c>
      <c r="G467" s="152" t="s">
        <v>308</v>
      </c>
      <c r="H467" s="152" t="s">
        <v>486</v>
      </c>
      <c r="I467" s="152" t="s">
        <v>1879</v>
      </c>
      <c r="J467" s="151" t="s">
        <v>2020</v>
      </c>
      <c r="K467" s="153">
        <v>45839</v>
      </c>
      <c r="L467" s="154" t="s">
        <v>45</v>
      </c>
      <c r="M467" s="155"/>
      <c r="N467" s="155"/>
      <c r="O467" s="155"/>
      <c r="P467" s="155"/>
      <c r="Q467" s="155"/>
      <c r="R467" s="155" t="s">
        <v>46</v>
      </c>
      <c r="S467" s="151" t="s">
        <v>47</v>
      </c>
      <c r="T467" s="151" t="s">
        <v>48</v>
      </c>
      <c r="U467" s="156" t="s">
        <v>2041</v>
      </c>
      <c r="V467" s="151" t="s">
        <v>85</v>
      </c>
      <c r="W467" s="151" t="s">
        <v>67</v>
      </c>
      <c r="X467" s="151"/>
      <c r="Y467" s="156" t="s">
        <v>94</v>
      </c>
      <c r="Z467" s="156"/>
      <c r="AA467" s="156"/>
      <c r="AB467" s="156"/>
      <c r="AC467" s="156"/>
      <c r="AD467" s="155">
        <v>45917</v>
      </c>
      <c r="AE467" s="157">
        <v>1300</v>
      </c>
      <c r="AF467" s="157">
        <v>4300</v>
      </c>
      <c r="AG467" s="155">
        <v>45884</v>
      </c>
      <c r="AH467" s="155">
        <v>45915</v>
      </c>
      <c r="AI467" s="155"/>
      <c r="AJ467" s="158">
        <v>45916</v>
      </c>
      <c r="AK467" s="211">
        <v>45917</v>
      </c>
      <c r="AL467" s="158"/>
      <c r="AM467" s="1"/>
    </row>
    <row r="468" spans="1:48" ht="45" hidden="1" customHeight="1">
      <c r="B468" s="159" t="s">
        <v>2022</v>
      </c>
      <c r="C468" s="159" t="s">
        <v>336</v>
      </c>
      <c r="D468" s="159" t="s">
        <v>337</v>
      </c>
      <c r="E468" s="159" t="s">
        <v>2023</v>
      </c>
      <c r="F468" s="152" t="s">
        <v>40</v>
      </c>
      <c r="G468" s="152" t="s">
        <v>1455</v>
      </c>
      <c r="H468" s="152" t="s">
        <v>42</v>
      </c>
      <c r="I468" s="152" t="s">
        <v>1842</v>
      </c>
      <c r="J468" s="151" t="s">
        <v>2020</v>
      </c>
      <c r="K468" s="153">
        <v>45839</v>
      </c>
      <c r="L468" s="154" t="s">
        <v>45</v>
      </c>
      <c r="M468" s="171" t="s">
        <v>273</v>
      </c>
      <c r="N468" s="155"/>
      <c r="O468" s="155"/>
      <c r="P468" s="155"/>
      <c r="Q468" s="155"/>
      <c r="R468" s="155" t="s">
        <v>46</v>
      </c>
      <c r="S468" s="151" t="s">
        <v>47</v>
      </c>
      <c r="T468" s="151" t="s">
        <v>48</v>
      </c>
      <c r="U468" s="156" t="s">
        <v>2024</v>
      </c>
      <c r="V468" s="151" t="s">
        <v>85</v>
      </c>
      <c r="W468" s="151" t="s">
        <v>1570</v>
      </c>
      <c r="X468" s="151"/>
      <c r="Y468" s="156" t="s">
        <v>170</v>
      </c>
      <c r="Z468" s="156"/>
      <c r="AA468" s="156" t="s">
        <v>2025</v>
      </c>
      <c r="AB468" s="156"/>
      <c r="AC468" s="156"/>
      <c r="AD468" s="155">
        <v>45952</v>
      </c>
      <c r="AE468" s="157">
        <v>1700</v>
      </c>
      <c r="AF468" s="157">
        <v>2200</v>
      </c>
      <c r="AG468" s="155">
        <v>45898</v>
      </c>
      <c r="AH468" s="155">
        <v>45908</v>
      </c>
      <c r="AI468" s="155"/>
      <c r="AJ468" s="158">
        <v>45905</v>
      </c>
      <c r="AK468" s="211">
        <v>45952</v>
      </c>
      <c r="AL468" s="158"/>
      <c r="AM468" s="1"/>
    </row>
    <row r="469" spans="1:48" ht="45" hidden="1" customHeight="1">
      <c r="B469" s="159" t="s">
        <v>2026</v>
      </c>
      <c r="C469" s="159" t="s">
        <v>336</v>
      </c>
      <c r="D469" s="159" t="s">
        <v>337</v>
      </c>
      <c r="E469" s="159" t="s">
        <v>241</v>
      </c>
      <c r="F469" s="152" t="s">
        <v>40</v>
      </c>
      <c r="G469" s="152" t="s">
        <v>1455</v>
      </c>
      <c r="H469" s="152" t="s">
        <v>42</v>
      </c>
      <c r="I469" s="152">
        <v>81.081999999999994</v>
      </c>
      <c r="J469" s="151" t="s">
        <v>2020</v>
      </c>
      <c r="K469" s="153">
        <v>45839</v>
      </c>
      <c r="L469" s="154" t="s">
        <v>1607</v>
      </c>
      <c r="M469" s="155"/>
      <c r="N469" s="155"/>
      <c r="O469" s="155"/>
      <c r="P469" s="155"/>
      <c r="Q469" s="155"/>
      <c r="R469" s="155" t="s">
        <v>46</v>
      </c>
      <c r="S469" s="151" t="s">
        <v>47</v>
      </c>
      <c r="T469" s="151" t="s">
        <v>48</v>
      </c>
      <c r="U469" s="156" t="s">
        <v>2027</v>
      </c>
      <c r="V469" s="151" t="s">
        <v>85</v>
      </c>
      <c r="W469" s="151" t="s">
        <v>94</v>
      </c>
      <c r="X469" s="151"/>
      <c r="Y469" s="156" t="s">
        <v>170</v>
      </c>
      <c r="Z469" s="156"/>
      <c r="AA469" s="156" t="s">
        <v>2025</v>
      </c>
      <c r="AB469" s="156"/>
      <c r="AC469" s="156"/>
      <c r="AD469" s="155">
        <v>45905</v>
      </c>
      <c r="AE469" s="157">
        <v>600</v>
      </c>
      <c r="AF469" s="157">
        <v>1000</v>
      </c>
      <c r="AG469" s="155">
        <v>45899</v>
      </c>
      <c r="AH469" s="155">
        <v>45905</v>
      </c>
      <c r="AI469" s="155"/>
      <c r="AJ469" s="158">
        <v>45905</v>
      </c>
      <c r="AK469" s="211">
        <v>45905</v>
      </c>
      <c r="AL469" s="158"/>
      <c r="AM469" s="1"/>
    </row>
    <row r="470" spans="1:48" ht="45" hidden="1" customHeight="1">
      <c r="B470" s="159" t="s">
        <v>2009</v>
      </c>
      <c r="C470" s="159" t="s">
        <v>336</v>
      </c>
      <c r="D470" s="159" t="s">
        <v>337</v>
      </c>
      <c r="E470" s="159" t="s">
        <v>2010</v>
      </c>
      <c r="F470" s="152"/>
      <c r="G470" s="152" t="s">
        <v>1455</v>
      </c>
      <c r="H470" s="152" t="s">
        <v>42</v>
      </c>
      <c r="I470" s="152">
        <v>21</v>
      </c>
      <c r="J470" s="151" t="s">
        <v>1484</v>
      </c>
      <c r="K470" s="153">
        <v>45839</v>
      </c>
      <c r="L470" s="154" t="s">
        <v>45</v>
      </c>
      <c r="M470" s="155"/>
      <c r="N470" s="155"/>
      <c r="O470" s="155"/>
      <c r="P470" s="155"/>
      <c r="Q470" s="155"/>
      <c r="R470" s="155" t="s">
        <v>46</v>
      </c>
      <c r="S470" s="151" t="s">
        <v>47</v>
      </c>
      <c r="T470" s="151" t="s">
        <v>48</v>
      </c>
      <c r="U470" s="156" t="s">
        <v>2011</v>
      </c>
      <c r="V470" s="151"/>
      <c r="W470" s="151" t="s">
        <v>94</v>
      </c>
      <c r="X470" s="151"/>
      <c r="Y470" s="156" t="s">
        <v>132</v>
      </c>
      <c r="Z470" s="156"/>
      <c r="AA470" s="156"/>
      <c r="AB470" s="156"/>
      <c r="AC470" s="156"/>
      <c r="AD470" s="155">
        <v>45902</v>
      </c>
      <c r="AE470" s="157">
        <v>300</v>
      </c>
      <c r="AF470" s="157">
        <v>900</v>
      </c>
      <c r="AG470" s="155">
        <v>45897</v>
      </c>
      <c r="AH470" s="155">
        <v>45898</v>
      </c>
      <c r="AI470" s="155"/>
      <c r="AJ470" s="158">
        <v>45900</v>
      </c>
      <c r="AK470" s="211">
        <v>45902</v>
      </c>
      <c r="AL470" s="158"/>
      <c r="AM470" s="1"/>
    </row>
    <row r="471" spans="1:48" ht="45" hidden="1" customHeight="1">
      <c r="B471" s="159" t="s">
        <v>1966</v>
      </c>
      <c r="C471" s="159" t="s">
        <v>79</v>
      </c>
      <c r="D471" s="218" t="s">
        <v>80</v>
      </c>
      <c r="E471" s="159" t="s">
        <v>1967</v>
      </c>
      <c r="F471" s="152"/>
      <c r="G471" s="152" t="s">
        <v>1968</v>
      </c>
      <c r="H471" s="152" t="s">
        <v>42</v>
      </c>
      <c r="I471" s="152" t="s">
        <v>1942</v>
      </c>
      <c r="J471" s="151" t="s">
        <v>1484</v>
      </c>
      <c r="K471" s="153">
        <v>45839</v>
      </c>
      <c r="L471" s="154" t="s">
        <v>45</v>
      </c>
      <c r="M471" s="155"/>
      <c r="N471" s="155"/>
      <c r="O471" s="155"/>
      <c r="P471" s="155"/>
      <c r="Q471" s="155"/>
      <c r="R471" s="155" t="s">
        <v>46</v>
      </c>
      <c r="S471" s="151" t="s">
        <v>47</v>
      </c>
      <c r="T471" s="151" t="s">
        <v>48</v>
      </c>
      <c r="U471" s="156" t="s">
        <v>1969</v>
      </c>
      <c r="V471" s="151" t="s">
        <v>85</v>
      </c>
      <c r="W471" s="151" t="s">
        <v>94</v>
      </c>
      <c r="X471" s="151"/>
      <c r="Y471" s="156" t="s">
        <v>94</v>
      </c>
      <c r="Z471" s="156"/>
      <c r="AA471" s="156"/>
      <c r="AB471" s="156"/>
      <c r="AC471" s="156"/>
      <c r="AD471" s="155">
        <v>45888</v>
      </c>
      <c r="AE471" s="157">
        <v>1200</v>
      </c>
      <c r="AF471" s="157">
        <v>1500</v>
      </c>
      <c r="AG471" s="155">
        <v>45873</v>
      </c>
      <c r="AH471" s="155">
        <v>45885</v>
      </c>
      <c r="AI471" s="155"/>
      <c r="AJ471" s="158">
        <v>45882</v>
      </c>
      <c r="AK471" s="211">
        <v>45888</v>
      </c>
      <c r="AL471" s="158"/>
      <c r="AM471" s="1"/>
    </row>
    <row r="472" spans="1:48" ht="45" hidden="1" customHeight="1">
      <c r="A472" s="1"/>
      <c r="B472" s="159" t="s">
        <v>2071</v>
      </c>
      <c r="C472" s="159" t="s">
        <v>79</v>
      </c>
      <c r="D472" s="218" t="s">
        <v>80</v>
      </c>
      <c r="E472" s="159" t="s">
        <v>2072</v>
      </c>
      <c r="F472" s="152" t="s">
        <v>40</v>
      </c>
      <c r="G472" s="152" t="s">
        <v>2057</v>
      </c>
      <c r="H472" s="152" t="s">
        <v>42</v>
      </c>
      <c r="I472" s="152" t="s">
        <v>2073</v>
      </c>
      <c r="J472" s="151" t="s">
        <v>2020</v>
      </c>
      <c r="K472" s="153">
        <v>45839</v>
      </c>
      <c r="L472" s="154" t="s">
        <v>45</v>
      </c>
      <c r="M472" s="155"/>
      <c r="N472" s="155"/>
      <c r="O472" s="155"/>
      <c r="P472" s="155"/>
      <c r="Q472" s="155"/>
      <c r="R472" s="155" t="s">
        <v>46</v>
      </c>
      <c r="S472" s="151" t="s">
        <v>47</v>
      </c>
      <c r="T472" s="151" t="s">
        <v>48</v>
      </c>
      <c r="U472" s="156" t="s">
        <v>2074</v>
      </c>
      <c r="V472" s="151" t="s">
        <v>85</v>
      </c>
      <c r="W472" s="151" t="s">
        <v>124</v>
      </c>
      <c r="X472" s="151"/>
      <c r="Y472" s="156" t="s">
        <v>77</v>
      </c>
      <c r="Z472" s="156"/>
      <c r="AA472" s="156" t="s">
        <v>2066</v>
      </c>
      <c r="AB472" s="156"/>
      <c r="AC472" s="156"/>
      <c r="AD472" s="155">
        <v>45937</v>
      </c>
      <c r="AE472" s="157">
        <v>300</v>
      </c>
      <c r="AF472" s="157">
        <v>600</v>
      </c>
      <c r="AG472" s="155">
        <v>45886</v>
      </c>
      <c r="AH472" s="155">
        <v>45917</v>
      </c>
      <c r="AI472" s="155">
        <v>45927</v>
      </c>
      <c r="AJ472" s="158">
        <v>45926</v>
      </c>
      <c r="AK472" s="211">
        <v>45937</v>
      </c>
      <c r="AL472" s="158"/>
      <c r="AM472" s="1"/>
      <c r="AN472" s="1"/>
      <c r="AO472" s="1"/>
      <c r="AP472" s="1"/>
      <c r="AQ472" s="1"/>
      <c r="AR472" s="1"/>
      <c r="AS472" s="1"/>
      <c r="AT472" s="1"/>
      <c r="AU472" s="1"/>
      <c r="AV472" s="1"/>
    </row>
    <row r="473" spans="1:48" ht="45" hidden="1" customHeight="1">
      <c r="B473" s="159" t="s">
        <v>2063</v>
      </c>
      <c r="C473" s="159" t="s">
        <v>79</v>
      </c>
      <c r="D473" s="218" t="s">
        <v>80</v>
      </c>
      <c r="E473" s="159" t="s">
        <v>2064</v>
      </c>
      <c r="F473" s="152" t="s">
        <v>40</v>
      </c>
      <c r="G473" s="152" t="s">
        <v>2057</v>
      </c>
      <c r="H473" s="152" t="s">
        <v>42</v>
      </c>
      <c r="I473" s="152">
        <v>141</v>
      </c>
      <c r="J473" s="151" t="s">
        <v>2020</v>
      </c>
      <c r="K473" s="153">
        <v>45839</v>
      </c>
      <c r="L473" s="154" t="s">
        <v>45</v>
      </c>
      <c r="M473" s="155"/>
      <c r="N473" s="155"/>
      <c r="O473" s="155"/>
      <c r="P473" s="155"/>
      <c r="Q473" s="155"/>
      <c r="R473" s="155" t="s">
        <v>46</v>
      </c>
      <c r="S473" s="151" t="s">
        <v>47</v>
      </c>
      <c r="T473" s="151" t="s">
        <v>48</v>
      </c>
      <c r="U473" s="156" t="s">
        <v>2065</v>
      </c>
      <c r="V473" s="151" t="s">
        <v>85</v>
      </c>
      <c r="W473" s="151" t="s">
        <v>124</v>
      </c>
      <c r="X473" s="151"/>
      <c r="Y473" s="156" t="s">
        <v>77</v>
      </c>
      <c r="Z473" s="156" t="s">
        <v>94</v>
      </c>
      <c r="AA473" s="156" t="s">
        <v>2066</v>
      </c>
      <c r="AB473" s="156"/>
      <c r="AC473" s="156"/>
      <c r="AD473" s="155">
        <v>45931</v>
      </c>
      <c r="AE473" s="157">
        <v>2000</v>
      </c>
      <c r="AF473" s="157">
        <v>400</v>
      </c>
      <c r="AG473" s="155">
        <v>45885</v>
      </c>
      <c r="AH473" s="155">
        <v>45916</v>
      </c>
      <c r="AI473" s="155">
        <v>45926</v>
      </c>
      <c r="AJ473" s="158">
        <v>45924</v>
      </c>
      <c r="AK473" s="211">
        <v>45931</v>
      </c>
      <c r="AL473" s="158"/>
      <c r="AM473" s="1"/>
    </row>
    <row r="474" spans="1:48" ht="45" hidden="1" customHeight="1">
      <c r="A474" s="1"/>
      <c r="B474" s="159" t="s">
        <v>2028</v>
      </c>
      <c r="C474" s="159" t="s">
        <v>152</v>
      </c>
      <c r="D474" s="159" t="s">
        <v>321</v>
      </c>
      <c r="E474" s="159" t="s">
        <v>2029</v>
      </c>
      <c r="F474" s="152" t="s">
        <v>40</v>
      </c>
      <c r="G474" s="152" t="s">
        <v>2030</v>
      </c>
      <c r="H474" s="152" t="s">
        <v>42</v>
      </c>
      <c r="I474" s="152">
        <v>31</v>
      </c>
      <c r="J474" s="151" t="s">
        <v>44</v>
      </c>
      <c r="K474" s="153">
        <v>45870</v>
      </c>
      <c r="L474" s="154" t="s">
        <v>45</v>
      </c>
      <c r="M474" s="155"/>
      <c r="N474" s="155"/>
      <c r="O474" s="155"/>
      <c r="P474" s="155"/>
      <c r="Q474" s="155"/>
      <c r="R474" s="155" t="s">
        <v>46</v>
      </c>
      <c r="S474" s="151" t="s">
        <v>47</v>
      </c>
      <c r="T474" s="151" t="s">
        <v>48</v>
      </c>
      <c r="U474" s="156" t="s">
        <v>2031</v>
      </c>
      <c r="V474" s="151" t="s">
        <v>85</v>
      </c>
      <c r="W474" s="151" t="s">
        <v>61</v>
      </c>
      <c r="X474" s="151"/>
      <c r="Y474" s="156" t="s">
        <v>94</v>
      </c>
      <c r="Z474" s="156"/>
      <c r="AA474" s="156"/>
      <c r="AB474" s="156"/>
      <c r="AC474" s="156"/>
      <c r="AD474" s="155">
        <v>45908</v>
      </c>
      <c r="AE474" s="157">
        <v>1100</v>
      </c>
      <c r="AF474" s="157">
        <v>2100</v>
      </c>
      <c r="AG474" s="155">
        <v>45897</v>
      </c>
      <c r="AH474" s="155">
        <v>45908</v>
      </c>
      <c r="AI474" s="155"/>
      <c r="AJ474" s="158">
        <v>45908</v>
      </c>
      <c r="AK474" s="211">
        <v>45908</v>
      </c>
      <c r="AL474" s="158"/>
      <c r="AM474" s="1"/>
      <c r="AN474" s="1"/>
      <c r="AO474" s="1"/>
      <c r="AP474" s="1"/>
      <c r="AQ474" s="1"/>
      <c r="AR474" s="1"/>
      <c r="AS474" s="1"/>
      <c r="AT474" s="1"/>
      <c r="AU474" s="1"/>
      <c r="AV474" s="1"/>
    </row>
    <row r="475" spans="1:48" ht="45" hidden="1" customHeight="1">
      <c r="B475" s="159" t="s">
        <v>2036</v>
      </c>
      <c r="C475" s="159" t="s">
        <v>134</v>
      </c>
      <c r="D475" s="159" t="s">
        <v>135</v>
      </c>
      <c r="E475" s="159" t="s">
        <v>2037</v>
      </c>
      <c r="F475" s="152" t="s">
        <v>40</v>
      </c>
      <c r="G475" s="152" t="s">
        <v>2038</v>
      </c>
      <c r="H475" s="152" t="s">
        <v>42</v>
      </c>
      <c r="I475" s="152">
        <v>41</v>
      </c>
      <c r="J475" s="151" t="s">
        <v>2020</v>
      </c>
      <c r="K475" s="153">
        <v>45870</v>
      </c>
      <c r="L475" s="154" t="s">
        <v>1701</v>
      </c>
      <c r="M475" s="155"/>
      <c r="N475" s="155"/>
      <c r="O475" s="155"/>
      <c r="P475" s="155"/>
      <c r="Q475" s="155"/>
      <c r="R475" s="155" t="s">
        <v>46</v>
      </c>
      <c r="S475" s="151" t="s">
        <v>47</v>
      </c>
      <c r="T475" s="151" t="s">
        <v>48</v>
      </c>
      <c r="U475" s="156" t="s">
        <v>6927</v>
      </c>
      <c r="V475" s="151" t="s">
        <v>85</v>
      </c>
      <c r="W475" s="151" t="s">
        <v>94</v>
      </c>
      <c r="X475" s="151"/>
      <c r="Y475" s="156" t="s">
        <v>94</v>
      </c>
      <c r="Z475" s="156"/>
      <c r="AA475" s="156"/>
      <c r="AB475" s="156"/>
      <c r="AC475" s="156"/>
      <c r="AD475" s="155">
        <v>45915</v>
      </c>
      <c r="AE475" s="157">
        <v>1000</v>
      </c>
      <c r="AF475" s="157">
        <v>3300</v>
      </c>
      <c r="AG475" s="155">
        <v>45884</v>
      </c>
      <c r="AH475" s="155">
        <v>45913</v>
      </c>
      <c r="AI475" s="155"/>
      <c r="AJ475" s="158">
        <v>45913</v>
      </c>
      <c r="AK475" s="211">
        <v>45915</v>
      </c>
      <c r="AL475" s="158"/>
      <c r="AM475" s="1"/>
    </row>
    <row r="476" spans="1:48" ht="45" hidden="1" customHeight="1">
      <c r="A476" s="1"/>
      <c r="B476" s="159" t="s">
        <v>2119</v>
      </c>
      <c r="C476" s="159" t="s">
        <v>596</v>
      </c>
      <c r="D476" s="159" t="s">
        <v>597</v>
      </c>
      <c r="E476" s="159" t="s">
        <v>2120</v>
      </c>
      <c r="F476" s="152" t="s">
        <v>40</v>
      </c>
      <c r="G476" s="152" t="s">
        <v>287</v>
      </c>
      <c r="H476" s="152" t="s">
        <v>42</v>
      </c>
      <c r="I476" s="152" t="s">
        <v>2121</v>
      </c>
      <c r="J476" s="151" t="s">
        <v>2020</v>
      </c>
      <c r="K476" s="153">
        <v>45870</v>
      </c>
      <c r="L476" s="154" t="s">
        <v>99</v>
      </c>
      <c r="M476" s="155"/>
      <c r="N476" s="155"/>
      <c r="O476" s="155"/>
      <c r="P476" s="155"/>
      <c r="Q476" s="155"/>
      <c r="R476" s="155" t="s">
        <v>46</v>
      </c>
      <c r="S476" s="151" t="s">
        <v>47</v>
      </c>
      <c r="T476" s="151" t="s">
        <v>48</v>
      </c>
      <c r="U476" s="156" t="s">
        <v>2122</v>
      </c>
      <c r="V476" s="151"/>
      <c r="W476" s="151" t="s">
        <v>200</v>
      </c>
      <c r="X476" s="151" t="s">
        <v>76</v>
      </c>
      <c r="Y476" s="156" t="s">
        <v>2123</v>
      </c>
      <c r="Z476" s="156" t="s">
        <v>2124</v>
      </c>
      <c r="AA476" s="156"/>
      <c r="AB476" s="156"/>
      <c r="AC476" s="156"/>
      <c r="AD476" s="155"/>
      <c r="AE476" s="157">
        <v>4100</v>
      </c>
      <c r="AF476" s="157">
        <v>10700</v>
      </c>
      <c r="AG476" s="155">
        <v>45884</v>
      </c>
      <c r="AH476" s="155">
        <v>45926</v>
      </c>
      <c r="AI476" s="155">
        <v>45930</v>
      </c>
      <c r="AJ476" s="158">
        <v>45930</v>
      </c>
      <c r="AK476" s="211"/>
      <c r="AL476" s="158"/>
      <c r="AM476" s="1"/>
      <c r="AN476" s="1"/>
      <c r="AO476" s="1"/>
      <c r="AP476" s="1"/>
      <c r="AQ476" s="1"/>
      <c r="AR476" s="1"/>
      <c r="AS476" s="1"/>
      <c r="AT476" s="1"/>
      <c r="AU476" s="1"/>
      <c r="AV476" s="1"/>
    </row>
    <row r="477" spans="1:48" ht="45" hidden="1" customHeight="1">
      <c r="A477" s="1"/>
      <c r="B477" s="159" t="s">
        <v>2115</v>
      </c>
      <c r="C477" s="159" t="s">
        <v>479</v>
      </c>
      <c r="D477" s="159" t="s">
        <v>480</v>
      </c>
      <c r="E477" s="159" t="s">
        <v>2116</v>
      </c>
      <c r="F477" s="152" t="s">
        <v>40</v>
      </c>
      <c r="G477" s="152" t="s">
        <v>2117</v>
      </c>
      <c r="H477" s="152" t="s">
        <v>42</v>
      </c>
      <c r="I477" s="152">
        <v>61</v>
      </c>
      <c r="J477" s="151" t="s">
        <v>2020</v>
      </c>
      <c r="K477" s="153">
        <v>45870</v>
      </c>
      <c r="L477" s="154" t="s">
        <v>45</v>
      </c>
      <c r="M477" s="171" t="s">
        <v>220</v>
      </c>
      <c r="N477" s="155"/>
      <c r="O477" s="155"/>
      <c r="P477" s="155"/>
      <c r="Q477" s="155"/>
      <c r="R477" s="155" t="s">
        <v>46</v>
      </c>
      <c r="S477" s="151" t="s">
        <v>47</v>
      </c>
      <c r="T477" s="151" t="s">
        <v>48</v>
      </c>
      <c r="U477" s="156" t="s">
        <v>2118</v>
      </c>
      <c r="V477" s="151" t="s">
        <v>85</v>
      </c>
      <c r="W477" s="151" t="s">
        <v>124</v>
      </c>
      <c r="X477" s="151"/>
      <c r="Y477" s="156" t="s">
        <v>94</v>
      </c>
      <c r="Z477" s="156"/>
      <c r="AA477" s="156"/>
      <c r="AB477" s="156"/>
      <c r="AC477" s="156"/>
      <c r="AD477" s="155">
        <v>45958</v>
      </c>
      <c r="AE477" s="157">
        <v>400</v>
      </c>
      <c r="AF477" s="157">
        <v>1000</v>
      </c>
      <c r="AG477" s="155">
        <v>45887</v>
      </c>
      <c r="AH477" s="155">
        <v>45930</v>
      </c>
      <c r="AI477" s="155"/>
      <c r="AJ477" s="158">
        <v>45930</v>
      </c>
      <c r="AK477" s="211">
        <v>45958</v>
      </c>
      <c r="AL477" s="158"/>
      <c r="AM477" s="1"/>
      <c r="AN477" s="1"/>
      <c r="AO477" s="1"/>
      <c r="AP477" s="1"/>
      <c r="AQ477" s="1"/>
      <c r="AR477" s="1"/>
      <c r="AS477" s="1"/>
      <c r="AT477" s="1"/>
      <c r="AU477" s="1"/>
      <c r="AV477" s="1"/>
    </row>
    <row r="478" spans="1:48" ht="45" hidden="1" customHeight="1">
      <c r="B478" s="159" t="s">
        <v>2095</v>
      </c>
      <c r="C478" s="159" t="s">
        <v>88</v>
      </c>
      <c r="D478" s="159" t="s">
        <v>89</v>
      </c>
      <c r="E478" s="159" t="s">
        <v>2096</v>
      </c>
      <c r="F478" s="152" t="s">
        <v>40</v>
      </c>
      <c r="G478" s="152" t="s">
        <v>270</v>
      </c>
      <c r="H478" s="152" t="s">
        <v>42</v>
      </c>
      <c r="I478" s="152">
        <v>131.13200000000001</v>
      </c>
      <c r="J478" s="151" t="s">
        <v>2020</v>
      </c>
      <c r="K478" s="153">
        <v>45870</v>
      </c>
      <c r="L478" s="154" t="s">
        <v>45</v>
      </c>
      <c r="M478" s="155"/>
      <c r="N478" s="155"/>
      <c r="O478" s="155"/>
      <c r="P478" s="155"/>
      <c r="Q478" s="155"/>
      <c r="R478" s="155" t="s">
        <v>46</v>
      </c>
      <c r="S478" s="151" t="s">
        <v>47</v>
      </c>
      <c r="T478" s="151" t="s">
        <v>48</v>
      </c>
      <c r="U478" s="156" t="s">
        <v>2097</v>
      </c>
      <c r="V478" s="151" t="s">
        <v>2098</v>
      </c>
      <c r="W478" s="151" t="s">
        <v>50</v>
      </c>
      <c r="X478" s="151"/>
      <c r="Y478" s="156" t="s">
        <v>170</v>
      </c>
      <c r="Z478" s="156"/>
      <c r="AA478" s="156" t="s">
        <v>2099</v>
      </c>
      <c r="AB478" s="156"/>
      <c r="AC478" s="156"/>
      <c r="AD478" s="155">
        <v>45967</v>
      </c>
      <c r="AE478" s="157">
        <v>800</v>
      </c>
      <c r="AF478" s="157">
        <v>4300</v>
      </c>
      <c r="AG478" s="155">
        <v>45888</v>
      </c>
      <c r="AH478" s="155">
        <v>45923</v>
      </c>
      <c r="AI478" s="155">
        <v>45929</v>
      </c>
      <c r="AJ478" s="158">
        <v>45929</v>
      </c>
      <c r="AK478" s="211">
        <v>45967</v>
      </c>
      <c r="AL478" s="158"/>
      <c r="AM478" s="1"/>
    </row>
    <row r="479" spans="1:48" ht="45" hidden="1" customHeight="1">
      <c r="B479" s="159" t="s">
        <v>2213</v>
      </c>
      <c r="C479" s="159" t="s">
        <v>248</v>
      </c>
      <c r="D479" s="159" t="s">
        <v>249</v>
      </c>
      <c r="E479" s="159" t="s">
        <v>2214</v>
      </c>
      <c r="F479" s="152" t="s">
        <v>40</v>
      </c>
      <c r="G479" s="152" t="s">
        <v>2044</v>
      </c>
      <c r="H479" s="152" t="s">
        <v>42</v>
      </c>
      <c r="I479" s="152">
        <v>601</v>
      </c>
      <c r="J479" s="151" t="s">
        <v>74</v>
      </c>
      <c r="K479" s="153">
        <v>45870</v>
      </c>
      <c r="L479" s="154" t="s">
        <v>45</v>
      </c>
      <c r="M479" s="155"/>
      <c r="N479" s="155"/>
      <c r="O479" s="155"/>
      <c r="P479" s="155"/>
      <c r="Q479" s="155"/>
      <c r="R479" s="155" t="s">
        <v>46</v>
      </c>
      <c r="S479" s="151" t="s">
        <v>47</v>
      </c>
      <c r="T479" s="151" t="s">
        <v>48</v>
      </c>
      <c r="U479" s="156" t="s">
        <v>2215</v>
      </c>
      <c r="V479" s="151" t="s">
        <v>85</v>
      </c>
      <c r="W479" s="151" t="s">
        <v>50</v>
      </c>
      <c r="X479" s="151"/>
      <c r="Y479" s="156" t="s">
        <v>1155</v>
      </c>
      <c r="Z479" s="156"/>
      <c r="AA479" s="156" t="s">
        <v>2216</v>
      </c>
      <c r="AB479" s="156"/>
      <c r="AC479" s="156"/>
      <c r="AD479" s="155">
        <v>45960</v>
      </c>
      <c r="AE479" s="157">
        <v>300</v>
      </c>
      <c r="AF479" s="157">
        <v>100</v>
      </c>
      <c r="AG479" s="155">
        <v>45908</v>
      </c>
      <c r="AH479" s="155">
        <v>45930</v>
      </c>
      <c r="AI479" s="155">
        <v>45954</v>
      </c>
      <c r="AJ479" s="158">
        <v>45954</v>
      </c>
      <c r="AK479" s="211">
        <v>45960</v>
      </c>
      <c r="AL479" s="158"/>
      <c r="AM479" s="1"/>
    </row>
    <row r="480" spans="1:48" ht="45" hidden="1" customHeight="1">
      <c r="B480" s="159" t="s">
        <v>2209</v>
      </c>
      <c r="C480" s="159" t="s">
        <v>248</v>
      </c>
      <c r="D480" s="159" t="s">
        <v>249</v>
      </c>
      <c r="E480" s="159" t="s">
        <v>2210</v>
      </c>
      <c r="F480" s="152" t="s">
        <v>40</v>
      </c>
      <c r="G480" s="152" t="s">
        <v>2044</v>
      </c>
      <c r="H480" s="152" t="s">
        <v>42</v>
      </c>
      <c r="I480" s="152">
        <v>641</v>
      </c>
      <c r="J480" s="151" t="s">
        <v>74</v>
      </c>
      <c r="K480" s="153">
        <v>45870</v>
      </c>
      <c r="L480" s="154" t="s">
        <v>45</v>
      </c>
      <c r="M480" s="155"/>
      <c r="N480" s="155"/>
      <c r="O480" s="155"/>
      <c r="P480" s="155"/>
      <c r="Q480" s="155"/>
      <c r="R480" s="155" t="s">
        <v>46</v>
      </c>
      <c r="S480" s="151" t="s">
        <v>47</v>
      </c>
      <c r="T480" s="151" t="s">
        <v>48</v>
      </c>
      <c r="U480" s="156" t="s">
        <v>2211</v>
      </c>
      <c r="V480" s="151" t="s">
        <v>85</v>
      </c>
      <c r="W480" s="151" t="s">
        <v>50</v>
      </c>
      <c r="X480" s="151"/>
      <c r="Y480" s="156" t="s">
        <v>94</v>
      </c>
      <c r="Z480" s="156" t="s">
        <v>200</v>
      </c>
      <c r="AA480" s="156" t="s">
        <v>2212</v>
      </c>
      <c r="AB480" s="156"/>
      <c r="AC480" s="156"/>
      <c r="AD480" s="155">
        <v>45960</v>
      </c>
      <c r="AE480" s="157">
        <v>600</v>
      </c>
      <c r="AF480" s="157">
        <v>100</v>
      </c>
      <c r="AG480" s="155">
        <v>45908</v>
      </c>
      <c r="AH480" s="155">
        <v>45930</v>
      </c>
      <c r="AI480" s="155">
        <v>45954</v>
      </c>
      <c r="AJ480" s="158">
        <v>45954</v>
      </c>
      <c r="AK480" s="211">
        <v>45960</v>
      </c>
      <c r="AL480" s="158"/>
      <c r="AM480" s="1"/>
    </row>
    <row r="481" spans="1:48" ht="45" hidden="1" customHeight="1">
      <c r="B481" s="159" t="s">
        <v>2047</v>
      </c>
      <c r="C481" s="159" t="s">
        <v>248</v>
      </c>
      <c r="D481" s="159" t="s">
        <v>249</v>
      </c>
      <c r="E481" s="159" t="s">
        <v>2048</v>
      </c>
      <c r="F481" s="152" t="s">
        <v>40</v>
      </c>
      <c r="G481" s="152" t="s">
        <v>2044</v>
      </c>
      <c r="H481" s="152" t="s">
        <v>42</v>
      </c>
      <c r="I481" s="152">
        <v>81</v>
      </c>
      <c r="J481" s="151" t="s">
        <v>2020</v>
      </c>
      <c r="K481" s="153">
        <v>45870</v>
      </c>
      <c r="L481" s="154" t="s">
        <v>45</v>
      </c>
      <c r="M481" s="155"/>
      <c r="N481" s="155"/>
      <c r="O481" s="155"/>
      <c r="P481" s="155"/>
      <c r="Q481" s="155"/>
      <c r="R481" s="155" t="s">
        <v>46</v>
      </c>
      <c r="S481" s="151" t="s">
        <v>47</v>
      </c>
      <c r="T481" s="151" t="s">
        <v>48</v>
      </c>
      <c r="U481" s="156" t="s">
        <v>2049</v>
      </c>
      <c r="V481" s="151" t="s">
        <v>85</v>
      </c>
      <c r="W481" s="151" t="s">
        <v>1460</v>
      </c>
      <c r="X481" s="151"/>
      <c r="Y481" s="156" t="s">
        <v>254</v>
      </c>
      <c r="Z481" s="156"/>
      <c r="AA481" s="156" t="s">
        <v>2050</v>
      </c>
      <c r="AB481" s="156"/>
      <c r="AC481" s="156"/>
      <c r="AD481" s="155">
        <v>45938</v>
      </c>
      <c r="AE481" s="157">
        <v>200</v>
      </c>
      <c r="AF481" s="157">
        <v>400</v>
      </c>
      <c r="AG481" s="155">
        <v>45887</v>
      </c>
      <c r="AH481" s="155">
        <v>45930</v>
      </c>
      <c r="AI481" s="155">
        <v>45921</v>
      </c>
      <c r="AJ481" s="158">
        <v>45919</v>
      </c>
      <c r="AK481" s="211">
        <v>45938</v>
      </c>
      <c r="AL481" s="158"/>
      <c r="AM481" s="1"/>
    </row>
    <row r="482" spans="1:48" ht="45" hidden="1" customHeight="1">
      <c r="B482" s="159" t="s">
        <v>2051</v>
      </c>
      <c r="C482" s="159" t="s">
        <v>248</v>
      </c>
      <c r="D482" s="159" t="s">
        <v>249</v>
      </c>
      <c r="E482" s="159" t="s">
        <v>2052</v>
      </c>
      <c r="F482" s="152" t="s">
        <v>40</v>
      </c>
      <c r="G482" s="152" t="s">
        <v>2044</v>
      </c>
      <c r="H482" s="152" t="s">
        <v>42</v>
      </c>
      <c r="I482" s="152">
        <v>141.142</v>
      </c>
      <c r="J482" s="151" t="s">
        <v>2020</v>
      </c>
      <c r="K482" s="153">
        <v>45870</v>
      </c>
      <c r="L482" s="154" t="s">
        <v>45</v>
      </c>
      <c r="M482" s="155"/>
      <c r="N482" s="155"/>
      <c r="O482" s="155"/>
      <c r="P482" s="155"/>
      <c r="Q482" s="155"/>
      <c r="R482" s="155" t="s">
        <v>46</v>
      </c>
      <c r="S482" s="151" t="s">
        <v>47</v>
      </c>
      <c r="T482" s="151" t="s">
        <v>48</v>
      </c>
      <c r="U482" s="156" t="s">
        <v>2053</v>
      </c>
      <c r="V482" s="151" t="s">
        <v>85</v>
      </c>
      <c r="W482" s="151" t="s">
        <v>1460</v>
      </c>
      <c r="X482" s="151"/>
      <c r="Y482" s="156" t="s">
        <v>254</v>
      </c>
      <c r="Z482" s="156"/>
      <c r="AA482" s="156" t="s">
        <v>2054</v>
      </c>
      <c r="AB482" s="156"/>
      <c r="AC482" s="156"/>
      <c r="AD482" s="155">
        <v>45938</v>
      </c>
      <c r="AE482" s="157">
        <v>500</v>
      </c>
      <c r="AF482" s="157">
        <v>900</v>
      </c>
      <c r="AG482" s="155">
        <v>45887</v>
      </c>
      <c r="AH482" s="155">
        <v>45930</v>
      </c>
      <c r="AI482" s="155">
        <v>45921</v>
      </c>
      <c r="AJ482" s="158">
        <v>45919</v>
      </c>
      <c r="AK482" s="211">
        <v>45938</v>
      </c>
      <c r="AL482" s="158"/>
      <c r="AM482" s="1"/>
    </row>
    <row r="483" spans="1:48" ht="45" hidden="1" customHeight="1">
      <c r="B483" s="159" t="s">
        <v>2042</v>
      </c>
      <c r="C483" s="159" t="s">
        <v>248</v>
      </c>
      <c r="D483" s="159" t="s">
        <v>249</v>
      </c>
      <c r="E483" s="159" t="s">
        <v>2043</v>
      </c>
      <c r="F483" s="152" t="s">
        <v>40</v>
      </c>
      <c r="G483" s="152" t="s">
        <v>2044</v>
      </c>
      <c r="H483" s="152" t="s">
        <v>42</v>
      </c>
      <c r="I483" s="152" t="s">
        <v>244</v>
      </c>
      <c r="J483" s="151" t="s">
        <v>2020</v>
      </c>
      <c r="K483" s="153">
        <v>45870</v>
      </c>
      <c r="L483" s="154" t="s">
        <v>45</v>
      </c>
      <c r="M483" s="155"/>
      <c r="N483" s="155"/>
      <c r="O483" s="155"/>
      <c r="P483" s="155"/>
      <c r="Q483" s="155"/>
      <c r="R483" s="155" t="s">
        <v>46</v>
      </c>
      <c r="S483" s="151" t="s">
        <v>47</v>
      </c>
      <c r="T483" s="151" t="s">
        <v>48</v>
      </c>
      <c r="U483" s="156" t="s">
        <v>2045</v>
      </c>
      <c r="V483" s="151" t="s">
        <v>85</v>
      </c>
      <c r="W483" s="151" t="s">
        <v>1460</v>
      </c>
      <c r="X483" s="151"/>
      <c r="Y483" s="156" t="s">
        <v>62</v>
      </c>
      <c r="Z483" s="156"/>
      <c r="AA483" s="156" t="s">
        <v>2046</v>
      </c>
      <c r="AB483" s="156"/>
      <c r="AC483" s="156"/>
      <c r="AD483" s="155">
        <v>45918</v>
      </c>
      <c r="AE483" s="157">
        <v>900</v>
      </c>
      <c r="AF483" s="157">
        <v>1100</v>
      </c>
      <c r="AG483" s="155">
        <v>45887</v>
      </c>
      <c r="AH483" s="155">
        <v>45930</v>
      </c>
      <c r="AI483" s="155">
        <v>45918</v>
      </c>
      <c r="AJ483" s="158">
        <v>45918</v>
      </c>
      <c r="AK483" s="211">
        <v>45918</v>
      </c>
      <c r="AL483" s="158"/>
      <c r="AM483" s="1"/>
    </row>
    <row r="484" spans="1:48" ht="45" hidden="1" customHeight="1">
      <c r="B484" s="159" t="s">
        <v>2084</v>
      </c>
      <c r="C484" s="159" t="s">
        <v>248</v>
      </c>
      <c r="D484" s="159" t="s">
        <v>249</v>
      </c>
      <c r="E484" s="159" t="s">
        <v>2085</v>
      </c>
      <c r="F484" s="152" t="s">
        <v>40</v>
      </c>
      <c r="G484" s="152" t="s">
        <v>2044</v>
      </c>
      <c r="H484" s="152" t="s">
        <v>42</v>
      </c>
      <c r="I484" s="152" t="s">
        <v>2086</v>
      </c>
      <c r="J484" s="151" t="s">
        <v>2020</v>
      </c>
      <c r="K484" s="153">
        <v>45870</v>
      </c>
      <c r="L484" s="154" t="s">
        <v>45</v>
      </c>
      <c r="M484" s="155"/>
      <c r="N484" s="155"/>
      <c r="O484" s="155"/>
      <c r="P484" s="155"/>
      <c r="Q484" s="155"/>
      <c r="R484" s="155" t="s">
        <v>46</v>
      </c>
      <c r="S484" s="151" t="s">
        <v>47</v>
      </c>
      <c r="T484" s="151" t="s">
        <v>48</v>
      </c>
      <c r="U484" s="156" t="s">
        <v>2087</v>
      </c>
      <c r="V484" s="151" t="s">
        <v>85</v>
      </c>
      <c r="W484" s="151" t="s">
        <v>1460</v>
      </c>
      <c r="X484" s="151"/>
      <c r="Y484" s="156" t="s">
        <v>62</v>
      </c>
      <c r="Z484" s="156"/>
      <c r="AA484" s="156" t="s">
        <v>2088</v>
      </c>
      <c r="AB484" s="156"/>
      <c r="AC484" s="156"/>
      <c r="AD484" s="155">
        <v>45947</v>
      </c>
      <c r="AE484" s="157">
        <v>800</v>
      </c>
      <c r="AF484" s="157">
        <v>1700</v>
      </c>
      <c r="AG484" s="155">
        <v>45887</v>
      </c>
      <c r="AH484" s="155">
        <v>45930</v>
      </c>
      <c r="AI484" s="155">
        <v>45926</v>
      </c>
      <c r="AJ484" s="158">
        <v>45929</v>
      </c>
      <c r="AK484" s="211">
        <v>45947</v>
      </c>
      <c r="AL484" s="158"/>
      <c r="AM484" s="1"/>
    </row>
    <row r="485" spans="1:48" ht="45" hidden="1" customHeight="1">
      <c r="B485" s="159" t="s">
        <v>2082</v>
      </c>
      <c r="C485" s="159" t="s">
        <v>2076</v>
      </c>
      <c r="D485" s="159" t="s">
        <v>642</v>
      </c>
      <c r="E485" s="159" t="s">
        <v>641</v>
      </c>
      <c r="F485" s="152" t="s">
        <v>40</v>
      </c>
      <c r="G485" s="152" t="s">
        <v>308</v>
      </c>
      <c r="H485" s="152" t="s">
        <v>42</v>
      </c>
      <c r="I485" s="152">
        <v>31.032</v>
      </c>
      <c r="J485" s="151" t="s">
        <v>2020</v>
      </c>
      <c r="K485" s="153">
        <v>45870</v>
      </c>
      <c r="L485" s="154" t="s">
        <v>45</v>
      </c>
      <c r="M485" s="155"/>
      <c r="N485" s="155"/>
      <c r="O485" s="155"/>
      <c r="P485" s="155"/>
      <c r="Q485" s="155"/>
      <c r="R485" s="155" t="s">
        <v>46</v>
      </c>
      <c r="S485" s="151" t="s">
        <v>47</v>
      </c>
      <c r="T485" s="151" t="s">
        <v>48</v>
      </c>
      <c r="U485" s="156" t="s">
        <v>2083</v>
      </c>
      <c r="V485" s="151" t="s">
        <v>85</v>
      </c>
      <c r="W485" s="151" t="s">
        <v>124</v>
      </c>
      <c r="X485" s="151"/>
      <c r="Y485" s="156" t="s">
        <v>200</v>
      </c>
      <c r="Z485" s="156"/>
      <c r="AA485" s="156"/>
      <c r="AB485" s="156"/>
      <c r="AC485" s="156"/>
      <c r="AD485" s="155">
        <v>45950</v>
      </c>
      <c r="AE485" s="157">
        <v>2200</v>
      </c>
      <c r="AF485" s="157">
        <v>2200</v>
      </c>
      <c r="AG485" s="155">
        <v>45898</v>
      </c>
      <c r="AH485" s="155">
        <v>45926</v>
      </c>
      <c r="AI485" s="155">
        <v>45927</v>
      </c>
      <c r="AJ485" s="158">
        <v>45929</v>
      </c>
      <c r="AK485" s="211">
        <v>45950</v>
      </c>
      <c r="AL485" s="158"/>
      <c r="AM485" s="1"/>
    </row>
    <row r="486" spans="1:48" ht="45" hidden="1" customHeight="1">
      <c r="B486" s="159" t="s">
        <v>2089</v>
      </c>
      <c r="C486" s="159" t="s">
        <v>2076</v>
      </c>
      <c r="D486" s="159" t="s">
        <v>2090</v>
      </c>
      <c r="E486" s="159" t="s">
        <v>2091</v>
      </c>
      <c r="F486" s="152" t="s">
        <v>2092</v>
      </c>
      <c r="G486" s="152" t="s">
        <v>308</v>
      </c>
      <c r="H486" s="152" t="s">
        <v>42</v>
      </c>
      <c r="I486" s="152" t="s">
        <v>2093</v>
      </c>
      <c r="J486" s="151" t="s">
        <v>2020</v>
      </c>
      <c r="K486" s="153">
        <v>45870</v>
      </c>
      <c r="L486" s="154" t="s">
        <v>99</v>
      </c>
      <c r="M486" s="155"/>
      <c r="N486" s="155"/>
      <c r="O486" s="155"/>
      <c r="P486" s="155"/>
      <c r="Q486" s="155"/>
      <c r="R486" s="155" t="s">
        <v>46</v>
      </c>
      <c r="S486" s="151" t="s">
        <v>47</v>
      </c>
      <c r="T486" s="151" t="s">
        <v>48</v>
      </c>
      <c r="U486" s="156" t="s">
        <v>2094</v>
      </c>
      <c r="V486" s="151" t="s">
        <v>85</v>
      </c>
      <c r="W486" s="151" t="s">
        <v>1570</v>
      </c>
      <c r="X486" s="151"/>
      <c r="Y486" s="156" t="s">
        <v>1167</v>
      </c>
      <c r="Z486" s="156"/>
      <c r="AA486" s="156"/>
      <c r="AB486" s="156"/>
      <c r="AC486" s="156"/>
      <c r="AD486" s="155">
        <v>45937</v>
      </c>
      <c r="AE486" s="157">
        <v>500</v>
      </c>
      <c r="AF486" s="157">
        <v>4300</v>
      </c>
      <c r="AG486" s="155">
        <v>45891</v>
      </c>
      <c r="AH486" s="155">
        <v>45924</v>
      </c>
      <c r="AI486" s="155">
        <v>45927</v>
      </c>
      <c r="AJ486" s="158">
        <v>45929</v>
      </c>
      <c r="AK486" s="211">
        <v>45937</v>
      </c>
      <c r="AL486" s="158"/>
      <c r="AM486" s="1"/>
    </row>
    <row r="487" spans="1:48" ht="45" hidden="1" customHeight="1">
      <c r="A487" s="1"/>
      <c r="B487" s="159" t="s">
        <v>2075</v>
      </c>
      <c r="C487" s="159" t="s">
        <v>2076</v>
      </c>
      <c r="D487" s="159" t="s">
        <v>2077</v>
      </c>
      <c r="E487" s="159" t="s">
        <v>2076</v>
      </c>
      <c r="F487" s="152" t="s">
        <v>40</v>
      </c>
      <c r="G487" s="152" t="s">
        <v>308</v>
      </c>
      <c r="H487" s="152" t="s">
        <v>42</v>
      </c>
      <c r="I487" s="152">
        <v>21.021999999999998</v>
      </c>
      <c r="J487" s="151" t="s">
        <v>2020</v>
      </c>
      <c r="K487" s="153">
        <v>45870</v>
      </c>
      <c r="L487" s="154" t="s">
        <v>45</v>
      </c>
      <c r="M487" s="155"/>
      <c r="N487" s="155"/>
      <c r="O487" s="155"/>
      <c r="P487" s="155"/>
      <c r="Q487" s="155"/>
      <c r="R487" s="155" t="s">
        <v>46</v>
      </c>
      <c r="S487" s="151" t="s">
        <v>47</v>
      </c>
      <c r="T487" s="151" t="s">
        <v>48</v>
      </c>
      <c r="U487" s="156" t="s">
        <v>2078</v>
      </c>
      <c r="V487" s="151" t="s">
        <v>85</v>
      </c>
      <c r="W487" s="151" t="s">
        <v>50</v>
      </c>
      <c r="X487" s="156" t="s">
        <v>200</v>
      </c>
      <c r="Y487" s="156" t="s">
        <v>200</v>
      </c>
      <c r="Z487" s="156"/>
      <c r="AA487" s="156"/>
      <c r="AB487" s="156"/>
      <c r="AC487" s="156"/>
      <c r="AD487" s="155">
        <v>45952</v>
      </c>
      <c r="AE487" s="157">
        <v>3600</v>
      </c>
      <c r="AF487" s="157">
        <v>4200</v>
      </c>
      <c r="AG487" s="155">
        <v>45891</v>
      </c>
      <c r="AH487" s="155">
        <v>45925</v>
      </c>
      <c r="AI487" s="155">
        <v>45927</v>
      </c>
      <c r="AJ487" s="158">
        <v>45927</v>
      </c>
      <c r="AK487" s="211">
        <v>45952</v>
      </c>
      <c r="AL487" s="158"/>
      <c r="AM487" s="1"/>
      <c r="AN487" s="1"/>
      <c r="AO487" s="1"/>
      <c r="AP487" s="1"/>
      <c r="AQ487" s="1"/>
      <c r="AR487" s="1"/>
      <c r="AS487" s="1"/>
      <c r="AT487" s="1"/>
      <c r="AU487" s="1"/>
      <c r="AV487" s="1"/>
    </row>
    <row r="488" spans="1:48" ht="45" hidden="1" customHeight="1">
      <c r="B488" s="159" t="s">
        <v>2055</v>
      </c>
      <c r="C488" s="159" t="s">
        <v>79</v>
      </c>
      <c r="D488" s="218" t="s">
        <v>80</v>
      </c>
      <c r="E488" s="159" t="s">
        <v>2056</v>
      </c>
      <c r="F488" s="152" t="s">
        <v>40</v>
      </c>
      <c r="G488" s="152" t="s">
        <v>2057</v>
      </c>
      <c r="H488" s="152" t="s">
        <v>42</v>
      </c>
      <c r="I488" s="152">
        <v>251.25200000000001</v>
      </c>
      <c r="J488" s="151" t="s">
        <v>2020</v>
      </c>
      <c r="K488" s="153">
        <v>45870</v>
      </c>
      <c r="L488" s="154" t="s">
        <v>45</v>
      </c>
      <c r="M488" s="155"/>
      <c r="N488" s="155"/>
      <c r="O488" s="155"/>
      <c r="P488" s="155"/>
      <c r="Q488" s="155"/>
      <c r="R488" s="155" t="s">
        <v>46</v>
      </c>
      <c r="S488" s="151" t="s">
        <v>47</v>
      </c>
      <c r="T488" s="151" t="s">
        <v>48</v>
      </c>
      <c r="U488" s="156" t="s">
        <v>2058</v>
      </c>
      <c r="V488" s="151" t="s">
        <v>85</v>
      </c>
      <c r="W488" s="151" t="s">
        <v>124</v>
      </c>
      <c r="X488" s="151"/>
      <c r="Y488" s="156" t="s">
        <v>77</v>
      </c>
      <c r="Z488" s="156"/>
      <c r="AA488" s="156"/>
      <c r="AB488" s="156"/>
      <c r="AC488" s="156"/>
      <c r="AD488" s="155">
        <v>45930</v>
      </c>
      <c r="AE488" s="157">
        <v>700</v>
      </c>
      <c r="AF488" s="157">
        <v>1400</v>
      </c>
      <c r="AG488" s="155">
        <v>45891</v>
      </c>
      <c r="AH488" s="155">
        <v>45916</v>
      </c>
      <c r="AI488" s="155">
        <v>45924</v>
      </c>
      <c r="AJ488" s="158">
        <v>45922</v>
      </c>
      <c r="AK488" s="211">
        <v>45930</v>
      </c>
      <c r="AL488" s="158"/>
      <c r="AM488" s="1"/>
    </row>
    <row r="489" spans="1:48" ht="45" hidden="1" customHeight="1">
      <c r="B489" s="159" t="s">
        <v>2110</v>
      </c>
      <c r="C489" s="159" t="s">
        <v>203</v>
      </c>
      <c r="D489" s="159" t="s">
        <v>204</v>
      </c>
      <c r="E489" s="159" t="s">
        <v>2111</v>
      </c>
      <c r="F489" s="152" t="s">
        <v>40</v>
      </c>
      <c r="G489" s="152" t="s">
        <v>2112</v>
      </c>
      <c r="H489" s="152" t="s">
        <v>42</v>
      </c>
      <c r="I489" s="152">
        <v>171</v>
      </c>
      <c r="J489" s="151" t="s">
        <v>2020</v>
      </c>
      <c r="K489" s="153">
        <v>45870</v>
      </c>
      <c r="L489" s="154" t="s">
        <v>45</v>
      </c>
      <c r="M489" s="155"/>
      <c r="N489" s="155"/>
      <c r="O489" s="155"/>
      <c r="P489" s="155"/>
      <c r="Q489" s="155"/>
      <c r="R489" s="155" t="s">
        <v>46</v>
      </c>
      <c r="S489" s="151" t="s">
        <v>47</v>
      </c>
      <c r="T489" s="151" t="s">
        <v>48</v>
      </c>
      <c r="U489" s="156" t="s">
        <v>2113</v>
      </c>
      <c r="V489" s="151" t="s">
        <v>85</v>
      </c>
      <c r="W489" s="151" t="s">
        <v>1460</v>
      </c>
      <c r="X489" s="151"/>
      <c r="Y489" s="156" t="s">
        <v>2114</v>
      </c>
      <c r="Z489" s="156" t="s">
        <v>94</v>
      </c>
      <c r="AA489" s="156"/>
      <c r="AB489" s="156"/>
      <c r="AC489" s="156"/>
      <c r="AD489" s="155"/>
      <c r="AE489" s="157">
        <v>700</v>
      </c>
      <c r="AF489" s="157">
        <v>4000</v>
      </c>
      <c r="AG489" s="155">
        <v>45910</v>
      </c>
      <c r="AH489" s="155">
        <v>45925</v>
      </c>
      <c r="AI489" s="155">
        <v>45929</v>
      </c>
      <c r="AJ489" s="158">
        <v>45930</v>
      </c>
      <c r="AK489" s="211">
        <v>45952</v>
      </c>
      <c r="AL489" s="158"/>
      <c r="AM489" s="1"/>
    </row>
    <row r="490" spans="1:48" ht="45" hidden="1" customHeight="1">
      <c r="B490" s="159" t="s">
        <v>2067</v>
      </c>
      <c r="C490" s="159" t="s">
        <v>600</v>
      </c>
      <c r="D490" s="159" t="s">
        <v>601</v>
      </c>
      <c r="E490" s="159" t="s">
        <v>2068</v>
      </c>
      <c r="F490" s="152" t="s">
        <v>40</v>
      </c>
      <c r="G490" s="152" t="s">
        <v>121</v>
      </c>
      <c r="H490" s="152" t="s">
        <v>42</v>
      </c>
      <c r="I490" s="152" t="s">
        <v>2069</v>
      </c>
      <c r="J490" s="151" t="s">
        <v>2020</v>
      </c>
      <c r="K490" s="153">
        <v>45870</v>
      </c>
      <c r="L490" s="154" t="s">
        <v>45</v>
      </c>
      <c r="M490" s="155"/>
      <c r="N490" s="155"/>
      <c r="O490" s="155"/>
      <c r="P490" s="155"/>
      <c r="Q490" s="155"/>
      <c r="R490" s="155" t="s">
        <v>46</v>
      </c>
      <c r="S490" s="151" t="s">
        <v>47</v>
      </c>
      <c r="T490" s="151" t="s">
        <v>48</v>
      </c>
      <c r="U490" s="156" t="s">
        <v>2070</v>
      </c>
      <c r="V490" s="151" t="s">
        <v>85</v>
      </c>
      <c r="W490" s="151" t="s">
        <v>76</v>
      </c>
      <c r="X490" s="151"/>
      <c r="Y490" s="156" t="s">
        <v>132</v>
      </c>
      <c r="Z490" s="156"/>
      <c r="AA490" s="156"/>
      <c r="AB490" s="156"/>
      <c r="AC490" s="156"/>
      <c r="AD490" s="155">
        <v>45954</v>
      </c>
      <c r="AE490" s="157">
        <v>2600</v>
      </c>
      <c r="AF490" s="157">
        <v>4500</v>
      </c>
      <c r="AG490" s="155">
        <v>45895</v>
      </c>
      <c r="AH490" s="155">
        <v>45920</v>
      </c>
      <c r="AI490" s="155">
        <v>45925</v>
      </c>
      <c r="AJ490" s="158">
        <v>45924</v>
      </c>
      <c r="AK490" s="211">
        <v>45954</v>
      </c>
      <c r="AL490" s="158"/>
      <c r="AM490" s="1"/>
    </row>
    <row r="491" spans="1:48" ht="45" hidden="1" customHeight="1">
      <c r="B491" s="159" t="s">
        <v>2138</v>
      </c>
      <c r="C491" s="159" t="s">
        <v>1339</v>
      </c>
      <c r="D491" s="159" t="s">
        <v>1340</v>
      </c>
      <c r="E491" s="159" t="s">
        <v>2139</v>
      </c>
      <c r="F491" s="152" t="s">
        <v>40</v>
      </c>
      <c r="G491" s="152" t="s">
        <v>121</v>
      </c>
      <c r="H491" s="152" t="s">
        <v>786</v>
      </c>
      <c r="I491" s="152">
        <v>11.012</v>
      </c>
      <c r="J491" s="151" t="s">
        <v>2020</v>
      </c>
      <c r="K491" s="153">
        <v>45870</v>
      </c>
      <c r="L491" s="154" t="s">
        <v>99</v>
      </c>
      <c r="M491" s="155"/>
      <c r="N491" s="155"/>
      <c r="O491" s="155"/>
      <c r="P491" s="155"/>
      <c r="Q491" s="155"/>
      <c r="R491" s="155" t="s">
        <v>46</v>
      </c>
      <c r="S491" s="151" t="s">
        <v>47</v>
      </c>
      <c r="T491" s="151" t="s">
        <v>48</v>
      </c>
      <c r="U491" s="156" t="s">
        <v>2140</v>
      </c>
      <c r="V491" s="151"/>
      <c r="W491" s="151" t="s">
        <v>2141</v>
      </c>
      <c r="X491" s="151"/>
      <c r="Y491" s="156" t="s">
        <v>2141</v>
      </c>
      <c r="Z491" s="156"/>
      <c r="AA491" s="156"/>
      <c r="AB491" s="156"/>
      <c r="AC491" s="156"/>
      <c r="AD491" s="155">
        <v>46000</v>
      </c>
      <c r="AE491" s="157">
        <v>900</v>
      </c>
      <c r="AF491" s="157">
        <v>14600</v>
      </c>
      <c r="AG491" s="155">
        <v>45902</v>
      </c>
      <c r="AH491" s="155">
        <v>45930</v>
      </c>
      <c r="AI491" s="155"/>
      <c r="AJ491" s="158">
        <v>45937</v>
      </c>
      <c r="AK491" s="211">
        <v>46000</v>
      </c>
      <c r="AL491" s="158"/>
      <c r="AM491" s="1"/>
    </row>
    <row r="492" spans="1:48" ht="45" hidden="1" customHeight="1">
      <c r="A492" s="1"/>
      <c r="B492" s="159" t="s">
        <v>2107</v>
      </c>
      <c r="C492" s="159" t="s">
        <v>315</v>
      </c>
      <c r="D492" s="159" t="s">
        <v>316</v>
      </c>
      <c r="E492" s="159" t="s">
        <v>410</v>
      </c>
      <c r="F492" s="152"/>
      <c r="G492" s="152" t="s">
        <v>1321</v>
      </c>
      <c r="H492" s="152" t="s">
        <v>42</v>
      </c>
      <c r="I492" s="152" t="s">
        <v>2108</v>
      </c>
      <c r="J492" s="151" t="s">
        <v>2020</v>
      </c>
      <c r="K492" s="153">
        <v>45870</v>
      </c>
      <c r="L492" s="154" t="s">
        <v>45</v>
      </c>
      <c r="M492" s="155"/>
      <c r="N492" s="155"/>
      <c r="O492" s="155"/>
      <c r="P492" s="155"/>
      <c r="Q492" s="155"/>
      <c r="R492" s="155" t="s">
        <v>46</v>
      </c>
      <c r="S492" s="151" t="s">
        <v>47</v>
      </c>
      <c r="T492" s="151" t="s">
        <v>48</v>
      </c>
      <c r="U492" s="156" t="s">
        <v>2109</v>
      </c>
      <c r="V492" s="151" t="s">
        <v>85</v>
      </c>
      <c r="W492" s="151" t="s">
        <v>1570</v>
      </c>
      <c r="X492" s="151"/>
      <c r="Y492" s="156" t="s">
        <v>94</v>
      </c>
      <c r="Z492" s="156"/>
      <c r="AA492" s="156"/>
      <c r="AB492" s="156"/>
      <c r="AC492" s="156"/>
      <c r="AD492" s="155">
        <v>45950</v>
      </c>
      <c r="AE492" s="157">
        <v>1000</v>
      </c>
      <c r="AF492" s="157">
        <v>6400</v>
      </c>
      <c r="AG492" s="155">
        <v>45902</v>
      </c>
      <c r="AH492" s="155">
        <v>45929</v>
      </c>
      <c r="AI492" s="155"/>
      <c r="AJ492" s="158">
        <v>45930</v>
      </c>
      <c r="AK492" s="211">
        <v>45950</v>
      </c>
      <c r="AL492" s="158"/>
      <c r="AM492" s="1"/>
      <c r="AN492" s="1"/>
      <c r="AO492" s="1"/>
      <c r="AP492" s="1"/>
      <c r="AQ492" s="1"/>
      <c r="AR492" s="1"/>
      <c r="AS492" s="1"/>
      <c r="AT492" s="1"/>
      <c r="AU492" s="1"/>
      <c r="AV492" s="1"/>
    </row>
    <row r="493" spans="1:48" ht="45" hidden="1" customHeight="1">
      <c r="B493" s="159" t="s">
        <v>2170</v>
      </c>
      <c r="C493" s="159" t="s">
        <v>449</v>
      </c>
      <c r="D493" s="159" t="s">
        <v>450</v>
      </c>
      <c r="E493" s="159" t="s">
        <v>2171</v>
      </c>
      <c r="F493" s="152" t="s">
        <v>40</v>
      </c>
      <c r="G493" s="152" t="s">
        <v>2172</v>
      </c>
      <c r="H493" s="152" t="s">
        <v>42</v>
      </c>
      <c r="I493" s="152">
        <v>51.052</v>
      </c>
      <c r="J493" s="151" t="s">
        <v>74</v>
      </c>
      <c r="K493" s="153">
        <v>45901</v>
      </c>
      <c r="L493" s="154" t="s">
        <v>45</v>
      </c>
      <c r="M493" s="159"/>
      <c r="N493" s="159"/>
      <c r="O493" s="159"/>
      <c r="P493" s="159"/>
      <c r="Q493" s="159"/>
      <c r="R493" s="155" t="s">
        <v>46</v>
      </c>
      <c r="S493" s="151" t="s">
        <v>47</v>
      </c>
      <c r="T493" s="151" t="s">
        <v>48</v>
      </c>
      <c r="U493" s="151" t="s">
        <v>2173</v>
      </c>
      <c r="V493" s="151" t="s">
        <v>2174</v>
      </c>
      <c r="W493" s="151" t="s">
        <v>76</v>
      </c>
      <c r="X493" s="151"/>
      <c r="Y493" s="151" t="s">
        <v>51</v>
      </c>
      <c r="Z493" s="151"/>
      <c r="AA493" s="151"/>
      <c r="AB493" s="151"/>
      <c r="AC493" s="151"/>
      <c r="AD493" s="155">
        <v>45965</v>
      </c>
      <c r="AE493" s="151">
        <v>900</v>
      </c>
      <c r="AF493" s="151">
        <v>2400</v>
      </c>
      <c r="AG493" s="155">
        <v>45929</v>
      </c>
      <c r="AH493" s="155">
        <v>45945</v>
      </c>
      <c r="AI493" s="159"/>
      <c r="AJ493" s="158">
        <v>45943</v>
      </c>
      <c r="AK493" s="213">
        <v>45965</v>
      </c>
      <c r="AL493" s="173"/>
      <c r="AM493" s="2"/>
    </row>
    <row r="494" spans="1:48" ht="45" hidden="1" customHeight="1">
      <c r="B494" s="159" t="s">
        <v>2182</v>
      </c>
      <c r="C494" s="159" t="s">
        <v>596</v>
      </c>
      <c r="D494" s="159" t="s">
        <v>597</v>
      </c>
      <c r="E494" s="159" t="s">
        <v>2183</v>
      </c>
      <c r="F494" s="152" t="s">
        <v>40</v>
      </c>
      <c r="G494" s="152" t="s">
        <v>308</v>
      </c>
      <c r="H494" s="152" t="s">
        <v>42</v>
      </c>
      <c r="I494" s="152" t="s">
        <v>417</v>
      </c>
      <c r="J494" s="151" t="s">
        <v>74</v>
      </c>
      <c r="K494" s="153">
        <v>45870</v>
      </c>
      <c r="L494" s="154" t="s">
        <v>45</v>
      </c>
      <c r="M494" s="155"/>
      <c r="N494" s="155"/>
      <c r="O494" s="155"/>
      <c r="P494" s="155"/>
      <c r="Q494" s="155"/>
      <c r="R494" s="155" t="s">
        <v>46</v>
      </c>
      <c r="S494" s="151" t="s">
        <v>47</v>
      </c>
      <c r="T494" s="151" t="s">
        <v>48</v>
      </c>
      <c r="U494" s="156" t="s">
        <v>2184</v>
      </c>
      <c r="V494" s="151" t="s">
        <v>85</v>
      </c>
      <c r="W494" s="151" t="s">
        <v>2185</v>
      </c>
      <c r="X494" s="151"/>
      <c r="Y494" s="156" t="s">
        <v>77</v>
      </c>
      <c r="Z494" s="156"/>
      <c r="AA494" s="156"/>
      <c r="AB494" s="156"/>
      <c r="AC494" s="156"/>
      <c r="AD494" s="155">
        <v>45954</v>
      </c>
      <c r="AE494" s="157">
        <v>1500</v>
      </c>
      <c r="AF494" s="157">
        <v>4100</v>
      </c>
      <c r="AG494" s="155">
        <v>45915</v>
      </c>
      <c r="AH494" s="155">
        <v>45951</v>
      </c>
      <c r="AI494" s="155"/>
      <c r="AJ494" s="158">
        <v>45949</v>
      </c>
      <c r="AK494" s="211">
        <v>45954</v>
      </c>
      <c r="AL494" s="158"/>
      <c r="AM494" s="1"/>
    </row>
    <row r="495" spans="1:48" ht="45" hidden="1" customHeight="1">
      <c r="B495" s="159" t="s">
        <v>2222</v>
      </c>
      <c r="C495" s="159" t="s">
        <v>425</v>
      </c>
      <c r="D495" s="159" t="s">
        <v>626</v>
      </c>
      <c r="E495" s="159" t="s">
        <v>2223</v>
      </c>
      <c r="F495" s="152" t="s">
        <v>40</v>
      </c>
      <c r="G495" s="152" t="s">
        <v>107</v>
      </c>
      <c r="H495" s="152" t="s">
        <v>519</v>
      </c>
      <c r="I495" s="152" t="s">
        <v>2224</v>
      </c>
      <c r="J495" s="151" t="s">
        <v>74</v>
      </c>
      <c r="K495" s="153">
        <v>45870</v>
      </c>
      <c r="L495" s="154" t="s">
        <v>45</v>
      </c>
      <c r="M495" s="155"/>
      <c r="N495" s="155"/>
      <c r="O495" s="155"/>
      <c r="P495" s="155"/>
      <c r="Q495" s="155"/>
      <c r="R495" s="155" t="s">
        <v>46</v>
      </c>
      <c r="S495" s="151" t="s">
        <v>47</v>
      </c>
      <c r="T495" s="151" t="s">
        <v>48</v>
      </c>
      <c r="U495" s="156" t="s">
        <v>2225</v>
      </c>
      <c r="V495" s="151" t="s">
        <v>85</v>
      </c>
      <c r="W495" s="151" t="s">
        <v>94</v>
      </c>
      <c r="X495" s="151"/>
      <c r="Y495" s="156" t="s">
        <v>94</v>
      </c>
      <c r="Z495" s="156"/>
      <c r="AA495" s="156"/>
      <c r="AB495" s="156"/>
      <c r="AC495" s="156"/>
      <c r="AD495" s="155">
        <v>45959</v>
      </c>
      <c r="AE495" s="157">
        <v>1300</v>
      </c>
      <c r="AF495" s="157">
        <v>3900</v>
      </c>
      <c r="AG495" s="155">
        <v>45901</v>
      </c>
      <c r="AH495" s="155">
        <v>45947</v>
      </c>
      <c r="AI495" s="155">
        <v>45954</v>
      </c>
      <c r="AJ495" s="158">
        <v>45957</v>
      </c>
      <c r="AK495" s="211">
        <v>45959</v>
      </c>
      <c r="AL495" s="158"/>
      <c r="AM495" s="1"/>
    </row>
    <row r="496" spans="1:48" ht="45" hidden="1" customHeight="1">
      <c r="B496" s="159" t="s">
        <v>2149</v>
      </c>
      <c r="C496" s="159" t="s">
        <v>126</v>
      </c>
      <c r="D496" s="159" t="s">
        <v>127</v>
      </c>
      <c r="E496" s="159" t="s">
        <v>2150</v>
      </c>
      <c r="F496" s="152" t="s">
        <v>40</v>
      </c>
      <c r="G496" s="152" t="s">
        <v>1968</v>
      </c>
      <c r="H496" s="152" t="s">
        <v>42</v>
      </c>
      <c r="I496" s="152" t="s">
        <v>1972</v>
      </c>
      <c r="J496" s="151" t="s">
        <v>74</v>
      </c>
      <c r="K496" s="153">
        <v>45870</v>
      </c>
      <c r="L496" s="154" t="s">
        <v>45</v>
      </c>
      <c r="M496" s="155"/>
      <c r="N496" s="155"/>
      <c r="O496" s="155"/>
      <c r="P496" s="155"/>
      <c r="Q496" s="155"/>
      <c r="R496" s="155" t="s">
        <v>46</v>
      </c>
      <c r="S496" s="151" t="s">
        <v>47</v>
      </c>
      <c r="T496" s="151" t="s">
        <v>48</v>
      </c>
      <c r="U496" s="156" t="s">
        <v>2151</v>
      </c>
      <c r="V496" s="151" t="s">
        <v>85</v>
      </c>
      <c r="W496" s="151" t="s">
        <v>124</v>
      </c>
      <c r="X496" s="151"/>
      <c r="Y496" s="156" t="s">
        <v>2152</v>
      </c>
      <c r="Z496" s="156" t="s">
        <v>2153</v>
      </c>
      <c r="AA496" s="156"/>
      <c r="AB496" s="156"/>
      <c r="AC496" s="156"/>
      <c r="AD496" s="155">
        <v>45954</v>
      </c>
      <c r="AE496" s="157">
        <v>2800</v>
      </c>
      <c r="AF496" s="157">
        <v>4000</v>
      </c>
      <c r="AG496" s="155">
        <v>45914</v>
      </c>
      <c r="AH496" s="155">
        <v>45939</v>
      </c>
      <c r="AI496" s="155">
        <v>45941</v>
      </c>
      <c r="AJ496" s="158">
        <v>45941</v>
      </c>
      <c r="AK496" s="211">
        <v>45954</v>
      </c>
      <c r="AL496" s="158"/>
      <c r="AM496" s="1"/>
    </row>
    <row r="497" spans="1:48" ht="45" hidden="1" customHeight="1">
      <c r="B497" s="159" t="s">
        <v>2146</v>
      </c>
      <c r="C497" s="159" t="s">
        <v>126</v>
      </c>
      <c r="D497" s="159" t="s">
        <v>127</v>
      </c>
      <c r="E497" s="159" t="s">
        <v>2147</v>
      </c>
      <c r="F497" s="152" t="s">
        <v>40</v>
      </c>
      <c r="G497" s="152" t="s">
        <v>1968</v>
      </c>
      <c r="H497" s="152" t="s">
        <v>42</v>
      </c>
      <c r="I497" s="152" t="s">
        <v>192</v>
      </c>
      <c r="J497" s="151" t="s">
        <v>74</v>
      </c>
      <c r="K497" s="153">
        <v>45870</v>
      </c>
      <c r="L497" s="154" t="s">
        <v>45</v>
      </c>
      <c r="M497" s="155"/>
      <c r="N497" s="155"/>
      <c r="O497" s="155"/>
      <c r="P497" s="155"/>
      <c r="Q497" s="155"/>
      <c r="R497" s="155" t="s">
        <v>46</v>
      </c>
      <c r="S497" s="151" t="s">
        <v>47</v>
      </c>
      <c r="T497" s="151" t="s">
        <v>48</v>
      </c>
      <c r="U497" s="156" t="s">
        <v>2148</v>
      </c>
      <c r="V497" s="151" t="s">
        <v>85</v>
      </c>
      <c r="W497" s="151" t="s">
        <v>94</v>
      </c>
      <c r="X497" s="151"/>
      <c r="Y497" s="156" t="s">
        <v>51</v>
      </c>
      <c r="Z497" s="156"/>
      <c r="AA497" s="156"/>
      <c r="AB497" s="156"/>
      <c r="AC497" s="156"/>
      <c r="AD497" s="155">
        <v>45951</v>
      </c>
      <c r="AE497" s="157">
        <v>1400</v>
      </c>
      <c r="AF497" s="157">
        <v>1800</v>
      </c>
      <c r="AG497" s="155">
        <v>45916</v>
      </c>
      <c r="AH497" s="155">
        <v>45934</v>
      </c>
      <c r="AI497" s="155">
        <v>45940</v>
      </c>
      <c r="AJ497" s="158">
        <v>45940</v>
      </c>
      <c r="AK497" s="211">
        <v>45951</v>
      </c>
      <c r="AL497" s="158"/>
      <c r="AM497" s="1"/>
    </row>
    <row r="498" spans="1:48" ht="45" hidden="1" customHeight="1">
      <c r="B498" s="159" t="s">
        <v>2158</v>
      </c>
      <c r="C498" s="159" t="s">
        <v>126</v>
      </c>
      <c r="D498" s="159" t="s">
        <v>127</v>
      </c>
      <c r="E498" s="159" t="s">
        <v>2159</v>
      </c>
      <c r="F498" s="152" t="s">
        <v>40</v>
      </c>
      <c r="G498" s="152" t="s">
        <v>1968</v>
      </c>
      <c r="H498" s="152" t="s">
        <v>42</v>
      </c>
      <c r="I498" s="152" t="s">
        <v>1635</v>
      </c>
      <c r="J498" s="151" t="s">
        <v>74</v>
      </c>
      <c r="K498" s="153">
        <v>45870</v>
      </c>
      <c r="L498" s="154" t="s">
        <v>45</v>
      </c>
      <c r="M498" s="155"/>
      <c r="N498" s="155"/>
      <c r="O498" s="155"/>
      <c r="P498" s="155"/>
      <c r="Q498" s="155"/>
      <c r="R498" s="155" t="s">
        <v>46</v>
      </c>
      <c r="S498" s="151" t="s">
        <v>47</v>
      </c>
      <c r="T498" s="151" t="s">
        <v>48</v>
      </c>
      <c r="U498" s="156" t="s">
        <v>2160</v>
      </c>
      <c r="V498" s="151" t="s">
        <v>85</v>
      </c>
      <c r="W498" s="151" t="s">
        <v>61</v>
      </c>
      <c r="X498" s="151"/>
      <c r="Y498" s="156" t="s">
        <v>2161</v>
      </c>
      <c r="Z498" s="156" t="s">
        <v>2162</v>
      </c>
      <c r="AA498" s="156"/>
      <c r="AB498" s="156"/>
      <c r="AC498" s="156"/>
      <c r="AD498" s="155">
        <v>45959</v>
      </c>
      <c r="AE498" s="157">
        <v>2300</v>
      </c>
      <c r="AF498" s="157">
        <v>2100</v>
      </c>
      <c r="AG498" s="155">
        <v>45911</v>
      </c>
      <c r="AH498" s="155">
        <v>45938</v>
      </c>
      <c r="AI498" s="155">
        <v>45911</v>
      </c>
      <c r="AJ498" s="158">
        <v>45941</v>
      </c>
      <c r="AK498" s="211">
        <v>45959</v>
      </c>
      <c r="AL498" s="158"/>
      <c r="AM498" s="1"/>
    </row>
    <row r="499" spans="1:48" ht="45" hidden="1" customHeight="1">
      <c r="A499" s="1"/>
      <c r="B499" s="159" t="s">
        <v>2129</v>
      </c>
      <c r="C499" s="159" t="s">
        <v>126</v>
      </c>
      <c r="D499" s="159" t="s">
        <v>127</v>
      </c>
      <c r="E499" s="159" t="s">
        <v>2130</v>
      </c>
      <c r="F499" s="152" t="s">
        <v>40</v>
      </c>
      <c r="G499" s="152" t="s">
        <v>1968</v>
      </c>
      <c r="H499" s="152" t="s">
        <v>42</v>
      </c>
      <c r="I499" s="152">
        <v>111.11199999999999</v>
      </c>
      <c r="J499" s="151" t="s">
        <v>74</v>
      </c>
      <c r="K499" s="153">
        <v>45870</v>
      </c>
      <c r="L499" s="154" t="s">
        <v>45</v>
      </c>
      <c r="M499" s="155"/>
      <c r="N499" s="155"/>
      <c r="O499" s="155"/>
      <c r="P499" s="155"/>
      <c r="Q499" s="155"/>
      <c r="R499" s="155" t="s">
        <v>46</v>
      </c>
      <c r="S499" s="151" t="s">
        <v>47</v>
      </c>
      <c r="T499" s="151" t="s">
        <v>48</v>
      </c>
      <c r="U499" s="156" t="s">
        <v>2131</v>
      </c>
      <c r="V499" s="151" t="s">
        <v>85</v>
      </c>
      <c r="W499" s="151" t="s">
        <v>94</v>
      </c>
      <c r="X499" s="151"/>
      <c r="Y499" s="156" t="s">
        <v>2132</v>
      </c>
      <c r="Z499" s="156"/>
      <c r="AA499" s="156"/>
      <c r="AB499" s="156"/>
      <c r="AC499" s="156"/>
      <c r="AD499" s="155">
        <v>45951</v>
      </c>
      <c r="AE499" s="157">
        <v>700</v>
      </c>
      <c r="AF499" s="157">
        <v>1800</v>
      </c>
      <c r="AG499" s="155">
        <v>45915</v>
      </c>
      <c r="AH499" s="155">
        <v>45933</v>
      </c>
      <c r="AI499" s="155"/>
      <c r="AJ499" s="158">
        <v>45932</v>
      </c>
      <c r="AK499" s="211">
        <v>45951</v>
      </c>
      <c r="AL499" s="158"/>
      <c r="AM499" s="1"/>
      <c r="AN499" s="1"/>
      <c r="AO499" s="1"/>
      <c r="AP499" s="1"/>
      <c r="AQ499" s="1"/>
      <c r="AR499" s="1"/>
      <c r="AS499" s="1"/>
      <c r="AT499" s="1"/>
      <c r="AU499" s="1"/>
      <c r="AV499" s="1"/>
    </row>
    <row r="500" spans="1:48" ht="45" hidden="1" customHeight="1">
      <c r="A500" s="1"/>
      <c r="B500" s="159" t="s">
        <v>2251</v>
      </c>
      <c r="C500" s="159" t="s">
        <v>88</v>
      </c>
      <c r="D500" s="159" t="s">
        <v>89</v>
      </c>
      <c r="E500" s="159" t="s">
        <v>2252</v>
      </c>
      <c r="F500" s="152" t="s">
        <v>40</v>
      </c>
      <c r="G500" s="152" t="s">
        <v>1676</v>
      </c>
      <c r="H500" s="152" t="s">
        <v>42</v>
      </c>
      <c r="I500" s="152">
        <v>51</v>
      </c>
      <c r="J500" s="151" t="s">
        <v>74</v>
      </c>
      <c r="K500" s="153">
        <v>45870</v>
      </c>
      <c r="L500" s="154" t="s">
        <v>45</v>
      </c>
      <c r="M500" s="155"/>
      <c r="N500" s="155"/>
      <c r="O500" s="155"/>
      <c r="P500" s="155"/>
      <c r="Q500" s="155"/>
      <c r="R500" s="155" t="s">
        <v>46</v>
      </c>
      <c r="S500" s="151" t="s">
        <v>47</v>
      </c>
      <c r="T500" s="151" t="s">
        <v>48</v>
      </c>
      <c r="U500" s="156" t="s">
        <v>2253</v>
      </c>
      <c r="V500" s="151" t="s">
        <v>85</v>
      </c>
      <c r="W500" s="151" t="s">
        <v>147</v>
      </c>
      <c r="X500" s="151"/>
      <c r="Y500" s="156" t="s">
        <v>62</v>
      </c>
      <c r="Z500" s="156"/>
      <c r="AA500" s="156" t="s">
        <v>95</v>
      </c>
      <c r="AB500" s="156"/>
      <c r="AC500" s="156"/>
      <c r="AD500" s="155">
        <v>45987</v>
      </c>
      <c r="AE500" s="157">
        <v>600</v>
      </c>
      <c r="AF500" s="157">
        <v>300</v>
      </c>
      <c r="AG500" s="155">
        <v>45947</v>
      </c>
      <c r="AH500" s="155">
        <v>45957</v>
      </c>
      <c r="AI500" s="155"/>
      <c r="AJ500" s="158">
        <v>45961</v>
      </c>
      <c r="AK500" s="211">
        <v>45987</v>
      </c>
      <c r="AL500" s="158"/>
      <c r="AM500" s="1"/>
      <c r="AN500" s="1"/>
      <c r="AO500" s="1"/>
      <c r="AP500" s="1"/>
      <c r="AQ500" s="1"/>
      <c r="AR500" s="1"/>
      <c r="AS500" s="1"/>
      <c r="AT500" s="1"/>
      <c r="AU500" s="1"/>
      <c r="AV500" s="1"/>
    </row>
    <row r="501" spans="1:48" ht="45" hidden="1" customHeight="1">
      <c r="B501" s="159" t="s">
        <v>2258</v>
      </c>
      <c r="C501" s="159" t="s">
        <v>88</v>
      </c>
      <c r="D501" s="159" t="s">
        <v>89</v>
      </c>
      <c r="E501" s="159" t="s">
        <v>2259</v>
      </c>
      <c r="F501" s="152" t="s">
        <v>40</v>
      </c>
      <c r="G501" s="152" t="s">
        <v>1676</v>
      </c>
      <c r="H501" s="152" t="s">
        <v>42</v>
      </c>
      <c r="I501" s="152">
        <v>31.032</v>
      </c>
      <c r="J501" s="151" t="s">
        <v>74</v>
      </c>
      <c r="K501" s="153">
        <v>45870</v>
      </c>
      <c r="L501" s="154" t="s">
        <v>58</v>
      </c>
      <c r="M501" s="155"/>
      <c r="N501" s="155"/>
      <c r="O501" s="155"/>
      <c r="P501" s="155"/>
      <c r="Q501" s="155"/>
      <c r="R501" s="155" t="s">
        <v>46</v>
      </c>
      <c r="S501" s="151" t="s">
        <v>47</v>
      </c>
      <c r="T501" s="151" t="s">
        <v>48</v>
      </c>
      <c r="U501" s="156" t="s">
        <v>2260</v>
      </c>
      <c r="V501" s="151" t="s">
        <v>85</v>
      </c>
      <c r="W501" s="151" t="s">
        <v>50</v>
      </c>
      <c r="X501" s="151"/>
      <c r="Y501" s="156" t="s">
        <v>62</v>
      </c>
      <c r="Z501" s="156"/>
      <c r="AA501" s="156" t="s">
        <v>95</v>
      </c>
      <c r="AB501" s="156"/>
      <c r="AC501" s="156"/>
      <c r="AD501" s="155">
        <v>45965</v>
      </c>
      <c r="AE501" s="157">
        <v>400</v>
      </c>
      <c r="AF501" s="157">
        <v>1700</v>
      </c>
      <c r="AG501" s="155">
        <v>45941</v>
      </c>
      <c r="AH501" s="155">
        <v>45958</v>
      </c>
      <c r="AI501" s="155"/>
      <c r="AJ501" s="158">
        <v>45961</v>
      </c>
      <c r="AK501" s="211">
        <v>45965</v>
      </c>
      <c r="AL501" s="158"/>
      <c r="AM501" s="1"/>
    </row>
    <row r="502" spans="1:48" ht="45" hidden="1" customHeight="1">
      <c r="A502" s="1"/>
      <c r="B502" s="159" t="s">
        <v>2261</v>
      </c>
      <c r="C502" s="159" t="s">
        <v>88</v>
      </c>
      <c r="D502" s="159" t="s">
        <v>89</v>
      </c>
      <c r="E502" s="159" t="s">
        <v>2262</v>
      </c>
      <c r="F502" s="152" t="s">
        <v>40</v>
      </c>
      <c r="G502" s="152" t="s">
        <v>91</v>
      </c>
      <c r="H502" s="152" t="s">
        <v>42</v>
      </c>
      <c r="I502" s="152">
        <v>61</v>
      </c>
      <c r="J502" s="151" t="s">
        <v>74</v>
      </c>
      <c r="K502" s="153">
        <v>45870</v>
      </c>
      <c r="L502" s="154" t="s">
        <v>1544</v>
      </c>
      <c r="M502" s="155"/>
      <c r="N502" s="155"/>
      <c r="O502" s="155"/>
      <c r="P502" s="155"/>
      <c r="Q502" s="155"/>
      <c r="R502" s="155" t="s">
        <v>46</v>
      </c>
      <c r="S502" s="151" t="s">
        <v>47</v>
      </c>
      <c r="T502" s="151" t="s">
        <v>48</v>
      </c>
      <c r="U502" s="156" t="s">
        <v>2263</v>
      </c>
      <c r="V502" s="151" t="s">
        <v>60</v>
      </c>
      <c r="W502" s="151" t="s">
        <v>50</v>
      </c>
      <c r="X502" s="151"/>
      <c r="Y502" s="156" t="s">
        <v>2264</v>
      </c>
      <c r="Z502" s="156"/>
      <c r="AA502" s="156" t="s">
        <v>95</v>
      </c>
      <c r="AB502" s="156"/>
      <c r="AC502" s="156"/>
      <c r="AD502" s="155">
        <v>45978</v>
      </c>
      <c r="AE502" s="157">
        <v>0</v>
      </c>
      <c r="AF502" s="157">
        <v>1600</v>
      </c>
      <c r="AG502" s="155">
        <v>45942</v>
      </c>
      <c r="AH502" s="155">
        <v>45959</v>
      </c>
      <c r="AI502" s="155"/>
      <c r="AJ502" s="158">
        <v>45961</v>
      </c>
      <c r="AK502" s="211">
        <v>45978</v>
      </c>
      <c r="AL502" s="158"/>
      <c r="AM502" s="1"/>
      <c r="AN502" s="1"/>
      <c r="AO502" s="1"/>
      <c r="AP502" s="1"/>
      <c r="AQ502" s="1"/>
      <c r="AR502" s="1"/>
      <c r="AS502" s="1"/>
      <c r="AT502" s="1"/>
      <c r="AU502" s="1"/>
      <c r="AV502" s="1"/>
    </row>
    <row r="503" spans="1:48" ht="45" hidden="1" customHeight="1">
      <c r="B503" s="25" t="s">
        <v>87</v>
      </c>
      <c r="C503" s="25" t="s">
        <v>88</v>
      </c>
      <c r="D503" s="25" t="s">
        <v>89</v>
      </c>
      <c r="E503" s="25" t="s">
        <v>90</v>
      </c>
      <c r="F503" s="152" t="s">
        <v>40</v>
      </c>
      <c r="G503" s="152" t="s">
        <v>91</v>
      </c>
      <c r="H503" s="152" t="s">
        <v>42</v>
      </c>
      <c r="I503" s="152">
        <v>122</v>
      </c>
      <c r="J503" s="151" t="s">
        <v>92</v>
      </c>
      <c r="K503" s="153">
        <v>45870</v>
      </c>
      <c r="L503" s="154" t="s">
        <v>45</v>
      </c>
      <c r="M503" s="155"/>
      <c r="N503" s="155"/>
      <c r="O503" s="155"/>
      <c r="P503" s="155"/>
      <c r="Q503" s="155"/>
      <c r="R503" s="155" t="s">
        <v>46</v>
      </c>
      <c r="S503" s="151" t="s">
        <v>47</v>
      </c>
      <c r="T503" s="151" t="s">
        <v>48</v>
      </c>
      <c r="U503" s="156" t="s">
        <v>93</v>
      </c>
      <c r="V503" s="151" t="s">
        <v>85</v>
      </c>
      <c r="W503" s="151" t="s">
        <v>94</v>
      </c>
      <c r="X503" s="151"/>
      <c r="Y503" s="156" t="s">
        <v>51</v>
      </c>
      <c r="Z503" s="156"/>
      <c r="AA503" s="156" t="s">
        <v>95</v>
      </c>
      <c r="AB503" s="156"/>
      <c r="AC503" s="156"/>
      <c r="AD503" s="155">
        <v>45988</v>
      </c>
      <c r="AE503" s="157">
        <v>400</v>
      </c>
      <c r="AF503" s="157">
        <v>1900</v>
      </c>
      <c r="AG503" s="155">
        <v>45945</v>
      </c>
      <c r="AH503" s="155">
        <v>45957</v>
      </c>
      <c r="AI503" s="155"/>
      <c r="AJ503" s="158">
        <v>45960</v>
      </c>
      <c r="AK503" s="211">
        <v>45988</v>
      </c>
      <c r="AL503" s="158"/>
      <c r="AM503" s="1"/>
    </row>
    <row r="504" spans="1:48" ht="45" hidden="1" customHeight="1">
      <c r="A504" s="1"/>
      <c r="B504" s="159" t="s">
        <v>2226</v>
      </c>
      <c r="C504" s="159" t="s">
        <v>88</v>
      </c>
      <c r="D504" s="159" t="s">
        <v>89</v>
      </c>
      <c r="E504" s="159" t="s">
        <v>2227</v>
      </c>
      <c r="F504" s="152" t="s">
        <v>40</v>
      </c>
      <c r="G504" s="152" t="s">
        <v>91</v>
      </c>
      <c r="H504" s="152" t="s">
        <v>42</v>
      </c>
      <c r="I504" s="152">
        <v>191.19200000000001</v>
      </c>
      <c r="J504" s="151" t="s">
        <v>74</v>
      </c>
      <c r="K504" s="153">
        <v>45870</v>
      </c>
      <c r="L504" s="154" t="s">
        <v>45</v>
      </c>
      <c r="M504" s="155"/>
      <c r="N504" s="155"/>
      <c r="O504" s="155"/>
      <c r="P504" s="155"/>
      <c r="Q504" s="155"/>
      <c r="R504" s="155" t="s">
        <v>46</v>
      </c>
      <c r="S504" s="151" t="s">
        <v>47</v>
      </c>
      <c r="T504" s="151" t="s">
        <v>48</v>
      </c>
      <c r="U504" s="156" t="s">
        <v>6903</v>
      </c>
      <c r="V504" s="151" t="s">
        <v>140</v>
      </c>
      <c r="W504" s="151" t="s">
        <v>147</v>
      </c>
      <c r="X504" s="151"/>
      <c r="Y504" s="156" t="s">
        <v>51</v>
      </c>
      <c r="Z504" s="156"/>
      <c r="AA504" s="156" t="s">
        <v>95</v>
      </c>
      <c r="AB504" s="156"/>
      <c r="AC504" s="156"/>
      <c r="AD504" s="155">
        <v>45999</v>
      </c>
      <c r="AE504" s="157">
        <v>900</v>
      </c>
      <c r="AF504" s="157">
        <v>2700</v>
      </c>
      <c r="AG504" s="155">
        <v>45946</v>
      </c>
      <c r="AH504" s="155">
        <v>45958</v>
      </c>
      <c r="AI504" s="155"/>
      <c r="AJ504" s="158">
        <v>45958</v>
      </c>
      <c r="AK504" s="211">
        <v>45999</v>
      </c>
      <c r="AL504" s="158"/>
      <c r="AM504" s="1"/>
      <c r="AN504" s="1"/>
      <c r="AO504" s="1"/>
      <c r="AP504" s="1"/>
      <c r="AQ504" s="1"/>
      <c r="AR504" s="1"/>
      <c r="AS504" s="1"/>
      <c r="AT504" s="1"/>
      <c r="AU504" s="1"/>
      <c r="AV504" s="1"/>
    </row>
    <row r="505" spans="1:48" ht="45" hidden="1" customHeight="1">
      <c r="B505" s="159" t="s">
        <v>2220</v>
      </c>
      <c r="C505" s="159" t="s">
        <v>88</v>
      </c>
      <c r="D505" s="159" t="s">
        <v>89</v>
      </c>
      <c r="E505" s="159" t="s">
        <v>717</v>
      </c>
      <c r="F505" s="152" t="s">
        <v>40</v>
      </c>
      <c r="G505" s="152" t="s">
        <v>91</v>
      </c>
      <c r="H505" s="152" t="s">
        <v>42</v>
      </c>
      <c r="I505" s="152" t="s">
        <v>1727</v>
      </c>
      <c r="J505" s="151" t="s">
        <v>74</v>
      </c>
      <c r="K505" s="153">
        <v>45870</v>
      </c>
      <c r="L505" s="154" t="s">
        <v>45</v>
      </c>
      <c r="M505" s="155"/>
      <c r="N505" s="155"/>
      <c r="O505" s="155"/>
      <c r="P505" s="155"/>
      <c r="Q505" s="155"/>
      <c r="R505" s="155" t="s">
        <v>46</v>
      </c>
      <c r="S505" s="151" t="s">
        <v>47</v>
      </c>
      <c r="T505" s="151" t="s">
        <v>48</v>
      </c>
      <c r="U505" s="156" t="s">
        <v>2221</v>
      </c>
      <c r="V505" s="151" t="s">
        <v>85</v>
      </c>
      <c r="W505" s="151" t="s">
        <v>50</v>
      </c>
      <c r="X505" s="151"/>
      <c r="Y505" s="156" t="s">
        <v>200</v>
      </c>
      <c r="Z505" s="156"/>
      <c r="AA505" s="156" t="s">
        <v>95</v>
      </c>
      <c r="AB505" s="156"/>
      <c r="AC505" s="156"/>
      <c r="AD505" s="155">
        <v>45964</v>
      </c>
      <c r="AE505" s="157">
        <v>3300</v>
      </c>
      <c r="AF505" s="157">
        <v>9300</v>
      </c>
      <c r="AG505" s="155">
        <v>45947</v>
      </c>
      <c r="AH505" s="155">
        <v>45960</v>
      </c>
      <c r="AI505" s="155"/>
      <c r="AJ505" s="158">
        <v>45955</v>
      </c>
      <c r="AK505" s="211">
        <v>45964</v>
      </c>
      <c r="AL505" s="158"/>
      <c r="AM505" s="1"/>
    </row>
    <row r="506" spans="1:48" ht="45" hidden="1" customHeight="1">
      <c r="B506" s="159" t="s">
        <v>2142</v>
      </c>
      <c r="C506" s="159" t="s">
        <v>328</v>
      </c>
      <c r="D506" s="159" t="s">
        <v>329</v>
      </c>
      <c r="E506" s="159" t="s">
        <v>2143</v>
      </c>
      <c r="F506" s="152" t="s">
        <v>40</v>
      </c>
      <c r="G506" s="152" t="s">
        <v>2144</v>
      </c>
      <c r="H506" s="152" t="s">
        <v>42</v>
      </c>
      <c r="I506" s="152" t="s">
        <v>1831</v>
      </c>
      <c r="J506" s="151" t="s">
        <v>74</v>
      </c>
      <c r="K506" s="153">
        <v>45870</v>
      </c>
      <c r="L506" s="154" t="s">
        <v>45</v>
      </c>
      <c r="M506" s="155"/>
      <c r="N506" s="155"/>
      <c r="O506" s="155"/>
      <c r="P506" s="155"/>
      <c r="Q506" s="155"/>
      <c r="R506" s="155" t="s">
        <v>46</v>
      </c>
      <c r="S506" s="151" t="s">
        <v>47</v>
      </c>
      <c r="T506" s="151" t="s">
        <v>48</v>
      </c>
      <c r="U506" s="156" t="s">
        <v>2145</v>
      </c>
      <c r="V506" s="151" t="s">
        <v>85</v>
      </c>
      <c r="W506" s="151" t="s">
        <v>50</v>
      </c>
      <c r="X506" s="151"/>
      <c r="Y506" s="156" t="s">
        <v>200</v>
      </c>
      <c r="Z506" s="156"/>
      <c r="AA506" s="156"/>
      <c r="AB506" s="156"/>
      <c r="AC506" s="156"/>
      <c r="AD506" s="155">
        <v>45961</v>
      </c>
      <c r="AE506" s="157">
        <v>2300</v>
      </c>
      <c r="AF506" s="157">
        <v>3400</v>
      </c>
      <c r="AG506" s="155">
        <v>45931</v>
      </c>
      <c r="AH506" s="155">
        <v>45945</v>
      </c>
      <c r="AI506" s="155"/>
      <c r="AJ506" s="158">
        <v>45940</v>
      </c>
      <c r="AK506" s="211">
        <v>45961</v>
      </c>
      <c r="AL506" s="158"/>
      <c r="AM506" s="1"/>
    </row>
    <row r="507" spans="1:48" ht="45" hidden="1" customHeight="1">
      <c r="A507" s="1"/>
      <c r="B507" s="159" t="s">
        <v>2179</v>
      </c>
      <c r="C507" s="159" t="s">
        <v>449</v>
      </c>
      <c r="D507" s="159" t="s">
        <v>450</v>
      </c>
      <c r="E507" s="159" t="s">
        <v>2180</v>
      </c>
      <c r="F507" s="152" t="s">
        <v>40</v>
      </c>
      <c r="G507" s="152" t="s">
        <v>1968</v>
      </c>
      <c r="H507" s="152" t="s">
        <v>42</v>
      </c>
      <c r="I507" s="152" t="s">
        <v>346</v>
      </c>
      <c r="J507" s="151" t="s">
        <v>74</v>
      </c>
      <c r="K507" s="153">
        <v>45901</v>
      </c>
      <c r="L507" s="154" t="s">
        <v>45</v>
      </c>
      <c r="M507" s="296"/>
      <c r="N507" s="155"/>
      <c r="O507" s="155"/>
      <c r="P507" s="155"/>
      <c r="Q507" s="155"/>
      <c r="R507" s="155" t="s">
        <v>46</v>
      </c>
      <c r="S507" s="151" t="s">
        <v>47</v>
      </c>
      <c r="T507" s="151" t="s">
        <v>48</v>
      </c>
      <c r="U507" s="156" t="s">
        <v>2181</v>
      </c>
      <c r="V507" s="151" t="s">
        <v>85</v>
      </c>
      <c r="W507" s="151" t="s">
        <v>109</v>
      </c>
      <c r="X507" s="151"/>
      <c r="Y507" s="156" t="s">
        <v>254</v>
      </c>
      <c r="Z507" s="156"/>
      <c r="AA507" s="156"/>
      <c r="AB507" s="156"/>
      <c r="AC507" s="156"/>
      <c r="AD507" s="155">
        <v>45966</v>
      </c>
      <c r="AE507" s="157">
        <v>700</v>
      </c>
      <c r="AF507" s="157">
        <v>700</v>
      </c>
      <c r="AG507" s="155">
        <v>45932</v>
      </c>
      <c r="AH507" s="155">
        <v>45944</v>
      </c>
      <c r="AI507" s="155"/>
      <c r="AJ507" s="158">
        <v>45946</v>
      </c>
      <c r="AK507" s="211">
        <v>45966</v>
      </c>
      <c r="AL507" s="158"/>
      <c r="AM507" s="1"/>
      <c r="AN507" s="1"/>
      <c r="AO507" s="1"/>
      <c r="AP507" s="1"/>
      <c r="AQ507" s="1"/>
      <c r="AR507" s="1"/>
      <c r="AS507" s="1"/>
      <c r="AT507" s="1"/>
      <c r="AU507" s="1"/>
      <c r="AV507" s="1"/>
    </row>
    <row r="508" spans="1:48" ht="45" hidden="1" customHeight="1">
      <c r="A508" s="1"/>
      <c r="B508" s="159" t="s">
        <v>2217</v>
      </c>
      <c r="C508" s="159" t="s">
        <v>373</v>
      </c>
      <c r="D508" s="159" t="s">
        <v>374</v>
      </c>
      <c r="E508" s="159" t="s">
        <v>2218</v>
      </c>
      <c r="F508" s="152" t="s">
        <v>40</v>
      </c>
      <c r="G508" s="152" t="s">
        <v>137</v>
      </c>
      <c r="H508" s="152" t="s">
        <v>42</v>
      </c>
      <c r="I508" s="152" t="s">
        <v>1942</v>
      </c>
      <c r="J508" s="151" t="s">
        <v>74</v>
      </c>
      <c r="K508" s="153">
        <v>45901</v>
      </c>
      <c r="L508" s="154" t="s">
        <v>45</v>
      </c>
      <c r="M508" s="155" t="s">
        <v>45</v>
      </c>
      <c r="N508" s="155"/>
      <c r="O508" s="155"/>
      <c r="P508" s="155"/>
      <c r="Q508" s="155"/>
      <c r="R508" s="155" t="s">
        <v>46</v>
      </c>
      <c r="S508" s="151" t="s">
        <v>47</v>
      </c>
      <c r="T508" s="151" t="s">
        <v>48</v>
      </c>
      <c r="U508" s="156" t="s">
        <v>2219</v>
      </c>
      <c r="V508" s="151" t="s">
        <v>85</v>
      </c>
      <c r="W508" s="151" t="s">
        <v>124</v>
      </c>
      <c r="X508" s="151"/>
      <c r="Y508" s="156" t="s">
        <v>254</v>
      </c>
      <c r="Z508" s="156"/>
      <c r="AA508" s="156"/>
      <c r="AB508" s="156"/>
      <c r="AC508" s="156"/>
      <c r="AD508" s="155">
        <v>45980</v>
      </c>
      <c r="AE508" s="157">
        <v>1600</v>
      </c>
      <c r="AF508" s="157">
        <v>3900</v>
      </c>
      <c r="AG508" s="155">
        <v>45934</v>
      </c>
      <c r="AH508" s="155">
        <v>45948</v>
      </c>
      <c r="AI508" s="155"/>
      <c r="AJ508" s="158">
        <v>45954</v>
      </c>
      <c r="AK508" s="211">
        <v>45980</v>
      </c>
      <c r="AL508" s="158"/>
      <c r="AM508" s="1"/>
      <c r="AN508" s="1"/>
      <c r="AO508" s="1"/>
      <c r="AP508" s="1"/>
      <c r="AQ508" s="1"/>
      <c r="AR508" s="1"/>
      <c r="AS508" s="1"/>
      <c r="AT508" s="1"/>
      <c r="AU508" s="1"/>
      <c r="AV508" s="1"/>
    </row>
    <row r="509" spans="1:48" ht="45" hidden="1" customHeight="1">
      <c r="A509" s="1"/>
      <c r="B509" s="159" t="s">
        <v>2206</v>
      </c>
      <c r="C509" s="159" t="s">
        <v>373</v>
      </c>
      <c r="D509" s="159" t="s">
        <v>374</v>
      </c>
      <c r="E509" s="159" t="s">
        <v>2207</v>
      </c>
      <c r="F509" s="152" t="s">
        <v>40</v>
      </c>
      <c r="G509" s="152" t="s">
        <v>137</v>
      </c>
      <c r="H509" s="152" t="s">
        <v>42</v>
      </c>
      <c r="I509" s="152">
        <v>71</v>
      </c>
      <c r="J509" s="151" t="s">
        <v>74</v>
      </c>
      <c r="K509" s="153">
        <v>45901</v>
      </c>
      <c r="L509" s="154" t="s">
        <v>45</v>
      </c>
      <c r="M509" s="155"/>
      <c r="N509" s="155"/>
      <c r="O509" s="155"/>
      <c r="P509" s="155"/>
      <c r="Q509" s="155"/>
      <c r="R509" s="155" t="s">
        <v>46</v>
      </c>
      <c r="S509" s="151" t="s">
        <v>47</v>
      </c>
      <c r="T509" s="151" t="s">
        <v>48</v>
      </c>
      <c r="U509" s="156" t="s">
        <v>2208</v>
      </c>
      <c r="V509" s="151" t="s">
        <v>85</v>
      </c>
      <c r="W509" s="151" t="s">
        <v>94</v>
      </c>
      <c r="X509" s="151"/>
      <c r="Y509" s="156" t="s">
        <v>1167</v>
      </c>
      <c r="Z509" s="156"/>
      <c r="AA509" s="156"/>
      <c r="AB509" s="156"/>
      <c r="AC509" s="156"/>
      <c r="AD509" s="155">
        <v>45967</v>
      </c>
      <c r="AE509" s="157">
        <v>200</v>
      </c>
      <c r="AF509" s="157">
        <v>1000</v>
      </c>
      <c r="AG509" s="155">
        <v>45933</v>
      </c>
      <c r="AH509" s="155">
        <v>45945</v>
      </c>
      <c r="AI509" s="155">
        <v>45954</v>
      </c>
      <c r="AJ509" s="158">
        <v>45953</v>
      </c>
      <c r="AK509" s="211">
        <v>45967</v>
      </c>
      <c r="AL509" s="158"/>
      <c r="AM509" s="1"/>
      <c r="AN509" s="1"/>
      <c r="AO509" s="1"/>
      <c r="AP509" s="1"/>
      <c r="AQ509" s="1"/>
      <c r="AR509" s="1"/>
      <c r="AS509" s="1"/>
      <c r="AT509" s="1"/>
      <c r="AU509" s="1"/>
      <c r="AV509" s="1"/>
    </row>
    <row r="510" spans="1:48" ht="45" hidden="1" customHeight="1">
      <c r="B510" s="159" t="s">
        <v>2186</v>
      </c>
      <c r="C510" s="159" t="s">
        <v>336</v>
      </c>
      <c r="D510" s="159" t="s">
        <v>337</v>
      </c>
      <c r="E510" s="159" t="s">
        <v>2187</v>
      </c>
      <c r="F510" s="152" t="s">
        <v>40</v>
      </c>
      <c r="G510" s="152" t="s">
        <v>2188</v>
      </c>
      <c r="H510" s="152" t="s">
        <v>42</v>
      </c>
      <c r="I510" s="152" t="s">
        <v>2189</v>
      </c>
      <c r="J510" s="151" t="s">
        <v>74</v>
      </c>
      <c r="K510" s="153">
        <v>45901</v>
      </c>
      <c r="L510" s="154" t="s">
        <v>45</v>
      </c>
      <c r="M510" s="155"/>
      <c r="N510" s="155"/>
      <c r="O510" s="155"/>
      <c r="P510" s="155"/>
      <c r="Q510" s="155"/>
      <c r="R510" s="155" t="s">
        <v>46</v>
      </c>
      <c r="S510" s="151" t="s">
        <v>47</v>
      </c>
      <c r="T510" s="151" t="s">
        <v>48</v>
      </c>
      <c r="U510" s="156" t="s">
        <v>2190</v>
      </c>
      <c r="V510" s="151" t="s">
        <v>85</v>
      </c>
      <c r="W510" s="151" t="s">
        <v>94</v>
      </c>
      <c r="X510" s="151"/>
      <c r="Y510" s="156" t="s">
        <v>51</v>
      </c>
      <c r="Z510" s="156"/>
      <c r="AA510" s="156"/>
      <c r="AB510" s="156"/>
      <c r="AC510" s="156"/>
      <c r="AD510" s="155">
        <v>45951</v>
      </c>
      <c r="AE510" s="157">
        <v>600</v>
      </c>
      <c r="AF510" s="157">
        <v>1600</v>
      </c>
      <c r="AG510" s="155">
        <v>45926</v>
      </c>
      <c r="AH510" s="155">
        <v>45947</v>
      </c>
      <c r="AI510" s="155">
        <v>45952</v>
      </c>
      <c r="AJ510" s="158">
        <v>45950</v>
      </c>
      <c r="AK510" s="211">
        <v>45951</v>
      </c>
      <c r="AL510" s="158"/>
      <c r="AM510" s="1"/>
    </row>
    <row r="511" spans="1:48" ht="45" hidden="1" customHeight="1">
      <c r="B511" s="25" t="s">
        <v>69</v>
      </c>
      <c r="C511" s="25" t="s">
        <v>70</v>
      </c>
      <c r="D511" s="25" t="s">
        <v>71</v>
      </c>
      <c r="E511" s="25" t="s">
        <v>72</v>
      </c>
      <c r="F511" s="26" t="s">
        <v>40</v>
      </c>
      <c r="G511" s="26" t="s">
        <v>73</v>
      </c>
      <c r="H511" s="26" t="s">
        <v>42</v>
      </c>
      <c r="I511" s="26">
        <v>91</v>
      </c>
      <c r="J511" s="27" t="s">
        <v>74</v>
      </c>
      <c r="K511" s="28">
        <v>45901</v>
      </c>
      <c r="L511" s="29" t="s">
        <v>45</v>
      </c>
      <c r="M511" s="30"/>
      <c r="N511" s="30"/>
      <c r="O511" s="30"/>
      <c r="P511" s="30"/>
      <c r="Q511" s="30"/>
      <c r="R511" s="30" t="s">
        <v>46</v>
      </c>
      <c r="S511" s="151" t="s">
        <v>47</v>
      </c>
      <c r="T511" s="27" t="s">
        <v>48</v>
      </c>
      <c r="U511" s="31" t="s">
        <v>75</v>
      </c>
      <c r="V511" s="151" t="s">
        <v>85</v>
      </c>
      <c r="W511" s="27" t="s">
        <v>76</v>
      </c>
      <c r="X511" s="27"/>
      <c r="Y511" s="31" t="s">
        <v>77</v>
      </c>
      <c r="Z511" s="31"/>
      <c r="AA511" s="31"/>
      <c r="AB511" s="31"/>
      <c r="AC511" s="31"/>
      <c r="AD511" s="30">
        <v>45988</v>
      </c>
      <c r="AE511" s="32">
        <v>700</v>
      </c>
      <c r="AF511" s="32">
        <v>400</v>
      </c>
      <c r="AG511" s="30">
        <v>45939</v>
      </c>
      <c r="AH511" s="30">
        <v>45953</v>
      </c>
      <c r="AI511" s="30"/>
      <c r="AJ511" s="33">
        <v>45960</v>
      </c>
      <c r="AK511" s="209">
        <v>45988</v>
      </c>
      <c r="AL511" s="33"/>
      <c r="AM511" s="1"/>
    </row>
    <row r="512" spans="1:48" ht="45" hidden="1" customHeight="1">
      <c r="B512" s="159" t="s">
        <v>2228</v>
      </c>
      <c r="C512" s="159" t="s">
        <v>70</v>
      </c>
      <c r="D512" s="159" t="s">
        <v>71</v>
      </c>
      <c r="E512" s="159" t="s">
        <v>70</v>
      </c>
      <c r="F512" s="152" t="s">
        <v>40</v>
      </c>
      <c r="G512" s="152" t="s">
        <v>73</v>
      </c>
      <c r="H512" s="152" t="s">
        <v>42</v>
      </c>
      <c r="I512" s="152">
        <v>121.122</v>
      </c>
      <c r="J512" s="151" t="s">
        <v>74</v>
      </c>
      <c r="K512" s="153">
        <v>45901</v>
      </c>
      <c r="L512" s="154" t="s">
        <v>45</v>
      </c>
      <c r="M512" s="155"/>
      <c r="N512" s="155"/>
      <c r="O512" s="155"/>
      <c r="P512" s="155"/>
      <c r="Q512" s="155"/>
      <c r="R512" s="155" t="s">
        <v>46</v>
      </c>
      <c r="S512" s="151" t="s">
        <v>47</v>
      </c>
      <c r="T512" s="151" t="s">
        <v>48</v>
      </c>
      <c r="U512" s="156" t="s">
        <v>6721</v>
      </c>
      <c r="V512" s="151" t="s">
        <v>85</v>
      </c>
      <c r="W512" s="151" t="s">
        <v>76</v>
      </c>
      <c r="X512" s="151"/>
      <c r="Y512" s="156" t="s">
        <v>200</v>
      </c>
      <c r="Z512" s="156"/>
      <c r="AA512" s="156" t="s">
        <v>2229</v>
      </c>
      <c r="AB512" s="156"/>
      <c r="AC512" s="156"/>
      <c r="AD512" s="155">
        <v>45979</v>
      </c>
      <c r="AE512" s="157">
        <v>5200</v>
      </c>
      <c r="AF512" s="157">
        <v>5200</v>
      </c>
      <c r="AG512" s="155">
        <v>45932</v>
      </c>
      <c r="AH512" s="155">
        <v>45960</v>
      </c>
      <c r="AI512" s="155"/>
      <c r="AJ512" s="158">
        <v>45960</v>
      </c>
      <c r="AK512" s="211">
        <v>45979</v>
      </c>
      <c r="AL512" s="158"/>
      <c r="AM512" s="1"/>
    </row>
    <row r="513" spans="1:48" ht="45" hidden="1" customHeight="1">
      <c r="B513" s="25" t="s">
        <v>36</v>
      </c>
      <c r="C513" s="25" t="s">
        <v>37</v>
      </c>
      <c r="D513" s="25" t="s">
        <v>38</v>
      </c>
      <c r="E513" s="25" t="s">
        <v>39</v>
      </c>
      <c r="F513" s="26" t="s">
        <v>40</v>
      </c>
      <c r="G513" s="26" t="s">
        <v>41</v>
      </c>
      <c r="H513" s="26" t="s">
        <v>42</v>
      </c>
      <c r="I513" s="26" t="s">
        <v>43</v>
      </c>
      <c r="J513" s="27" t="s">
        <v>44</v>
      </c>
      <c r="K513" s="28">
        <v>45901</v>
      </c>
      <c r="L513" s="29" t="s">
        <v>45</v>
      </c>
      <c r="M513" s="30"/>
      <c r="N513" s="30"/>
      <c r="O513" s="30"/>
      <c r="P513" s="30"/>
      <c r="Q513" s="30"/>
      <c r="R513" s="30" t="s">
        <v>46</v>
      </c>
      <c r="S513" s="27" t="s">
        <v>47</v>
      </c>
      <c r="T513" s="27" t="s">
        <v>48</v>
      </c>
      <c r="U513" s="31" t="s">
        <v>49</v>
      </c>
      <c r="V513" s="27"/>
      <c r="W513" s="27" t="s">
        <v>50</v>
      </c>
      <c r="X513" s="27"/>
      <c r="Y513" s="31" t="s">
        <v>51</v>
      </c>
      <c r="Z513" s="31"/>
      <c r="AA513" s="31" t="s">
        <v>52</v>
      </c>
      <c r="AB513" s="31"/>
      <c r="AC513" s="31"/>
      <c r="AD513" s="30"/>
      <c r="AE513" s="32">
        <v>1100</v>
      </c>
      <c r="AF513" s="32">
        <v>4900</v>
      </c>
      <c r="AG513" s="30">
        <v>45913</v>
      </c>
      <c r="AH513" s="30">
        <v>45928</v>
      </c>
      <c r="AI513" s="30"/>
      <c r="AJ513" s="33">
        <v>45928</v>
      </c>
      <c r="AK513" s="209"/>
      <c r="AL513" s="33"/>
      <c r="AM513" s="1"/>
    </row>
    <row r="514" spans="1:48" ht="45" hidden="1" customHeight="1">
      <c r="B514" s="159" t="s">
        <v>2100</v>
      </c>
      <c r="C514" s="159" t="s">
        <v>267</v>
      </c>
      <c r="D514" s="159" t="s">
        <v>268</v>
      </c>
      <c r="E514" s="159" t="s">
        <v>2101</v>
      </c>
      <c r="F514" s="152" t="s">
        <v>40</v>
      </c>
      <c r="G514" s="152" t="s">
        <v>1557</v>
      </c>
      <c r="H514" s="152" t="s">
        <v>42</v>
      </c>
      <c r="I514" s="152">
        <v>15</v>
      </c>
      <c r="J514" s="151" t="s">
        <v>44</v>
      </c>
      <c r="K514" s="153">
        <v>45901</v>
      </c>
      <c r="L514" s="154" t="s">
        <v>45</v>
      </c>
      <c r="M514" s="155"/>
      <c r="N514" s="155"/>
      <c r="O514" s="155"/>
      <c r="P514" s="155"/>
      <c r="Q514" s="155"/>
      <c r="R514" s="155" t="s">
        <v>46</v>
      </c>
      <c r="S514" s="151" t="s">
        <v>47</v>
      </c>
      <c r="T514" s="151" t="s">
        <v>48</v>
      </c>
      <c r="U514" s="156" t="s">
        <v>2102</v>
      </c>
      <c r="V514" s="151" t="s">
        <v>85</v>
      </c>
      <c r="W514" s="151" t="s">
        <v>94</v>
      </c>
      <c r="X514" s="151"/>
      <c r="Y514" s="156" t="s">
        <v>94</v>
      </c>
      <c r="Z514" s="156" t="s">
        <v>68</v>
      </c>
      <c r="AA514" s="156"/>
      <c r="AB514" s="156"/>
      <c r="AC514" s="156"/>
      <c r="AD514" s="155">
        <v>45951</v>
      </c>
      <c r="AE514" s="157">
        <v>1000</v>
      </c>
      <c r="AF514" s="157">
        <v>1500</v>
      </c>
      <c r="AG514" s="155">
        <v>45915</v>
      </c>
      <c r="AH514" s="155">
        <v>45925</v>
      </c>
      <c r="AI514" s="155">
        <v>45929</v>
      </c>
      <c r="AJ514" s="158">
        <v>45930</v>
      </c>
      <c r="AK514" s="211">
        <v>45951</v>
      </c>
      <c r="AL514" s="158"/>
      <c r="AM514" s="1"/>
    </row>
    <row r="515" spans="1:48" ht="45" hidden="1" customHeight="1">
      <c r="B515" s="159" t="s">
        <v>2163</v>
      </c>
      <c r="C515" s="159" t="s">
        <v>126</v>
      </c>
      <c r="D515" s="159" t="s">
        <v>127</v>
      </c>
      <c r="E515" s="159" t="s">
        <v>600</v>
      </c>
      <c r="F515" s="152" t="s">
        <v>40</v>
      </c>
      <c r="G515" s="152" t="s">
        <v>1557</v>
      </c>
      <c r="H515" s="152" t="s">
        <v>42</v>
      </c>
      <c r="I515" s="152" t="s">
        <v>2164</v>
      </c>
      <c r="J515" s="151" t="s">
        <v>74</v>
      </c>
      <c r="K515" s="153">
        <v>45901</v>
      </c>
      <c r="L515" s="154" t="s">
        <v>45</v>
      </c>
      <c r="M515" s="155"/>
      <c r="N515" s="155"/>
      <c r="O515" s="155"/>
      <c r="P515" s="155"/>
      <c r="Q515" s="155"/>
      <c r="R515" s="155" t="s">
        <v>46</v>
      </c>
      <c r="S515" s="151" t="s">
        <v>47</v>
      </c>
      <c r="T515" s="151" t="s">
        <v>48</v>
      </c>
      <c r="U515" s="151" t="s">
        <v>6877</v>
      </c>
      <c r="V515" s="151"/>
      <c r="W515" s="151" t="s">
        <v>61</v>
      </c>
      <c r="X515" s="151"/>
      <c r="Y515" s="151" t="s">
        <v>2165</v>
      </c>
      <c r="Z515" s="151" t="s">
        <v>2166</v>
      </c>
      <c r="AA515" s="151"/>
      <c r="AB515" s="151"/>
      <c r="AC515" s="151"/>
      <c r="AD515" s="151"/>
      <c r="AE515" s="151">
        <v>1100</v>
      </c>
      <c r="AF515" s="151">
        <v>3200</v>
      </c>
      <c r="AG515" s="155">
        <v>45919</v>
      </c>
      <c r="AH515" s="155">
        <v>45939</v>
      </c>
      <c r="AI515" s="155">
        <v>45941</v>
      </c>
      <c r="AJ515" s="158">
        <v>45941</v>
      </c>
      <c r="AK515" s="211"/>
      <c r="AL515" s="158"/>
      <c r="AM515" s="1"/>
    </row>
    <row r="516" spans="1:48" ht="45" hidden="1" customHeight="1">
      <c r="A516" s="1"/>
      <c r="B516" s="25" t="s">
        <v>96</v>
      </c>
      <c r="C516" s="25" t="s">
        <v>79</v>
      </c>
      <c r="D516" s="218" t="s">
        <v>80</v>
      </c>
      <c r="E516" s="25" t="s">
        <v>97</v>
      </c>
      <c r="F516" s="26" t="s">
        <v>40</v>
      </c>
      <c r="G516" s="26" t="s">
        <v>98</v>
      </c>
      <c r="H516" s="26" t="s">
        <v>42</v>
      </c>
      <c r="I516" s="26">
        <v>231.232</v>
      </c>
      <c r="J516" s="27" t="s">
        <v>74</v>
      </c>
      <c r="K516" s="28">
        <v>45901</v>
      </c>
      <c r="L516" s="29" t="s">
        <v>99</v>
      </c>
      <c r="M516" s="30"/>
      <c r="N516" s="30"/>
      <c r="O516" s="30"/>
      <c r="P516" s="30"/>
      <c r="Q516" s="30"/>
      <c r="R516" s="30" t="s">
        <v>46</v>
      </c>
      <c r="S516" s="151" t="s">
        <v>47</v>
      </c>
      <c r="T516" s="27" t="s">
        <v>48</v>
      </c>
      <c r="U516" s="31" t="s">
        <v>100</v>
      </c>
      <c r="V516" s="27" t="s">
        <v>85</v>
      </c>
      <c r="W516" s="27" t="s">
        <v>94</v>
      </c>
      <c r="X516" s="27"/>
      <c r="Y516" s="31" t="s">
        <v>101</v>
      </c>
      <c r="Z516" s="31"/>
      <c r="AA516" s="31" t="s">
        <v>102</v>
      </c>
      <c r="AB516" s="31"/>
      <c r="AC516" s="31"/>
      <c r="AD516" s="30">
        <v>45987</v>
      </c>
      <c r="AE516" s="32">
        <v>2300</v>
      </c>
      <c r="AF516" s="32">
        <v>1600</v>
      </c>
      <c r="AG516" s="30">
        <v>45940</v>
      </c>
      <c r="AH516" s="30">
        <v>45960</v>
      </c>
      <c r="AI516" s="30"/>
      <c r="AJ516" s="33">
        <v>45960</v>
      </c>
      <c r="AK516" s="209">
        <v>45987</v>
      </c>
      <c r="AL516" s="33"/>
      <c r="AM516" s="1"/>
      <c r="AN516" s="1"/>
      <c r="AO516" s="1"/>
      <c r="AP516" s="1"/>
      <c r="AQ516" s="1"/>
      <c r="AR516" s="58"/>
      <c r="AS516" s="58"/>
      <c r="AT516" s="58"/>
      <c r="AU516" s="58"/>
      <c r="AV516" s="58"/>
    </row>
    <row r="517" spans="1:48" ht="45" hidden="1" customHeight="1">
      <c r="A517" s="1"/>
      <c r="B517" s="159" t="s">
        <v>96</v>
      </c>
      <c r="C517" s="159" t="s">
        <v>410</v>
      </c>
      <c r="D517" s="159" t="s">
        <v>411</v>
      </c>
      <c r="E517" s="159" t="s">
        <v>2103</v>
      </c>
      <c r="F517" s="152" t="s">
        <v>2104</v>
      </c>
      <c r="G517" s="152" t="s">
        <v>121</v>
      </c>
      <c r="H517" s="152" t="s">
        <v>42</v>
      </c>
      <c r="I517" s="152" t="s">
        <v>2105</v>
      </c>
      <c r="J517" s="151" t="s">
        <v>2020</v>
      </c>
      <c r="K517" s="153">
        <v>45901</v>
      </c>
      <c r="L517" s="154" t="s">
        <v>58</v>
      </c>
      <c r="M517" s="155"/>
      <c r="N517" s="155"/>
      <c r="O517" s="155"/>
      <c r="P517" s="155"/>
      <c r="Q517" s="155"/>
      <c r="R517" s="155" t="s">
        <v>46</v>
      </c>
      <c r="S517" s="151" t="s">
        <v>47</v>
      </c>
      <c r="T517" s="151" t="s">
        <v>48</v>
      </c>
      <c r="U517" s="156" t="s">
        <v>2106</v>
      </c>
      <c r="V517" s="151"/>
      <c r="W517" s="151" t="s">
        <v>50</v>
      </c>
      <c r="X517" s="151"/>
      <c r="Y517" s="156" t="s">
        <v>68</v>
      </c>
      <c r="Z517" s="156"/>
      <c r="AA517" s="156"/>
      <c r="AB517" s="156"/>
      <c r="AC517" s="156"/>
      <c r="AD517" s="155"/>
      <c r="AE517" s="157">
        <v>200</v>
      </c>
      <c r="AF517" s="157">
        <v>300</v>
      </c>
      <c r="AG517" s="155">
        <v>45913</v>
      </c>
      <c r="AH517" s="155">
        <v>45927</v>
      </c>
      <c r="AI517" s="155">
        <v>45927</v>
      </c>
      <c r="AJ517" s="158">
        <v>45930</v>
      </c>
      <c r="AK517" s="211"/>
      <c r="AL517" s="158"/>
      <c r="AM517" s="1"/>
      <c r="AN517" s="1"/>
      <c r="AO517" s="1"/>
      <c r="AP517" s="1"/>
      <c r="AQ517" s="1"/>
      <c r="AR517" s="1"/>
      <c r="AS517" s="1"/>
      <c r="AT517" s="1"/>
      <c r="AU517" s="1"/>
      <c r="AV517" s="1"/>
    </row>
    <row r="518" spans="1:48" ht="45" hidden="1" customHeight="1">
      <c r="B518" s="159" t="s">
        <v>2059</v>
      </c>
      <c r="C518" s="159" t="s">
        <v>79</v>
      </c>
      <c r="D518" s="218" t="s">
        <v>80</v>
      </c>
      <c r="E518" s="159" t="s">
        <v>2245</v>
      </c>
      <c r="F518" s="152" t="s">
        <v>40</v>
      </c>
      <c r="G518" s="152" t="s">
        <v>98</v>
      </c>
      <c r="H518" s="152" t="s">
        <v>42</v>
      </c>
      <c r="I518" s="152" t="s">
        <v>2246</v>
      </c>
      <c r="J518" s="151" t="s">
        <v>74</v>
      </c>
      <c r="K518" s="153">
        <v>45901</v>
      </c>
      <c r="L518" s="154" t="s">
        <v>58</v>
      </c>
      <c r="M518" s="155"/>
      <c r="N518" s="155"/>
      <c r="O518" s="155"/>
      <c r="P518" s="155"/>
      <c r="Q518" s="155"/>
      <c r="R518" s="155" t="s">
        <v>46</v>
      </c>
      <c r="S518" s="151" t="s">
        <v>47</v>
      </c>
      <c r="T518" s="151" t="s">
        <v>48</v>
      </c>
      <c r="U518" s="156" t="s">
        <v>2247</v>
      </c>
      <c r="V518" s="151" t="s">
        <v>85</v>
      </c>
      <c r="W518" s="151" t="s">
        <v>94</v>
      </c>
      <c r="X518" s="151"/>
      <c r="Y518" s="156" t="s">
        <v>1167</v>
      </c>
      <c r="Z518" s="156"/>
      <c r="AA518" s="156" t="s">
        <v>102</v>
      </c>
      <c r="AB518" s="156"/>
      <c r="AC518" s="156"/>
      <c r="AD518" s="155">
        <v>45995</v>
      </c>
      <c r="AE518" s="157">
        <v>1400</v>
      </c>
      <c r="AF518" s="157">
        <v>1300</v>
      </c>
      <c r="AG518" s="155">
        <v>45939</v>
      </c>
      <c r="AH518" s="155">
        <v>45960</v>
      </c>
      <c r="AI518" s="155"/>
      <c r="AJ518" s="158">
        <v>45960</v>
      </c>
      <c r="AK518" s="211">
        <v>45995</v>
      </c>
      <c r="AL518" s="158"/>
      <c r="AM518" s="1"/>
    </row>
    <row r="519" spans="1:48" ht="45" hidden="1" customHeight="1">
      <c r="B519" s="159" t="s">
        <v>2059</v>
      </c>
      <c r="C519" s="159" t="s">
        <v>555</v>
      </c>
      <c r="D519" s="159" t="s">
        <v>556</v>
      </c>
      <c r="E519" s="159" t="s">
        <v>2060</v>
      </c>
      <c r="F519" s="152" t="s">
        <v>40</v>
      </c>
      <c r="G519" s="152" t="s">
        <v>446</v>
      </c>
      <c r="H519" s="152" t="s">
        <v>42</v>
      </c>
      <c r="I519" s="152" t="s">
        <v>1690</v>
      </c>
      <c r="J519" s="151" t="s">
        <v>44</v>
      </c>
      <c r="K519" s="153">
        <v>45901</v>
      </c>
      <c r="L519" s="154" t="s">
        <v>2061</v>
      </c>
      <c r="M519" s="155"/>
      <c r="N519" s="155"/>
      <c r="O519" s="155"/>
      <c r="P519" s="155"/>
      <c r="Q519" s="155"/>
      <c r="R519" s="155" t="s">
        <v>46</v>
      </c>
      <c r="S519" s="151" t="s">
        <v>47</v>
      </c>
      <c r="T519" s="151" t="s">
        <v>48</v>
      </c>
      <c r="U519" s="156" t="s">
        <v>2062</v>
      </c>
      <c r="V519" s="151"/>
      <c r="W519" s="151" t="s">
        <v>50</v>
      </c>
      <c r="X519" s="151" t="s">
        <v>94</v>
      </c>
      <c r="Y519" s="156" t="s">
        <v>94</v>
      </c>
      <c r="Z519" s="156"/>
      <c r="AA519" s="156"/>
      <c r="AB519" s="156"/>
      <c r="AC519" s="156"/>
      <c r="AD519" s="155">
        <v>45925</v>
      </c>
      <c r="AE519" s="157"/>
      <c r="AF519" s="157"/>
      <c r="AG519" s="155">
        <v>45915</v>
      </c>
      <c r="AH519" s="155">
        <v>45928</v>
      </c>
      <c r="AI519" s="155">
        <v>45925</v>
      </c>
      <c r="AJ519" s="158">
        <v>45923</v>
      </c>
      <c r="AK519" s="211">
        <v>45925</v>
      </c>
      <c r="AL519" s="158"/>
      <c r="AM519" s="1"/>
    </row>
    <row r="520" spans="1:48" ht="45" hidden="1" customHeight="1">
      <c r="B520" s="159" t="s">
        <v>2248</v>
      </c>
      <c r="C520" s="159" t="s">
        <v>79</v>
      </c>
      <c r="D520" s="218" t="s">
        <v>80</v>
      </c>
      <c r="E520" s="159" t="s">
        <v>2249</v>
      </c>
      <c r="F520" s="152" t="s">
        <v>40</v>
      </c>
      <c r="G520" s="152" t="s">
        <v>98</v>
      </c>
      <c r="H520" s="152" t="s">
        <v>42</v>
      </c>
      <c r="I520" s="152">
        <v>221</v>
      </c>
      <c r="J520" s="151" t="s">
        <v>74</v>
      </c>
      <c r="K520" s="153">
        <v>45901</v>
      </c>
      <c r="L520" s="154" t="s">
        <v>58</v>
      </c>
      <c r="M520" s="155"/>
      <c r="N520" s="155"/>
      <c r="O520" s="155"/>
      <c r="P520" s="155"/>
      <c r="Q520" s="155"/>
      <c r="R520" s="155" t="s">
        <v>46</v>
      </c>
      <c r="S520" s="151" t="s">
        <v>47</v>
      </c>
      <c r="T520" s="151" t="s">
        <v>48</v>
      </c>
      <c r="U520" s="156" t="s">
        <v>2250</v>
      </c>
      <c r="V520" s="151" t="s">
        <v>85</v>
      </c>
      <c r="W520" s="151" t="s">
        <v>94</v>
      </c>
      <c r="X520" s="151"/>
      <c r="Y520" s="156" t="s">
        <v>254</v>
      </c>
      <c r="Z520" s="156"/>
      <c r="AA520" s="156" t="s">
        <v>102</v>
      </c>
      <c r="AB520" s="156"/>
      <c r="AC520" s="156"/>
      <c r="AD520" s="155">
        <v>45995</v>
      </c>
      <c r="AE520" s="157">
        <v>500</v>
      </c>
      <c r="AF520" s="157">
        <v>500</v>
      </c>
      <c r="AG520" s="155">
        <v>45940</v>
      </c>
      <c r="AH520" s="155">
        <v>45960</v>
      </c>
      <c r="AI520" s="155"/>
      <c r="AJ520" s="158">
        <v>45960</v>
      </c>
      <c r="AK520" s="211">
        <v>45995</v>
      </c>
      <c r="AL520" s="158"/>
      <c r="AM520" s="1"/>
    </row>
    <row r="521" spans="1:48" ht="45" hidden="1" customHeight="1">
      <c r="B521" s="159" t="s">
        <v>2125</v>
      </c>
      <c r="C521" s="159" t="s">
        <v>111</v>
      </c>
      <c r="D521" s="159" t="s">
        <v>112</v>
      </c>
      <c r="E521" s="159" t="s">
        <v>2126</v>
      </c>
      <c r="F521" s="152" t="s">
        <v>40</v>
      </c>
      <c r="G521" s="152" t="s">
        <v>2127</v>
      </c>
      <c r="H521" s="152" t="s">
        <v>42</v>
      </c>
      <c r="I521" s="152">
        <v>355</v>
      </c>
      <c r="J521" s="151" t="s">
        <v>44</v>
      </c>
      <c r="K521" s="153">
        <v>45901</v>
      </c>
      <c r="L521" s="154" t="s">
        <v>58</v>
      </c>
      <c r="M521" s="155"/>
      <c r="N521" s="155"/>
      <c r="O521" s="155"/>
      <c r="P521" s="155"/>
      <c r="Q521" s="155"/>
      <c r="R521" s="155" t="s">
        <v>46</v>
      </c>
      <c r="S521" s="151" t="s">
        <v>47</v>
      </c>
      <c r="T521" s="151" t="s">
        <v>48</v>
      </c>
      <c r="U521" s="156" t="s">
        <v>2128</v>
      </c>
      <c r="V521" s="151" t="s">
        <v>85</v>
      </c>
      <c r="W521" s="195" t="s">
        <v>147</v>
      </c>
      <c r="X521" s="151"/>
      <c r="Y521" s="156" t="s">
        <v>94</v>
      </c>
      <c r="Z521" s="156" t="s">
        <v>1155</v>
      </c>
      <c r="AA521" s="156"/>
      <c r="AB521" s="156"/>
      <c r="AC521" s="156"/>
      <c r="AD521" s="155">
        <v>45996</v>
      </c>
      <c r="AE521" s="157"/>
      <c r="AF521" s="157"/>
      <c r="AG521" s="155">
        <v>45913</v>
      </c>
      <c r="AH521" s="155">
        <v>45924</v>
      </c>
      <c r="AI521" s="155"/>
      <c r="AJ521" s="158">
        <v>45931</v>
      </c>
      <c r="AK521" s="211">
        <v>45996</v>
      </c>
      <c r="AL521" s="158"/>
      <c r="AM521" s="1"/>
    </row>
    <row r="522" spans="1:48" ht="45" hidden="1" customHeight="1">
      <c r="B522" s="159" t="s">
        <v>2133</v>
      </c>
      <c r="C522" s="159" t="s">
        <v>1246</v>
      </c>
      <c r="D522" s="159" t="s">
        <v>1247</v>
      </c>
      <c r="E522" s="159" t="s">
        <v>2134</v>
      </c>
      <c r="F522" s="152"/>
      <c r="G522" s="152" t="s">
        <v>2135</v>
      </c>
      <c r="H522" s="152" t="s">
        <v>740</v>
      </c>
      <c r="I522" s="152" t="s">
        <v>1879</v>
      </c>
      <c r="J522" s="151"/>
      <c r="K522" s="153">
        <v>45901</v>
      </c>
      <c r="L522" s="154" t="s">
        <v>58</v>
      </c>
      <c r="M522" s="155"/>
      <c r="N522" s="155"/>
      <c r="O522" s="155"/>
      <c r="P522" s="155"/>
      <c r="Q522" s="155"/>
      <c r="R522" s="155" t="s">
        <v>46</v>
      </c>
      <c r="S522" s="151" t="s">
        <v>47</v>
      </c>
      <c r="T522" s="151" t="s">
        <v>48</v>
      </c>
      <c r="U522" s="156" t="s">
        <v>2136</v>
      </c>
      <c r="V522" s="151"/>
      <c r="W522" s="151" t="s">
        <v>67</v>
      </c>
      <c r="X522" s="151" t="s">
        <v>76</v>
      </c>
      <c r="Y522" s="156" t="s">
        <v>1764</v>
      </c>
      <c r="Z522" s="156" t="s">
        <v>2137</v>
      </c>
      <c r="AA522" s="156"/>
      <c r="AB522" s="156"/>
      <c r="AC522" s="156"/>
      <c r="AD522" s="155"/>
      <c r="AE522" s="157"/>
      <c r="AF522" s="157"/>
      <c r="AG522" s="155">
        <v>45915</v>
      </c>
      <c r="AH522" s="155">
        <v>45930</v>
      </c>
      <c r="AI522" s="155"/>
      <c r="AJ522" s="158">
        <v>45936</v>
      </c>
      <c r="AK522" s="211"/>
      <c r="AL522" s="158"/>
      <c r="AM522" s="1"/>
    </row>
    <row r="523" spans="1:48" ht="45" hidden="1" customHeight="1">
      <c r="B523" s="159" t="s">
        <v>2191</v>
      </c>
      <c r="C523" s="159" t="s">
        <v>479</v>
      </c>
      <c r="D523" s="159" t="s">
        <v>480</v>
      </c>
      <c r="E523" s="159" t="s">
        <v>2192</v>
      </c>
      <c r="F523" s="152" t="s">
        <v>2172</v>
      </c>
      <c r="G523" s="152" t="s">
        <v>2193</v>
      </c>
      <c r="H523" s="152" t="s">
        <v>42</v>
      </c>
      <c r="I523" s="152">
        <v>101</v>
      </c>
      <c r="J523" s="151" t="s">
        <v>74</v>
      </c>
      <c r="K523" s="153">
        <v>45901</v>
      </c>
      <c r="L523" s="154" t="s">
        <v>58</v>
      </c>
      <c r="M523" s="155"/>
      <c r="N523" s="155"/>
      <c r="O523" s="155"/>
      <c r="P523" s="155"/>
      <c r="Q523" s="155"/>
      <c r="R523" s="155" t="s">
        <v>46</v>
      </c>
      <c r="S523" s="151" t="s">
        <v>47</v>
      </c>
      <c r="T523" s="151" t="s">
        <v>48</v>
      </c>
      <c r="U523" s="156" t="s">
        <v>2194</v>
      </c>
      <c r="V523" s="151" t="s">
        <v>140</v>
      </c>
      <c r="W523" s="151" t="s">
        <v>94</v>
      </c>
      <c r="X523" s="151"/>
      <c r="Y523" s="156" t="s">
        <v>51</v>
      </c>
      <c r="Z523" s="156"/>
      <c r="AA523" s="156"/>
      <c r="AB523" s="156"/>
      <c r="AC523" s="156"/>
      <c r="AD523" s="155">
        <v>45960</v>
      </c>
      <c r="AE523" s="157">
        <v>300</v>
      </c>
      <c r="AF523" s="157">
        <v>400</v>
      </c>
      <c r="AG523" s="155">
        <v>45941</v>
      </c>
      <c r="AH523" s="155">
        <v>45953</v>
      </c>
      <c r="AI523" s="155">
        <v>45955</v>
      </c>
      <c r="AJ523" s="158">
        <v>45951</v>
      </c>
      <c r="AK523" s="211">
        <v>45960</v>
      </c>
      <c r="AL523" s="158"/>
      <c r="AM523" s="1"/>
    </row>
    <row r="524" spans="1:48" ht="45" hidden="1" customHeight="1">
      <c r="B524" s="159" t="s">
        <v>2175</v>
      </c>
      <c r="C524" s="159" t="s">
        <v>2176</v>
      </c>
      <c r="D524" s="159" t="s">
        <v>450</v>
      </c>
      <c r="E524" s="159" t="s">
        <v>2177</v>
      </c>
      <c r="F524" s="152" t="s">
        <v>40</v>
      </c>
      <c r="G524" s="152" t="s">
        <v>1557</v>
      </c>
      <c r="H524" s="152" t="s">
        <v>42</v>
      </c>
      <c r="I524" s="152">
        <v>31</v>
      </c>
      <c r="J524" s="151" t="s">
        <v>74</v>
      </c>
      <c r="K524" s="153">
        <v>45901</v>
      </c>
      <c r="L524" s="154" t="s">
        <v>58</v>
      </c>
      <c r="M524" s="155"/>
      <c r="N524" s="155"/>
      <c r="O524" s="155"/>
      <c r="P524" s="155"/>
      <c r="Q524" s="155"/>
      <c r="R524" s="155" t="s">
        <v>46</v>
      </c>
      <c r="S524" s="151" t="s">
        <v>47</v>
      </c>
      <c r="T524" s="151" t="s">
        <v>48</v>
      </c>
      <c r="U524" s="156" t="s">
        <v>2178</v>
      </c>
      <c r="V524" s="151" t="s">
        <v>85</v>
      </c>
      <c r="W524" s="151" t="s">
        <v>94</v>
      </c>
      <c r="X524" s="151"/>
      <c r="Y524" s="156" t="s">
        <v>77</v>
      </c>
      <c r="Z524" s="156"/>
      <c r="AA524" s="156"/>
      <c r="AB524" s="156"/>
      <c r="AC524" s="156"/>
      <c r="AD524" s="155">
        <v>45945</v>
      </c>
      <c r="AE524" s="157">
        <v>200</v>
      </c>
      <c r="AF524" s="157">
        <v>100</v>
      </c>
      <c r="AG524" s="155">
        <v>45940</v>
      </c>
      <c r="AH524" s="155">
        <v>45946</v>
      </c>
      <c r="AI524" s="155"/>
      <c r="AJ524" s="158">
        <v>45944</v>
      </c>
      <c r="AK524" s="211">
        <v>45945</v>
      </c>
      <c r="AL524" s="158"/>
      <c r="AM524" s="1"/>
    </row>
    <row r="525" spans="1:48" ht="45" hidden="1" customHeight="1">
      <c r="B525" s="159" t="s">
        <v>2254</v>
      </c>
      <c r="C525" s="159" t="s">
        <v>293</v>
      </c>
      <c r="D525" s="159" t="s">
        <v>294</v>
      </c>
      <c r="E525" s="159" t="s">
        <v>2255</v>
      </c>
      <c r="F525" s="152" t="s">
        <v>40</v>
      </c>
      <c r="G525" s="152" t="s">
        <v>2057</v>
      </c>
      <c r="H525" s="152" t="s">
        <v>42</v>
      </c>
      <c r="I525" s="152" t="s">
        <v>1831</v>
      </c>
      <c r="J525" s="151" t="s">
        <v>74</v>
      </c>
      <c r="K525" s="153">
        <v>45901</v>
      </c>
      <c r="L525" s="154" t="s">
        <v>45</v>
      </c>
      <c r="M525" s="155" t="s">
        <v>45</v>
      </c>
      <c r="N525" s="155"/>
      <c r="O525" s="155"/>
      <c r="P525" s="155"/>
      <c r="Q525" s="155"/>
      <c r="R525" s="155" t="s">
        <v>46</v>
      </c>
      <c r="S525" s="151" t="s">
        <v>47</v>
      </c>
      <c r="T525" s="151" t="s">
        <v>48</v>
      </c>
      <c r="U525" s="156" t="s">
        <v>2256</v>
      </c>
      <c r="V525" s="151" t="s">
        <v>60</v>
      </c>
      <c r="W525" s="195" t="s">
        <v>147</v>
      </c>
      <c r="X525" s="151"/>
      <c r="Y525" s="156" t="s">
        <v>62</v>
      </c>
      <c r="Z525" s="156"/>
      <c r="AA525" s="156" t="s">
        <v>2257</v>
      </c>
      <c r="AB525" s="156"/>
      <c r="AC525" s="156"/>
      <c r="AD525" s="155">
        <v>45985</v>
      </c>
      <c r="AE525" s="157">
        <v>1700</v>
      </c>
      <c r="AF525" s="157">
        <v>4300</v>
      </c>
      <c r="AG525" s="155">
        <v>45940</v>
      </c>
      <c r="AH525" s="155">
        <v>45960</v>
      </c>
      <c r="AI525" s="155"/>
      <c r="AJ525" s="158">
        <v>45961</v>
      </c>
      <c r="AK525" s="211">
        <v>45985</v>
      </c>
      <c r="AL525" s="158"/>
      <c r="AM525" s="1"/>
    </row>
    <row r="526" spans="1:48" ht="45" hidden="1" customHeight="1">
      <c r="B526" s="159" t="s">
        <v>2239</v>
      </c>
      <c r="C526" s="159" t="s">
        <v>298</v>
      </c>
      <c r="D526" s="159" t="s">
        <v>299</v>
      </c>
      <c r="E526" s="159" t="s">
        <v>2240</v>
      </c>
      <c r="F526" s="152" t="s">
        <v>40</v>
      </c>
      <c r="G526" s="152" t="s">
        <v>2135</v>
      </c>
      <c r="H526" s="152" t="s">
        <v>42</v>
      </c>
      <c r="I526" s="152" t="s">
        <v>1831</v>
      </c>
      <c r="J526" s="151" t="s">
        <v>74</v>
      </c>
      <c r="K526" s="153">
        <v>45901</v>
      </c>
      <c r="L526" s="154" t="s">
        <v>45</v>
      </c>
      <c r="M526" s="158"/>
      <c r="N526" s="155"/>
      <c r="O526" s="155"/>
      <c r="P526" s="155"/>
      <c r="Q526" s="155"/>
      <c r="R526" s="155" t="s">
        <v>46</v>
      </c>
      <c r="S526" s="151" t="s">
        <v>47</v>
      </c>
      <c r="T526" s="151" t="s">
        <v>48</v>
      </c>
      <c r="U526" s="156" t="s">
        <v>2241</v>
      </c>
      <c r="V526" s="151" t="s">
        <v>85</v>
      </c>
      <c r="W526" s="151" t="s">
        <v>109</v>
      </c>
      <c r="X526" s="151"/>
      <c r="Y526" s="156" t="s">
        <v>170</v>
      </c>
      <c r="Z526" s="156"/>
      <c r="AA526" s="156"/>
      <c r="AB526" s="156"/>
      <c r="AC526" s="156"/>
      <c r="AD526" s="155">
        <v>45972</v>
      </c>
      <c r="AE526" s="157">
        <v>2600</v>
      </c>
      <c r="AF526" s="157">
        <v>6400</v>
      </c>
      <c r="AG526" s="155">
        <v>45946</v>
      </c>
      <c r="AH526" s="155">
        <v>45960</v>
      </c>
      <c r="AI526" s="155"/>
      <c r="AJ526" s="158">
        <v>45960</v>
      </c>
      <c r="AK526" s="211">
        <v>45972</v>
      </c>
      <c r="AL526" s="158"/>
      <c r="AM526" s="1"/>
    </row>
    <row r="527" spans="1:48" ht="45" hidden="1" customHeight="1">
      <c r="B527" s="159" t="s">
        <v>2203</v>
      </c>
      <c r="C527" s="159" t="s">
        <v>298</v>
      </c>
      <c r="D527" s="159" t="s">
        <v>299</v>
      </c>
      <c r="E527" s="159" t="s">
        <v>2204</v>
      </c>
      <c r="F527" s="152" t="s">
        <v>40</v>
      </c>
      <c r="G527" s="152" t="s">
        <v>2135</v>
      </c>
      <c r="H527" s="152" t="s">
        <v>42</v>
      </c>
      <c r="I527" s="152">
        <v>101.102</v>
      </c>
      <c r="J527" s="151" t="s">
        <v>74</v>
      </c>
      <c r="K527" s="153">
        <v>45901</v>
      </c>
      <c r="L527" s="154" t="s">
        <v>45</v>
      </c>
      <c r="M527" s="155"/>
      <c r="N527" s="155"/>
      <c r="O527" s="155"/>
      <c r="P527" s="155"/>
      <c r="Q527" s="155"/>
      <c r="R527" s="155" t="s">
        <v>46</v>
      </c>
      <c r="S527" s="151" t="s">
        <v>47</v>
      </c>
      <c r="T527" s="151" t="s">
        <v>48</v>
      </c>
      <c r="U527" s="156" t="s">
        <v>2205</v>
      </c>
      <c r="V527" s="151" t="s">
        <v>140</v>
      </c>
      <c r="W527" s="151" t="s">
        <v>67</v>
      </c>
      <c r="X527" s="151"/>
      <c r="Y527" s="156" t="s">
        <v>132</v>
      </c>
      <c r="Z527" s="156"/>
      <c r="AA527" s="156"/>
      <c r="AB527" s="156"/>
      <c r="AC527" s="156"/>
      <c r="AD527" s="155">
        <v>45960</v>
      </c>
      <c r="AE527" s="157">
        <v>1500</v>
      </c>
      <c r="AF527" s="157">
        <v>3200</v>
      </c>
      <c r="AG527" s="155">
        <v>45947</v>
      </c>
      <c r="AH527" s="155">
        <v>45958</v>
      </c>
      <c r="AI527" s="155"/>
      <c r="AJ527" s="158">
        <v>45953</v>
      </c>
      <c r="AK527" s="211">
        <v>45960</v>
      </c>
      <c r="AL527" s="158"/>
      <c r="AM527" s="1"/>
    </row>
    <row r="528" spans="1:48" ht="45" hidden="1" customHeight="1">
      <c r="A528" s="1"/>
      <c r="B528" s="159" t="s">
        <v>2230</v>
      </c>
      <c r="C528" s="159" t="s">
        <v>248</v>
      </c>
      <c r="D528" s="159" t="s">
        <v>249</v>
      </c>
      <c r="E528" s="159" t="s">
        <v>2231</v>
      </c>
      <c r="F528" s="152" t="s">
        <v>40</v>
      </c>
      <c r="G528" s="152" t="s">
        <v>2232</v>
      </c>
      <c r="H528" s="152" t="s">
        <v>42</v>
      </c>
      <c r="I528" s="152">
        <v>181</v>
      </c>
      <c r="J528" s="151" t="s">
        <v>74</v>
      </c>
      <c r="K528" s="153">
        <v>45901</v>
      </c>
      <c r="L528" s="154" t="s">
        <v>58</v>
      </c>
      <c r="M528" s="155" t="s">
        <v>99</v>
      </c>
      <c r="N528" s="155"/>
      <c r="O528" s="155"/>
      <c r="P528" s="155"/>
      <c r="Q528" s="155"/>
      <c r="R528" s="155" t="s">
        <v>46</v>
      </c>
      <c r="S528" s="151" t="s">
        <v>47</v>
      </c>
      <c r="T528" s="151" t="s">
        <v>48</v>
      </c>
      <c r="U528" s="156" t="s">
        <v>2233</v>
      </c>
      <c r="V528" s="151" t="s">
        <v>60</v>
      </c>
      <c r="W528" s="151" t="s">
        <v>94</v>
      </c>
      <c r="X528" s="151"/>
      <c r="Y528" s="156" t="s">
        <v>62</v>
      </c>
      <c r="Z528" s="156"/>
      <c r="AA528" s="156"/>
      <c r="AB528" s="156"/>
      <c r="AC528" s="156"/>
      <c r="AD528" s="155">
        <v>45965</v>
      </c>
      <c r="AE528" s="157">
        <v>800</v>
      </c>
      <c r="AF528" s="157">
        <v>600</v>
      </c>
      <c r="AG528" s="155">
        <v>45946</v>
      </c>
      <c r="AH528" s="155">
        <v>45955</v>
      </c>
      <c r="AI528" s="155"/>
      <c r="AJ528" s="158">
        <v>45960</v>
      </c>
      <c r="AK528" s="211">
        <v>45965</v>
      </c>
      <c r="AL528" s="158"/>
      <c r="AM528" s="1"/>
      <c r="AN528" s="1"/>
      <c r="AO528" s="1"/>
      <c r="AP528" s="1"/>
      <c r="AQ528" s="1"/>
      <c r="AR528" s="1"/>
      <c r="AS528" s="1"/>
      <c r="AT528" s="1"/>
      <c r="AU528" s="1"/>
      <c r="AV528" s="1"/>
    </row>
    <row r="529" spans="1:48" ht="45" hidden="1" customHeight="1">
      <c r="B529" s="159" t="s">
        <v>2167</v>
      </c>
      <c r="C529" s="159" t="s">
        <v>223</v>
      </c>
      <c r="D529" s="159" t="s">
        <v>224</v>
      </c>
      <c r="E529" s="159" t="s">
        <v>2168</v>
      </c>
      <c r="F529" s="152" t="s">
        <v>40</v>
      </c>
      <c r="G529" s="152" t="s">
        <v>391</v>
      </c>
      <c r="H529" s="152" t="s">
        <v>42</v>
      </c>
      <c r="I529" s="152" t="s">
        <v>2169</v>
      </c>
      <c r="J529" s="151" t="s">
        <v>74</v>
      </c>
      <c r="K529" s="153">
        <v>45901</v>
      </c>
      <c r="L529" s="154" t="s">
        <v>99</v>
      </c>
      <c r="M529" s="155"/>
      <c r="N529" s="155"/>
      <c r="O529" s="155"/>
      <c r="P529" s="155"/>
      <c r="Q529" s="155"/>
      <c r="R529" s="155" t="s">
        <v>46</v>
      </c>
      <c r="S529" s="151" t="s">
        <v>47</v>
      </c>
      <c r="T529" s="151" t="s">
        <v>48</v>
      </c>
      <c r="U529" s="156" t="s">
        <v>6720</v>
      </c>
      <c r="V529" s="151" t="s">
        <v>85</v>
      </c>
      <c r="W529" s="151" t="s">
        <v>109</v>
      </c>
      <c r="X529" s="151"/>
      <c r="Y529" s="156" t="s">
        <v>1155</v>
      </c>
      <c r="Z529" s="156" t="s">
        <v>200</v>
      </c>
      <c r="AA529" s="156"/>
      <c r="AB529" s="156"/>
      <c r="AC529" s="156"/>
      <c r="AD529" s="155">
        <v>45953</v>
      </c>
      <c r="AE529" s="157">
        <v>1300</v>
      </c>
      <c r="AF529" s="157">
        <v>3300</v>
      </c>
      <c r="AG529" s="155">
        <v>45929</v>
      </c>
      <c r="AH529" s="155">
        <v>45947</v>
      </c>
      <c r="AI529" s="155"/>
      <c r="AJ529" s="158">
        <v>45943</v>
      </c>
      <c r="AK529" s="211">
        <v>45953</v>
      </c>
      <c r="AL529" s="158"/>
      <c r="AM529" s="1"/>
    </row>
    <row r="530" spans="1:48" ht="45" hidden="1" customHeight="1">
      <c r="B530" s="159" t="s">
        <v>2200</v>
      </c>
      <c r="C530" s="159" t="s">
        <v>293</v>
      </c>
      <c r="D530" s="159" t="s">
        <v>842</v>
      </c>
      <c r="E530" s="159" t="s">
        <v>2201</v>
      </c>
      <c r="F530" s="152" t="s">
        <v>40</v>
      </c>
      <c r="G530" s="152" t="s">
        <v>1676</v>
      </c>
      <c r="H530" s="152" t="s">
        <v>42</v>
      </c>
      <c r="I530" s="152">
        <v>63</v>
      </c>
      <c r="J530" s="151" t="s">
        <v>74</v>
      </c>
      <c r="K530" s="153">
        <v>45901</v>
      </c>
      <c r="L530" s="154" t="s">
        <v>58</v>
      </c>
      <c r="M530" s="155"/>
      <c r="N530" s="155"/>
      <c r="O530" s="155"/>
      <c r="P530" s="155"/>
      <c r="Q530" s="155"/>
      <c r="R530" s="155" t="s">
        <v>46</v>
      </c>
      <c r="S530" s="151" t="s">
        <v>47</v>
      </c>
      <c r="T530" s="151" t="s">
        <v>48</v>
      </c>
      <c r="U530" s="156" t="s">
        <v>2202</v>
      </c>
      <c r="V530" s="151" t="s">
        <v>60</v>
      </c>
      <c r="W530" s="195" t="s">
        <v>147</v>
      </c>
      <c r="X530" s="151"/>
      <c r="Y530" s="156" t="s">
        <v>51</v>
      </c>
      <c r="Z530" s="156"/>
      <c r="AA530" s="156"/>
      <c r="AB530" s="156"/>
      <c r="AC530" s="156"/>
      <c r="AD530" s="155">
        <v>45960</v>
      </c>
      <c r="AE530" s="157">
        <v>300</v>
      </c>
      <c r="AF530" s="157">
        <v>600</v>
      </c>
      <c r="AG530" s="155">
        <v>45943</v>
      </c>
      <c r="AH530" s="155">
        <v>45950</v>
      </c>
      <c r="AI530" s="155">
        <v>45957</v>
      </c>
      <c r="AJ530" s="158">
        <v>45952</v>
      </c>
      <c r="AK530" s="211">
        <v>45960</v>
      </c>
      <c r="AL530" s="158"/>
      <c r="AM530" s="1"/>
    </row>
    <row r="531" spans="1:48" ht="45" hidden="1" customHeight="1">
      <c r="B531" s="159" t="s">
        <v>2242</v>
      </c>
      <c r="C531" s="159" t="s">
        <v>293</v>
      </c>
      <c r="D531" s="159" t="s">
        <v>842</v>
      </c>
      <c r="E531" s="159" t="s">
        <v>2243</v>
      </c>
      <c r="F531" s="152" t="s">
        <v>40</v>
      </c>
      <c r="G531" s="152" t="s">
        <v>1676</v>
      </c>
      <c r="H531" s="152" t="s">
        <v>42</v>
      </c>
      <c r="I531" s="152">
        <v>61.061999999999998</v>
      </c>
      <c r="J531" s="151" t="s">
        <v>74</v>
      </c>
      <c r="K531" s="153">
        <v>45901</v>
      </c>
      <c r="L531" s="154" t="s">
        <v>58</v>
      </c>
      <c r="M531" s="383"/>
      <c r="N531" s="155"/>
      <c r="O531" s="155"/>
      <c r="P531" s="155"/>
      <c r="Q531" s="155"/>
      <c r="R531" s="155" t="s">
        <v>46</v>
      </c>
      <c r="S531" s="151" t="s">
        <v>47</v>
      </c>
      <c r="T531" s="151" t="s">
        <v>48</v>
      </c>
      <c r="U531" s="156" t="s">
        <v>2244</v>
      </c>
      <c r="V531" s="151" t="s">
        <v>85</v>
      </c>
      <c r="W531" s="195" t="s">
        <v>147</v>
      </c>
      <c r="X531" s="151"/>
      <c r="Y531" s="156" t="s">
        <v>51</v>
      </c>
      <c r="Z531" s="156"/>
      <c r="AA531" s="156"/>
      <c r="AB531" s="156"/>
      <c r="AC531" s="156"/>
      <c r="AD531" s="155">
        <v>45966</v>
      </c>
      <c r="AE531" s="157">
        <v>600</v>
      </c>
      <c r="AF531" s="157">
        <v>1400</v>
      </c>
      <c r="AG531" s="155">
        <v>45941</v>
      </c>
      <c r="AH531" s="155">
        <v>45954</v>
      </c>
      <c r="AI531" s="155"/>
      <c r="AJ531" s="158">
        <v>45960</v>
      </c>
      <c r="AK531" s="211">
        <v>45966</v>
      </c>
      <c r="AL531" s="158"/>
      <c r="AM531" s="1"/>
    </row>
    <row r="532" spans="1:48" ht="45" hidden="1" customHeight="1">
      <c r="B532" s="372" t="s">
        <v>2468</v>
      </c>
      <c r="C532" s="372" t="s">
        <v>88</v>
      </c>
      <c r="D532" s="372" t="s">
        <v>89</v>
      </c>
      <c r="E532" s="372" t="s">
        <v>2469</v>
      </c>
      <c r="F532" s="373" t="s">
        <v>40</v>
      </c>
      <c r="G532" s="373" t="s">
        <v>91</v>
      </c>
      <c r="H532" s="373" t="s">
        <v>42</v>
      </c>
      <c r="I532" s="373">
        <v>171</v>
      </c>
      <c r="J532" s="326"/>
      <c r="K532" s="374">
        <v>45931</v>
      </c>
      <c r="L532" s="376" t="s">
        <v>58</v>
      </c>
      <c r="M532" s="375"/>
      <c r="N532" s="375"/>
      <c r="O532" s="375"/>
      <c r="P532" s="375"/>
      <c r="Q532" s="375"/>
      <c r="R532" s="375" t="s">
        <v>46</v>
      </c>
      <c r="S532" s="326" t="s">
        <v>47</v>
      </c>
      <c r="T532" s="175" t="s">
        <v>48</v>
      </c>
      <c r="U532" s="193" t="s">
        <v>7789</v>
      </c>
      <c r="V532" s="326" t="s">
        <v>85</v>
      </c>
      <c r="W532" s="326" t="s">
        <v>147</v>
      </c>
      <c r="X532" s="326"/>
      <c r="Y532" s="193" t="s">
        <v>132</v>
      </c>
      <c r="Z532" s="193"/>
      <c r="AA532" s="193" t="s">
        <v>2426</v>
      </c>
      <c r="AB532" s="193"/>
      <c r="AC532" s="193"/>
      <c r="AD532" s="375">
        <v>46184</v>
      </c>
      <c r="AE532" s="377"/>
      <c r="AF532" s="377"/>
      <c r="AG532" s="375">
        <v>46147</v>
      </c>
      <c r="AH532" s="375">
        <v>46178</v>
      </c>
      <c r="AI532" s="375"/>
      <c r="AJ532" s="345">
        <v>46176</v>
      </c>
      <c r="AK532" s="378">
        <v>46184</v>
      </c>
      <c r="AL532" s="388" t="s">
        <v>7790</v>
      </c>
      <c r="AM532" s="1"/>
    </row>
    <row r="533" spans="1:48" ht="45" hidden="1" customHeight="1">
      <c r="A533" s="1"/>
      <c r="B533" s="34" t="s">
        <v>63</v>
      </c>
      <c r="C533" s="34" t="s">
        <v>54</v>
      </c>
      <c r="D533" s="34" t="s">
        <v>55</v>
      </c>
      <c r="E533" s="34" t="s">
        <v>64</v>
      </c>
      <c r="F533" s="35" t="s">
        <v>40</v>
      </c>
      <c r="G533" s="35" t="s">
        <v>56</v>
      </c>
      <c r="H533" s="35" t="s">
        <v>42</v>
      </c>
      <c r="I533" s="35">
        <v>11</v>
      </c>
      <c r="J533" s="36" t="s">
        <v>57</v>
      </c>
      <c r="K533" s="37">
        <v>45931</v>
      </c>
      <c r="L533" s="38" t="s">
        <v>58</v>
      </c>
      <c r="M533" s="39"/>
      <c r="N533" s="39"/>
      <c r="O533" s="39"/>
      <c r="P533" s="39"/>
      <c r="Q533" s="39"/>
      <c r="R533" s="39" t="s">
        <v>46</v>
      </c>
      <c r="S533" s="36" t="s">
        <v>47</v>
      </c>
      <c r="T533" s="36" t="s">
        <v>48</v>
      </c>
      <c r="U533" s="40" t="s">
        <v>65</v>
      </c>
      <c r="V533" s="36" t="s">
        <v>66</v>
      </c>
      <c r="W533" s="36" t="s">
        <v>67</v>
      </c>
      <c r="X533" s="36"/>
      <c r="Y533" s="40" t="s">
        <v>68</v>
      </c>
      <c r="Z533" s="40"/>
      <c r="AA533" s="40"/>
      <c r="AB533" s="40"/>
      <c r="AC533" s="40"/>
      <c r="AD533" s="39">
        <v>45965</v>
      </c>
      <c r="AE533" s="41">
        <v>800</v>
      </c>
      <c r="AF533" s="41">
        <v>500</v>
      </c>
      <c r="AG533" s="39">
        <v>45944</v>
      </c>
      <c r="AH533" s="39">
        <v>45952</v>
      </c>
      <c r="AI533" s="39"/>
      <c r="AJ533" s="42">
        <v>45956</v>
      </c>
      <c r="AK533" s="210">
        <v>45965</v>
      </c>
      <c r="AL533" s="42"/>
      <c r="AM533" s="1"/>
      <c r="AN533" s="1"/>
      <c r="AO533" s="1"/>
      <c r="AP533" s="1"/>
      <c r="AQ533" s="1"/>
      <c r="AR533" s="1"/>
      <c r="AS533" s="1"/>
      <c r="AT533" s="1"/>
      <c r="AU533" s="1"/>
      <c r="AV533" s="1"/>
    </row>
    <row r="534" spans="1:48" ht="45" hidden="1" customHeight="1">
      <c r="B534" s="34" t="s">
        <v>53</v>
      </c>
      <c r="C534" s="34" t="s">
        <v>54</v>
      </c>
      <c r="D534" s="34" t="s">
        <v>55</v>
      </c>
      <c r="E534" s="34" t="s">
        <v>54</v>
      </c>
      <c r="F534" s="35" t="s">
        <v>40</v>
      </c>
      <c r="G534" s="35" t="s">
        <v>56</v>
      </c>
      <c r="H534" s="35" t="s">
        <v>42</v>
      </c>
      <c r="I534" s="35">
        <v>71.072000000000003</v>
      </c>
      <c r="J534" s="36" t="s">
        <v>57</v>
      </c>
      <c r="K534" s="37">
        <v>45931</v>
      </c>
      <c r="L534" s="38" t="s">
        <v>58</v>
      </c>
      <c r="M534" s="39" t="s">
        <v>58</v>
      </c>
      <c r="N534" s="39"/>
      <c r="O534" s="39"/>
      <c r="P534" s="39"/>
      <c r="Q534" s="39"/>
      <c r="R534" s="39" t="s">
        <v>46</v>
      </c>
      <c r="S534" s="36" t="s">
        <v>47</v>
      </c>
      <c r="T534" s="36" t="s">
        <v>48</v>
      </c>
      <c r="U534" s="40" t="s">
        <v>59</v>
      </c>
      <c r="V534" s="36" t="s">
        <v>60</v>
      </c>
      <c r="W534" s="36" t="s">
        <v>61</v>
      </c>
      <c r="X534" s="36"/>
      <c r="Y534" s="40" t="s">
        <v>62</v>
      </c>
      <c r="Z534" s="40"/>
      <c r="AA534" s="40"/>
      <c r="AB534" s="40"/>
      <c r="AC534" s="40"/>
      <c r="AD534" s="39">
        <v>45965</v>
      </c>
      <c r="AE534" s="41">
        <v>1100</v>
      </c>
      <c r="AF534" s="41">
        <v>900</v>
      </c>
      <c r="AG534" s="39">
        <v>45944</v>
      </c>
      <c r="AH534" s="39">
        <v>45955</v>
      </c>
      <c r="AI534" s="39"/>
      <c r="AJ534" s="42">
        <v>45952</v>
      </c>
      <c r="AK534" s="210">
        <v>45965</v>
      </c>
      <c r="AL534" s="42"/>
      <c r="AM534" s="1"/>
    </row>
    <row r="535" spans="1:48" ht="45" hidden="1" customHeight="1">
      <c r="A535" s="1"/>
      <c r="B535" s="25" t="s">
        <v>110</v>
      </c>
      <c r="C535" s="25" t="s">
        <v>111</v>
      </c>
      <c r="D535" s="25" t="s">
        <v>112</v>
      </c>
      <c r="E535" s="266" t="s">
        <v>113</v>
      </c>
      <c r="F535" s="26" t="s">
        <v>40</v>
      </c>
      <c r="G535" s="26" t="s">
        <v>7115</v>
      </c>
      <c r="H535" s="26" t="s">
        <v>42</v>
      </c>
      <c r="I535" s="26">
        <v>251</v>
      </c>
      <c r="J535" s="27" t="s">
        <v>57</v>
      </c>
      <c r="K535" s="28">
        <v>45931</v>
      </c>
      <c r="L535" s="29" t="s">
        <v>58</v>
      </c>
      <c r="M535" s="30" t="s">
        <v>58</v>
      </c>
      <c r="N535" s="30"/>
      <c r="O535" s="30"/>
      <c r="P535" s="30"/>
      <c r="Q535" s="30"/>
      <c r="R535" s="30" t="s">
        <v>46</v>
      </c>
      <c r="S535" s="27" t="s">
        <v>47</v>
      </c>
      <c r="T535" s="27" t="s">
        <v>48</v>
      </c>
      <c r="U535" s="31" t="s">
        <v>114</v>
      </c>
      <c r="V535" s="27" t="s">
        <v>85</v>
      </c>
      <c r="W535" s="27" t="s">
        <v>61</v>
      </c>
      <c r="X535" s="27"/>
      <c r="Y535" s="31" t="s">
        <v>115</v>
      </c>
      <c r="Z535" s="31"/>
      <c r="AA535" s="31"/>
      <c r="AB535" s="31"/>
      <c r="AC535" s="31"/>
      <c r="AD535" s="30">
        <v>45973</v>
      </c>
      <c r="AE535" s="32">
        <v>1200</v>
      </c>
      <c r="AF535" s="32">
        <v>1600</v>
      </c>
      <c r="AG535" s="30">
        <v>45949</v>
      </c>
      <c r="AH535" s="30">
        <v>45975</v>
      </c>
      <c r="AI535" s="30"/>
      <c r="AJ535" s="33">
        <v>45971</v>
      </c>
      <c r="AK535" s="209">
        <v>45973</v>
      </c>
      <c r="AL535" s="204" t="s">
        <v>7249</v>
      </c>
      <c r="AM535" s="1"/>
      <c r="AN535" s="1"/>
      <c r="AO535" s="1"/>
      <c r="AP535" s="1"/>
      <c r="AQ535" s="1"/>
      <c r="AR535" s="1"/>
      <c r="AS535" s="1"/>
      <c r="AT535" s="1"/>
      <c r="AU535" s="1"/>
      <c r="AV535" s="1"/>
    </row>
    <row r="536" spans="1:48" ht="45" hidden="1" customHeight="1">
      <c r="B536" s="25" t="s">
        <v>236</v>
      </c>
      <c r="C536" s="25" t="s">
        <v>223</v>
      </c>
      <c r="D536" s="25" t="s">
        <v>224</v>
      </c>
      <c r="E536" s="266" t="s">
        <v>223</v>
      </c>
      <c r="F536" s="26" t="s">
        <v>40</v>
      </c>
      <c r="G536" s="26" t="s">
        <v>237</v>
      </c>
      <c r="H536" s="26" t="s">
        <v>42</v>
      </c>
      <c r="I536" s="26" t="s">
        <v>238</v>
      </c>
      <c r="J536" s="27" t="s">
        <v>57</v>
      </c>
      <c r="K536" s="28">
        <v>45932</v>
      </c>
      <c r="L536" s="29" t="s">
        <v>58</v>
      </c>
      <c r="M536" s="30"/>
      <c r="N536" s="30"/>
      <c r="O536" s="30"/>
      <c r="P536" s="30"/>
      <c r="Q536" s="30"/>
      <c r="R536" s="30" t="s">
        <v>46</v>
      </c>
      <c r="S536" s="27" t="s">
        <v>47</v>
      </c>
      <c r="T536" s="27" t="s">
        <v>48</v>
      </c>
      <c r="U536" s="31" t="s">
        <v>7096</v>
      </c>
      <c r="V536" s="27" t="s">
        <v>85</v>
      </c>
      <c r="W536" s="27" t="s">
        <v>239</v>
      </c>
      <c r="X536" s="27"/>
      <c r="Y536" s="31" t="s">
        <v>77</v>
      </c>
      <c r="Z536" s="31"/>
      <c r="AA536" s="31"/>
      <c r="AB536" s="31"/>
      <c r="AC536" s="31"/>
      <c r="AD536" s="30">
        <v>46100</v>
      </c>
      <c r="AE536" s="32">
        <v>4000</v>
      </c>
      <c r="AF536" s="32">
        <v>11100</v>
      </c>
      <c r="AG536" s="30">
        <v>45960</v>
      </c>
      <c r="AH536" s="30">
        <v>45990</v>
      </c>
      <c r="AI536" s="30"/>
      <c r="AJ536" s="33">
        <v>45991</v>
      </c>
      <c r="AK536" s="209">
        <v>46035</v>
      </c>
      <c r="AL536" s="204" t="s">
        <v>7241</v>
      </c>
      <c r="AM536" s="1"/>
    </row>
    <row r="537" spans="1:48" ht="45" customHeight="1">
      <c r="A537" s="1"/>
      <c r="B537" s="34" t="s">
        <v>141</v>
      </c>
      <c r="C537" s="34" t="s">
        <v>142</v>
      </c>
      <c r="D537" s="34" t="s">
        <v>143</v>
      </c>
      <c r="E537" s="34" t="s">
        <v>144</v>
      </c>
      <c r="F537" s="35" t="s">
        <v>40</v>
      </c>
      <c r="G537" s="35" t="s">
        <v>145</v>
      </c>
      <c r="H537" s="35" t="s">
        <v>42</v>
      </c>
      <c r="I537" s="35">
        <v>111.11199999999999</v>
      </c>
      <c r="J537" s="36" t="s">
        <v>57</v>
      </c>
      <c r="K537" s="37">
        <v>45931</v>
      </c>
      <c r="L537" s="38" t="s">
        <v>58</v>
      </c>
      <c r="M537" s="39"/>
      <c r="N537" s="39"/>
      <c r="O537" s="39"/>
      <c r="P537" s="39"/>
      <c r="Q537" s="39"/>
      <c r="R537" s="39" t="s">
        <v>46</v>
      </c>
      <c r="S537" s="36" t="s">
        <v>47</v>
      </c>
      <c r="T537" s="36" t="s">
        <v>48</v>
      </c>
      <c r="U537" s="40" t="s">
        <v>146</v>
      </c>
      <c r="V537" s="36" t="s">
        <v>85</v>
      </c>
      <c r="W537" s="151" t="s">
        <v>147</v>
      </c>
      <c r="X537" s="36"/>
      <c r="Y537" s="40" t="s">
        <v>132</v>
      </c>
      <c r="Z537" s="40"/>
      <c r="AA537" s="40" t="s">
        <v>148</v>
      </c>
      <c r="AB537" s="40"/>
      <c r="AC537" s="40"/>
      <c r="AD537" s="39">
        <v>46002</v>
      </c>
      <c r="AE537" s="41">
        <v>500</v>
      </c>
      <c r="AF537" s="41">
        <v>2300</v>
      </c>
      <c r="AG537" s="39">
        <v>45968</v>
      </c>
      <c r="AH537" s="39">
        <v>45978</v>
      </c>
      <c r="AI537" s="39"/>
      <c r="AJ537" s="42">
        <v>45978</v>
      </c>
      <c r="AK537" s="210">
        <v>46002</v>
      </c>
      <c r="AL537" s="42"/>
      <c r="AM537" s="1"/>
      <c r="AN537" s="1"/>
      <c r="AO537" s="1"/>
      <c r="AP537" s="1"/>
      <c r="AQ537" s="1"/>
      <c r="AR537" s="1"/>
      <c r="AS537" s="1"/>
      <c r="AT537" s="1"/>
      <c r="AU537" s="1"/>
      <c r="AV537" s="1"/>
    </row>
    <row r="538" spans="1:48" ht="45" customHeight="1">
      <c r="B538" s="25" t="s">
        <v>219</v>
      </c>
      <c r="C538" s="25" t="s">
        <v>142</v>
      </c>
      <c r="D538" s="25" t="s">
        <v>143</v>
      </c>
      <c r="E538" s="25" t="s">
        <v>220</v>
      </c>
      <c r="F538" s="26" t="s">
        <v>40</v>
      </c>
      <c r="G538" s="26" t="s">
        <v>145</v>
      </c>
      <c r="H538" s="26" t="s">
        <v>42</v>
      </c>
      <c r="I538" s="26" t="s">
        <v>130</v>
      </c>
      <c r="J538" s="27" t="s">
        <v>57</v>
      </c>
      <c r="K538" s="28">
        <v>45931</v>
      </c>
      <c r="L538" s="29" t="s">
        <v>58</v>
      </c>
      <c r="M538" s="30"/>
      <c r="N538" s="30"/>
      <c r="O538" s="30"/>
      <c r="P538" s="30"/>
      <c r="Q538" s="30"/>
      <c r="R538" s="30" t="s">
        <v>46</v>
      </c>
      <c r="S538" s="27" t="s">
        <v>221</v>
      </c>
      <c r="T538" s="27" t="s">
        <v>48</v>
      </c>
      <c r="U538" s="31" t="s">
        <v>222</v>
      </c>
      <c r="V538" s="27" t="s">
        <v>85</v>
      </c>
      <c r="W538" s="27" t="s">
        <v>109</v>
      </c>
      <c r="X538" s="27"/>
      <c r="Y538" s="31" t="s">
        <v>132</v>
      </c>
      <c r="Z538" s="31"/>
      <c r="AA538" s="31"/>
      <c r="AB538" s="31"/>
      <c r="AC538" s="31"/>
      <c r="AD538" s="30">
        <v>45992</v>
      </c>
      <c r="AE538" s="32">
        <v>900</v>
      </c>
      <c r="AF538" s="32">
        <v>5500</v>
      </c>
      <c r="AG538" s="30">
        <v>45968</v>
      </c>
      <c r="AH538" s="30">
        <v>45987</v>
      </c>
      <c r="AI538" s="30"/>
      <c r="AJ538" s="33">
        <v>45988</v>
      </c>
      <c r="AK538" s="209">
        <v>45992</v>
      </c>
      <c r="AL538" s="33"/>
      <c r="AM538" s="1"/>
    </row>
    <row r="539" spans="1:48" ht="45" hidden="1" customHeight="1">
      <c r="B539" s="34" t="s">
        <v>78</v>
      </c>
      <c r="C539" s="34" t="s">
        <v>79</v>
      </c>
      <c r="D539" s="218" t="s">
        <v>80</v>
      </c>
      <c r="E539" s="273" t="s">
        <v>81</v>
      </c>
      <c r="F539" s="35" t="s">
        <v>40</v>
      </c>
      <c r="G539" s="35" t="s">
        <v>82</v>
      </c>
      <c r="H539" s="35" t="s">
        <v>42</v>
      </c>
      <c r="I539" s="35" t="s">
        <v>83</v>
      </c>
      <c r="J539" s="36" t="s">
        <v>57</v>
      </c>
      <c r="K539" s="37">
        <v>45901</v>
      </c>
      <c r="L539" s="38" t="s">
        <v>58</v>
      </c>
      <c r="M539" s="39"/>
      <c r="N539" s="39"/>
      <c r="O539" s="39"/>
      <c r="P539" s="39"/>
      <c r="Q539" s="39"/>
      <c r="R539" s="39" t="s">
        <v>46</v>
      </c>
      <c r="S539" s="36" t="s">
        <v>47</v>
      </c>
      <c r="T539" s="36" t="s">
        <v>48</v>
      </c>
      <c r="U539" s="40" t="s">
        <v>84</v>
      </c>
      <c r="V539" s="36" t="s">
        <v>85</v>
      </c>
      <c r="W539" s="36" t="s">
        <v>86</v>
      </c>
      <c r="X539" s="36"/>
      <c r="Y539" s="40" t="s">
        <v>77</v>
      </c>
      <c r="Z539" s="40"/>
      <c r="AA539" s="40"/>
      <c r="AB539" s="40"/>
      <c r="AC539" s="40"/>
      <c r="AD539" s="39">
        <v>45968</v>
      </c>
      <c r="AE539" s="41">
        <v>2300</v>
      </c>
      <c r="AF539" s="41">
        <v>2500</v>
      </c>
      <c r="AG539" s="39">
        <v>45947</v>
      </c>
      <c r="AH539" s="39">
        <v>45960</v>
      </c>
      <c r="AI539" s="39"/>
      <c r="AJ539" s="42">
        <v>45960</v>
      </c>
      <c r="AK539" s="210">
        <v>45968</v>
      </c>
      <c r="AL539" s="204" t="s">
        <v>7238</v>
      </c>
      <c r="AM539" s="1"/>
    </row>
    <row r="540" spans="1:48" ht="45" hidden="1" customHeight="1">
      <c r="A540" s="1"/>
      <c r="B540" s="25" t="s">
        <v>133</v>
      </c>
      <c r="C540" s="25" t="s">
        <v>134</v>
      </c>
      <c r="D540" s="25" t="s">
        <v>135</v>
      </c>
      <c r="E540" s="25" t="s">
        <v>136</v>
      </c>
      <c r="F540" s="26" t="s">
        <v>40</v>
      </c>
      <c r="G540" s="25" t="s">
        <v>137</v>
      </c>
      <c r="H540" s="25" t="s">
        <v>42</v>
      </c>
      <c r="I540" s="25" t="s">
        <v>138</v>
      </c>
      <c r="J540" s="27" t="s">
        <v>57</v>
      </c>
      <c r="K540" s="258">
        <v>45931</v>
      </c>
      <c r="L540" s="30" t="s">
        <v>58</v>
      </c>
      <c r="M540" s="30"/>
      <c r="N540" s="30"/>
      <c r="O540" s="30"/>
      <c r="P540" s="30"/>
      <c r="Q540" s="30"/>
      <c r="R540" s="30" t="s">
        <v>46</v>
      </c>
      <c r="S540" s="27" t="s">
        <v>47</v>
      </c>
      <c r="T540" s="27" t="s">
        <v>48</v>
      </c>
      <c r="U540" s="31" t="s">
        <v>139</v>
      </c>
      <c r="V540" s="27" t="s">
        <v>140</v>
      </c>
      <c r="W540" s="27" t="s">
        <v>124</v>
      </c>
      <c r="X540" s="27"/>
      <c r="Y540" s="31" t="s">
        <v>51</v>
      </c>
      <c r="Z540" s="31"/>
      <c r="AA540" s="31"/>
      <c r="AB540" s="31"/>
      <c r="AC540" s="31"/>
      <c r="AD540" s="30">
        <v>45994</v>
      </c>
      <c r="AE540" s="32">
        <v>3000</v>
      </c>
      <c r="AF540" s="32">
        <v>5300</v>
      </c>
      <c r="AG540" s="30">
        <v>45949</v>
      </c>
      <c r="AH540" s="30">
        <v>45975</v>
      </c>
      <c r="AI540" s="30"/>
      <c r="AJ540" s="33">
        <v>45975</v>
      </c>
      <c r="AK540" s="209">
        <v>45994</v>
      </c>
      <c r="AL540" s="33"/>
      <c r="AM540" s="1"/>
      <c r="AN540" s="1"/>
      <c r="AO540" s="1"/>
      <c r="AP540" s="1"/>
      <c r="AQ540" s="1"/>
      <c r="AR540" s="1"/>
      <c r="AS540" s="1"/>
      <c r="AT540" s="1"/>
      <c r="AU540" s="1"/>
      <c r="AV540" s="1"/>
    </row>
    <row r="541" spans="1:48" ht="45" hidden="1" customHeight="1">
      <c r="B541" s="34" t="s">
        <v>103</v>
      </c>
      <c r="C541" s="34" t="s">
        <v>104</v>
      </c>
      <c r="D541" s="34" t="s">
        <v>105</v>
      </c>
      <c r="E541" s="34" t="s">
        <v>106</v>
      </c>
      <c r="F541" s="35" t="s">
        <v>40</v>
      </c>
      <c r="G541" s="35" t="s">
        <v>107</v>
      </c>
      <c r="H541" s="35" t="s">
        <v>42</v>
      </c>
      <c r="I541" s="35">
        <v>51.052</v>
      </c>
      <c r="J541" s="36" t="s">
        <v>57</v>
      </c>
      <c r="K541" s="37">
        <v>45931</v>
      </c>
      <c r="L541" s="38" t="s">
        <v>58</v>
      </c>
      <c r="M541" s="39" t="s">
        <v>58</v>
      </c>
      <c r="N541" s="39"/>
      <c r="O541" s="39"/>
      <c r="P541" s="39"/>
      <c r="Q541" s="39"/>
      <c r="R541" s="39" t="s">
        <v>46</v>
      </c>
      <c r="S541" s="36" t="s">
        <v>47</v>
      </c>
      <c r="T541" s="36" t="s">
        <v>48</v>
      </c>
      <c r="U541" s="40" t="s">
        <v>108</v>
      </c>
      <c r="V541" s="36" t="s">
        <v>85</v>
      </c>
      <c r="W541" s="36" t="s">
        <v>109</v>
      </c>
      <c r="X541" s="36"/>
      <c r="Y541" s="48" t="s">
        <v>77</v>
      </c>
      <c r="Z541" s="40"/>
      <c r="AA541" s="40"/>
      <c r="AB541" s="40"/>
      <c r="AC541" s="40"/>
      <c r="AD541" s="39">
        <v>45975</v>
      </c>
      <c r="AE541" s="41">
        <v>600</v>
      </c>
      <c r="AF541" s="41">
        <v>800</v>
      </c>
      <c r="AG541" s="39">
        <v>45965</v>
      </c>
      <c r="AH541" s="39">
        <v>45978</v>
      </c>
      <c r="AI541" s="39"/>
      <c r="AJ541" s="42">
        <v>45971</v>
      </c>
      <c r="AK541" s="210">
        <v>45975</v>
      </c>
      <c r="AL541" s="42"/>
      <c r="AM541" s="49"/>
    </row>
    <row r="542" spans="1:48" ht="45" hidden="1" customHeight="1">
      <c r="B542" s="25" t="s">
        <v>202</v>
      </c>
      <c r="C542" s="25" t="s">
        <v>203</v>
      </c>
      <c r="D542" s="25" t="s">
        <v>204</v>
      </c>
      <c r="E542" s="266" t="s">
        <v>205</v>
      </c>
      <c r="F542" s="26" t="s">
        <v>40</v>
      </c>
      <c r="G542" s="26" t="s">
        <v>206</v>
      </c>
      <c r="H542" s="26" t="s">
        <v>42</v>
      </c>
      <c r="I542" s="26">
        <v>31</v>
      </c>
      <c r="J542" s="27" t="s">
        <v>57</v>
      </c>
      <c r="K542" s="28">
        <v>45931</v>
      </c>
      <c r="L542" s="29" t="s">
        <v>58</v>
      </c>
      <c r="M542" s="30" t="s">
        <v>58</v>
      </c>
      <c r="N542" s="30"/>
      <c r="O542" s="30"/>
      <c r="P542" s="30"/>
      <c r="Q542" s="30"/>
      <c r="R542" s="30" t="s">
        <v>46</v>
      </c>
      <c r="S542" s="27" t="s">
        <v>47</v>
      </c>
      <c r="T542" s="27" t="s">
        <v>48</v>
      </c>
      <c r="U542" s="31" t="s">
        <v>207</v>
      </c>
      <c r="V542" s="27" t="s">
        <v>85</v>
      </c>
      <c r="W542" s="195" t="s">
        <v>147</v>
      </c>
      <c r="X542" s="27"/>
      <c r="Y542" s="31" t="s">
        <v>1167</v>
      </c>
      <c r="Z542" s="31"/>
      <c r="AA542" s="31"/>
      <c r="AB542" s="31"/>
      <c r="AC542" s="31"/>
      <c r="AD542" s="30">
        <v>45996</v>
      </c>
      <c r="AE542" s="32">
        <v>1800</v>
      </c>
      <c r="AF542" s="32">
        <v>1900</v>
      </c>
      <c r="AG542" s="30">
        <v>45971</v>
      </c>
      <c r="AH542" s="30">
        <v>45982</v>
      </c>
      <c r="AI542" s="30"/>
      <c r="AJ542" s="33">
        <v>45986</v>
      </c>
      <c r="AK542" s="386">
        <v>45996</v>
      </c>
      <c r="AL542" s="204" t="s">
        <v>7252</v>
      </c>
      <c r="AM542" s="1"/>
    </row>
    <row r="543" spans="1:48" ht="45" hidden="1" customHeight="1">
      <c r="B543" s="34" t="s">
        <v>116</v>
      </c>
      <c r="C543" s="34" t="s">
        <v>117</v>
      </c>
      <c r="D543" s="34" t="s">
        <v>118</v>
      </c>
      <c r="E543" s="273" t="s">
        <v>119</v>
      </c>
      <c r="F543" s="35" t="s">
        <v>120</v>
      </c>
      <c r="G543" s="35" t="s">
        <v>121</v>
      </c>
      <c r="H543" s="35" t="s">
        <v>42</v>
      </c>
      <c r="I543" s="35">
        <v>114</v>
      </c>
      <c r="J543" s="36" t="s">
        <v>57</v>
      </c>
      <c r="K543" s="37">
        <v>45931</v>
      </c>
      <c r="L543" s="38" t="s">
        <v>58</v>
      </c>
      <c r="M543" s="39" t="s">
        <v>58</v>
      </c>
      <c r="N543" s="39"/>
      <c r="O543" s="39"/>
      <c r="P543" s="39"/>
      <c r="Q543" s="39"/>
      <c r="R543" s="39" t="s">
        <v>46</v>
      </c>
      <c r="S543" s="36" t="s">
        <v>47</v>
      </c>
      <c r="T543" s="36" t="s">
        <v>122</v>
      </c>
      <c r="U543" s="40" t="s">
        <v>123</v>
      </c>
      <c r="V543" s="27" t="s">
        <v>85</v>
      </c>
      <c r="W543" s="36" t="s">
        <v>124</v>
      </c>
      <c r="X543" s="36"/>
      <c r="Y543" s="40"/>
      <c r="Z543" s="40"/>
      <c r="AA543" s="40"/>
      <c r="AB543" s="40"/>
      <c r="AC543" s="40"/>
      <c r="AD543" s="39" t="s">
        <v>7255</v>
      </c>
      <c r="AE543" s="41">
        <v>400</v>
      </c>
      <c r="AF543" s="41">
        <v>600</v>
      </c>
      <c r="AG543" s="39">
        <v>45966</v>
      </c>
      <c r="AH543" s="39">
        <v>45972</v>
      </c>
      <c r="AI543" s="39"/>
      <c r="AJ543" s="42">
        <v>45972</v>
      </c>
      <c r="AK543" s="209" t="s">
        <v>7255</v>
      </c>
      <c r="AL543" s="204" t="s">
        <v>7256</v>
      </c>
      <c r="AM543" s="1"/>
    </row>
    <row r="544" spans="1:48" ht="45" hidden="1" customHeight="1">
      <c r="B544" s="25" t="s">
        <v>171</v>
      </c>
      <c r="C544" s="25" t="s">
        <v>117</v>
      </c>
      <c r="D544" s="25" t="s">
        <v>118</v>
      </c>
      <c r="E544" s="266" t="s">
        <v>172</v>
      </c>
      <c r="F544" s="26" t="s">
        <v>40</v>
      </c>
      <c r="G544" s="26" t="s">
        <v>121</v>
      </c>
      <c r="H544" s="25" t="s">
        <v>42</v>
      </c>
      <c r="I544" s="26" t="s">
        <v>173</v>
      </c>
      <c r="J544" s="27" t="s">
        <v>57</v>
      </c>
      <c r="K544" s="382">
        <v>45931</v>
      </c>
      <c r="L544" s="29" t="s">
        <v>58</v>
      </c>
      <c r="M544" s="384"/>
      <c r="N544" s="384"/>
      <c r="O544" s="384"/>
      <c r="P544" s="384"/>
      <c r="Q544" s="384"/>
      <c r="R544" s="30" t="s">
        <v>46</v>
      </c>
      <c r="S544" s="27" t="s">
        <v>47</v>
      </c>
      <c r="T544" s="27" t="s">
        <v>48</v>
      </c>
      <c r="U544" s="31" t="s">
        <v>6776</v>
      </c>
      <c r="V544" s="27" t="s">
        <v>85</v>
      </c>
      <c r="W544" s="27" t="s">
        <v>94</v>
      </c>
      <c r="X544" s="27"/>
      <c r="Y544" s="31" t="s">
        <v>94</v>
      </c>
      <c r="Z544" s="31"/>
      <c r="AA544" s="31"/>
      <c r="AB544" s="31"/>
      <c r="AC544" s="31"/>
      <c r="AD544" s="30">
        <v>46006</v>
      </c>
      <c r="AE544" s="32">
        <v>200</v>
      </c>
      <c r="AF544" s="32">
        <v>1300</v>
      </c>
      <c r="AG544" s="384">
        <v>45967</v>
      </c>
      <c r="AH544" s="384">
        <v>45982</v>
      </c>
      <c r="AI544" s="384"/>
      <c r="AJ544" s="33">
        <v>45982</v>
      </c>
      <c r="AK544" s="386">
        <v>46006</v>
      </c>
      <c r="AL544" s="204" t="s">
        <v>7258</v>
      </c>
      <c r="AM544" s="1"/>
    </row>
    <row r="545" spans="1:48" ht="45" hidden="1" customHeight="1">
      <c r="A545" s="1"/>
      <c r="B545" s="25" t="s">
        <v>231</v>
      </c>
      <c r="C545" s="25" t="s">
        <v>232</v>
      </c>
      <c r="D545" s="25" t="s">
        <v>8519</v>
      </c>
      <c r="E545" s="25" t="s">
        <v>234</v>
      </c>
      <c r="F545" s="26" t="s">
        <v>40</v>
      </c>
      <c r="G545" s="26" t="s">
        <v>235</v>
      </c>
      <c r="H545" s="26" t="s">
        <v>42</v>
      </c>
      <c r="I545" s="26">
        <v>31.032</v>
      </c>
      <c r="J545" s="27" t="s">
        <v>57</v>
      </c>
      <c r="K545" s="28">
        <v>45931</v>
      </c>
      <c r="L545" s="29" t="s">
        <v>58</v>
      </c>
      <c r="M545" s="30"/>
      <c r="N545" s="30"/>
      <c r="O545" s="30"/>
      <c r="P545" s="30"/>
      <c r="Q545" s="30"/>
      <c r="R545" s="30" t="s">
        <v>46</v>
      </c>
      <c r="S545" s="27" t="s">
        <v>47</v>
      </c>
      <c r="T545" s="27" t="s">
        <v>48</v>
      </c>
      <c r="U545" s="27" t="s">
        <v>6785</v>
      </c>
      <c r="V545" s="27"/>
      <c r="W545" s="36" t="s">
        <v>67</v>
      </c>
      <c r="X545" s="27"/>
      <c r="Y545" s="27" t="s">
        <v>170</v>
      </c>
      <c r="Z545" s="27"/>
      <c r="AA545" s="31"/>
      <c r="AB545" s="31"/>
      <c r="AC545" s="31"/>
      <c r="AD545" s="30"/>
      <c r="AE545" s="32">
        <v>800</v>
      </c>
      <c r="AF545" s="32">
        <v>900</v>
      </c>
      <c r="AG545" s="30">
        <v>45971</v>
      </c>
      <c r="AH545" s="30">
        <v>45989</v>
      </c>
      <c r="AI545" s="30"/>
      <c r="AJ545" s="33">
        <v>45991</v>
      </c>
      <c r="AK545" s="209"/>
      <c r="AL545" s="33"/>
      <c r="AM545" s="1"/>
      <c r="AN545" s="1"/>
      <c r="AO545" s="1"/>
      <c r="AP545" s="1"/>
      <c r="AQ545" s="1"/>
      <c r="AR545" s="1"/>
      <c r="AS545" s="1"/>
      <c r="AT545" s="1"/>
      <c r="AU545" s="1"/>
      <c r="AV545" s="1"/>
    </row>
    <row r="546" spans="1:48" ht="45" hidden="1" customHeight="1">
      <c r="B546" s="25" t="s">
        <v>240</v>
      </c>
      <c r="C546" s="25" t="s">
        <v>241</v>
      </c>
      <c r="D546" s="159" t="s">
        <v>8273</v>
      </c>
      <c r="E546" s="25" t="s">
        <v>243</v>
      </c>
      <c r="F546" s="26" t="s">
        <v>40</v>
      </c>
      <c r="G546" s="26" t="s">
        <v>41</v>
      </c>
      <c r="H546" s="26" t="s">
        <v>42</v>
      </c>
      <c r="I546" s="26" t="s">
        <v>244</v>
      </c>
      <c r="J546" s="27" t="s">
        <v>57</v>
      </c>
      <c r="K546" s="28">
        <v>45931</v>
      </c>
      <c r="L546" s="29" t="s">
        <v>58</v>
      </c>
      <c r="M546" s="30"/>
      <c r="N546" s="30"/>
      <c r="O546" s="30"/>
      <c r="P546" s="30"/>
      <c r="Q546" s="30"/>
      <c r="R546" s="30" t="s">
        <v>46</v>
      </c>
      <c r="S546" s="27" t="s">
        <v>47</v>
      </c>
      <c r="T546" s="27" t="s">
        <v>48</v>
      </c>
      <c r="U546" s="31" t="s">
        <v>245</v>
      </c>
      <c r="V546" s="27"/>
      <c r="W546" s="27" t="s">
        <v>94</v>
      </c>
      <c r="X546" s="27"/>
      <c r="Y546" s="31" t="s">
        <v>94</v>
      </c>
      <c r="Z546" s="31"/>
      <c r="AA546" s="31" t="s">
        <v>246</v>
      </c>
      <c r="AB546" s="31"/>
      <c r="AC546" s="31"/>
      <c r="AD546" s="30"/>
      <c r="AE546" s="32">
        <v>1700</v>
      </c>
      <c r="AF546" s="32">
        <v>6400</v>
      </c>
      <c r="AG546" s="30">
        <v>45968</v>
      </c>
      <c r="AH546" s="30">
        <v>45989</v>
      </c>
      <c r="AI546" s="30"/>
      <c r="AJ546" s="33">
        <v>45991</v>
      </c>
      <c r="AK546" s="209"/>
      <c r="AL546" s="33"/>
      <c r="AM546" s="1"/>
    </row>
    <row r="547" spans="1:48" ht="45" hidden="1" customHeight="1">
      <c r="B547" s="25" t="s">
        <v>180</v>
      </c>
      <c r="C547" s="25" t="s">
        <v>150</v>
      </c>
      <c r="D547" s="25" t="s">
        <v>151</v>
      </c>
      <c r="E547" s="25" t="s">
        <v>181</v>
      </c>
      <c r="F547" s="26" t="s">
        <v>40</v>
      </c>
      <c r="G547" s="26" t="s">
        <v>41</v>
      </c>
      <c r="H547" s="26" t="s">
        <v>42</v>
      </c>
      <c r="I547" s="26">
        <v>11</v>
      </c>
      <c r="J547" s="27" t="s">
        <v>57</v>
      </c>
      <c r="K547" s="28">
        <v>45931</v>
      </c>
      <c r="L547" s="29" t="s">
        <v>58</v>
      </c>
      <c r="M547" s="30"/>
      <c r="N547" s="30"/>
      <c r="O547" s="30"/>
      <c r="P547" s="30"/>
      <c r="Q547" s="30"/>
      <c r="R547" s="30" t="s">
        <v>46</v>
      </c>
      <c r="S547" s="27" t="s">
        <v>47</v>
      </c>
      <c r="T547" s="27" t="s">
        <v>48</v>
      </c>
      <c r="U547" s="31" t="s">
        <v>182</v>
      </c>
      <c r="V547" s="31" t="s">
        <v>85</v>
      </c>
      <c r="W547" s="27" t="s">
        <v>124</v>
      </c>
      <c r="X547" s="27"/>
      <c r="Y547" s="31" t="s">
        <v>170</v>
      </c>
      <c r="Z547" s="31"/>
      <c r="AA547" s="31"/>
      <c r="AB547" s="31"/>
      <c r="AC547" s="31"/>
      <c r="AD547" s="30">
        <v>45996</v>
      </c>
      <c r="AE547" s="32">
        <v>600</v>
      </c>
      <c r="AF547" s="32">
        <v>1500</v>
      </c>
      <c r="AG547" s="30">
        <v>45964</v>
      </c>
      <c r="AH547" s="30">
        <v>45982</v>
      </c>
      <c r="AI547" s="30"/>
      <c r="AJ547" s="33">
        <v>45982</v>
      </c>
      <c r="AK547" s="209">
        <v>45996</v>
      </c>
      <c r="AL547" s="33"/>
      <c r="AM547" s="1"/>
    </row>
    <row r="548" spans="1:48" ht="45" hidden="1" customHeight="1">
      <c r="B548" s="25" t="s">
        <v>190</v>
      </c>
      <c r="C548" s="25" t="s">
        <v>150</v>
      </c>
      <c r="D548" s="25" t="s">
        <v>151</v>
      </c>
      <c r="E548" s="25" t="s">
        <v>191</v>
      </c>
      <c r="F548" s="26" t="s">
        <v>40</v>
      </c>
      <c r="G548" s="26" t="s">
        <v>41</v>
      </c>
      <c r="H548" s="26" t="s">
        <v>42</v>
      </c>
      <c r="I548" s="26" t="s">
        <v>192</v>
      </c>
      <c r="J548" s="27" t="s">
        <v>57</v>
      </c>
      <c r="K548" s="28">
        <v>45931</v>
      </c>
      <c r="L548" s="29" t="s">
        <v>58</v>
      </c>
      <c r="M548" s="30"/>
      <c r="N548" s="30"/>
      <c r="O548" s="30"/>
      <c r="P548" s="30"/>
      <c r="Q548" s="30"/>
      <c r="R548" s="30" t="s">
        <v>46</v>
      </c>
      <c r="S548" s="27" t="s">
        <v>47</v>
      </c>
      <c r="T548" s="27" t="s">
        <v>187</v>
      </c>
      <c r="U548" s="31" t="s">
        <v>193</v>
      </c>
      <c r="V548" s="27"/>
      <c r="W548" s="36" t="s">
        <v>67</v>
      </c>
      <c r="X548" s="27"/>
      <c r="Y548" s="31" t="s">
        <v>51</v>
      </c>
      <c r="Z548" s="31"/>
      <c r="AA548" s="31"/>
      <c r="AB548" s="31"/>
      <c r="AC548" s="31"/>
      <c r="AD548" s="30"/>
      <c r="AE548" s="32">
        <v>1000</v>
      </c>
      <c r="AF548" s="32">
        <v>2400</v>
      </c>
      <c r="AG548" s="30">
        <v>45950</v>
      </c>
      <c r="AH548" s="30">
        <v>45982</v>
      </c>
      <c r="AI548" s="30"/>
      <c r="AJ548" s="33">
        <v>45982</v>
      </c>
      <c r="AK548" s="209"/>
      <c r="AL548" s="33"/>
      <c r="AM548" s="1"/>
    </row>
    <row r="549" spans="1:48" ht="45" hidden="1" customHeight="1">
      <c r="B549" s="25" t="s">
        <v>2285</v>
      </c>
      <c r="C549" s="25" t="s">
        <v>117</v>
      </c>
      <c r="D549" s="25" t="s">
        <v>118</v>
      </c>
      <c r="E549" s="25" t="s">
        <v>2286</v>
      </c>
      <c r="F549" s="26" t="s">
        <v>40</v>
      </c>
      <c r="G549" s="26" t="s">
        <v>121</v>
      </c>
      <c r="H549" s="26" t="s">
        <v>42</v>
      </c>
      <c r="I549" s="26">
        <v>101</v>
      </c>
      <c r="J549" s="27" t="s">
        <v>57</v>
      </c>
      <c r="K549" s="28">
        <v>45931</v>
      </c>
      <c r="L549" s="29" t="s">
        <v>58</v>
      </c>
      <c r="M549" s="30"/>
      <c r="N549" s="30"/>
      <c r="O549" s="30"/>
      <c r="P549" s="30"/>
      <c r="Q549" s="30"/>
      <c r="R549" s="30" t="s">
        <v>46</v>
      </c>
      <c r="S549" s="27" t="s">
        <v>47</v>
      </c>
      <c r="T549" s="27" t="s">
        <v>48</v>
      </c>
      <c r="U549" s="31" t="s">
        <v>2287</v>
      </c>
      <c r="V549" s="27"/>
      <c r="W549" s="27" t="s">
        <v>124</v>
      </c>
      <c r="X549" s="27"/>
      <c r="Y549" s="31" t="s">
        <v>208</v>
      </c>
      <c r="Z549" s="31"/>
      <c r="AA549" s="31"/>
      <c r="AB549" s="31"/>
      <c r="AC549" s="31"/>
      <c r="AD549" s="30"/>
      <c r="AE549" s="32">
        <v>300</v>
      </c>
      <c r="AF549" s="32">
        <v>300</v>
      </c>
      <c r="AG549" s="30">
        <v>45965</v>
      </c>
      <c r="AH549" s="30">
        <v>45982</v>
      </c>
      <c r="AI549" s="30"/>
      <c r="AJ549" s="33">
        <v>45991</v>
      </c>
      <c r="AK549" s="209"/>
      <c r="AL549" s="33"/>
      <c r="AM549" s="1"/>
    </row>
    <row r="550" spans="1:48" ht="45" hidden="1" customHeight="1">
      <c r="A550" s="1"/>
      <c r="B550" s="34" t="s">
        <v>155</v>
      </c>
      <c r="C550" s="34" t="s">
        <v>117</v>
      </c>
      <c r="D550" s="34" t="s">
        <v>118</v>
      </c>
      <c r="E550" s="34" t="s">
        <v>156</v>
      </c>
      <c r="F550" s="35" t="s">
        <v>40</v>
      </c>
      <c r="G550" s="35" t="s">
        <v>121</v>
      </c>
      <c r="H550" s="35" t="s">
        <v>42</v>
      </c>
      <c r="I550" s="35">
        <v>81.081999999999994</v>
      </c>
      <c r="J550" s="36" t="s">
        <v>57</v>
      </c>
      <c r="K550" s="37">
        <v>45931</v>
      </c>
      <c r="L550" s="38" t="s">
        <v>58</v>
      </c>
      <c r="M550" s="39"/>
      <c r="N550" s="39"/>
      <c r="O550" s="39"/>
      <c r="P550" s="39"/>
      <c r="Q550" s="39"/>
      <c r="R550" s="39" t="s">
        <v>157</v>
      </c>
      <c r="S550" s="36" t="s">
        <v>47</v>
      </c>
      <c r="T550" s="36" t="s">
        <v>48</v>
      </c>
      <c r="U550" s="40" t="s">
        <v>158</v>
      </c>
      <c r="V550" s="36" t="s">
        <v>85</v>
      </c>
      <c r="W550" s="36" t="s">
        <v>109</v>
      </c>
      <c r="X550" s="36"/>
      <c r="Y550" s="40" t="s">
        <v>77</v>
      </c>
      <c r="Z550" s="40"/>
      <c r="AA550" s="40"/>
      <c r="AB550" s="40"/>
      <c r="AC550" s="40"/>
      <c r="AD550" s="39">
        <v>45979</v>
      </c>
      <c r="AE550" s="41">
        <v>1100</v>
      </c>
      <c r="AF550" s="41">
        <v>1200</v>
      </c>
      <c r="AG550" s="39">
        <v>45966</v>
      </c>
      <c r="AH550" s="39">
        <v>45976</v>
      </c>
      <c r="AI550" s="39"/>
      <c r="AJ550" s="42">
        <v>45979</v>
      </c>
      <c r="AK550" s="210">
        <v>45979</v>
      </c>
      <c r="AL550" s="42"/>
      <c r="AM550" s="1"/>
      <c r="AN550" s="1"/>
      <c r="AO550" s="1"/>
      <c r="AP550" s="1"/>
      <c r="AQ550" s="1"/>
      <c r="AR550" s="1"/>
      <c r="AS550" s="1"/>
      <c r="AT550" s="1"/>
      <c r="AU550" s="1"/>
      <c r="AV550" s="1"/>
    </row>
    <row r="551" spans="1:48" ht="45" hidden="1" customHeight="1">
      <c r="B551" s="25" t="s">
        <v>216</v>
      </c>
      <c r="C551" s="25" t="s">
        <v>117</v>
      </c>
      <c r="D551" s="25" t="s">
        <v>118</v>
      </c>
      <c r="E551" s="266" t="s">
        <v>217</v>
      </c>
      <c r="F551" s="26" t="s">
        <v>40</v>
      </c>
      <c r="G551" s="26" t="s">
        <v>121</v>
      </c>
      <c r="H551" s="26" t="s">
        <v>42</v>
      </c>
      <c r="I551" s="26">
        <v>161.16300000000001</v>
      </c>
      <c r="J551" s="27" t="s">
        <v>57</v>
      </c>
      <c r="K551" s="28">
        <v>45931</v>
      </c>
      <c r="L551" s="29" t="s">
        <v>58</v>
      </c>
      <c r="M551" s="30" t="s">
        <v>58</v>
      </c>
      <c r="N551" s="30"/>
      <c r="O551" s="30"/>
      <c r="P551" s="30"/>
      <c r="Q551" s="30"/>
      <c r="R551" s="30" t="s">
        <v>46</v>
      </c>
      <c r="S551" s="27" t="s">
        <v>47</v>
      </c>
      <c r="T551" s="27" t="s">
        <v>48</v>
      </c>
      <c r="U551" s="31" t="s">
        <v>218</v>
      </c>
      <c r="V551" s="27" t="s">
        <v>85</v>
      </c>
      <c r="W551" s="27" t="s">
        <v>94</v>
      </c>
      <c r="X551" s="27"/>
      <c r="Y551" s="31" t="s">
        <v>94</v>
      </c>
      <c r="Z551" s="31"/>
      <c r="AA551" s="31"/>
      <c r="AB551" s="31"/>
      <c r="AC551" s="31"/>
      <c r="AD551" s="30">
        <v>46006</v>
      </c>
      <c r="AE551" s="32">
        <v>1300</v>
      </c>
      <c r="AF551" s="32">
        <v>1100</v>
      </c>
      <c r="AG551" s="30">
        <v>45967</v>
      </c>
      <c r="AH551" s="30">
        <v>45982</v>
      </c>
      <c r="AI551" s="30"/>
      <c r="AJ551" s="33">
        <v>45987</v>
      </c>
      <c r="AK551" s="209">
        <v>46006</v>
      </c>
      <c r="AL551" s="204" t="s">
        <v>7257</v>
      </c>
      <c r="AM551" s="1"/>
      <c r="AN551" s="2"/>
      <c r="AO551" s="2"/>
      <c r="AP551" s="2"/>
      <c r="AQ551" s="2"/>
      <c r="AR551" s="2"/>
      <c r="AS551" s="2"/>
      <c r="AT551" s="2"/>
      <c r="AU551" s="2"/>
      <c r="AV551" s="2"/>
    </row>
    <row r="552" spans="1:48" ht="45" hidden="1" customHeight="1">
      <c r="B552" s="25" t="s">
        <v>167</v>
      </c>
      <c r="C552" s="25" t="s">
        <v>150</v>
      </c>
      <c r="D552" s="25" t="s">
        <v>151</v>
      </c>
      <c r="E552" s="25" t="s">
        <v>104</v>
      </c>
      <c r="F552" s="26" t="s">
        <v>40</v>
      </c>
      <c r="G552" s="26" t="s">
        <v>41</v>
      </c>
      <c r="H552" s="26" t="s">
        <v>42</v>
      </c>
      <c r="I552" s="26">
        <v>41</v>
      </c>
      <c r="J552" s="27" t="s">
        <v>57</v>
      </c>
      <c r="K552" s="28">
        <v>45931</v>
      </c>
      <c r="L552" s="29" t="s">
        <v>58</v>
      </c>
      <c r="M552" s="30" t="s">
        <v>58</v>
      </c>
      <c r="N552" s="30"/>
      <c r="O552" s="30"/>
      <c r="P552" s="30"/>
      <c r="Q552" s="30"/>
      <c r="R552" s="30" t="s">
        <v>46</v>
      </c>
      <c r="S552" s="27" t="s">
        <v>47</v>
      </c>
      <c r="T552" s="27" t="s">
        <v>168</v>
      </c>
      <c r="U552" s="31" t="s">
        <v>6786</v>
      </c>
      <c r="V552" s="27" t="s">
        <v>85</v>
      </c>
      <c r="W552" s="151" t="s">
        <v>124</v>
      </c>
      <c r="X552" s="27"/>
      <c r="Y552" s="31" t="s">
        <v>170</v>
      </c>
      <c r="Z552" s="31"/>
      <c r="AA552" s="31"/>
      <c r="AB552" s="31"/>
      <c r="AC552" s="31"/>
      <c r="AD552" s="30">
        <v>46001</v>
      </c>
      <c r="AE552" s="32">
        <v>700</v>
      </c>
      <c r="AF552" s="32">
        <v>500</v>
      </c>
      <c r="AG552" s="30">
        <v>45964</v>
      </c>
      <c r="AH552" s="30">
        <v>45981</v>
      </c>
      <c r="AI552" s="30"/>
      <c r="AJ552" s="33">
        <v>45981</v>
      </c>
      <c r="AK552" s="209">
        <v>46001</v>
      </c>
      <c r="AL552" s="33"/>
      <c r="AM552" s="1"/>
    </row>
    <row r="553" spans="1:48" s="64" customFormat="1" ht="45" hidden="1" customHeight="1">
      <c r="A553"/>
      <c r="B553" s="25" t="s">
        <v>149</v>
      </c>
      <c r="C553" s="25" t="s">
        <v>150</v>
      </c>
      <c r="D553" s="25" t="s">
        <v>151</v>
      </c>
      <c r="E553" s="25" t="s">
        <v>152</v>
      </c>
      <c r="F553" s="26" t="s">
        <v>40</v>
      </c>
      <c r="G553" s="26" t="s">
        <v>41</v>
      </c>
      <c r="H553" s="26" t="s">
        <v>42</v>
      </c>
      <c r="I553" s="26" t="s">
        <v>153</v>
      </c>
      <c r="J553" s="27" t="s">
        <v>57</v>
      </c>
      <c r="K553" s="28">
        <v>45931</v>
      </c>
      <c r="L553" s="29" t="s">
        <v>58</v>
      </c>
      <c r="M553" s="30"/>
      <c r="N553" s="30"/>
      <c r="O553" s="30"/>
      <c r="P553" s="30"/>
      <c r="Q553" s="30"/>
      <c r="R553" s="30" t="s">
        <v>46</v>
      </c>
      <c r="S553" s="27" t="s">
        <v>47</v>
      </c>
      <c r="T553" s="27" t="s">
        <v>48</v>
      </c>
      <c r="U553" s="31" t="s">
        <v>154</v>
      </c>
      <c r="V553" s="151" t="s">
        <v>85</v>
      </c>
      <c r="W553" s="27" t="s">
        <v>94</v>
      </c>
      <c r="X553" s="27"/>
      <c r="Y553" s="31" t="s">
        <v>94</v>
      </c>
      <c r="Z553" s="31"/>
      <c r="AA553" s="31"/>
      <c r="AB553" s="31"/>
      <c r="AC553" s="31"/>
      <c r="AD553" s="30">
        <v>45986</v>
      </c>
      <c r="AE553" s="32">
        <v>1700</v>
      </c>
      <c r="AF553" s="32">
        <v>3700</v>
      </c>
      <c r="AG553" s="30">
        <v>45950</v>
      </c>
      <c r="AH553" s="30">
        <v>45978</v>
      </c>
      <c r="AI553" s="30"/>
      <c r="AJ553" s="33">
        <v>45978</v>
      </c>
      <c r="AK553" s="209">
        <v>45986</v>
      </c>
      <c r="AL553" s="33"/>
      <c r="AM553" s="1"/>
      <c r="AN553"/>
      <c r="AO553"/>
      <c r="AP553"/>
      <c r="AQ553"/>
      <c r="AR553"/>
      <c r="AS553"/>
      <c r="AT553"/>
      <c r="AU553"/>
      <c r="AV553"/>
    </row>
    <row r="554" spans="1:48" ht="45" hidden="1" customHeight="1">
      <c r="B554" s="25" t="s">
        <v>194</v>
      </c>
      <c r="C554" s="25" t="s">
        <v>150</v>
      </c>
      <c r="D554" s="25" t="s">
        <v>151</v>
      </c>
      <c r="E554" s="25" t="s">
        <v>195</v>
      </c>
      <c r="F554" s="26" t="s">
        <v>40</v>
      </c>
      <c r="G554" s="26" t="s">
        <v>41</v>
      </c>
      <c r="H554" s="26" t="s">
        <v>42</v>
      </c>
      <c r="I554" s="26">
        <v>121</v>
      </c>
      <c r="J554" s="27" t="s">
        <v>57</v>
      </c>
      <c r="K554" s="28">
        <v>45931</v>
      </c>
      <c r="L554" s="29" t="s">
        <v>58</v>
      </c>
      <c r="M554" s="30"/>
      <c r="N554" s="30"/>
      <c r="O554" s="30"/>
      <c r="P554" s="30"/>
      <c r="Q554" s="30"/>
      <c r="R554" s="30" t="s">
        <v>46</v>
      </c>
      <c r="S554" s="27" t="s">
        <v>47</v>
      </c>
      <c r="T554" s="27" t="s">
        <v>48</v>
      </c>
      <c r="U554" s="31" t="s">
        <v>196</v>
      </c>
      <c r="V554" s="27" t="s">
        <v>85</v>
      </c>
      <c r="W554" s="151" t="s">
        <v>147</v>
      </c>
      <c r="X554" s="27"/>
      <c r="Y554" s="31" t="s">
        <v>170</v>
      </c>
      <c r="Z554" s="31"/>
      <c r="AA554" s="31"/>
      <c r="AB554" s="31"/>
      <c r="AC554" s="31"/>
      <c r="AD554" s="30">
        <v>46000</v>
      </c>
      <c r="AE554" s="32">
        <v>700</v>
      </c>
      <c r="AF554" s="32">
        <v>1300</v>
      </c>
      <c r="AG554" s="30">
        <v>45964</v>
      </c>
      <c r="AH554" s="30">
        <v>45982</v>
      </c>
      <c r="AI554" s="30"/>
      <c r="AJ554" s="33">
        <v>45982</v>
      </c>
      <c r="AK554" s="209">
        <v>46000</v>
      </c>
      <c r="AL554" s="33"/>
      <c r="AM554" s="1"/>
    </row>
    <row r="555" spans="1:48" ht="45" hidden="1" customHeight="1">
      <c r="B555" s="177" t="s">
        <v>2295</v>
      </c>
      <c r="C555" s="177" t="s">
        <v>79</v>
      </c>
      <c r="D555" s="218" t="s">
        <v>80</v>
      </c>
      <c r="E555" s="403" t="s">
        <v>293</v>
      </c>
      <c r="F555" s="220" t="s">
        <v>40</v>
      </c>
      <c r="G555" s="306" t="s">
        <v>229</v>
      </c>
      <c r="H555" s="306" t="s">
        <v>42</v>
      </c>
      <c r="I555" s="306" t="s">
        <v>2296</v>
      </c>
      <c r="J555" s="178" t="s">
        <v>1660</v>
      </c>
      <c r="K555" s="307">
        <v>45931</v>
      </c>
      <c r="L555" s="308" t="s">
        <v>7681</v>
      </c>
      <c r="M555" s="179"/>
      <c r="N555" s="179"/>
      <c r="O555" s="179"/>
      <c r="P555" s="179"/>
      <c r="Q555" s="179"/>
      <c r="R555" s="179" t="s">
        <v>46</v>
      </c>
      <c r="S555" s="27" t="s">
        <v>47</v>
      </c>
      <c r="T555" s="175" t="s">
        <v>48</v>
      </c>
      <c r="U555" s="180" t="s">
        <v>7887</v>
      </c>
      <c r="V555" s="175"/>
      <c r="W555" s="175" t="s">
        <v>239</v>
      </c>
      <c r="X555" s="175"/>
      <c r="Y555" s="180" t="s">
        <v>170</v>
      </c>
      <c r="Z555" s="180"/>
      <c r="AA555" s="180" t="s">
        <v>7457</v>
      </c>
      <c r="AB555" s="180"/>
      <c r="AC555" s="180"/>
      <c r="AD555" s="179"/>
      <c r="AE555" s="181">
        <v>3200</v>
      </c>
      <c r="AF555" s="181">
        <v>9300</v>
      </c>
      <c r="AG555" s="179">
        <v>46026</v>
      </c>
      <c r="AH555" s="179">
        <v>46111</v>
      </c>
      <c r="AI555" s="179"/>
      <c r="AJ555" s="194">
        <v>46191</v>
      </c>
      <c r="AK555" s="212"/>
      <c r="AL555" s="205" t="s">
        <v>6812</v>
      </c>
      <c r="AM555" s="1"/>
    </row>
    <row r="556" spans="1:48" ht="45" hidden="1" customHeight="1">
      <c r="B556" s="25" t="s">
        <v>227</v>
      </c>
      <c r="C556" s="25" t="s">
        <v>2249</v>
      </c>
      <c r="D556" s="177" t="s">
        <v>6874</v>
      </c>
      <c r="E556" s="266" t="s">
        <v>228</v>
      </c>
      <c r="F556" s="26" t="s">
        <v>40</v>
      </c>
      <c r="G556" s="26" t="s">
        <v>229</v>
      </c>
      <c r="H556" s="26" t="s">
        <v>42</v>
      </c>
      <c r="I556" s="26" t="s">
        <v>230</v>
      </c>
      <c r="J556" s="27" t="s">
        <v>57</v>
      </c>
      <c r="K556" s="28">
        <v>45931</v>
      </c>
      <c r="L556" s="29" t="s">
        <v>58</v>
      </c>
      <c r="M556" s="29" t="s">
        <v>58</v>
      </c>
      <c r="N556" s="30"/>
      <c r="O556" s="30"/>
      <c r="P556" s="30"/>
      <c r="Q556" s="30"/>
      <c r="R556" s="30" t="s">
        <v>46</v>
      </c>
      <c r="S556" s="27" t="s">
        <v>47</v>
      </c>
      <c r="T556" s="27" t="s">
        <v>48</v>
      </c>
      <c r="U556" s="31" t="s">
        <v>6765</v>
      </c>
      <c r="V556" s="27" t="s">
        <v>85</v>
      </c>
      <c r="W556" s="27" t="s">
        <v>147</v>
      </c>
      <c r="X556" s="27"/>
      <c r="Y556" s="31" t="s">
        <v>200</v>
      </c>
      <c r="Z556" s="31"/>
      <c r="AA556" s="31"/>
      <c r="AB556" s="31"/>
      <c r="AC556" s="31"/>
      <c r="AD556" s="30">
        <v>45995</v>
      </c>
      <c r="AE556" s="32">
        <v>1700</v>
      </c>
      <c r="AF556" s="32">
        <v>1200</v>
      </c>
      <c r="AG556" s="30">
        <v>45979</v>
      </c>
      <c r="AH556" s="30">
        <v>45987</v>
      </c>
      <c r="AI556" s="30"/>
      <c r="AJ556" s="33">
        <v>45991</v>
      </c>
      <c r="AK556" s="209">
        <v>45995</v>
      </c>
      <c r="AL556" s="204" t="s">
        <v>7239</v>
      </c>
      <c r="AM556" s="1"/>
    </row>
    <row r="557" spans="1:48" ht="45" hidden="1" customHeight="1">
      <c r="B557" s="51" t="s">
        <v>159</v>
      </c>
      <c r="C557" s="51" t="s">
        <v>160</v>
      </c>
      <c r="D557" s="51" t="s">
        <v>161</v>
      </c>
      <c r="E557" s="305" t="s">
        <v>162</v>
      </c>
      <c r="F557" s="355" t="s">
        <v>40</v>
      </c>
      <c r="G557" s="355" t="s">
        <v>163</v>
      </c>
      <c r="H557" s="355" t="s">
        <v>42</v>
      </c>
      <c r="I557" s="355">
        <v>251</v>
      </c>
      <c r="J557" s="52" t="s">
        <v>57</v>
      </c>
      <c r="K557" s="357">
        <v>45955</v>
      </c>
      <c r="L557" s="359" t="s">
        <v>164</v>
      </c>
      <c r="M557" s="52" t="s">
        <v>165</v>
      </c>
      <c r="N557" s="52" t="s">
        <v>165</v>
      </c>
      <c r="O557" s="52" t="s">
        <v>165</v>
      </c>
      <c r="P557" s="52" t="s">
        <v>165</v>
      </c>
      <c r="Q557" s="52" t="s">
        <v>165</v>
      </c>
      <c r="R557" s="52" t="s">
        <v>46</v>
      </c>
      <c r="S557" s="52" t="s">
        <v>47</v>
      </c>
      <c r="T557" s="52" t="s">
        <v>48</v>
      </c>
      <c r="U557" s="230" t="s">
        <v>166</v>
      </c>
      <c r="V557" s="52" t="s">
        <v>85</v>
      </c>
      <c r="W557" s="195" t="s">
        <v>147</v>
      </c>
      <c r="X557" s="52" t="s">
        <v>165</v>
      </c>
      <c r="Y557" s="230" t="s">
        <v>62</v>
      </c>
      <c r="Z557" s="230" t="s">
        <v>165</v>
      </c>
      <c r="AA557" s="230" t="s">
        <v>165</v>
      </c>
      <c r="AB557" s="230"/>
      <c r="AC557" s="230"/>
      <c r="AD557" s="231">
        <v>45985</v>
      </c>
      <c r="AE557" s="52">
        <v>1100</v>
      </c>
      <c r="AF557" s="52">
        <v>700</v>
      </c>
      <c r="AG557" s="231">
        <v>45975</v>
      </c>
      <c r="AH557" s="231">
        <v>45981</v>
      </c>
      <c r="AI557" s="52" t="s">
        <v>165</v>
      </c>
      <c r="AJ557" s="216">
        <v>45981</v>
      </c>
      <c r="AK557" s="232">
        <v>45985</v>
      </c>
      <c r="AL557" s="204" t="s">
        <v>7253</v>
      </c>
      <c r="AM557" s="1"/>
    </row>
    <row r="558" spans="1:48" ht="45" hidden="1" customHeight="1">
      <c r="A558" s="1"/>
      <c r="B558" s="25" t="s">
        <v>209</v>
      </c>
      <c r="C558" s="25" t="s">
        <v>267</v>
      </c>
      <c r="D558" s="25" t="s">
        <v>268</v>
      </c>
      <c r="E558" s="266" t="s">
        <v>2276</v>
      </c>
      <c r="F558" s="26" t="s">
        <v>40</v>
      </c>
      <c r="G558" s="26" t="s">
        <v>270</v>
      </c>
      <c r="H558" s="26" t="s">
        <v>42</v>
      </c>
      <c r="I558" s="26">
        <v>71</v>
      </c>
      <c r="J558" s="27" t="s">
        <v>253</v>
      </c>
      <c r="K558" s="28">
        <v>45931</v>
      </c>
      <c r="L558" s="29" t="s">
        <v>58</v>
      </c>
      <c r="M558" s="30"/>
      <c r="N558" s="30"/>
      <c r="O558" s="30"/>
      <c r="P558" s="30"/>
      <c r="Q558" s="30"/>
      <c r="R558" s="30" t="s">
        <v>46</v>
      </c>
      <c r="S558" s="27" t="s">
        <v>47</v>
      </c>
      <c r="T558" s="27" t="s">
        <v>48</v>
      </c>
      <c r="U558" s="31" t="s">
        <v>2277</v>
      </c>
      <c r="V558" s="27"/>
      <c r="W558" s="36" t="s">
        <v>67</v>
      </c>
      <c r="X558" s="27"/>
      <c r="Y558" s="31" t="s">
        <v>1167</v>
      </c>
      <c r="Z558" s="31"/>
      <c r="AA558" s="31"/>
      <c r="AB558" s="31"/>
      <c r="AC558" s="31"/>
      <c r="AD558" s="30"/>
      <c r="AE558" s="32">
        <v>300</v>
      </c>
      <c r="AF558" s="32">
        <v>200</v>
      </c>
      <c r="AG558" s="30">
        <v>45980</v>
      </c>
      <c r="AH558" s="30">
        <v>45994</v>
      </c>
      <c r="AI558" s="30"/>
      <c r="AJ558" s="33">
        <v>46008</v>
      </c>
      <c r="AK558" s="209"/>
      <c r="AL558" s="204" t="s">
        <v>6788</v>
      </c>
      <c r="AM558" s="1"/>
      <c r="AN558" s="1"/>
      <c r="AO558" s="1"/>
      <c r="AP558" s="1"/>
      <c r="AQ558" s="1"/>
      <c r="AR558" s="1"/>
      <c r="AS558" s="1"/>
      <c r="AT558" s="1"/>
      <c r="AU558" s="1"/>
      <c r="AV558" s="1"/>
    </row>
    <row r="559" spans="1:48" ht="45" hidden="1" customHeight="1">
      <c r="A559" s="1"/>
      <c r="B559" s="25" t="s">
        <v>209</v>
      </c>
      <c r="C559" s="25" t="s">
        <v>111</v>
      </c>
      <c r="D559" s="25" t="s">
        <v>112</v>
      </c>
      <c r="E559" s="266" t="s">
        <v>210</v>
      </c>
      <c r="F559" s="26" t="s">
        <v>40</v>
      </c>
      <c r="G559" s="26" t="s">
        <v>176</v>
      </c>
      <c r="H559" s="26" t="s">
        <v>42</v>
      </c>
      <c r="I559" s="26">
        <v>301</v>
      </c>
      <c r="J559" s="27" t="s">
        <v>57</v>
      </c>
      <c r="K559" s="28">
        <v>45931</v>
      </c>
      <c r="L559" s="29" t="s">
        <v>58</v>
      </c>
      <c r="M559" s="30"/>
      <c r="N559" s="30"/>
      <c r="O559" s="30"/>
      <c r="P559" s="30"/>
      <c r="Q559" s="30"/>
      <c r="R559" s="30" t="s">
        <v>46</v>
      </c>
      <c r="S559" s="27" t="s">
        <v>47</v>
      </c>
      <c r="T559" s="27" t="s">
        <v>48</v>
      </c>
      <c r="U559" s="31" t="s">
        <v>7101</v>
      </c>
      <c r="V559" s="27" t="s">
        <v>85</v>
      </c>
      <c r="W559" s="27" t="s">
        <v>94</v>
      </c>
      <c r="X559" s="27"/>
      <c r="Y559" s="31" t="s">
        <v>200</v>
      </c>
      <c r="Z559" s="31"/>
      <c r="AA559" s="31" t="s">
        <v>211</v>
      </c>
      <c r="AB559" s="31"/>
      <c r="AC559" s="31"/>
      <c r="AD559" s="30">
        <v>45994</v>
      </c>
      <c r="AE559" s="32">
        <v>700</v>
      </c>
      <c r="AF559" s="32">
        <v>500</v>
      </c>
      <c r="AG559" s="30">
        <v>45946</v>
      </c>
      <c r="AH559" s="30">
        <v>45986</v>
      </c>
      <c r="AI559" s="30"/>
      <c r="AJ559" s="33">
        <v>45987</v>
      </c>
      <c r="AK559" s="303">
        <v>45994</v>
      </c>
      <c r="AL559" s="204" t="s">
        <v>7244</v>
      </c>
      <c r="AM559" s="1"/>
      <c r="AN559" s="1"/>
      <c r="AO559" s="1"/>
      <c r="AP559" s="1"/>
      <c r="AQ559" s="1"/>
      <c r="AR559" s="1"/>
      <c r="AS559" s="1"/>
      <c r="AT559" s="1"/>
      <c r="AU559" s="1"/>
      <c r="AV559" s="1"/>
    </row>
    <row r="560" spans="1:48" ht="45" hidden="1" customHeight="1">
      <c r="B560" s="25" t="s">
        <v>266</v>
      </c>
      <c r="C560" s="25" t="s">
        <v>267</v>
      </c>
      <c r="D560" s="25" t="s">
        <v>268</v>
      </c>
      <c r="E560" s="266" t="s">
        <v>269</v>
      </c>
      <c r="F560" s="26" t="s">
        <v>40</v>
      </c>
      <c r="G560" s="26" t="s">
        <v>270</v>
      </c>
      <c r="H560" s="26" t="s">
        <v>42</v>
      </c>
      <c r="I560" s="26">
        <v>61</v>
      </c>
      <c r="J560" s="27" t="s">
        <v>253</v>
      </c>
      <c r="K560" s="28">
        <v>45932</v>
      </c>
      <c r="L560" s="29" t="s">
        <v>58</v>
      </c>
      <c r="M560" s="30"/>
      <c r="N560" s="30"/>
      <c r="O560" s="30"/>
      <c r="P560" s="30"/>
      <c r="Q560" s="30"/>
      <c r="R560" s="30" t="s">
        <v>46</v>
      </c>
      <c r="S560" s="27" t="s">
        <v>47</v>
      </c>
      <c r="T560" s="27" t="s">
        <v>48</v>
      </c>
      <c r="U560" s="31" t="s">
        <v>271</v>
      </c>
      <c r="V560" s="27" t="s">
        <v>85</v>
      </c>
      <c r="W560" s="36" t="s">
        <v>67</v>
      </c>
      <c r="X560" s="27"/>
      <c r="Y560" s="31" t="s">
        <v>51</v>
      </c>
      <c r="Z560" s="31"/>
      <c r="AA560" s="31"/>
      <c r="AB560" s="31"/>
      <c r="AC560" s="31"/>
      <c r="AD560" s="30">
        <v>46001</v>
      </c>
      <c r="AE560" s="32">
        <v>300</v>
      </c>
      <c r="AF560" s="32">
        <v>1300</v>
      </c>
      <c r="AG560" s="30">
        <v>45980</v>
      </c>
      <c r="AH560" s="30">
        <v>45996</v>
      </c>
      <c r="AI560" s="30"/>
      <c r="AJ560" s="33">
        <v>45997</v>
      </c>
      <c r="AK560" s="209">
        <v>46001</v>
      </c>
      <c r="AL560" s="204" t="s">
        <v>6787</v>
      </c>
      <c r="AM560" s="1"/>
    </row>
    <row r="561" spans="1:48" ht="45" hidden="1" customHeight="1">
      <c r="B561" s="25" t="s">
        <v>260</v>
      </c>
      <c r="C561" s="25" t="s">
        <v>261</v>
      </c>
      <c r="D561" s="25" t="s">
        <v>262</v>
      </c>
      <c r="E561" s="266" t="s">
        <v>263</v>
      </c>
      <c r="F561" s="26" t="s">
        <v>40</v>
      </c>
      <c r="G561" s="26" t="s">
        <v>264</v>
      </c>
      <c r="H561" s="26" t="s">
        <v>42</v>
      </c>
      <c r="I561" s="26">
        <v>61.061999999999998</v>
      </c>
      <c r="J561" s="27" t="s">
        <v>253</v>
      </c>
      <c r="K561" s="28">
        <v>45931</v>
      </c>
      <c r="L561" s="29" t="s">
        <v>99</v>
      </c>
      <c r="M561" s="29"/>
      <c r="N561" s="29"/>
      <c r="O561" s="29"/>
      <c r="P561" s="29"/>
      <c r="Q561" s="29"/>
      <c r="R561" s="30" t="s">
        <v>46</v>
      </c>
      <c r="S561" s="27" t="s">
        <v>47</v>
      </c>
      <c r="T561" s="27" t="s">
        <v>48</v>
      </c>
      <c r="U561" s="31" t="s">
        <v>265</v>
      </c>
      <c r="V561" s="27"/>
      <c r="W561" s="27" t="s">
        <v>124</v>
      </c>
      <c r="X561" s="27"/>
      <c r="Y561" s="31" t="s">
        <v>62</v>
      </c>
      <c r="Z561" s="31"/>
      <c r="AA561" s="31"/>
      <c r="AB561" s="31"/>
      <c r="AC561" s="31"/>
      <c r="AD561" s="30"/>
      <c r="AE561" s="32">
        <v>2300</v>
      </c>
      <c r="AF561" s="32">
        <v>2800</v>
      </c>
      <c r="AG561" s="30">
        <v>45979</v>
      </c>
      <c r="AH561" s="30">
        <v>45996</v>
      </c>
      <c r="AI561" s="30"/>
      <c r="AJ561" s="33">
        <v>45996</v>
      </c>
      <c r="AK561" s="209"/>
      <c r="AL561" s="204" t="s">
        <v>6807</v>
      </c>
      <c r="AM561" s="1"/>
    </row>
    <row r="562" spans="1:48" ht="45" hidden="1" customHeight="1">
      <c r="A562" s="1"/>
      <c r="B562" s="25" t="s">
        <v>2270</v>
      </c>
      <c r="C562" s="25" t="s">
        <v>232</v>
      </c>
      <c r="D562" s="25" t="s">
        <v>8519</v>
      </c>
      <c r="E562" s="266" t="s">
        <v>2271</v>
      </c>
      <c r="F562" s="26" t="s">
        <v>40</v>
      </c>
      <c r="G562" s="26" t="s">
        <v>235</v>
      </c>
      <c r="H562" s="26" t="s">
        <v>42</v>
      </c>
      <c r="I562" s="26">
        <v>51</v>
      </c>
      <c r="J562" s="27" t="s">
        <v>253</v>
      </c>
      <c r="K562" s="28">
        <v>45931</v>
      </c>
      <c r="L562" s="29" t="s">
        <v>58</v>
      </c>
      <c r="M562" s="30"/>
      <c r="N562" s="30"/>
      <c r="O562" s="30"/>
      <c r="P562" s="30"/>
      <c r="Q562" s="30"/>
      <c r="R562" s="30" t="s">
        <v>46</v>
      </c>
      <c r="S562" s="27" t="s">
        <v>47</v>
      </c>
      <c r="T562" s="27" t="s">
        <v>48</v>
      </c>
      <c r="U562" s="31" t="s">
        <v>7045</v>
      </c>
      <c r="V562" s="27"/>
      <c r="W562" s="36" t="s">
        <v>67</v>
      </c>
      <c r="X562" s="27"/>
      <c r="Y562" s="31" t="s">
        <v>51</v>
      </c>
      <c r="Z562" s="31"/>
      <c r="AA562" s="31"/>
      <c r="AB562" s="31"/>
      <c r="AC562" s="31"/>
      <c r="AD562" s="30"/>
      <c r="AE562" s="32">
        <v>400</v>
      </c>
      <c r="AF562" s="32">
        <v>400</v>
      </c>
      <c r="AG562" s="30">
        <v>45978</v>
      </c>
      <c r="AH562" s="30">
        <v>45272</v>
      </c>
      <c r="AI562" s="30"/>
      <c r="AJ562" s="33">
        <v>46007</v>
      </c>
      <c r="AK562" s="209"/>
      <c r="AL562" s="204" t="s">
        <v>6803</v>
      </c>
      <c r="AM562" s="1"/>
      <c r="AN562" s="1"/>
      <c r="AO562" s="1"/>
      <c r="AP562" s="1"/>
      <c r="AQ562" s="1"/>
      <c r="AR562" s="1"/>
      <c r="AS562" s="1"/>
      <c r="AT562" s="1"/>
      <c r="AU562" s="1"/>
      <c r="AV562" s="1"/>
    </row>
    <row r="563" spans="1:48" ht="45" hidden="1" customHeight="1">
      <c r="B563" s="25" t="s">
        <v>281</v>
      </c>
      <c r="C563" s="25" t="s">
        <v>126</v>
      </c>
      <c r="D563" s="25" t="s">
        <v>127</v>
      </c>
      <c r="E563" s="266" t="s">
        <v>282</v>
      </c>
      <c r="F563" s="26" t="s">
        <v>40</v>
      </c>
      <c r="G563" s="26" t="s">
        <v>270</v>
      </c>
      <c r="H563" s="26" t="s">
        <v>42</v>
      </c>
      <c r="I563" s="26" t="s">
        <v>283</v>
      </c>
      <c r="J563" s="27" t="s">
        <v>253</v>
      </c>
      <c r="K563" s="28">
        <v>45931</v>
      </c>
      <c r="L563" s="29" t="s">
        <v>58</v>
      </c>
      <c r="M563" s="30"/>
      <c r="N563" s="30"/>
      <c r="O563" s="30"/>
      <c r="P563" s="30"/>
      <c r="Q563" s="30"/>
      <c r="R563" s="30" t="s">
        <v>46</v>
      </c>
      <c r="S563" s="27" t="s">
        <v>47</v>
      </c>
      <c r="T563" s="27" t="s">
        <v>48</v>
      </c>
      <c r="U563" s="31" t="s">
        <v>284</v>
      </c>
      <c r="V563" s="27" t="s">
        <v>85</v>
      </c>
      <c r="W563" s="27" t="s">
        <v>50</v>
      </c>
      <c r="X563" s="27"/>
      <c r="Y563" s="31" t="s">
        <v>200</v>
      </c>
      <c r="Z563" s="31"/>
      <c r="AA563" s="31"/>
      <c r="AB563" s="31"/>
      <c r="AC563" s="31"/>
      <c r="AD563" s="30">
        <v>46007</v>
      </c>
      <c r="AE563" s="32">
        <v>1900</v>
      </c>
      <c r="AF563" s="32">
        <v>900</v>
      </c>
      <c r="AG563" s="30">
        <v>45982</v>
      </c>
      <c r="AH563" s="30">
        <v>46001</v>
      </c>
      <c r="AI563" s="30"/>
      <c r="AJ563" s="33">
        <v>46004</v>
      </c>
      <c r="AK563" s="209">
        <v>46007</v>
      </c>
      <c r="AL563" s="204" t="s">
        <v>6796</v>
      </c>
      <c r="AM563" s="1"/>
    </row>
    <row r="564" spans="1:48" ht="45" hidden="1" customHeight="1">
      <c r="A564" s="1"/>
      <c r="B564" s="25" t="s">
        <v>247</v>
      </c>
      <c r="C564" s="25" t="s">
        <v>232</v>
      </c>
      <c r="D564" s="25" t="s">
        <v>8519</v>
      </c>
      <c r="E564" s="273" t="s">
        <v>272</v>
      </c>
      <c r="F564" s="26" t="s">
        <v>40</v>
      </c>
      <c r="G564" s="26" t="s">
        <v>235</v>
      </c>
      <c r="H564" s="26" t="s">
        <v>42</v>
      </c>
      <c r="I564" s="26">
        <v>231</v>
      </c>
      <c r="J564" s="27" t="s">
        <v>253</v>
      </c>
      <c r="K564" s="28">
        <v>45931</v>
      </c>
      <c r="L564" s="29" t="s">
        <v>58</v>
      </c>
      <c r="M564" s="30"/>
      <c r="N564" s="30"/>
      <c r="O564" s="30"/>
      <c r="P564" s="30"/>
      <c r="Q564" s="30"/>
      <c r="R564" s="30" t="s">
        <v>46</v>
      </c>
      <c r="S564" s="27" t="s">
        <v>47</v>
      </c>
      <c r="T564" s="27" t="s">
        <v>48</v>
      </c>
      <c r="U564" s="31" t="s">
        <v>7046</v>
      </c>
      <c r="V564" s="27"/>
      <c r="W564" s="36" t="s">
        <v>67</v>
      </c>
      <c r="X564" s="27"/>
      <c r="Y564" s="31" t="s">
        <v>51</v>
      </c>
      <c r="Z564" s="31"/>
      <c r="AA564" s="31"/>
      <c r="AB564" s="31"/>
      <c r="AC564" s="31"/>
      <c r="AD564" s="30"/>
      <c r="AE564" s="32">
        <v>800</v>
      </c>
      <c r="AF564" s="32">
        <v>1000</v>
      </c>
      <c r="AG564" s="30">
        <v>45973</v>
      </c>
      <c r="AH564" s="30">
        <v>46003</v>
      </c>
      <c r="AI564" s="30"/>
      <c r="AJ564" s="33">
        <v>45997</v>
      </c>
      <c r="AK564" s="209"/>
      <c r="AL564" s="204" t="s">
        <v>6802</v>
      </c>
      <c r="AM564" s="1"/>
      <c r="AN564" s="1"/>
      <c r="AO564" s="1"/>
      <c r="AP564" s="1"/>
      <c r="AQ564" s="1"/>
      <c r="AR564" s="1"/>
      <c r="AS564" s="1"/>
      <c r="AT564" s="1"/>
      <c r="AU564" s="1"/>
      <c r="AV564" s="1"/>
    </row>
    <row r="565" spans="1:48" ht="45" hidden="1" customHeight="1">
      <c r="B565" s="25" t="s">
        <v>247</v>
      </c>
      <c r="C565" s="54" t="s">
        <v>248</v>
      </c>
      <c r="D565" s="25" t="s">
        <v>249</v>
      </c>
      <c r="E565" s="269" t="s">
        <v>250</v>
      </c>
      <c r="F565" s="26" t="s">
        <v>40</v>
      </c>
      <c r="G565" s="26" t="s">
        <v>251</v>
      </c>
      <c r="H565" s="26" t="s">
        <v>42</v>
      </c>
      <c r="I565" s="26" t="s">
        <v>252</v>
      </c>
      <c r="J565" s="27" t="s">
        <v>253</v>
      </c>
      <c r="K565" s="28">
        <v>45932</v>
      </c>
      <c r="L565" s="29" t="s">
        <v>58</v>
      </c>
      <c r="M565" s="30"/>
      <c r="N565" s="30"/>
      <c r="O565" s="30"/>
      <c r="P565" s="30"/>
      <c r="Q565" s="30"/>
      <c r="R565" s="30" t="s">
        <v>46</v>
      </c>
      <c r="S565" s="27" t="s">
        <v>47</v>
      </c>
      <c r="T565" s="27" t="s">
        <v>48</v>
      </c>
      <c r="U565" s="31" t="s">
        <v>6771</v>
      </c>
      <c r="V565" s="27"/>
      <c r="W565" s="27" t="s">
        <v>254</v>
      </c>
      <c r="X565" s="27"/>
      <c r="Y565" s="31" t="s">
        <v>51</v>
      </c>
      <c r="Z565" s="31"/>
      <c r="AA565" s="31"/>
      <c r="AB565" s="31"/>
      <c r="AC565" s="31"/>
      <c r="AD565" s="30"/>
      <c r="AE565" s="32">
        <v>410</v>
      </c>
      <c r="AF565" s="32">
        <v>400</v>
      </c>
      <c r="AG565" s="30">
        <v>45978</v>
      </c>
      <c r="AH565" s="30">
        <v>45995</v>
      </c>
      <c r="AI565" s="30"/>
      <c r="AJ565" s="33">
        <v>45991</v>
      </c>
      <c r="AK565" s="209"/>
      <c r="AL565" s="204" t="s">
        <v>6794</v>
      </c>
      <c r="AM565" s="1"/>
    </row>
    <row r="566" spans="1:48" ht="45" hidden="1" customHeight="1">
      <c r="B566" s="177" t="s">
        <v>255</v>
      </c>
      <c r="C566" s="177" t="s">
        <v>328</v>
      </c>
      <c r="D566" s="177" t="s">
        <v>329</v>
      </c>
      <c r="E566" s="274" t="s">
        <v>2291</v>
      </c>
      <c r="F566" s="306" t="s">
        <v>40</v>
      </c>
      <c r="G566" s="306" t="s">
        <v>1455</v>
      </c>
      <c r="H566" s="306" t="s">
        <v>42</v>
      </c>
      <c r="I566" s="306">
        <v>41.042000000000002</v>
      </c>
      <c r="J566" s="178" t="s">
        <v>253</v>
      </c>
      <c r="K566" s="307">
        <v>45931</v>
      </c>
      <c r="L566" s="308" t="s">
        <v>58</v>
      </c>
      <c r="M566" s="179"/>
      <c r="N566" s="179"/>
      <c r="O566" s="179"/>
      <c r="P566" s="179"/>
      <c r="Q566" s="179"/>
      <c r="R566" s="179" t="s">
        <v>46</v>
      </c>
      <c r="S566" s="27" t="s">
        <v>47</v>
      </c>
      <c r="T566" s="175" t="s">
        <v>48</v>
      </c>
      <c r="U566" s="180" t="s">
        <v>2292</v>
      </c>
      <c r="V566" s="175"/>
      <c r="W566" s="175" t="s">
        <v>1007</v>
      </c>
      <c r="X566" s="175"/>
      <c r="Y566" s="180" t="s">
        <v>170</v>
      </c>
      <c r="Z566" s="180"/>
      <c r="AA566" s="180" t="s">
        <v>2294</v>
      </c>
      <c r="AB566" s="180"/>
      <c r="AC566" s="180"/>
      <c r="AD566" s="179"/>
      <c r="AE566" s="181">
        <v>600</v>
      </c>
      <c r="AF566" s="181">
        <v>700</v>
      </c>
      <c r="AG566" s="179">
        <v>45975</v>
      </c>
      <c r="AH566" s="179">
        <v>46008</v>
      </c>
      <c r="AI566" s="179"/>
      <c r="AJ566" s="182">
        <v>46021</v>
      </c>
      <c r="AK566" s="212"/>
      <c r="AL566" s="205" t="s">
        <v>6804</v>
      </c>
      <c r="AM566" s="1"/>
    </row>
    <row r="567" spans="1:48" ht="45" hidden="1" customHeight="1">
      <c r="B567" s="25" t="s">
        <v>255</v>
      </c>
      <c r="C567" s="54" t="s">
        <v>248</v>
      </c>
      <c r="D567" s="25" t="s">
        <v>249</v>
      </c>
      <c r="E567" s="269" t="s">
        <v>256</v>
      </c>
      <c r="F567" s="26" t="s">
        <v>40</v>
      </c>
      <c r="G567" s="26" t="s">
        <v>257</v>
      </c>
      <c r="H567" s="26" t="s">
        <v>42</v>
      </c>
      <c r="I567" s="26" t="s">
        <v>258</v>
      </c>
      <c r="J567" s="27" t="s">
        <v>253</v>
      </c>
      <c r="K567" s="28">
        <v>45933</v>
      </c>
      <c r="L567" s="29" t="s">
        <v>58</v>
      </c>
      <c r="M567" s="30"/>
      <c r="N567" s="30"/>
      <c r="O567" s="30"/>
      <c r="P567" s="30"/>
      <c r="Q567" s="30"/>
      <c r="R567" s="30" t="s">
        <v>46</v>
      </c>
      <c r="S567" s="27" t="s">
        <v>47</v>
      </c>
      <c r="T567" s="27" t="s">
        <v>48</v>
      </c>
      <c r="U567" s="31" t="s">
        <v>6768</v>
      </c>
      <c r="V567" s="27"/>
      <c r="W567" s="27" t="s">
        <v>254</v>
      </c>
      <c r="X567" s="27"/>
      <c r="Y567" s="31" t="s">
        <v>259</v>
      </c>
      <c r="Z567" s="31"/>
      <c r="AA567" s="31"/>
      <c r="AB567" s="31"/>
      <c r="AC567" s="31"/>
      <c r="AD567" s="30"/>
      <c r="AE567" s="32">
        <v>400</v>
      </c>
      <c r="AF567" s="32">
        <v>500</v>
      </c>
      <c r="AG567" s="30">
        <v>45978</v>
      </c>
      <c r="AH567" s="30">
        <v>45995</v>
      </c>
      <c r="AI567" s="30"/>
      <c r="AJ567" s="33">
        <v>45995</v>
      </c>
      <c r="AK567" s="209"/>
      <c r="AL567" s="204" t="s">
        <v>6795</v>
      </c>
      <c r="AM567" s="1"/>
    </row>
    <row r="568" spans="1:48" ht="45" hidden="1" customHeight="1">
      <c r="A568" s="1"/>
      <c r="B568" s="25" t="s">
        <v>183</v>
      </c>
      <c r="C568" s="25" t="s">
        <v>111</v>
      </c>
      <c r="D568" s="53" t="s">
        <v>112</v>
      </c>
      <c r="E568" s="266" t="s">
        <v>184</v>
      </c>
      <c r="F568" s="26" t="s">
        <v>40</v>
      </c>
      <c r="G568" s="26" t="s">
        <v>185</v>
      </c>
      <c r="H568" s="26" t="s">
        <v>42</v>
      </c>
      <c r="I568" s="26" t="s">
        <v>186</v>
      </c>
      <c r="J568" s="27" t="s">
        <v>57</v>
      </c>
      <c r="K568" s="28">
        <v>45931</v>
      </c>
      <c r="L568" s="29" t="s">
        <v>58</v>
      </c>
      <c r="M568" s="29"/>
      <c r="N568" s="30"/>
      <c r="O568" s="30"/>
      <c r="P568" s="30"/>
      <c r="Q568" s="30"/>
      <c r="R568" s="30" t="s">
        <v>46</v>
      </c>
      <c r="S568" s="27" t="s">
        <v>47</v>
      </c>
      <c r="T568" s="27" t="s">
        <v>187</v>
      </c>
      <c r="U568" s="31" t="s">
        <v>7113</v>
      </c>
      <c r="V568" s="27" t="s">
        <v>85</v>
      </c>
      <c r="W568" s="27" t="s">
        <v>188</v>
      </c>
      <c r="X568" s="27"/>
      <c r="Y568" s="31" t="s">
        <v>170</v>
      </c>
      <c r="Z568" s="31"/>
      <c r="AA568" s="31" t="s">
        <v>189</v>
      </c>
      <c r="AB568" s="31"/>
      <c r="AC568" s="31"/>
      <c r="AD568" s="30">
        <v>46001</v>
      </c>
      <c r="AE568" s="32">
        <v>3700</v>
      </c>
      <c r="AF568" s="32">
        <v>2100</v>
      </c>
      <c r="AG568" s="30">
        <v>45957</v>
      </c>
      <c r="AH568" s="30">
        <v>45982</v>
      </c>
      <c r="AI568" s="30"/>
      <c r="AJ568" s="33">
        <v>45982</v>
      </c>
      <c r="AK568" s="209">
        <v>46001</v>
      </c>
      <c r="AL568" s="204" t="s">
        <v>7243</v>
      </c>
      <c r="AM568" s="1"/>
      <c r="AN568" s="1"/>
      <c r="AO568" s="1"/>
      <c r="AP568" s="1"/>
      <c r="AQ568" s="1"/>
      <c r="AR568" s="1"/>
      <c r="AS568" s="1"/>
      <c r="AT568" s="1"/>
      <c r="AU568" s="1"/>
      <c r="AV568" s="1"/>
    </row>
    <row r="569" spans="1:48" ht="45" hidden="1" customHeight="1">
      <c r="B569" s="25" t="s">
        <v>183</v>
      </c>
      <c r="C569" s="25" t="s">
        <v>111</v>
      </c>
      <c r="D569" s="25" t="s">
        <v>112</v>
      </c>
      <c r="E569" s="269" t="s">
        <v>2278</v>
      </c>
      <c r="F569" s="26" t="s">
        <v>40</v>
      </c>
      <c r="G569" s="26" t="s">
        <v>2279</v>
      </c>
      <c r="H569" s="26" t="s">
        <v>42</v>
      </c>
      <c r="I569" s="26" t="s">
        <v>2280</v>
      </c>
      <c r="J569" s="27" t="s">
        <v>253</v>
      </c>
      <c r="K569" s="28">
        <v>45934</v>
      </c>
      <c r="L569" s="29" t="s">
        <v>58</v>
      </c>
      <c r="M569" s="30"/>
      <c r="N569" s="30"/>
      <c r="O569" s="30"/>
      <c r="P569" s="30"/>
      <c r="Q569" s="30"/>
      <c r="R569" s="30" t="s">
        <v>46</v>
      </c>
      <c r="S569" s="27" t="s">
        <v>47</v>
      </c>
      <c r="T569" s="27" t="s">
        <v>48</v>
      </c>
      <c r="U569" s="31" t="s">
        <v>6777</v>
      </c>
      <c r="V569" s="27"/>
      <c r="W569" s="27" t="s">
        <v>50</v>
      </c>
      <c r="X569" s="27"/>
      <c r="Y569" s="31" t="s">
        <v>62</v>
      </c>
      <c r="Z569" s="31"/>
      <c r="AA569" s="31" t="s">
        <v>2281</v>
      </c>
      <c r="AB569" s="31"/>
      <c r="AC569" s="31"/>
      <c r="AD569" s="30"/>
      <c r="AE569" s="32">
        <v>1300</v>
      </c>
      <c r="AF569" s="32">
        <v>3400</v>
      </c>
      <c r="AG569" s="30">
        <v>45973</v>
      </c>
      <c r="AH569" s="30">
        <v>45996</v>
      </c>
      <c r="AI569" s="30"/>
      <c r="AJ569" s="33">
        <v>46003</v>
      </c>
      <c r="AK569" s="209"/>
      <c r="AL569" s="204" t="s">
        <v>6791</v>
      </c>
      <c r="AM569" s="1"/>
    </row>
    <row r="570" spans="1:48" ht="45" hidden="1" customHeight="1">
      <c r="A570" s="1"/>
      <c r="B570" s="25" t="s">
        <v>174</v>
      </c>
      <c r="C570" s="25" t="s">
        <v>111</v>
      </c>
      <c r="D570" s="53" t="s">
        <v>112</v>
      </c>
      <c r="E570" s="266" t="s">
        <v>175</v>
      </c>
      <c r="F570" s="26" t="s">
        <v>40</v>
      </c>
      <c r="G570" s="26" t="s">
        <v>176</v>
      </c>
      <c r="H570" s="26" t="s">
        <v>42</v>
      </c>
      <c r="I570" s="26" t="s">
        <v>177</v>
      </c>
      <c r="J570" s="27" t="s">
        <v>57</v>
      </c>
      <c r="K570" s="28">
        <v>45931</v>
      </c>
      <c r="L570" s="29" t="s">
        <v>58</v>
      </c>
      <c r="M570" s="30"/>
      <c r="N570" s="30"/>
      <c r="O570" s="30"/>
      <c r="P570" s="30"/>
      <c r="Q570" s="30"/>
      <c r="R570" s="30" t="s">
        <v>46</v>
      </c>
      <c r="S570" s="27" t="s">
        <v>47</v>
      </c>
      <c r="T570" s="27" t="s">
        <v>48</v>
      </c>
      <c r="U570" s="31" t="s">
        <v>7112</v>
      </c>
      <c r="V570" s="27" t="s">
        <v>85</v>
      </c>
      <c r="W570" s="27" t="s">
        <v>94</v>
      </c>
      <c r="X570" s="27"/>
      <c r="Y570" s="31" t="s">
        <v>178</v>
      </c>
      <c r="Z570" s="31"/>
      <c r="AA570" s="31" t="s">
        <v>179</v>
      </c>
      <c r="AB570" s="31"/>
      <c r="AC570" s="31"/>
      <c r="AD570" s="30">
        <v>46010</v>
      </c>
      <c r="AE570" s="32">
        <v>2700</v>
      </c>
      <c r="AF570" s="32">
        <v>3600</v>
      </c>
      <c r="AG570" s="30">
        <v>45959</v>
      </c>
      <c r="AH570" s="30">
        <v>45982</v>
      </c>
      <c r="AI570" s="30"/>
      <c r="AJ570" s="33">
        <v>45982</v>
      </c>
      <c r="AK570" s="209">
        <v>46010</v>
      </c>
      <c r="AL570" s="204" t="s">
        <v>7242</v>
      </c>
      <c r="AM570" s="1"/>
      <c r="AN570" s="1"/>
      <c r="AO570" s="1"/>
      <c r="AP570" s="1"/>
      <c r="AQ570" s="1"/>
      <c r="AR570" s="1"/>
      <c r="AS570" s="1"/>
      <c r="AT570" s="1"/>
      <c r="AU570" s="1"/>
      <c r="AV570" s="1"/>
    </row>
    <row r="571" spans="1:48" ht="45" hidden="1" customHeight="1">
      <c r="B571" s="25" t="s">
        <v>174</v>
      </c>
      <c r="C571" s="25" t="s">
        <v>111</v>
      </c>
      <c r="D571" s="25" t="s">
        <v>112</v>
      </c>
      <c r="E571" s="269" t="s">
        <v>273</v>
      </c>
      <c r="F571" s="26" t="s">
        <v>274</v>
      </c>
      <c r="G571" s="26" t="s">
        <v>275</v>
      </c>
      <c r="H571" s="26" t="s">
        <v>42</v>
      </c>
      <c r="I571" s="26" t="s">
        <v>276</v>
      </c>
      <c r="J571" s="27" t="s">
        <v>253</v>
      </c>
      <c r="K571" s="28">
        <v>45935</v>
      </c>
      <c r="L571" s="29" t="s">
        <v>58</v>
      </c>
      <c r="M571" s="30"/>
      <c r="N571" s="30"/>
      <c r="O571" s="30"/>
      <c r="P571" s="30"/>
      <c r="Q571" s="30"/>
      <c r="R571" s="30" t="s">
        <v>46</v>
      </c>
      <c r="S571" s="27" t="s">
        <v>47</v>
      </c>
      <c r="T571" s="27" t="s">
        <v>48</v>
      </c>
      <c r="U571" s="31" t="s">
        <v>277</v>
      </c>
      <c r="V571" s="27"/>
      <c r="W571" s="27" t="s">
        <v>109</v>
      </c>
      <c r="X571" s="27"/>
      <c r="Y571" s="31" t="s">
        <v>132</v>
      </c>
      <c r="Z571" s="31"/>
      <c r="AA571" s="31"/>
      <c r="AB571" s="31"/>
      <c r="AC571" s="31"/>
      <c r="AD571" s="30"/>
      <c r="AE571" s="32">
        <v>1100</v>
      </c>
      <c r="AF571" s="32">
        <v>4400</v>
      </c>
      <c r="AG571" s="30">
        <v>45978</v>
      </c>
      <c r="AH571" s="30">
        <v>46001</v>
      </c>
      <c r="AI571" s="30"/>
      <c r="AJ571" s="33">
        <v>45999</v>
      </c>
      <c r="AK571" s="209"/>
      <c r="AL571" s="204" t="s">
        <v>6789</v>
      </c>
      <c r="AM571" s="1"/>
    </row>
    <row r="572" spans="1:48" ht="45" hidden="1" customHeight="1">
      <c r="A572" s="1"/>
      <c r="B572" s="25" t="s">
        <v>197</v>
      </c>
      <c r="C572" s="25" t="s">
        <v>223</v>
      </c>
      <c r="D572" s="25" t="s">
        <v>224</v>
      </c>
      <c r="E572" s="266" t="s">
        <v>225</v>
      </c>
      <c r="F572" s="26" t="s">
        <v>40</v>
      </c>
      <c r="G572" s="26" t="s">
        <v>107</v>
      </c>
      <c r="H572" s="26" t="s">
        <v>42</v>
      </c>
      <c r="I572" s="26" t="s">
        <v>192</v>
      </c>
      <c r="J572" s="27" t="s">
        <v>57</v>
      </c>
      <c r="K572" s="28">
        <v>45931</v>
      </c>
      <c r="L572" s="29" t="s">
        <v>58</v>
      </c>
      <c r="M572" s="29"/>
      <c r="N572" s="30"/>
      <c r="O572" s="30"/>
      <c r="P572" s="30"/>
      <c r="Q572" s="30"/>
      <c r="R572" s="30" t="s">
        <v>46</v>
      </c>
      <c r="S572" s="27" t="s">
        <v>47</v>
      </c>
      <c r="T572" s="27" t="s">
        <v>48</v>
      </c>
      <c r="U572" s="31" t="s">
        <v>7095</v>
      </c>
      <c r="V572" s="27" t="s">
        <v>85</v>
      </c>
      <c r="W572" s="27" t="s">
        <v>50</v>
      </c>
      <c r="X572" s="27"/>
      <c r="Y572" s="31" t="s">
        <v>200</v>
      </c>
      <c r="Z572" s="31"/>
      <c r="AA572" s="31" t="s">
        <v>226</v>
      </c>
      <c r="AB572" s="31"/>
      <c r="AC572" s="31"/>
      <c r="AD572" s="30">
        <v>46007</v>
      </c>
      <c r="AE572" s="32">
        <v>1600</v>
      </c>
      <c r="AF572" s="32">
        <v>5600</v>
      </c>
      <c r="AG572" s="30">
        <v>45960</v>
      </c>
      <c r="AH572" s="30">
        <v>45988</v>
      </c>
      <c r="AI572" s="30"/>
      <c r="AJ572" s="33">
        <v>45988</v>
      </c>
      <c r="AK572" s="209">
        <v>46007</v>
      </c>
      <c r="AL572" s="204" t="s">
        <v>7240</v>
      </c>
      <c r="AM572" s="1"/>
      <c r="AN572" s="1"/>
      <c r="AO572" s="1"/>
      <c r="AP572" s="1"/>
      <c r="AQ572" s="1"/>
      <c r="AR572" s="1"/>
      <c r="AS572" s="1"/>
      <c r="AT572" s="1"/>
      <c r="AU572" s="1"/>
      <c r="AV572" s="1"/>
    </row>
    <row r="573" spans="1:48" ht="45" hidden="1" customHeight="1">
      <c r="A573" s="1"/>
      <c r="B573" s="25" t="s">
        <v>197</v>
      </c>
      <c r="C573" s="25" t="s">
        <v>111</v>
      </c>
      <c r="D573" s="53" t="s">
        <v>112</v>
      </c>
      <c r="E573" s="266" t="s">
        <v>198</v>
      </c>
      <c r="F573" s="26" t="s">
        <v>40</v>
      </c>
      <c r="G573" s="26" t="s">
        <v>176</v>
      </c>
      <c r="H573" s="26" t="s">
        <v>42</v>
      </c>
      <c r="I573" s="26">
        <v>321.322</v>
      </c>
      <c r="J573" s="27" t="s">
        <v>57</v>
      </c>
      <c r="K573" s="28">
        <v>45931</v>
      </c>
      <c r="L573" s="29" t="s">
        <v>99</v>
      </c>
      <c r="M573" s="29"/>
      <c r="N573" s="30"/>
      <c r="O573" s="30"/>
      <c r="P573" s="30"/>
      <c r="Q573" s="30"/>
      <c r="R573" s="30" t="s">
        <v>46</v>
      </c>
      <c r="S573" s="27" t="s">
        <v>47</v>
      </c>
      <c r="T573" s="27" t="s">
        <v>187</v>
      </c>
      <c r="U573" s="31" t="s">
        <v>7114</v>
      </c>
      <c r="V573" s="27" t="s">
        <v>85</v>
      </c>
      <c r="W573" s="27" t="s">
        <v>61</v>
      </c>
      <c r="X573" s="27" t="s">
        <v>199</v>
      </c>
      <c r="Y573" s="31" t="s">
        <v>200</v>
      </c>
      <c r="Z573" s="31"/>
      <c r="AA573" s="31" t="s">
        <v>201</v>
      </c>
      <c r="AB573" s="31"/>
      <c r="AC573" s="31"/>
      <c r="AD573" s="30">
        <v>46044</v>
      </c>
      <c r="AE573" s="32">
        <v>3800</v>
      </c>
      <c r="AF573" s="32">
        <v>2700</v>
      </c>
      <c r="AG573" s="30">
        <v>45957</v>
      </c>
      <c r="AH573" s="30">
        <v>45989</v>
      </c>
      <c r="AI573" s="30"/>
      <c r="AJ573" s="33">
        <v>45986</v>
      </c>
      <c r="AK573" s="209">
        <v>45996</v>
      </c>
      <c r="AL573" s="204" t="s">
        <v>7245</v>
      </c>
      <c r="AM573" s="1"/>
      <c r="AN573" s="1"/>
      <c r="AO573" s="1"/>
      <c r="AP573" s="1"/>
      <c r="AQ573" s="1"/>
      <c r="AR573" s="1"/>
      <c r="AS573" s="1"/>
      <c r="AT573" s="1"/>
      <c r="AU573" s="1"/>
      <c r="AV573" s="1"/>
    </row>
    <row r="574" spans="1:48" ht="45" hidden="1" customHeight="1">
      <c r="A574" s="1"/>
      <c r="B574" s="177" t="s">
        <v>197</v>
      </c>
      <c r="C574" s="177" t="s">
        <v>241</v>
      </c>
      <c r="D574" s="159" t="s">
        <v>8273</v>
      </c>
      <c r="E574" s="268" t="s">
        <v>2288</v>
      </c>
      <c r="F574" s="352" t="s">
        <v>40</v>
      </c>
      <c r="G574" s="306" t="s">
        <v>121</v>
      </c>
      <c r="H574" s="306" t="s">
        <v>42</v>
      </c>
      <c r="I574" s="306" t="s">
        <v>2289</v>
      </c>
      <c r="J574" s="178" t="s">
        <v>253</v>
      </c>
      <c r="K574" s="307">
        <v>45986</v>
      </c>
      <c r="L574" s="308" t="s">
        <v>58</v>
      </c>
      <c r="M574" s="308"/>
      <c r="N574" s="179"/>
      <c r="O574" s="179"/>
      <c r="P574" s="179"/>
      <c r="Q574" s="179"/>
      <c r="R574" s="179" t="s">
        <v>46</v>
      </c>
      <c r="S574" s="175" t="s">
        <v>47</v>
      </c>
      <c r="T574" s="175" t="s">
        <v>48</v>
      </c>
      <c r="U574" s="180" t="s">
        <v>6773</v>
      </c>
      <c r="V574" s="175"/>
      <c r="W574" s="151" t="s">
        <v>147</v>
      </c>
      <c r="X574" s="175"/>
      <c r="Y574" s="180" t="s">
        <v>94</v>
      </c>
      <c r="Z574" s="180"/>
      <c r="AA574" s="193" t="s">
        <v>2290</v>
      </c>
      <c r="AB574" s="180"/>
      <c r="AC574" s="180"/>
      <c r="AD574" s="179"/>
      <c r="AE574" s="181">
        <v>2200</v>
      </c>
      <c r="AF574" s="181">
        <v>6700</v>
      </c>
      <c r="AG574" s="179">
        <v>45973</v>
      </c>
      <c r="AH574" s="179">
        <v>46007</v>
      </c>
      <c r="AI574" s="179"/>
      <c r="AJ574" s="194">
        <v>46010</v>
      </c>
      <c r="AK574" s="212"/>
      <c r="AL574" s="205" t="s">
        <v>6797</v>
      </c>
      <c r="AM574" s="1"/>
      <c r="AN574" s="1"/>
      <c r="AO574" s="1"/>
      <c r="AP574" s="1"/>
      <c r="AQ574" s="1"/>
      <c r="AR574" s="1"/>
      <c r="AS574" s="1"/>
      <c r="AT574" s="1"/>
      <c r="AU574" s="1"/>
      <c r="AV574" s="1"/>
    </row>
    <row r="575" spans="1:48" ht="45" hidden="1" customHeight="1">
      <c r="A575" s="1"/>
      <c r="B575" s="177" t="s">
        <v>2272</v>
      </c>
      <c r="C575" s="177" t="s">
        <v>111</v>
      </c>
      <c r="D575" s="197" t="s">
        <v>112</v>
      </c>
      <c r="E575" s="302" t="s">
        <v>2273</v>
      </c>
      <c r="F575" s="352" t="s">
        <v>40</v>
      </c>
      <c r="G575" s="352" t="s">
        <v>176</v>
      </c>
      <c r="H575" s="352" t="s">
        <v>42</v>
      </c>
      <c r="I575" s="352" t="s">
        <v>2274</v>
      </c>
      <c r="J575" s="198" t="s">
        <v>57</v>
      </c>
      <c r="K575" s="358">
        <v>45931</v>
      </c>
      <c r="L575" s="360" t="s">
        <v>58</v>
      </c>
      <c r="M575" s="360"/>
      <c r="N575" s="199"/>
      <c r="O575" s="199"/>
      <c r="P575" s="199"/>
      <c r="Q575" s="199"/>
      <c r="R575" s="199" t="s">
        <v>46</v>
      </c>
      <c r="S575" s="27" t="s">
        <v>47</v>
      </c>
      <c r="T575" s="175" t="s">
        <v>48</v>
      </c>
      <c r="U575" s="201" t="s">
        <v>7250</v>
      </c>
      <c r="V575" s="200" t="s">
        <v>85</v>
      </c>
      <c r="W575" s="200" t="s">
        <v>76</v>
      </c>
      <c r="X575" s="200" t="s">
        <v>124</v>
      </c>
      <c r="Y575" s="201" t="s">
        <v>51</v>
      </c>
      <c r="Z575" s="201"/>
      <c r="AA575" s="201" t="s">
        <v>2275</v>
      </c>
      <c r="AB575" s="201"/>
      <c r="AC575" s="201"/>
      <c r="AD575" s="199">
        <v>46119</v>
      </c>
      <c r="AE575" s="202">
        <v>3900</v>
      </c>
      <c r="AF575" s="202">
        <v>6300</v>
      </c>
      <c r="AG575" s="199">
        <v>45959</v>
      </c>
      <c r="AH575" s="199">
        <v>45989</v>
      </c>
      <c r="AI575" s="199"/>
      <c r="AJ575" s="194">
        <v>45991</v>
      </c>
      <c r="AK575" s="552">
        <v>46119</v>
      </c>
      <c r="AL575" s="304" t="s">
        <v>7251</v>
      </c>
      <c r="AM575" s="1"/>
      <c r="AN575" s="1"/>
      <c r="AO575" s="1"/>
      <c r="AP575" s="1"/>
      <c r="AQ575" s="1"/>
      <c r="AR575" s="1"/>
      <c r="AS575" s="1"/>
      <c r="AT575" s="1"/>
      <c r="AU575" s="1"/>
      <c r="AV575" s="1"/>
    </row>
    <row r="576" spans="1:48" ht="45" hidden="1" customHeight="1">
      <c r="A576" s="553"/>
      <c r="B576" s="177" t="s">
        <v>2272</v>
      </c>
      <c r="C576" s="177" t="s">
        <v>111</v>
      </c>
      <c r="D576" s="177" t="s">
        <v>112</v>
      </c>
      <c r="E576" s="268" t="s">
        <v>2282</v>
      </c>
      <c r="F576" s="306" t="s">
        <v>40</v>
      </c>
      <c r="G576" s="306" t="s">
        <v>2283</v>
      </c>
      <c r="H576" s="177" t="s">
        <v>42</v>
      </c>
      <c r="I576" s="306" t="s">
        <v>2284</v>
      </c>
      <c r="J576" s="178" t="s">
        <v>253</v>
      </c>
      <c r="K576" s="307">
        <v>45987</v>
      </c>
      <c r="L576" s="179" t="s">
        <v>58</v>
      </c>
      <c r="M576" s="308"/>
      <c r="N576" s="179"/>
      <c r="O576" s="179"/>
      <c r="P576" s="179"/>
      <c r="Q576" s="179"/>
      <c r="R576" s="179" t="s">
        <v>46</v>
      </c>
      <c r="S576" s="27" t="s">
        <v>47</v>
      </c>
      <c r="T576" s="27" t="s">
        <v>48</v>
      </c>
      <c r="U576" s="337" t="s">
        <v>6763</v>
      </c>
      <c r="V576" s="175"/>
      <c r="W576" s="175" t="s">
        <v>124</v>
      </c>
      <c r="X576" s="175"/>
      <c r="Y576" s="180" t="s">
        <v>1167</v>
      </c>
      <c r="Z576" s="180"/>
      <c r="AA576" s="180"/>
      <c r="AB576" s="180"/>
      <c r="AC576" s="180"/>
      <c r="AD576" s="179"/>
      <c r="AE576" s="181">
        <v>600</v>
      </c>
      <c r="AF576" s="181">
        <v>2600</v>
      </c>
      <c r="AG576" s="179">
        <v>45992</v>
      </c>
      <c r="AH576" s="179">
        <v>46006</v>
      </c>
      <c r="AI576" s="179"/>
      <c r="AJ576" s="194">
        <v>46022</v>
      </c>
      <c r="AK576" s="212"/>
      <c r="AL576" s="205" t="s">
        <v>6793</v>
      </c>
      <c r="AM576" s="1"/>
      <c r="AN576" s="1"/>
      <c r="AO576" s="1"/>
      <c r="AP576" s="1"/>
      <c r="AQ576" s="1"/>
      <c r="AR576" s="1"/>
      <c r="AS576" s="1"/>
      <c r="AT576" s="1"/>
      <c r="AU576" s="1"/>
      <c r="AV576" s="1"/>
    </row>
    <row r="577" spans="1:48" ht="45" hidden="1" customHeight="1">
      <c r="A577" s="1"/>
      <c r="B577" s="25" t="s">
        <v>212</v>
      </c>
      <c r="C577" s="25" t="s">
        <v>111</v>
      </c>
      <c r="D577" s="53" t="s">
        <v>112</v>
      </c>
      <c r="E577" s="266" t="s">
        <v>213</v>
      </c>
      <c r="F577" s="26" t="s">
        <v>40</v>
      </c>
      <c r="G577" s="26" t="s">
        <v>176</v>
      </c>
      <c r="H577" s="26" t="s">
        <v>42</v>
      </c>
      <c r="I577" s="26">
        <v>371</v>
      </c>
      <c r="J577" s="27" t="s">
        <v>57</v>
      </c>
      <c r="K577" s="28">
        <v>45931</v>
      </c>
      <c r="L577" s="29" t="s">
        <v>58</v>
      </c>
      <c r="M577" s="30"/>
      <c r="N577" s="30"/>
      <c r="O577" s="30"/>
      <c r="P577" s="30"/>
      <c r="Q577" s="30"/>
      <c r="R577" s="30" t="s">
        <v>46</v>
      </c>
      <c r="S577" s="27" t="s">
        <v>47</v>
      </c>
      <c r="T577" s="27" t="s">
        <v>48</v>
      </c>
      <c r="U577" s="31" t="s">
        <v>214</v>
      </c>
      <c r="V577" s="27" t="s">
        <v>85</v>
      </c>
      <c r="W577" s="27" t="s">
        <v>109</v>
      </c>
      <c r="X577" s="27"/>
      <c r="Y577" s="31" t="s">
        <v>200</v>
      </c>
      <c r="Z577" s="31"/>
      <c r="AA577" s="31" t="s">
        <v>215</v>
      </c>
      <c r="AB577" s="31"/>
      <c r="AC577" s="31"/>
      <c r="AD577" s="30">
        <v>46002</v>
      </c>
      <c r="AE577" s="32">
        <v>800</v>
      </c>
      <c r="AF577" s="32">
        <v>1300</v>
      </c>
      <c r="AG577" s="30">
        <v>45965</v>
      </c>
      <c r="AH577" s="30">
        <v>45982</v>
      </c>
      <c r="AI577" s="30"/>
      <c r="AJ577" s="33">
        <v>45987</v>
      </c>
      <c r="AK577" s="209">
        <v>46002</v>
      </c>
      <c r="AL577" s="204" t="s">
        <v>7246</v>
      </c>
      <c r="AM577" s="1"/>
      <c r="AN577" s="1"/>
      <c r="AO577" s="1"/>
      <c r="AP577" s="1"/>
      <c r="AQ577" s="1"/>
      <c r="AR577" s="1"/>
      <c r="AS577" s="1"/>
      <c r="AT577" s="1"/>
      <c r="AU577" s="1"/>
      <c r="AV577" s="1"/>
    </row>
    <row r="578" spans="1:48" ht="45" hidden="1" customHeight="1">
      <c r="A578" s="1"/>
      <c r="B578" s="25" t="s">
        <v>212</v>
      </c>
      <c r="C578" s="25" t="s">
        <v>111</v>
      </c>
      <c r="D578" s="25" t="s">
        <v>112</v>
      </c>
      <c r="E578" s="269" t="s">
        <v>278</v>
      </c>
      <c r="F578" s="26" t="s">
        <v>40</v>
      </c>
      <c r="G578" s="26" t="s">
        <v>279</v>
      </c>
      <c r="H578" s="25" t="s">
        <v>42</v>
      </c>
      <c r="I578" s="26">
        <v>281</v>
      </c>
      <c r="J578" s="27" t="s">
        <v>253</v>
      </c>
      <c r="K578" s="28">
        <v>45988</v>
      </c>
      <c r="L578" s="30" t="s">
        <v>58</v>
      </c>
      <c r="M578" s="29"/>
      <c r="N578" s="30"/>
      <c r="O578" s="30"/>
      <c r="P578" s="30"/>
      <c r="Q578" s="30"/>
      <c r="R578" s="30" t="s">
        <v>46</v>
      </c>
      <c r="S578" s="27" t="s">
        <v>47</v>
      </c>
      <c r="T578" s="27" t="s">
        <v>48</v>
      </c>
      <c r="U578" s="31" t="s">
        <v>280</v>
      </c>
      <c r="V578" s="27"/>
      <c r="W578" s="27" t="s">
        <v>94</v>
      </c>
      <c r="X578" s="27"/>
      <c r="Y578" s="31" t="s">
        <v>51</v>
      </c>
      <c r="Z578" s="31"/>
      <c r="AA578" s="31"/>
      <c r="AB578" s="31"/>
      <c r="AC578" s="31"/>
      <c r="AD578" s="30"/>
      <c r="AE578" s="32">
        <v>800</v>
      </c>
      <c r="AF578" s="32">
        <v>100</v>
      </c>
      <c r="AG578" s="30">
        <v>45992</v>
      </c>
      <c r="AH578" s="30">
        <v>45999</v>
      </c>
      <c r="AI578" s="30"/>
      <c r="AJ578" s="33">
        <v>45999</v>
      </c>
      <c r="AK578" s="209"/>
      <c r="AL578" s="204" t="s">
        <v>6790</v>
      </c>
      <c r="AM578" s="1"/>
      <c r="AN578" s="1"/>
      <c r="AO578" s="1"/>
      <c r="AP578" s="1"/>
      <c r="AQ578" s="1"/>
      <c r="AR578" s="1"/>
      <c r="AS578" s="1"/>
      <c r="AT578" s="1"/>
      <c r="AU578" s="1"/>
      <c r="AV578" s="1"/>
    </row>
    <row r="579" spans="1:48" ht="45" hidden="1" customHeight="1">
      <c r="B579" s="159" t="s">
        <v>2234</v>
      </c>
      <c r="C579" s="159" t="s">
        <v>989</v>
      </c>
      <c r="D579" s="159" t="s">
        <v>2235</v>
      </c>
      <c r="E579" s="159" t="s">
        <v>2236</v>
      </c>
      <c r="F579" s="152" t="s">
        <v>40</v>
      </c>
      <c r="G579" s="152"/>
      <c r="H579" s="152" t="s">
        <v>42</v>
      </c>
      <c r="I579" s="152">
        <v>101</v>
      </c>
      <c r="J579" s="174" t="s">
        <v>2237</v>
      </c>
      <c r="K579" s="153">
        <v>45931</v>
      </c>
      <c r="L579" s="154" t="s">
        <v>58</v>
      </c>
      <c r="M579" s="154"/>
      <c r="N579" s="155"/>
      <c r="O579" s="155"/>
      <c r="P579" s="155"/>
      <c r="Q579" s="155"/>
      <c r="R579" s="155" t="s">
        <v>46</v>
      </c>
      <c r="S579" s="151" t="s">
        <v>47</v>
      </c>
      <c r="T579" s="151" t="s">
        <v>48</v>
      </c>
      <c r="U579" s="156" t="s">
        <v>2238</v>
      </c>
      <c r="V579" s="151" t="s">
        <v>85</v>
      </c>
      <c r="W579" s="151" t="s">
        <v>50</v>
      </c>
      <c r="X579" s="151"/>
      <c r="Y579" s="156" t="s">
        <v>115</v>
      </c>
      <c r="Z579" s="156"/>
      <c r="AA579" s="156"/>
      <c r="AB579" s="156"/>
      <c r="AC579" s="156"/>
      <c r="AD579" s="155">
        <v>45986</v>
      </c>
      <c r="AE579" s="157">
        <v>0</v>
      </c>
      <c r="AF579" s="157">
        <v>700</v>
      </c>
      <c r="AG579" s="155">
        <v>45959</v>
      </c>
      <c r="AH579" s="155">
        <v>45960</v>
      </c>
      <c r="AI579" s="155"/>
      <c r="AJ579" s="158">
        <v>45960</v>
      </c>
      <c r="AK579" s="211">
        <v>45986</v>
      </c>
      <c r="AL579" s="158"/>
      <c r="AM579" s="1"/>
    </row>
    <row r="580" spans="1:48" ht="45" hidden="1" customHeight="1">
      <c r="B580" s="177" t="s">
        <v>2234</v>
      </c>
      <c r="C580" s="177" t="s">
        <v>111</v>
      </c>
      <c r="D580" s="177" t="s">
        <v>112</v>
      </c>
      <c r="E580" s="268" t="s">
        <v>2314</v>
      </c>
      <c r="F580" s="306" t="s">
        <v>40</v>
      </c>
      <c r="G580" s="306" t="s">
        <v>2315</v>
      </c>
      <c r="H580" s="306" t="s">
        <v>42</v>
      </c>
      <c r="I580" s="306">
        <v>421</v>
      </c>
      <c r="J580" s="178" t="s">
        <v>253</v>
      </c>
      <c r="K580" s="381">
        <v>45989</v>
      </c>
      <c r="L580" s="308" t="s">
        <v>58</v>
      </c>
      <c r="M580" s="308"/>
      <c r="N580" s="179"/>
      <c r="O580" s="179"/>
      <c r="P580" s="179"/>
      <c r="Q580" s="179"/>
      <c r="R580" s="179" t="s">
        <v>46</v>
      </c>
      <c r="S580" s="27" t="s">
        <v>47</v>
      </c>
      <c r="T580" s="175" t="s">
        <v>48</v>
      </c>
      <c r="U580" s="180" t="s">
        <v>6770</v>
      </c>
      <c r="V580" s="175"/>
      <c r="W580" s="175" t="s">
        <v>94</v>
      </c>
      <c r="X580" s="175"/>
      <c r="Y580" s="180" t="s">
        <v>51</v>
      </c>
      <c r="Z580" s="180"/>
      <c r="AA580" s="180"/>
      <c r="AB580" s="180"/>
      <c r="AC580" s="180"/>
      <c r="AD580" s="179"/>
      <c r="AE580" s="181">
        <v>250</v>
      </c>
      <c r="AF580" s="181">
        <v>100</v>
      </c>
      <c r="AG580" s="179">
        <v>45992</v>
      </c>
      <c r="AH580" s="179">
        <v>46001</v>
      </c>
      <c r="AI580" s="179"/>
      <c r="AJ580" s="182">
        <v>46017</v>
      </c>
      <c r="AK580" s="212"/>
      <c r="AL580" s="205" t="s">
        <v>6792</v>
      </c>
      <c r="AM580" s="1"/>
    </row>
    <row r="581" spans="1:48" ht="45" hidden="1" customHeight="1">
      <c r="B581" s="348" t="s">
        <v>125</v>
      </c>
      <c r="C581" s="25" t="s">
        <v>126</v>
      </c>
      <c r="D581" s="25" t="s">
        <v>127</v>
      </c>
      <c r="E581" s="266" t="s">
        <v>128</v>
      </c>
      <c r="F581" s="26" t="s">
        <v>40</v>
      </c>
      <c r="G581" s="26" t="s">
        <v>129</v>
      </c>
      <c r="H581" s="25" t="s">
        <v>42</v>
      </c>
      <c r="I581" s="26" t="s">
        <v>130</v>
      </c>
      <c r="J581" s="50" t="s">
        <v>57</v>
      </c>
      <c r="K581" s="28">
        <v>45931</v>
      </c>
      <c r="L581" s="30" t="s">
        <v>58</v>
      </c>
      <c r="M581" s="29"/>
      <c r="N581" s="30"/>
      <c r="O581" s="30"/>
      <c r="P581" s="30"/>
      <c r="Q581" s="30"/>
      <c r="R581" s="30" t="s">
        <v>46</v>
      </c>
      <c r="S581" s="27" t="s">
        <v>47</v>
      </c>
      <c r="T581" s="27" t="s">
        <v>48</v>
      </c>
      <c r="U581" s="350" t="s">
        <v>131</v>
      </c>
      <c r="V581" s="27" t="s">
        <v>85</v>
      </c>
      <c r="W581" s="27" t="s">
        <v>50</v>
      </c>
      <c r="X581" s="27"/>
      <c r="Y581" s="31" t="s">
        <v>132</v>
      </c>
      <c r="Z581" s="31"/>
      <c r="AA581" s="31"/>
      <c r="AB581" s="31"/>
      <c r="AC581" s="31"/>
      <c r="AD581" s="30">
        <v>45973</v>
      </c>
      <c r="AE581" s="32">
        <v>700</v>
      </c>
      <c r="AF581" s="32">
        <v>1300</v>
      </c>
      <c r="AG581" s="30">
        <v>45959</v>
      </c>
      <c r="AH581" s="30">
        <v>45975</v>
      </c>
      <c r="AI581" s="30"/>
      <c r="AJ581" s="33">
        <v>45973</v>
      </c>
      <c r="AK581" s="209">
        <v>45974</v>
      </c>
      <c r="AL581" s="204" t="s">
        <v>7254</v>
      </c>
      <c r="AM581" s="1"/>
    </row>
    <row r="582" spans="1:48" ht="45" hidden="1" customHeight="1">
      <c r="A582" s="1"/>
      <c r="B582" s="336" t="s">
        <v>125</v>
      </c>
      <c r="C582" s="203" t="s">
        <v>241</v>
      </c>
      <c r="D582" s="159" t="s">
        <v>8273</v>
      </c>
      <c r="E582" s="268" t="s">
        <v>2319</v>
      </c>
      <c r="F582" s="306" t="s">
        <v>40</v>
      </c>
      <c r="G582" s="306" t="s">
        <v>1557</v>
      </c>
      <c r="H582" s="306" t="s">
        <v>42</v>
      </c>
      <c r="I582" s="306" t="s">
        <v>1510</v>
      </c>
      <c r="J582" s="178" t="s">
        <v>253</v>
      </c>
      <c r="K582" s="307">
        <v>45962</v>
      </c>
      <c r="L582" s="179" t="s">
        <v>58</v>
      </c>
      <c r="M582" s="308"/>
      <c r="N582" s="179"/>
      <c r="O582" s="179"/>
      <c r="P582" s="179"/>
      <c r="Q582" s="179"/>
      <c r="R582" s="179" t="s">
        <v>46</v>
      </c>
      <c r="S582" s="27" t="s">
        <v>47</v>
      </c>
      <c r="T582" s="175" t="s">
        <v>48</v>
      </c>
      <c r="U582" s="337" t="s">
        <v>6954</v>
      </c>
      <c r="V582" s="175"/>
      <c r="W582" s="175" t="s">
        <v>94</v>
      </c>
      <c r="X582" s="175" t="s">
        <v>147</v>
      </c>
      <c r="Y582" s="180" t="s">
        <v>62</v>
      </c>
      <c r="Z582" s="180"/>
      <c r="AA582" s="180"/>
      <c r="AB582" s="180"/>
      <c r="AC582" s="180"/>
      <c r="AD582" s="179"/>
      <c r="AE582" s="181">
        <v>600</v>
      </c>
      <c r="AF582" s="181">
        <v>3300</v>
      </c>
      <c r="AG582" s="179">
        <v>45993</v>
      </c>
      <c r="AH582" s="179">
        <v>46011</v>
      </c>
      <c r="AI582" s="179"/>
      <c r="AJ582" s="182">
        <v>46022</v>
      </c>
      <c r="AK582" s="212"/>
      <c r="AL582" s="205" t="s">
        <v>6800</v>
      </c>
      <c r="AM582" s="1"/>
      <c r="AN582" s="1"/>
      <c r="AO582" s="1"/>
      <c r="AP582" s="1"/>
      <c r="AQ582" s="1"/>
      <c r="AR582" s="1"/>
      <c r="AS582" s="1"/>
      <c r="AT582" s="1"/>
      <c r="AU582" s="1"/>
      <c r="AV582" s="1"/>
    </row>
    <row r="583" spans="1:48" ht="45" hidden="1" customHeight="1">
      <c r="B583" s="336" t="s">
        <v>2306</v>
      </c>
      <c r="C583" s="176" t="s">
        <v>241</v>
      </c>
      <c r="D583" s="159" t="s">
        <v>8273</v>
      </c>
      <c r="E583" s="268" t="s">
        <v>2307</v>
      </c>
      <c r="F583" s="306" t="s">
        <v>40</v>
      </c>
      <c r="G583" s="306" t="s">
        <v>1557</v>
      </c>
      <c r="H583" s="177" t="s">
        <v>42</v>
      </c>
      <c r="I583" s="306">
        <v>111</v>
      </c>
      <c r="J583" s="178" t="s">
        <v>253</v>
      </c>
      <c r="K583" s="307">
        <v>45962</v>
      </c>
      <c r="L583" s="179" t="s">
        <v>58</v>
      </c>
      <c r="M583" s="308"/>
      <c r="N583" s="179"/>
      <c r="O583" s="179"/>
      <c r="P583" s="179"/>
      <c r="Q583" s="179"/>
      <c r="R583" s="179" t="s">
        <v>46</v>
      </c>
      <c r="S583" s="27" t="s">
        <v>47</v>
      </c>
      <c r="T583" s="27" t="s">
        <v>48</v>
      </c>
      <c r="U583" s="337" t="s">
        <v>6778</v>
      </c>
      <c r="V583" s="175"/>
      <c r="W583" s="175" t="s">
        <v>67</v>
      </c>
      <c r="X583" s="175"/>
      <c r="Y583" s="180" t="s">
        <v>62</v>
      </c>
      <c r="Z583" s="180"/>
      <c r="AA583" s="180"/>
      <c r="AB583" s="180"/>
      <c r="AC583" s="180"/>
      <c r="AD583" s="179"/>
      <c r="AE583" s="181">
        <v>600</v>
      </c>
      <c r="AF583" s="181">
        <v>1200</v>
      </c>
      <c r="AG583" s="179">
        <v>45993</v>
      </c>
      <c r="AH583" s="179">
        <v>46011</v>
      </c>
      <c r="AI583" s="179"/>
      <c r="AJ583" s="182">
        <v>46021</v>
      </c>
      <c r="AK583" s="212"/>
      <c r="AL583" s="205" t="s">
        <v>6801</v>
      </c>
      <c r="AM583" s="1"/>
    </row>
    <row r="584" spans="1:48" ht="45" hidden="1" customHeight="1">
      <c r="B584" s="336" t="s">
        <v>2298</v>
      </c>
      <c r="C584" s="176" t="s">
        <v>241</v>
      </c>
      <c r="D584" s="159" t="s">
        <v>8273</v>
      </c>
      <c r="E584" s="272" t="s">
        <v>2299</v>
      </c>
      <c r="F584" s="306" t="s">
        <v>40</v>
      </c>
      <c r="G584" s="306" t="s">
        <v>1557</v>
      </c>
      <c r="H584" s="177" t="s">
        <v>42</v>
      </c>
      <c r="I584" s="306" t="s">
        <v>2300</v>
      </c>
      <c r="J584" s="178" t="s">
        <v>253</v>
      </c>
      <c r="K584" s="307">
        <v>45962</v>
      </c>
      <c r="L584" s="179" t="s">
        <v>58</v>
      </c>
      <c r="M584" s="308"/>
      <c r="N584" s="179"/>
      <c r="O584" s="179"/>
      <c r="P584" s="179"/>
      <c r="Q584" s="179"/>
      <c r="R584" s="179" t="s">
        <v>46</v>
      </c>
      <c r="S584" s="27" t="s">
        <v>47</v>
      </c>
      <c r="T584" s="27" t="s">
        <v>48</v>
      </c>
      <c r="U584" s="337" t="s">
        <v>6784</v>
      </c>
      <c r="V584" s="175"/>
      <c r="W584" s="175" t="s">
        <v>94</v>
      </c>
      <c r="X584" s="175"/>
      <c r="Y584" s="180" t="s">
        <v>170</v>
      </c>
      <c r="Z584" s="180"/>
      <c r="AA584" s="180"/>
      <c r="AB584" s="180"/>
      <c r="AC584" s="180"/>
      <c r="AD584" s="179"/>
      <c r="AE584" s="181">
        <v>1500</v>
      </c>
      <c r="AF584" s="181">
        <v>3100</v>
      </c>
      <c r="AG584" s="179">
        <v>45993</v>
      </c>
      <c r="AH584" s="179">
        <v>46011</v>
      </c>
      <c r="AI584" s="179"/>
      <c r="AJ584" s="194">
        <v>46021</v>
      </c>
      <c r="AK584" s="212"/>
      <c r="AL584" s="205" t="s">
        <v>6799</v>
      </c>
      <c r="AM584" s="1"/>
    </row>
    <row r="585" spans="1:48" ht="45" hidden="1" customHeight="1">
      <c r="A585" s="1"/>
      <c r="B585" s="336" t="s">
        <v>2308</v>
      </c>
      <c r="C585" s="176" t="s">
        <v>241</v>
      </c>
      <c r="D585" s="159" t="s">
        <v>8273</v>
      </c>
      <c r="E585" s="275" t="s">
        <v>2309</v>
      </c>
      <c r="F585" s="306" t="s">
        <v>40</v>
      </c>
      <c r="G585" s="306" t="s">
        <v>1557</v>
      </c>
      <c r="H585" s="306" t="s">
        <v>42</v>
      </c>
      <c r="I585" s="306" t="s">
        <v>2310</v>
      </c>
      <c r="J585" s="178" t="s">
        <v>253</v>
      </c>
      <c r="K585" s="307">
        <v>45962</v>
      </c>
      <c r="L585" s="179" t="s">
        <v>58</v>
      </c>
      <c r="M585" s="308"/>
      <c r="N585" s="179"/>
      <c r="O585" s="179"/>
      <c r="P585" s="179"/>
      <c r="Q585" s="179"/>
      <c r="R585" s="179" t="s">
        <v>46</v>
      </c>
      <c r="S585" s="27" t="s">
        <v>47</v>
      </c>
      <c r="T585" s="175" t="s">
        <v>48</v>
      </c>
      <c r="U585" s="337" t="s">
        <v>6945</v>
      </c>
      <c r="V585" s="175"/>
      <c r="W585" s="151" t="s">
        <v>1007</v>
      </c>
      <c r="X585" s="175"/>
      <c r="Y585" s="180" t="s">
        <v>132</v>
      </c>
      <c r="Z585" s="180"/>
      <c r="AA585" s="180"/>
      <c r="AB585" s="180"/>
      <c r="AC585" s="180"/>
      <c r="AD585" s="179"/>
      <c r="AE585" s="181">
        <v>1200</v>
      </c>
      <c r="AF585" s="181">
        <v>1700</v>
      </c>
      <c r="AG585" s="179">
        <v>45993</v>
      </c>
      <c r="AH585" s="179">
        <v>46011</v>
      </c>
      <c r="AI585" s="179"/>
      <c r="AJ585" s="182">
        <v>46010</v>
      </c>
      <c r="AK585" s="212"/>
      <c r="AL585" s="205" t="s">
        <v>6798</v>
      </c>
      <c r="AM585" s="1"/>
      <c r="AN585" s="1"/>
      <c r="AO585" s="1"/>
      <c r="AP585" s="1"/>
      <c r="AQ585" s="1"/>
      <c r="AR585" s="1"/>
      <c r="AS585" s="1"/>
      <c r="AT585" s="1"/>
      <c r="AU585" s="1"/>
      <c r="AV585" s="1"/>
    </row>
    <row r="586" spans="1:48" ht="45" hidden="1" customHeight="1">
      <c r="A586" s="1"/>
      <c r="B586" s="177" t="s">
        <v>2301</v>
      </c>
      <c r="C586" s="177" t="s">
        <v>2302</v>
      </c>
      <c r="D586" s="177" t="s">
        <v>2303</v>
      </c>
      <c r="E586" s="272" t="s">
        <v>2304</v>
      </c>
      <c r="F586" s="306" t="s">
        <v>40</v>
      </c>
      <c r="G586" s="306" t="s">
        <v>301</v>
      </c>
      <c r="H586" s="177" t="s">
        <v>486</v>
      </c>
      <c r="I586" s="306" t="s">
        <v>346</v>
      </c>
      <c r="J586" s="178" t="s">
        <v>253</v>
      </c>
      <c r="K586" s="307">
        <v>45962</v>
      </c>
      <c r="L586" s="179" t="s">
        <v>99</v>
      </c>
      <c r="M586" s="308"/>
      <c r="N586" s="179"/>
      <c r="O586" s="179"/>
      <c r="P586" s="179"/>
      <c r="Q586" s="179"/>
      <c r="R586" s="179" t="s">
        <v>46</v>
      </c>
      <c r="S586" s="27" t="s">
        <v>47</v>
      </c>
      <c r="T586" s="175" t="s">
        <v>48</v>
      </c>
      <c r="U586" s="337" t="s">
        <v>6966</v>
      </c>
      <c r="V586" s="175"/>
      <c r="W586" s="175" t="s">
        <v>50</v>
      </c>
      <c r="X586" s="175" t="s">
        <v>2305</v>
      </c>
      <c r="Y586" s="180" t="s">
        <v>200</v>
      </c>
      <c r="Z586" s="180"/>
      <c r="AA586" s="180"/>
      <c r="AB586" s="180"/>
      <c r="AC586" s="180"/>
      <c r="AD586" s="179"/>
      <c r="AE586" s="181">
        <v>3700</v>
      </c>
      <c r="AF586" s="181">
        <v>3900</v>
      </c>
      <c r="AG586" s="179">
        <v>45994</v>
      </c>
      <c r="AH586" s="179">
        <v>46012</v>
      </c>
      <c r="AI586" s="179"/>
      <c r="AJ586" s="194">
        <v>46020</v>
      </c>
      <c r="AK586" s="212"/>
      <c r="AL586" s="205" t="s">
        <v>6808</v>
      </c>
      <c r="AM586" s="1"/>
      <c r="AN586" s="1"/>
      <c r="AO586" s="1"/>
      <c r="AP586" s="1"/>
      <c r="AQ586" s="1"/>
      <c r="AR586" s="1"/>
      <c r="AS586" s="1"/>
      <c r="AT586" s="1"/>
      <c r="AU586" s="1"/>
      <c r="AV586" s="1"/>
    </row>
    <row r="587" spans="1:48" ht="45" hidden="1" customHeight="1">
      <c r="B587" s="336" t="s">
        <v>2311</v>
      </c>
      <c r="C587" s="176" t="s">
        <v>2249</v>
      </c>
      <c r="D587" s="177" t="s">
        <v>6874</v>
      </c>
      <c r="E587" s="276" t="s">
        <v>2312</v>
      </c>
      <c r="F587" s="306" t="s">
        <v>40</v>
      </c>
      <c r="G587" s="306" t="s">
        <v>2313</v>
      </c>
      <c r="H587" s="306" t="s">
        <v>42</v>
      </c>
      <c r="I587" s="306">
        <v>301.30200000000002</v>
      </c>
      <c r="J587" s="178" t="s">
        <v>1660</v>
      </c>
      <c r="K587" s="307">
        <v>45962</v>
      </c>
      <c r="L587" s="179" t="s">
        <v>45</v>
      </c>
      <c r="M587" s="308"/>
      <c r="N587" s="179"/>
      <c r="O587" s="179"/>
      <c r="P587" s="179"/>
      <c r="Q587" s="179"/>
      <c r="R587" s="179" t="s">
        <v>46</v>
      </c>
      <c r="S587" s="27" t="s">
        <v>47</v>
      </c>
      <c r="T587" s="175" t="s">
        <v>48</v>
      </c>
      <c r="U587" s="337" t="s">
        <v>6899</v>
      </c>
      <c r="V587" s="175"/>
      <c r="W587" s="175" t="s">
        <v>170</v>
      </c>
      <c r="X587" s="175" t="s">
        <v>94</v>
      </c>
      <c r="Y587" s="180" t="s">
        <v>51</v>
      </c>
      <c r="Z587" s="180"/>
      <c r="AA587" s="180"/>
      <c r="AB587" s="180"/>
      <c r="AC587" s="180"/>
      <c r="AD587" s="179"/>
      <c r="AE587" s="181">
        <v>700</v>
      </c>
      <c r="AF587" s="181">
        <v>400</v>
      </c>
      <c r="AG587" s="179">
        <v>45996</v>
      </c>
      <c r="AH587" s="179">
        <v>46111</v>
      </c>
      <c r="AI587" s="179"/>
      <c r="AJ587" s="182">
        <v>46156</v>
      </c>
      <c r="AK587" s="212"/>
      <c r="AL587" s="205" t="s">
        <v>6809</v>
      </c>
      <c r="AM587" s="1"/>
    </row>
    <row r="588" spans="1:48" ht="45" hidden="1" customHeight="1">
      <c r="B588" s="336" t="s">
        <v>2329</v>
      </c>
      <c r="C588" s="176" t="s">
        <v>2249</v>
      </c>
      <c r="D588" s="177" t="s">
        <v>6874</v>
      </c>
      <c r="E588" s="313" t="s">
        <v>2330</v>
      </c>
      <c r="F588" s="306" t="s">
        <v>40</v>
      </c>
      <c r="G588" s="306" t="s">
        <v>2313</v>
      </c>
      <c r="H588" s="177" t="s">
        <v>42</v>
      </c>
      <c r="I588" s="306">
        <v>311</v>
      </c>
      <c r="J588" s="178" t="s">
        <v>1660</v>
      </c>
      <c r="K588" s="307">
        <v>45962</v>
      </c>
      <c r="L588" s="179" t="s">
        <v>45</v>
      </c>
      <c r="M588" s="308"/>
      <c r="N588" s="179"/>
      <c r="O588" s="179"/>
      <c r="P588" s="179"/>
      <c r="Q588" s="179"/>
      <c r="R588" s="179" t="s">
        <v>46</v>
      </c>
      <c r="S588" s="27" t="s">
        <v>47</v>
      </c>
      <c r="T588" s="175" t="s">
        <v>48</v>
      </c>
      <c r="U588" s="337" t="s">
        <v>6772</v>
      </c>
      <c r="V588" s="175"/>
      <c r="W588" s="175" t="s">
        <v>94</v>
      </c>
      <c r="X588" s="175"/>
      <c r="Y588" s="180" t="s">
        <v>51</v>
      </c>
      <c r="Z588" s="180"/>
      <c r="AA588" s="180"/>
      <c r="AB588" s="180"/>
      <c r="AC588" s="180"/>
      <c r="AD588" s="179"/>
      <c r="AE588" s="181">
        <v>400</v>
      </c>
      <c r="AF588" s="181">
        <v>600</v>
      </c>
      <c r="AG588" s="179">
        <v>45997</v>
      </c>
      <c r="AH588" s="179">
        <v>46111</v>
      </c>
      <c r="AI588" s="179"/>
      <c r="AJ588" s="182">
        <v>46164</v>
      </c>
      <c r="AK588" s="212"/>
      <c r="AL588" s="205" t="s">
        <v>6810</v>
      </c>
      <c r="AM588" s="1"/>
    </row>
    <row r="589" spans="1:48" ht="45" hidden="1" customHeight="1">
      <c r="B589" s="336" t="s">
        <v>2329</v>
      </c>
      <c r="C589" s="176" t="s">
        <v>79</v>
      </c>
      <c r="D589" s="218" t="s">
        <v>80</v>
      </c>
      <c r="E589" s="276" t="s">
        <v>2331</v>
      </c>
      <c r="F589" s="306" t="s">
        <v>40</v>
      </c>
      <c r="G589" s="306" t="s">
        <v>2313</v>
      </c>
      <c r="H589" s="306" t="s">
        <v>42</v>
      </c>
      <c r="I589" s="306">
        <v>291</v>
      </c>
      <c r="J589" s="178" t="s">
        <v>1660</v>
      </c>
      <c r="K589" s="307">
        <v>45962</v>
      </c>
      <c r="L589" s="308" t="s">
        <v>1485</v>
      </c>
      <c r="M589" s="308"/>
      <c r="N589" s="179"/>
      <c r="O589" s="179"/>
      <c r="P589" s="179"/>
      <c r="Q589" s="179"/>
      <c r="R589" s="179" t="s">
        <v>46</v>
      </c>
      <c r="S589" s="27" t="s">
        <v>47</v>
      </c>
      <c r="T589" s="175" t="s">
        <v>48</v>
      </c>
      <c r="U589" s="337" t="s">
        <v>7801</v>
      </c>
      <c r="V589" s="175" t="s">
        <v>85</v>
      </c>
      <c r="W589" s="175" t="s">
        <v>94</v>
      </c>
      <c r="X589" s="175"/>
      <c r="Y589" s="180" t="s">
        <v>51</v>
      </c>
      <c r="Z589" s="180"/>
      <c r="AA589" s="180" t="s">
        <v>7458</v>
      </c>
      <c r="AB589" s="180"/>
      <c r="AC589" s="180"/>
      <c r="AD589" s="179">
        <v>46185</v>
      </c>
      <c r="AE589" s="181">
        <v>1800</v>
      </c>
      <c r="AF589" s="181">
        <v>600</v>
      </c>
      <c r="AG589" s="179">
        <v>45998</v>
      </c>
      <c r="AH589" s="179">
        <v>46111</v>
      </c>
      <c r="AI589" s="179"/>
      <c r="AJ589" s="182">
        <v>46184</v>
      </c>
      <c r="AK589" s="212">
        <v>46185</v>
      </c>
      <c r="AL589" s="205" t="s">
        <v>6811</v>
      </c>
      <c r="AM589" s="1"/>
    </row>
    <row r="590" spans="1:48" ht="45" hidden="1" customHeight="1">
      <c r="B590" s="336" t="s">
        <v>2320</v>
      </c>
      <c r="C590" s="176" t="s">
        <v>363</v>
      </c>
      <c r="D590" s="177" t="s">
        <v>364</v>
      </c>
      <c r="E590" s="276" t="s">
        <v>2321</v>
      </c>
      <c r="F590" s="306" t="s">
        <v>40</v>
      </c>
      <c r="G590" s="306" t="s">
        <v>2322</v>
      </c>
      <c r="H590" s="306" t="s">
        <v>42</v>
      </c>
      <c r="I590" s="306">
        <v>131.13200000000001</v>
      </c>
      <c r="J590" s="196" t="s">
        <v>2297</v>
      </c>
      <c r="K590" s="307">
        <v>45962</v>
      </c>
      <c r="L590" s="308" t="s">
        <v>99</v>
      </c>
      <c r="M590" s="308"/>
      <c r="N590" s="179"/>
      <c r="O590" s="179"/>
      <c r="P590" s="179"/>
      <c r="Q590" s="179"/>
      <c r="R590" s="179" t="s">
        <v>46</v>
      </c>
      <c r="S590" s="27" t="s">
        <v>47</v>
      </c>
      <c r="T590" s="175" t="s">
        <v>48</v>
      </c>
      <c r="U590" s="337" t="s">
        <v>6760</v>
      </c>
      <c r="V590" s="175" t="s">
        <v>85</v>
      </c>
      <c r="W590" s="175" t="s">
        <v>109</v>
      </c>
      <c r="X590" s="175"/>
      <c r="Y590" s="180" t="s">
        <v>62</v>
      </c>
      <c r="Z590" s="180"/>
      <c r="AA590" s="180"/>
      <c r="AB590" s="180"/>
      <c r="AC590" s="180"/>
      <c r="AD590" s="179"/>
      <c r="AE590" s="181">
        <v>4700</v>
      </c>
      <c r="AF590" s="181">
        <v>7600</v>
      </c>
      <c r="AG590" s="179">
        <v>45999</v>
      </c>
      <c r="AH590" s="179">
        <v>46034</v>
      </c>
      <c r="AI590" s="179"/>
      <c r="AJ590" s="207">
        <v>46046</v>
      </c>
      <c r="AK590" s="212">
        <v>46189</v>
      </c>
      <c r="AL590" s="205" t="s">
        <v>7171</v>
      </c>
      <c r="AM590" s="1"/>
    </row>
    <row r="591" spans="1:48" ht="45" hidden="1" customHeight="1">
      <c r="B591" s="336" t="s">
        <v>2323</v>
      </c>
      <c r="C591" s="176" t="s">
        <v>2176</v>
      </c>
      <c r="D591" s="177" t="s">
        <v>450</v>
      </c>
      <c r="E591" s="275" t="s">
        <v>2324</v>
      </c>
      <c r="F591" s="306" t="s">
        <v>40</v>
      </c>
      <c r="G591" s="306" t="s">
        <v>7048</v>
      </c>
      <c r="H591" s="306" t="s">
        <v>42</v>
      </c>
      <c r="I591" s="306" t="s">
        <v>6719</v>
      </c>
      <c r="J591" s="178" t="s">
        <v>253</v>
      </c>
      <c r="K591" s="307">
        <v>45962</v>
      </c>
      <c r="L591" s="179" t="s">
        <v>1499</v>
      </c>
      <c r="M591" s="308"/>
      <c r="N591" s="179"/>
      <c r="O591" s="179"/>
      <c r="P591" s="179"/>
      <c r="Q591" s="179"/>
      <c r="R591" s="179" t="s">
        <v>46</v>
      </c>
      <c r="S591" s="195" t="s">
        <v>47</v>
      </c>
      <c r="T591" s="175" t="s">
        <v>48</v>
      </c>
      <c r="U591" s="337" t="s">
        <v>6897</v>
      </c>
      <c r="V591" s="175"/>
      <c r="W591" s="175" t="s">
        <v>2326</v>
      </c>
      <c r="X591" s="175" t="s">
        <v>2327</v>
      </c>
      <c r="Y591" s="180" t="s">
        <v>200</v>
      </c>
      <c r="Z591" s="180"/>
      <c r="AA591" s="208" t="s">
        <v>2328</v>
      </c>
      <c r="AB591" s="180"/>
      <c r="AC591" s="180"/>
      <c r="AD591" s="179"/>
      <c r="AE591" s="181">
        <v>3700</v>
      </c>
      <c r="AF591" s="181">
        <v>11200</v>
      </c>
      <c r="AG591" s="179">
        <v>46000</v>
      </c>
      <c r="AH591" s="179">
        <v>46018</v>
      </c>
      <c r="AI591" s="179"/>
      <c r="AJ591" s="182" t="s">
        <v>6813</v>
      </c>
      <c r="AK591" s="212"/>
      <c r="AL591" s="205" t="s">
        <v>6805</v>
      </c>
      <c r="AM591" s="1"/>
    </row>
    <row r="592" spans="1:48" ht="45" hidden="1" customHeight="1">
      <c r="B592" s="336" t="s">
        <v>2316</v>
      </c>
      <c r="C592" s="176" t="s">
        <v>54</v>
      </c>
      <c r="D592" s="177" t="s">
        <v>55</v>
      </c>
      <c r="E592" s="275" t="s">
        <v>2317</v>
      </c>
      <c r="F592" s="306" t="s">
        <v>40</v>
      </c>
      <c r="G592" s="306" t="s">
        <v>2318</v>
      </c>
      <c r="H592" s="306" t="s">
        <v>42</v>
      </c>
      <c r="I592" s="306">
        <v>52</v>
      </c>
      <c r="J592" s="178" t="s">
        <v>253</v>
      </c>
      <c r="K592" s="307">
        <v>45992</v>
      </c>
      <c r="L592" s="308" t="s">
        <v>45</v>
      </c>
      <c r="M592" s="308"/>
      <c r="N592" s="179"/>
      <c r="O592" s="179"/>
      <c r="P592" s="179"/>
      <c r="Q592" s="179"/>
      <c r="R592" s="179" t="s">
        <v>46</v>
      </c>
      <c r="S592" s="27" t="s">
        <v>47</v>
      </c>
      <c r="T592" s="175" t="s">
        <v>48</v>
      </c>
      <c r="U592" s="337" t="s">
        <v>7047</v>
      </c>
      <c r="V592" s="175"/>
      <c r="W592" s="175" t="s">
        <v>94</v>
      </c>
      <c r="X592" s="175"/>
      <c r="Y592" s="180" t="s">
        <v>94</v>
      </c>
      <c r="Z592" s="180"/>
      <c r="AA592" s="180"/>
      <c r="AB592" s="180"/>
      <c r="AC592" s="180"/>
      <c r="AD592" s="179"/>
      <c r="AE592" s="181"/>
      <c r="AF592" s="181"/>
      <c r="AG592" s="179">
        <v>45995</v>
      </c>
      <c r="AH592" s="179">
        <v>46003</v>
      </c>
      <c r="AI592" s="179"/>
      <c r="AJ592" s="182">
        <v>46010</v>
      </c>
      <c r="AK592" s="212"/>
      <c r="AL592" s="205" t="s">
        <v>6806</v>
      </c>
      <c r="AM592" s="1"/>
    </row>
    <row r="593" spans="1:48" ht="45" hidden="1" customHeight="1">
      <c r="A593" s="1"/>
      <c r="B593" s="336" t="s">
        <v>2332</v>
      </c>
      <c r="C593" s="176" t="s">
        <v>111</v>
      </c>
      <c r="D593" s="177" t="s">
        <v>112</v>
      </c>
      <c r="E593" s="276" t="s">
        <v>2333</v>
      </c>
      <c r="F593" s="354" t="s">
        <v>40</v>
      </c>
      <c r="G593" s="306" t="s">
        <v>279</v>
      </c>
      <c r="H593" s="306" t="s">
        <v>42</v>
      </c>
      <c r="I593" s="306">
        <v>312</v>
      </c>
      <c r="J593" s="196" t="s">
        <v>2297</v>
      </c>
      <c r="K593" s="307">
        <v>46016</v>
      </c>
      <c r="L593" s="179" t="s">
        <v>45</v>
      </c>
      <c r="M593" s="308"/>
      <c r="N593" s="179"/>
      <c r="O593" s="179"/>
      <c r="P593" s="179"/>
      <c r="Q593" s="179"/>
      <c r="R593" s="179" t="s">
        <v>46</v>
      </c>
      <c r="S593" s="27" t="s">
        <v>47</v>
      </c>
      <c r="T593" s="175" t="s">
        <v>48</v>
      </c>
      <c r="U593" s="337" t="s">
        <v>2334</v>
      </c>
      <c r="V593" s="175" t="s">
        <v>85</v>
      </c>
      <c r="W593" s="175" t="s">
        <v>67</v>
      </c>
      <c r="X593" s="175"/>
      <c r="Y593" s="180" t="s">
        <v>51</v>
      </c>
      <c r="Z593" s="180"/>
      <c r="AA593" s="180"/>
      <c r="AB593" s="180"/>
      <c r="AC593" s="180"/>
      <c r="AD593" s="179"/>
      <c r="AE593" s="181">
        <v>1000</v>
      </c>
      <c r="AF593" s="181">
        <v>1400</v>
      </c>
      <c r="AG593" s="179">
        <v>45999</v>
      </c>
      <c r="AH593" s="179">
        <v>46027</v>
      </c>
      <c r="AI593" s="179"/>
      <c r="AJ593" s="182">
        <v>46025</v>
      </c>
      <c r="AK593" s="212">
        <v>46037</v>
      </c>
      <c r="AL593" s="205" t="s">
        <v>7162</v>
      </c>
      <c r="AM593" s="1"/>
      <c r="AN593" s="1"/>
      <c r="AO593" s="1"/>
      <c r="AP593" s="1"/>
      <c r="AQ593" s="1"/>
      <c r="AR593" s="1"/>
      <c r="AS593" s="1"/>
      <c r="AT593" s="1"/>
      <c r="AU593" s="1"/>
      <c r="AV593" s="1"/>
    </row>
    <row r="594" spans="1:48" ht="45" hidden="1" customHeight="1">
      <c r="B594" s="177" t="s">
        <v>2339</v>
      </c>
      <c r="C594" s="203" t="s">
        <v>606</v>
      </c>
      <c r="D594" s="177" t="s">
        <v>607</v>
      </c>
      <c r="E594" s="276" t="s">
        <v>2340</v>
      </c>
      <c r="F594" s="306" t="s">
        <v>40</v>
      </c>
      <c r="G594" s="306" t="s">
        <v>82</v>
      </c>
      <c r="H594" s="306" t="s">
        <v>42</v>
      </c>
      <c r="I594" s="306">
        <v>61</v>
      </c>
      <c r="J594" s="196" t="s">
        <v>2297</v>
      </c>
      <c r="K594" s="307">
        <v>46017</v>
      </c>
      <c r="L594" s="308" t="s">
        <v>45</v>
      </c>
      <c r="M594" s="308"/>
      <c r="N594" s="179"/>
      <c r="O594" s="179"/>
      <c r="P594" s="179"/>
      <c r="Q594" s="179"/>
      <c r="R594" s="179" t="s">
        <v>46</v>
      </c>
      <c r="S594" s="27" t="s">
        <v>47</v>
      </c>
      <c r="T594" s="175" t="s">
        <v>48</v>
      </c>
      <c r="U594" s="180" t="s">
        <v>2341</v>
      </c>
      <c r="V594" s="175"/>
      <c r="W594" s="175" t="s">
        <v>67</v>
      </c>
      <c r="X594" s="175"/>
      <c r="Y594" s="180" t="s">
        <v>94</v>
      </c>
      <c r="Z594" s="180"/>
      <c r="AA594" s="180"/>
      <c r="AB594" s="180"/>
      <c r="AC594" s="180"/>
      <c r="AD594" s="179"/>
      <c r="AE594" s="181">
        <v>2200</v>
      </c>
      <c r="AF594" s="181">
        <v>600</v>
      </c>
      <c r="AG594" s="179">
        <v>46017</v>
      </c>
      <c r="AH594" s="179">
        <v>46031</v>
      </c>
      <c r="AI594" s="179"/>
      <c r="AJ594" s="182">
        <v>46030</v>
      </c>
      <c r="AK594" s="212"/>
      <c r="AL594" s="205" t="s">
        <v>7175</v>
      </c>
      <c r="AM594" s="1"/>
    </row>
    <row r="595" spans="1:48" ht="45" hidden="1" customHeight="1">
      <c r="B595" s="323" t="s">
        <v>2342</v>
      </c>
      <c r="C595" s="217" t="s">
        <v>606</v>
      </c>
      <c r="D595" s="218" t="s">
        <v>607</v>
      </c>
      <c r="E595" s="276" t="s">
        <v>2343</v>
      </c>
      <c r="F595" s="306" t="s">
        <v>40</v>
      </c>
      <c r="G595" s="220" t="s">
        <v>2344</v>
      </c>
      <c r="H595" s="220" t="s">
        <v>42</v>
      </c>
      <c r="I595" s="220">
        <v>91</v>
      </c>
      <c r="J595" s="196" t="s">
        <v>2297</v>
      </c>
      <c r="K595" s="222">
        <v>46018</v>
      </c>
      <c r="L595" s="224" t="s">
        <v>45</v>
      </c>
      <c r="M595" s="223"/>
      <c r="N595" s="224"/>
      <c r="O595" s="224"/>
      <c r="P595" s="224"/>
      <c r="Q595" s="224"/>
      <c r="R595" s="224" t="s">
        <v>46</v>
      </c>
      <c r="S595" s="195" t="s">
        <v>47</v>
      </c>
      <c r="T595" s="195" t="s">
        <v>48</v>
      </c>
      <c r="U595" s="324" t="s">
        <v>2345</v>
      </c>
      <c r="V595" s="195"/>
      <c r="W595" s="195" t="s">
        <v>188</v>
      </c>
      <c r="X595" s="195"/>
      <c r="Y595" s="225" t="s">
        <v>132</v>
      </c>
      <c r="Z595" s="225"/>
      <c r="AA595" s="225"/>
      <c r="AB595" s="225"/>
      <c r="AC595" s="225"/>
      <c r="AD595" s="224"/>
      <c r="AE595" s="226">
        <v>200</v>
      </c>
      <c r="AF595" s="226">
        <v>900</v>
      </c>
      <c r="AG595" s="224">
        <v>46017</v>
      </c>
      <c r="AH595" s="179">
        <v>46031</v>
      </c>
      <c r="AI595" s="224"/>
      <c r="AJ595" s="207">
        <v>46030</v>
      </c>
      <c r="AK595" s="227"/>
      <c r="AL595" s="300" t="s">
        <v>7174</v>
      </c>
      <c r="AM595" s="1"/>
    </row>
    <row r="596" spans="1:48" ht="45" hidden="1" customHeight="1">
      <c r="B596" s="323" t="s">
        <v>2346</v>
      </c>
      <c r="C596" s="217" t="s">
        <v>425</v>
      </c>
      <c r="D596" s="218" t="s">
        <v>6858</v>
      </c>
      <c r="E596" s="276" t="s">
        <v>1458</v>
      </c>
      <c r="F596" s="306" t="s">
        <v>40</v>
      </c>
      <c r="G596" s="220" t="s">
        <v>2325</v>
      </c>
      <c r="H596" s="220" t="s">
        <v>427</v>
      </c>
      <c r="I596" s="220" t="s">
        <v>2347</v>
      </c>
      <c r="J596" s="178" t="s">
        <v>6755</v>
      </c>
      <c r="K596" s="222">
        <v>45992</v>
      </c>
      <c r="L596" s="224" t="s">
        <v>45</v>
      </c>
      <c r="M596" s="223"/>
      <c r="N596" s="224"/>
      <c r="O596" s="224"/>
      <c r="P596" s="224"/>
      <c r="Q596" s="224"/>
      <c r="R596" s="224" t="s">
        <v>46</v>
      </c>
      <c r="S596" s="27" t="s">
        <v>47</v>
      </c>
      <c r="T596" s="175" t="s">
        <v>48</v>
      </c>
      <c r="U596" s="324" t="s">
        <v>7083</v>
      </c>
      <c r="V596" s="195"/>
      <c r="W596" s="195" t="s">
        <v>1994</v>
      </c>
      <c r="X596" s="195" t="s">
        <v>94</v>
      </c>
      <c r="Y596" s="225" t="s">
        <v>51</v>
      </c>
      <c r="Z596" s="225"/>
      <c r="AA596" s="225"/>
      <c r="AB596" s="225"/>
      <c r="AC596" s="225"/>
      <c r="AD596" s="224"/>
      <c r="AE596" s="226">
        <v>400</v>
      </c>
      <c r="AF596" s="226">
        <v>3800</v>
      </c>
      <c r="AG596" s="224">
        <v>46037</v>
      </c>
      <c r="AH596" s="224">
        <v>46065</v>
      </c>
      <c r="AI596" s="224"/>
      <c r="AJ596" s="207">
        <v>46054</v>
      </c>
      <c r="AK596" s="227"/>
      <c r="AL596" s="299" t="s">
        <v>7148</v>
      </c>
      <c r="AM596" s="1"/>
    </row>
    <row r="597" spans="1:48" ht="45" hidden="1" customHeight="1">
      <c r="B597" s="336" t="s">
        <v>2352</v>
      </c>
      <c r="C597" s="176" t="s">
        <v>248</v>
      </c>
      <c r="D597" s="177" t="s">
        <v>249</v>
      </c>
      <c r="E597" s="277" t="s">
        <v>2353</v>
      </c>
      <c r="F597" s="306" t="s">
        <v>40</v>
      </c>
      <c r="G597" s="306" t="s">
        <v>2354</v>
      </c>
      <c r="H597" s="306" t="s">
        <v>42</v>
      </c>
      <c r="I597" s="306" t="s">
        <v>2355</v>
      </c>
      <c r="J597" s="196" t="s">
        <v>2297</v>
      </c>
      <c r="K597" s="307">
        <v>45992</v>
      </c>
      <c r="L597" s="179" t="s">
        <v>45</v>
      </c>
      <c r="M597" s="308"/>
      <c r="N597" s="179"/>
      <c r="O597" s="179"/>
      <c r="P597" s="179"/>
      <c r="Q597" s="179"/>
      <c r="R597" s="179" t="s">
        <v>46</v>
      </c>
      <c r="S597" s="27" t="s">
        <v>47</v>
      </c>
      <c r="T597" s="27" t="s">
        <v>48</v>
      </c>
      <c r="U597" s="337" t="s">
        <v>6774</v>
      </c>
      <c r="V597" s="175" t="s">
        <v>85</v>
      </c>
      <c r="W597" s="175" t="s">
        <v>188</v>
      </c>
      <c r="X597" s="175"/>
      <c r="Y597" s="180" t="s">
        <v>62</v>
      </c>
      <c r="Z597" s="180"/>
      <c r="AA597" s="180"/>
      <c r="AB597" s="180"/>
      <c r="AC597" s="180"/>
      <c r="AD597" s="179"/>
      <c r="AE597" s="181">
        <v>2800</v>
      </c>
      <c r="AF597" s="181">
        <v>2100</v>
      </c>
      <c r="AG597" s="179">
        <v>46007</v>
      </c>
      <c r="AH597" s="179">
        <v>46027</v>
      </c>
      <c r="AI597" s="179"/>
      <c r="AJ597" s="182">
        <v>46023</v>
      </c>
      <c r="AK597" s="212">
        <v>46189</v>
      </c>
      <c r="AL597" s="205" t="s">
        <v>7163</v>
      </c>
      <c r="AM597" s="1"/>
    </row>
    <row r="598" spans="1:48" ht="45" hidden="1" customHeight="1">
      <c r="B598" s="323" t="s">
        <v>2358</v>
      </c>
      <c r="C598" s="217" t="s">
        <v>2359</v>
      </c>
      <c r="D598" s="218" t="s">
        <v>2360</v>
      </c>
      <c r="E598" s="313" t="s">
        <v>2361</v>
      </c>
      <c r="F598" s="353" t="s">
        <v>40</v>
      </c>
      <c r="G598" s="220" t="s">
        <v>287</v>
      </c>
      <c r="H598" s="220" t="s">
        <v>427</v>
      </c>
      <c r="I598" s="220" t="s">
        <v>1950</v>
      </c>
      <c r="J598" s="178" t="s">
        <v>6857</v>
      </c>
      <c r="K598" s="222">
        <v>45992</v>
      </c>
      <c r="L598" s="224" t="s">
        <v>45</v>
      </c>
      <c r="M598" s="223"/>
      <c r="N598" s="224"/>
      <c r="O598" s="224"/>
      <c r="P598" s="224"/>
      <c r="Q598" s="224"/>
      <c r="R598" s="224" t="s">
        <v>46</v>
      </c>
      <c r="S598" s="27" t="s">
        <v>47</v>
      </c>
      <c r="T598" s="175" t="s">
        <v>48</v>
      </c>
      <c r="U598" s="324" t="s">
        <v>7084</v>
      </c>
      <c r="V598" s="195"/>
      <c r="W598" s="195" t="s">
        <v>124</v>
      </c>
      <c r="X598" s="195" t="s">
        <v>94</v>
      </c>
      <c r="Y598" s="225" t="s">
        <v>94</v>
      </c>
      <c r="Z598" s="225"/>
      <c r="AA598" s="225"/>
      <c r="AB598" s="225"/>
      <c r="AC598" s="225"/>
      <c r="AD598" s="224"/>
      <c r="AE598" s="226">
        <v>1000</v>
      </c>
      <c r="AF598" s="226">
        <v>6800</v>
      </c>
      <c r="AG598" s="224">
        <v>46027</v>
      </c>
      <c r="AH598" s="224">
        <v>46122</v>
      </c>
      <c r="AI598" s="224"/>
      <c r="AJ598" s="194">
        <v>46133</v>
      </c>
      <c r="AK598" s="227"/>
      <c r="AL598" s="207"/>
      <c r="AM598" s="1"/>
    </row>
    <row r="599" spans="1:48" ht="45" hidden="1" customHeight="1">
      <c r="A599" s="1"/>
      <c r="B599" s="323" t="s">
        <v>2362</v>
      </c>
      <c r="C599" s="217" t="s">
        <v>2359</v>
      </c>
      <c r="D599" s="218" t="s">
        <v>2360</v>
      </c>
      <c r="E599" s="313" t="s">
        <v>2363</v>
      </c>
      <c r="F599" s="353" t="s">
        <v>40</v>
      </c>
      <c r="G599" s="220" t="s">
        <v>287</v>
      </c>
      <c r="H599" s="220" t="s">
        <v>427</v>
      </c>
      <c r="I599" s="356" t="s">
        <v>2364</v>
      </c>
      <c r="J599" s="178" t="s">
        <v>6857</v>
      </c>
      <c r="K599" s="222">
        <v>45992</v>
      </c>
      <c r="L599" s="224" t="s">
        <v>99</v>
      </c>
      <c r="M599" s="223"/>
      <c r="N599" s="224"/>
      <c r="O599" s="224"/>
      <c r="P599" s="224"/>
      <c r="Q599" s="224"/>
      <c r="R599" s="224" t="s">
        <v>46</v>
      </c>
      <c r="S599" s="27" t="s">
        <v>47</v>
      </c>
      <c r="T599" s="175" t="s">
        <v>48</v>
      </c>
      <c r="U599" s="324" t="s">
        <v>8155</v>
      </c>
      <c r="V599" s="195"/>
      <c r="W599" s="195" t="s">
        <v>239</v>
      </c>
      <c r="X599" s="195"/>
      <c r="Y599" s="225" t="s">
        <v>170</v>
      </c>
      <c r="Z599" s="225"/>
      <c r="AA599" s="225"/>
      <c r="AB599" s="225"/>
      <c r="AC599" s="225"/>
      <c r="AD599" s="224"/>
      <c r="AE599" s="226">
        <v>4900</v>
      </c>
      <c r="AF599" s="226">
        <v>12000</v>
      </c>
      <c r="AG599" s="224">
        <v>46017</v>
      </c>
      <c r="AH599" s="179">
        <v>46127</v>
      </c>
      <c r="AI599" s="224"/>
      <c r="AJ599" s="207"/>
      <c r="AK599" s="227"/>
      <c r="AL599" s="207"/>
      <c r="AM599" s="1"/>
      <c r="AN599" s="1"/>
      <c r="AO599" s="1"/>
      <c r="AP599" s="1"/>
      <c r="AQ599" s="1"/>
      <c r="AR599" s="1"/>
      <c r="AS599" s="1"/>
      <c r="AT599" s="1"/>
      <c r="AU599" s="1"/>
      <c r="AV599" s="1"/>
    </row>
    <row r="600" spans="1:48" ht="45" hidden="1" customHeight="1">
      <c r="B600" s="323" t="s">
        <v>2365</v>
      </c>
      <c r="C600" s="217" t="s">
        <v>2359</v>
      </c>
      <c r="D600" s="218" t="s">
        <v>2360</v>
      </c>
      <c r="E600" s="217" t="s">
        <v>2366</v>
      </c>
      <c r="F600" s="353" t="s">
        <v>40</v>
      </c>
      <c r="G600" s="220" t="s">
        <v>287</v>
      </c>
      <c r="H600" s="220" t="s">
        <v>427</v>
      </c>
      <c r="I600" s="220" t="s">
        <v>1806</v>
      </c>
      <c r="J600" s="178" t="s">
        <v>6857</v>
      </c>
      <c r="K600" s="222">
        <v>45992</v>
      </c>
      <c r="L600" s="224" t="s">
        <v>45</v>
      </c>
      <c r="M600" s="223"/>
      <c r="N600" s="224"/>
      <c r="O600" s="224"/>
      <c r="P600" s="224"/>
      <c r="Q600" s="224"/>
      <c r="R600" s="224" t="s">
        <v>46</v>
      </c>
      <c r="S600" s="27" t="s">
        <v>47</v>
      </c>
      <c r="T600" s="175" t="s">
        <v>48</v>
      </c>
      <c r="U600" s="324" t="s">
        <v>7077</v>
      </c>
      <c r="V600" s="195"/>
      <c r="W600" s="195" t="s">
        <v>109</v>
      </c>
      <c r="X600" s="195"/>
      <c r="Y600" s="225" t="s">
        <v>6946</v>
      </c>
      <c r="Z600" s="225" t="s">
        <v>6990</v>
      </c>
      <c r="AA600" s="225"/>
      <c r="AB600" s="225"/>
      <c r="AC600" s="225"/>
      <c r="AD600" s="224"/>
      <c r="AE600" s="226">
        <v>1400</v>
      </c>
      <c r="AF600" s="226">
        <v>3300</v>
      </c>
      <c r="AG600" s="224">
        <v>46045</v>
      </c>
      <c r="AH600" s="224">
        <v>46122</v>
      </c>
      <c r="AI600" s="224"/>
      <c r="AJ600" s="207">
        <v>46118</v>
      </c>
      <c r="AK600" s="227"/>
      <c r="AL600" s="207"/>
      <c r="AM600" s="1"/>
    </row>
    <row r="601" spans="1:48" ht="45" hidden="1" customHeight="1">
      <c r="B601" s="323" t="s">
        <v>2367</v>
      </c>
      <c r="C601" s="217" t="s">
        <v>2359</v>
      </c>
      <c r="D601" s="218" t="s">
        <v>2360</v>
      </c>
      <c r="E601" s="313" t="s">
        <v>2231</v>
      </c>
      <c r="F601" s="353" t="s">
        <v>40</v>
      </c>
      <c r="G601" s="220" t="s">
        <v>287</v>
      </c>
      <c r="H601" s="220" t="s">
        <v>427</v>
      </c>
      <c r="I601" s="220" t="s">
        <v>238</v>
      </c>
      <c r="J601" s="178" t="s">
        <v>6857</v>
      </c>
      <c r="K601" s="222">
        <v>45992</v>
      </c>
      <c r="L601" s="224" t="s">
        <v>45</v>
      </c>
      <c r="M601" s="223"/>
      <c r="N601" s="224"/>
      <c r="O601" s="224"/>
      <c r="P601" s="224"/>
      <c r="Q601" s="224"/>
      <c r="R601" s="224" t="s">
        <v>46</v>
      </c>
      <c r="S601" s="27" t="s">
        <v>47</v>
      </c>
      <c r="T601" s="175" t="s">
        <v>48</v>
      </c>
      <c r="U601" s="324" t="s">
        <v>7598</v>
      </c>
      <c r="V601" s="195"/>
      <c r="W601" s="195" t="s">
        <v>124</v>
      </c>
      <c r="X601" s="195"/>
      <c r="Y601" s="180" t="s">
        <v>170</v>
      </c>
      <c r="Z601" s="225"/>
      <c r="AA601" s="225"/>
      <c r="AB601" s="225"/>
      <c r="AC601" s="225"/>
      <c r="AD601" s="224"/>
      <c r="AE601" s="226">
        <v>3000</v>
      </c>
      <c r="AF601" s="226">
        <v>6300</v>
      </c>
      <c r="AG601" s="224">
        <v>46010</v>
      </c>
      <c r="AH601" s="224">
        <v>46123</v>
      </c>
      <c r="AI601" s="224"/>
      <c r="AJ601" s="207"/>
      <c r="AK601" s="227"/>
      <c r="AL601" s="207"/>
      <c r="AM601" s="1"/>
    </row>
    <row r="602" spans="1:48" ht="45" hidden="1" customHeight="1">
      <c r="A602" s="1"/>
      <c r="B602" s="323" t="s">
        <v>2368</v>
      </c>
      <c r="C602" s="217" t="s">
        <v>678</v>
      </c>
      <c r="D602" s="218" t="s">
        <v>679</v>
      </c>
      <c r="E602" s="286" t="s">
        <v>2369</v>
      </c>
      <c r="F602" s="220" t="s">
        <v>40</v>
      </c>
      <c r="G602" s="220" t="s">
        <v>296</v>
      </c>
      <c r="H602" s="220" t="s">
        <v>427</v>
      </c>
      <c r="I602" s="220" t="s">
        <v>2370</v>
      </c>
      <c r="J602" s="178" t="s">
        <v>6755</v>
      </c>
      <c r="K602" s="222">
        <v>45992</v>
      </c>
      <c r="L602" s="224" t="s">
        <v>45</v>
      </c>
      <c r="M602" s="223"/>
      <c r="N602" s="224"/>
      <c r="O602" s="224"/>
      <c r="P602" s="224"/>
      <c r="Q602" s="224"/>
      <c r="R602" s="224" t="s">
        <v>46</v>
      </c>
      <c r="S602" s="27" t="s">
        <v>47</v>
      </c>
      <c r="T602" s="175" t="s">
        <v>48</v>
      </c>
      <c r="U602" s="324" t="s">
        <v>7183</v>
      </c>
      <c r="V602" s="195"/>
      <c r="W602" s="195" t="s">
        <v>239</v>
      </c>
      <c r="X602" s="195"/>
      <c r="Y602" s="225" t="s">
        <v>200</v>
      </c>
      <c r="Z602" s="225"/>
      <c r="AA602" s="225"/>
      <c r="AB602" s="225"/>
      <c r="AC602" s="225"/>
      <c r="AD602" s="224"/>
      <c r="AE602" s="226">
        <v>3500</v>
      </c>
      <c r="AF602" s="226">
        <v>12900</v>
      </c>
      <c r="AG602" s="224">
        <v>46028</v>
      </c>
      <c r="AH602" s="224">
        <v>46078</v>
      </c>
      <c r="AI602" s="224"/>
      <c r="AJ602" s="207">
        <v>46081</v>
      </c>
      <c r="AK602" s="227"/>
      <c r="AL602" s="299" t="s">
        <v>7152</v>
      </c>
      <c r="AM602" s="1"/>
      <c r="AN602" s="1"/>
      <c r="AO602" s="1"/>
      <c r="AP602" s="1"/>
      <c r="AQ602" s="1"/>
      <c r="AR602" s="1"/>
      <c r="AS602" s="1"/>
      <c r="AT602" s="1"/>
      <c r="AU602" s="1"/>
      <c r="AV602" s="1"/>
    </row>
    <row r="603" spans="1:48" ht="45" hidden="1" customHeight="1">
      <c r="B603" s="323" t="s">
        <v>2371</v>
      </c>
      <c r="C603" s="217" t="s">
        <v>678</v>
      </c>
      <c r="D603" s="218" t="s">
        <v>679</v>
      </c>
      <c r="E603" s="276" t="s">
        <v>2372</v>
      </c>
      <c r="F603" s="220" t="s">
        <v>40</v>
      </c>
      <c r="G603" s="220" t="s">
        <v>296</v>
      </c>
      <c r="H603" s="220" t="s">
        <v>427</v>
      </c>
      <c r="I603" s="220" t="s">
        <v>1635</v>
      </c>
      <c r="J603" s="178" t="s">
        <v>6755</v>
      </c>
      <c r="K603" s="222">
        <v>45992</v>
      </c>
      <c r="L603" s="224" t="s">
        <v>99</v>
      </c>
      <c r="M603" s="223"/>
      <c r="N603" s="224"/>
      <c r="O603" s="224"/>
      <c r="P603" s="224"/>
      <c r="Q603" s="224"/>
      <c r="R603" s="224" t="s">
        <v>46</v>
      </c>
      <c r="S603" s="27" t="s">
        <v>47</v>
      </c>
      <c r="T603" s="175" t="s">
        <v>48</v>
      </c>
      <c r="U603" s="324" t="s">
        <v>7190</v>
      </c>
      <c r="V603" s="195"/>
      <c r="W603" s="195" t="s">
        <v>94</v>
      </c>
      <c r="X603" s="195"/>
      <c r="Y603" s="225" t="s">
        <v>94</v>
      </c>
      <c r="Z603" s="225"/>
      <c r="AA603" s="225"/>
      <c r="AB603" s="225"/>
      <c r="AC603" s="225"/>
      <c r="AD603" s="224"/>
      <c r="AE603" s="226">
        <v>2200</v>
      </c>
      <c r="AF603" s="226">
        <v>8500</v>
      </c>
      <c r="AG603" s="224">
        <v>46038</v>
      </c>
      <c r="AH603" s="224">
        <v>46072</v>
      </c>
      <c r="AI603" s="224"/>
      <c r="AJ603" s="207">
        <v>46093</v>
      </c>
      <c r="AK603" s="227"/>
      <c r="AL603" s="299" t="s">
        <v>7151</v>
      </c>
      <c r="AM603" s="1"/>
    </row>
    <row r="604" spans="1:48" ht="45" hidden="1" customHeight="1">
      <c r="B604" s="323" t="s">
        <v>2373</v>
      </c>
      <c r="C604" s="217" t="s">
        <v>678</v>
      </c>
      <c r="D604" s="218" t="s">
        <v>679</v>
      </c>
      <c r="E604" s="286" t="s">
        <v>2374</v>
      </c>
      <c r="F604" s="220" t="s">
        <v>40</v>
      </c>
      <c r="G604" s="220" t="s">
        <v>296</v>
      </c>
      <c r="H604" s="220" t="s">
        <v>427</v>
      </c>
      <c r="I604" s="220" t="s">
        <v>2375</v>
      </c>
      <c r="J604" s="178" t="s">
        <v>6755</v>
      </c>
      <c r="K604" s="222">
        <v>45992</v>
      </c>
      <c r="L604" s="224" t="s">
        <v>45</v>
      </c>
      <c r="M604" s="223"/>
      <c r="N604" s="224"/>
      <c r="O604" s="224"/>
      <c r="P604" s="224"/>
      <c r="Q604" s="224"/>
      <c r="R604" s="224" t="s">
        <v>46</v>
      </c>
      <c r="S604" s="27" t="s">
        <v>47</v>
      </c>
      <c r="T604" s="175" t="s">
        <v>48</v>
      </c>
      <c r="U604" s="324" t="s">
        <v>2376</v>
      </c>
      <c r="V604" s="195"/>
      <c r="W604" s="195" t="s">
        <v>6872</v>
      </c>
      <c r="X604" s="195"/>
      <c r="Y604" s="225" t="s">
        <v>170</v>
      </c>
      <c r="Z604" s="225"/>
      <c r="AA604" s="225"/>
      <c r="AB604" s="225"/>
      <c r="AC604" s="225"/>
      <c r="AD604" s="224"/>
      <c r="AE604" s="226">
        <v>2900</v>
      </c>
      <c r="AF604" s="226">
        <v>6400</v>
      </c>
      <c r="AG604" s="224">
        <v>46039</v>
      </c>
      <c r="AH604" s="224">
        <v>46071</v>
      </c>
      <c r="AI604" s="224"/>
      <c r="AJ604" s="207">
        <v>46087</v>
      </c>
      <c r="AK604" s="227"/>
      <c r="AL604" s="299" t="s">
        <v>7150</v>
      </c>
      <c r="AM604" s="1"/>
    </row>
    <row r="605" spans="1:48" ht="45" hidden="1" customHeight="1">
      <c r="B605" s="323" t="s">
        <v>2377</v>
      </c>
      <c r="C605" s="217" t="s">
        <v>336</v>
      </c>
      <c r="D605" s="218" t="s">
        <v>337</v>
      </c>
      <c r="E605" s="277" t="s">
        <v>2378</v>
      </c>
      <c r="F605" s="306" t="s">
        <v>40</v>
      </c>
      <c r="G605" s="220" t="s">
        <v>2379</v>
      </c>
      <c r="H605" s="220" t="s">
        <v>42</v>
      </c>
      <c r="I605" s="220" t="s">
        <v>2380</v>
      </c>
      <c r="J605" s="196" t="s">
        <v>2297</v>
      </c>
      <c r="K605" s="222">
        <v>45992</v>
      </c>
      <c r="L605" s="224" t="s">
        <v>45</v>
      </c>
      <c r="M605" s="223"/>
      <c r="N605" s="224"/>
      <c r="O605" s="224"/>
      <c r="P605" s="224"/>
      <c r="Q605" s="224"/>
      <c r="R605" s="224" t="s">
        <v>46</v>
      </c>
      <c r="S605" s="195" t="s">
        <v>2337</v>
      </c>
      <c r="T605" s="195" t="s">
        <v>122</v>
      </c>
      <c r="U605" s="324" t="s">
        <v>2381</v>
      </c>
      <c r="V605" s="195" t="s">
        <v>85</v>
      </c>
      <c r="W605" s="195" t="s">
        <v>147</v>
      </c>
      <c r="X605" s="195"/>
      <c r="Y605" s="225" t="s">
        <v>77</v>
      </c>
      <c r="Z605" s="225"/>
      <c r="AA605" s="233" t="s">
        <v>2382</v>
      </c>
      <c r="AB605" s="225"/>
      <c r="AC605" s="225"/>
      <c r="AD605" s="224"/>
      <c r="AE605" s="226">
        <v>1300</v>
      </c>
      <c r="AF605" s="226">
        <v>1200</v>
      </c>
      <c r="AG605" s="224">
        <v>46034</v>
      </c>
      <c r="AH605" s="224">
        <v>46042</v>
      </c>
      <c r="AI605" s="224"/>
      <c r="AJ605" s="207">
        <v>46033</v>
      </c>
      <c r="AK605" s="227">
        <v>46044</v>
      </c>
      <c r="AL605" s="300" t="s">
        <v>7169</v>
      </c>
      <c r="AM605" s="1"/>
    </row>
    <row r="606" spans="1:48" ht="45" hidden="1" customHeight="1">
      <c r="B606" s="323" t="s">
        <v>2383</v>
      </c>
      <c r="C606" s="217" t="s">
        <v>241</v>
      </c>
      <c r="D606" s="159" t="s">
        <v>8273</v>
      </c>
      <c r="E606" s="276" t="s">
        <v>2384</v>
      </c>
      <c r="F606" s="306" t="s">
        <v>40</v>
      </c>
      <c r="G606" s="220" t="s">
        <v>129</v>
      </c>
      <c r="H606" s="220" t="s">
        <v>42</v>
      </c>
      <c r="I606" s="220">
        <v>141</v>
      </c>
      <c r="J606" s="196" t="s">
        <v>2297</v>
      </c>
      <c r="K606" s="222">
        <v>45992</v>
      </c>
      <c r="L606" s="224" t="s">
        <v>45</v>
      </c>
      <c r="M606" s="223"/>
      <c r="N606" s="224"/>
      <c r="O606" s="224"/>
      <c r="P606" s="224"/>
      <c r="Q606" s="224"/>
      <c r="R606" s="224" t="s">
        <v>46</v>
      </c>
      <c r="S606" s="27" t="s">
        <v>47</v>
      </c>
      <c r="T606" s="195" t="s">
        <v>48</v>
      </c>
      <c r="U606" s="324" t="s">
        <v>6819</v>
      </c>
      <c r="V606" s="195"/>
      <c r="W606" s="195" t="s">
        <v>147</v>
      </c>
      <c r="X606" s="195"/>
      <c r="Y606" s="225" t="s">
        <v>132</v>
      </c>
      <c r="Z606" s="225"/>
      <c r="AA606" s="233" t="s">
        <v>2385</v>
      </c>
      <c r="AB606" s="225"/>
      <c r="AC606" s="225"/>
      <c r="AD606" s="224"/>
      <c r="AE606" s="226">
        <v>2300</v>
      </c>
      <c r="AF606" s="226">
        <v>700</v>
      </c>
      <c r="AG606" s="224">
        <v>46041</v>
      </c>
      <c r="AH606" s="224">
        <v>46050</v>
      </c>
      <c r="AI606" s="224"/>
      <c r="AJ606" s="182">
        <v>46029</v>
      </c>
      <c r="AK606" s="227"/>
      <c r="AL606" s="300" t="s">
        <v>7170</v>
      </c>
      <c r="AM606" s="1"/>
    </row>
    <row r="607" spans="1:48" ht="45" hidden="1" customHeight="1">
      <c r="B607" s="323" t="s">
        <v>2386</v>
      </c>
      <c r="C607" s="217" t="s">
        <v>2387</v>
      </c>
      <c r="D607" s="218" t="s">
        <v>374</v>
      </c>
      <c r="E607" s="277" t="s">
        <v>2388</v>
      </c>
      <c r="F607" s="220" t="s">
        <v>40</v>
      </c>
      <c r="G607" s="220" t="s">
        <v>91</v>
      </c>
      <c r="H607" s="220" t="s">
        <v>42</v>
      </c>
      <c r="I607" s="220">
        <v>51</v>
      </c>
      <c r="J607" s="196" t="s">
        <v>2297</v>
      </c>
      <c r="K607" s="222">
        <v>45993</v>
      </c>
      <c r="L607" s="224" t="s">
        <v>45</v>
      </c>
      <c r="M607" s="223"/>
      <c r="N607" s="224"/>
      <c r="O607" s="224"/>
      <c r="P607" s="224"/>
      <c r="Q607" s="224"/>
      <c r="R607" s="224" t="s">
        <v>46</v>
      </c>
      <c r="S607" s="326" t="s">
        <v>47</v>
      </c>
      <c r="T607" s="195" t="s">
        <v>48</v>
      </c>
      <c r="U607" s="324" t="s">
        <v>2389</v>
      </c>
      <c r="V607" s="195" t="s">
        <v>85</v>
      </c>
      <c r="W607" s="195" t="s">
        <v>109</v>
      </c>
      <c r="X607" s="195"/>
      <c r="Y607" s="225" t="s">
        <v>62</v>
      </c>
      <c r="Z607" s="225"/>
      <c r="AA607" s="225"/>
      <c r="AB607" s="225"/>
      <c r="AC607" s="225"/>
      <c r="AD607" s="224" t="s">
        <v>7663</v>
      </c>
      <c r="AE607" s="226">
        <v>300</v>
      </c>
      <c r="AF607" s="226">
        <v>600</v>
      </c>
      <c r="AG607" s="224">
        <v>46154</v>
      </c>
      <c r="AH607" s="224">
        <v>46167</v>
      </c>
      <c r="AI607" s="224"/>
      <c r="AJ607" s="345">
        <v>46170</v>
      </c>
      <c r="AK607" s="227">
        <v>46174</v>
      </c>
      <c r="AL607" s="207"/>
      <c r="AM607" s="1"/>
    </row>
    <row r="608" spans="1:48" ht="45" hidden="1" customHeight="1">
      <c r="B608" s="323" t="s">
        <v>2390</v>
      </c>
      <c r="C608" s="217" t="s">
        <v>2387</v>
      </c>
      <c r="D608" s="218" t="s">
        <v>374</v>
      </c>
      <c r="E608" s="276" t="s">
        <v>2391</v>
      </c>
      <c r="F608" s="306" t="s">
        <v>40</v>
      </c>
      <c r="G608" s="220" t="s">
        <v>1557</v>
      </c>
      <c r="H608" s="220" t="s">
        <v>42</v>
      </c>
      <c r="I608" s="220">
        <v>161</v>
      </c>
      <c r="J608" s="196" t="s">
        <v>2297</v>
      </c>
      <c r="K608" s="222">
        <v>45994</v>
      </c>
      <c r="L608" s="224" t="s">
        <v>99</v>
      </c>
      <c r="M608" s="223"/>
      <c r="N608" s="224"/>
      <c r="O608" s="224"/>
      <c r="P608" s="224"/>
      <c r="Q608" s="224"/>
      <c r="R608" s="224" t="s">
        <v>46</v>
      </c>
      <c r="S608" s="195" t="s">
        <v>47</v>
      </c>
      <c r="T608" s="195" t="s">
        <v>48</v>
      </c>
      <c r="U608" s="324" t="s">
        <v>2392</v>
      </c>
      <c r="V608" s="195"/>
      <c r="W608" s="195" t="s">
        <v>188</v>
      </c>
      <c r="X608" s="195"/>
      <c r="Y608" s="225" t="s">
        <v>132</v>
      </c>
      <c r="Z608" s="225"/>
      <c r="AA608" s="233" t="s">
        <v>2393</v>
      </c>
      <c r="AB608" s="225"/>
      <c r="AC608" s="225"/>
      <c r="AD608" s="224"/>
      <c r="AE608" s="226">
        <v>2500</v>
      </c>
      <c r="AF608" s="226">
        <v>500</v>
      </c>
      <c r="AG608" s="224">
        <v>46029</v>
      </c>
      <c r="AH608" s="224">
        <v>46044</v>
      </c>
      <c r="AI608" s="224"/>
      <c r="AJ608" s="207">
        <v>46038</v>
      </c>
      <c r="AK608" s="227"/>
      <c r="AL608" s="300" t="s">
        <v>7173</v>
      </c>
      <c r="AM608" s="1"/>
    </row>
    <row r="609" spans="1:48" ht="45" hidden="1" customHeight="1">
      <c r="B609" s="336" t="s">
        <v>2394</v>
      </c>
      <c r="C609" s="176" t="s">
        <v>311</v>
      </c>
      <c r="D609" s="177" t="s">
        <v>312</v>
      </c>
      <c r="E609" s="276" t="s">
        <v>2395</v>
      </c>
      <c r="F609" s="306" t="s">
        <v>40</v>
      </c>
      <c r="G609" s="306" t="s">
        <v>91</v>
      </c>
      <c r="H609" s="306" t="s">
        <v>42</v>
      </c>
      <c r="I609" s="306" t="s">
        <v>2396</v>
      </c>
      <c r="J609" s="196" t="s">
        <v>2297</v>
      </c>
      <c r="K609" s="307">
        <v>45994</v>
      </c>
      <c r="L609" s="179" t="s">
        <v>45</v>
      </c>
      <c r="M609" s="308"/>
      <c r="N609" s="179"/>
      <c r="O609" s="179"/>
      <c r="P609" s="179"/>
      <c r="Q609" s="179"/>
      <c r="R609" s="179" t="s">
        <v>46</v>
      </c>
      <c r="S609" s="175" t="s">
        <v>47</v>
      </c>
      <c r="T609" s="175" t="s">
        <v>48</v>
      </c>
      <c r="U609" s="337" t="s">
        <v>6956</v>
      </c>
      <c r="V609" s="175"/>
      <c r="W609" s="175" t="s">
        <v>147</v>
      </c>
      <c r="X609" s="175"/>
      <c r="Y609" s="180" t="s">
        <v>170</v>
      </c>
      <c r="Z609" s="180"/>
      <c r="AA609" s="206" t="s">
        <v>2397</v>
      </c>
      <c r="AB609" s="180"/>
      <c r="AC609" s="180"/>
      <c r="AD609" s="179"/>
      <c r="AE609" s="181">
        <v>7200</v>
      </c>
      <c r="AF609" s="181">
        <v>2300</v>
      </c>
      <c r="AG609" s="179">
        <v>46010</v>
      </c>
      <c r="AH609" s="179">
        <v>46035</v>
      </c>
      <c r="AI609" s="179"/>
      <c r="AJ609" s="207">
        <v>46029</v>
      </c>
      <c r="AK609" s="212"/>
      <c r="AL609" s="205" t="s">
        <v>7166</v>
      </c>
      <c r="AM609" s="1"/>
    </row>
    <row r="610" spans="1:48" ht="45" hidden="1" customHeight="1">
      <c r="A610" s="1"/>
      <c r="B610" s="323" t="s">
        <v>2398</v>
      </c>
      <c r="C610" s="217" t="s">
        <v>311</v>
      </c>
      <c r="D610" s="218" t="s">
        <v>312</v>
      </c>
      <c r="E610" s="276" t="s">
        <v>2399</v>
      </c>
      <c r="F610" s="306" t="s">
        <v>40</v>
      </c>
      <c r="G610" s="220" t="s">
        <v>91</v>
      </c>
      <c r="H610" s="220" t="s">
        <v>42</v>
      </c>
      <c r="I610" s="220">
        <v>33</v>
      </c>
      <c r="J610" s="196" t="s">
        <v>2297</v>
      </c>
      <c r="K610" s="222">
        <v>45994</v>
      </c>
      <c r="L610" s="224" t="s">
        <v>45</v>
      </c>
      <c r="M610" s="223"/>
      <c r="N610" s="224"/>
      <c r="O610" s="224"/>
      <c r="P610" s="224"/>
      <c r="Q610" s="224"/>
      <c r="R610" s="224" t="s">
        <v>46</v>
      </c>
      <c r="S610" s="195" t="s">
        <v>47</v>
      </c>
      <c r="T610" s="195" t="s">
        <v>48</v>
      </c>
      <c r="U610" s="324" t="s">
        <v>6953</v>
      </c>
      <c r="V610" s="195"/>
      <c r="W610" s="195" t="s">
        <v>239</v>
      </c>
      <c r="X610" s="195"/>
      <c r="Y610" s="225" t="s">
        <v>62</v>
      </c>
      <c r="Z610" s="225"/>
      <c r="AA610" s="233" t="s">
        <v>2400</v>
      </c>
      <c r="AB610" s="225"/>
      <c r="AC610" s="225"/>
      <c r="AD610" s="224"/>
      <c r="AE610" s="226">
        <v>300</v>
      </c>
      <c r="AF610" s="226">
        <v>600</v>
      </c>
      <c r="AG610" s="224">
        <v>46014</v>
      </c>
      <c r="AH610" s="179">
        <v>45665</v>
      </c>
      <c r="AI610" s="224"/>
      <c r="AJ610" s="182">
        <v>46034</v>
      </c>
      <c r="AK610" s="227"/>
      <c r="AL610" s="300" t="s">
        <v>7164</v>
      </c>
      <c r="AM610" s="1"/>
      <c r="AN610" s="1"/>
      <c r="AO610" s="1"/>
      <c r="AP610" s="1"/>
      <c r="AQ610" s="1"/>
      <c r="AR610" s="1"/>
      <c r="AS610" s="1"/>
      <c r="AT610" s="1"/>
      <c r="AU610" s="1"/>
      <c r="AV610" s="1"/>
    </row>
    <row r="611" spans="1:48" ht="45" hidden="1" customHeight="1">
      <c r="B611" s="336" t="s">
        <v>2401</v>
      </c>
      <c r="C611" s="176" t="s">
        <v>311</v>
      </c>
      <c r="D611" s="177" t="s">
        <v>312</v>
      </c>
      <c r="E611" s="276" t="s">
        <v>2402</v>
      </c>
      <c r="F611" s="306" t="s">
        <v>40</v>
      </c>
      <c r="G611" s="306" t="s">
        <v>91</v>
      </c>
      <c r="H611" s="306" t="s">
        <v>42</v>
      </c>
      <c r="I611" s="306">
        <v>31.032</v>
      </c>
      <c r="J611" s="196" t="s">
        <v>2297</v>
      </c>
      <c r="K611" s="307">
        <v>45994</v>
      </c>
      <c r="L611" s="179" t="s">
        <v>45</v>
      </c>
      <c r="M611" s="308"/>
      <c r="N611" s="179"/>
      <c r="O611" s="179"/>
      <c r="P611" s="179"/>
      <c r="Q611" s="179"/>
      <c r="R611" s="179" t="s">
        <v>46</v>
      </c>
      <c r="S611" s="175" t="s">
        <v>47</v>
      </c>
      <c r="T611" s="175" t="s">
        <v>48</v>
      </c>
      <c r="U611" s="337" t="s">
        <v>6916</v>
      </c>
      <c r="V611" s="175"/>
      <c r="W611" s="175" t="s">
        <v>239</v>
      </c>
      <c r="X611" s="175"/>
      <c r="Y611" s="201" t="s">
        <v>51</v>
      </c>
      <c r="Z611" s="180"/>
      <c r="AA611" s="206" t="s">
        <v>2403</v>
      </c>
      <c r="AB611" s="180"/>
      <c r="AC611" s="180"/>
      <c r="AD611" s="179"/>
      <c r="AE611" s="181">
        <v>1100</v>
      </c>
      <c r="AF611" s="181">
        <v>3000</v>
      </c>
      <c r="AG611" s="179">
        <v>46010</v>
      </c>
      <c r="AH611" s="179">
        <v>46031</v>
      </c>
      <c r="AI611" s="179"/>
      <c r="AJ611" s="182">
        <v>46031</v>
      </c>
      <c r="AK611" s="212"/>
      <c r="AL611" s="205" t="s">
        <v>7167</v>
      </c>
      <c r="AM611" s="1"/>
    </row>
    <row r="612" spans="1:48" ht="45" hidden="1" customHeight="1">
      <c r="B612" s="323" t="s">
        <v>2404</v>
      </c>
      <c r="C612" s="217" t="s">
        <v>311</v>
      </c>
      <c r="D612" s="218" t="s">
        <v>312</v>
      </c>
      <c r="E612" s="276" t="s">
        <v>2405</v>
      </c>
      <c r="F612" s="306" t="s">
        <v>40</v>
      </c>
      <c r="G612" s="220" t="s">
        <v>91</v>
      </c>
      <c r="H612" s="220" t="s">
        <v>42</v>
      </c>
      <c r="I612" s="220">
        <v>11</v>
      </c>
      <c r="J612" s="196" t="s">
        <v>2297</v>
      </c>
      <c r="K612" s="222">
        <v>45994</v>
      </c>
      <c r="L612" s="223" t="s">
        <v>45</v>
      </c>
      <c r="M612" s="223"/>
      <c r="N612" s="224"/>
      <c r="O612" s="224"/>
      <c r="P612" s="224"/>
      <c r="Q612" s="224"/>
      <c r="R612" s="224" t="s">
        <v>46</v>
      </c>
      <c r="S612" s="195" t="s">
        <v>47</v>
      </c>
      <c r="T612" s="195" t="s">
        <v>48</v>
      </c>
      <c r="U612" s="324" t="s">
        <v>2406</v>
      </c>
      <c r="V612" s="195"/>
      <c r="W612" s="195" t="s">
        <v>239</v>
      </c>
      <c r="X612" s="195"/>
      <c r="Y612" s="180" t="s">
        <v>94</v>
      </c>
      <c r="Z612" s="225"/>
      <c r="AA612" s="233" t="s">
        <v>2407</v>
      </c>
      <c r="AB612" s="225"/>
      <c r="AC612" s="225"/>
      <c r="AD612" s="224"/>
      <c r="AE612" s="226">
        <v>700</v>
      </c>
      <c r="AF612" s="226">
        <v>900</v>
      </c>
      <c r="AG612" s="224">
        <v>46014</v>
      </c>
      <c r="AH612" s="179">
        <v>46032</v>
      </c>
      <c r="AI612" s="224"/>
      <c r="AJ612" s="182">
        <v>46035</v>
      </c>
      <c r="AK612" s="227"/>
      <c r="AL612" s="300" t="s">
        <v>7165</v>
      </c>
      <c r="AM612" s="1"/>
    </row>
    <row r="613" spans="1:48" ht="45" hidden="1" customHeight="1">
      <c r="B613" s="323" t="s">
        <v>2408</v>
      </c>
      <c r="C613" s="217" t="s">
        <v>150</v>
      </c>
      <c r="D613" s="218" t="s">
        <v>151</v>
      </c>
      <c r="E613" s="277" t="s">
        <v>2409</v>
      </c>
      <c r="F613" s="306" t="s">
        <v>40</v>
      </c>
      <c r="G613" s="220" t="s">
        <v>2057</v>
      </c>
      <c r="H613" s="220" t="s">
        <v>42</v>
      </c>
      <c r="I613" s="220">
        <v>101.102</v>
      </c>
      <c r="J613" s="196" t="s">
        <v>2297</v>
      </c>
      <c r="K613" s="222">
        <v>45994</v>
      </c>
      <c r="L613" s="223" t="s">
        <v>99</v>
      </c>
      <c r="M613" s="223"/>
      <c r="N613" s="224"/>
      <c r="O613" s="224"/>
      <c r="P613" s="224"/>
      <c r="Q613" s="224"/>
      <c r="R613" s="224" t="s">
        <v>46</v>
      </c>
      <c r="S613" s="27" t="s">
        <v>47</v>
      </c>
      <c r="T613" s="195" t="s">
        <v>48</v>
      </c>
      <c r="U613" s="324" t="s">
        <v>6952</v>
      </c>
      <c r="V613" s="195"/>
      <c r="W613" s="195" t="s">
        <v>94</v>
      </c>
      <c r="X613" s="195"/>
      <c r="Y613" s="225" t="s">
        <v>94</v>
      </c>
      <c r="Z613" s="225"/>
      <c r="AA613" s="233" t="s">
        <v>2410</v>
      </c>
      <c r="AB613" s="225"/>
      <c r="AC613" s="225"/>
      <c r="AD613" s="224"/>
      <c r="AE613" s="226">
        <v>2100</v>
      </c>
      <c r="AF613" s="226">
        <v>2400</v>
      </c>
      <c r="AG613" s="224">
        <v>46038</v>
      </c>
      <c r="AH613" s="224">
        <v>46044</v>
      </c>
      <c r="AI613" s="224"/>
      <c r="AJ613" s="207">
        <v>46039</v>
      </c>
      <c r="AK613" s="227"/>
      <c r="AL613" s="300" t="s">
        <v>7172</v>
      </c>
      <c r="AM613" s="1"/>
    </row>
    <row r="614" spans="1:48" ht="45" hidden="1" customHeight="1">
      <c r="B614" s="323" t="s">
        <v>2411</v>
      </c>
      <c r="C614" s="217" t="s">
        <v>160</v>
      </c>
      <c r="D614" s="218" t="s">
        <v>161</v>
      </c>
      <c r="E614" s="277" t="s">
        <v>2412</v>
      </c>
      <c r="F614" s="220" t="s">
        <v>40</v>
      </c>
      <c r="G614" s="220" t="s">
        <v>2413</v>
      </c>
      <c r="H614" s="220" t="s">
        <v>42</v>
      </c>
      <c r="I614" s="220">
        <v>31</v>
      </c>
      <c r="J614" s="178" t="s">
        <v>6755</v>
      </c>
      <c r="K614" s="222">
        <v>45994</v>
      </c>
      <c r="L614" s="223" t="s">
        <v>45</v>
      </c>
      <c r="M614" s="223"/>
      <c r="N614" s="224"/>
      <c r="O614" s="224"/>
      <c r="P614" s="224"/>
      <c r="Q614" s="224"/>
      <c r="R614" s="224" t="s">
        <v>46</v>
      </c>
      <c r="S614" s="195" t="s">
        <v>47</v>
      </c>
      <c r="T614" s="195" t="s">
        <v>48</v>
      </c>
      <c r="U614" s="324" t="s">
        <v>6822</v>
      </c>
      <c r="V614" s="195"/>
      <c r="W614" s="195" t="s">
        <v>50</v>
      </c>
      <c r="X614" s="195"/>
      <c r="Y614" s="225" t="s">
        <v>62</v>
      </c>
      <c r="Z614" s="225"/>
      <c r="AA614" s="233" t="s">
        <v>2414</v>
      </c>
      <c r="AB614" s="225"/>
      <c r="AC614" s="225"/>
      <c r="AD614" s="224"/>
      <c r="AE614" s="226">
        <v>700</v>
      </c>
      <c r="AF614" s="226">
        <v>1200</v>
      </c>
      <c r="AG614" s="224">
        <v>46035</v>
      </c>
      <c r="AH614" s="224">
        <v>46041</v>
      </c>
      <c r="AI614" s="224"/>
      <c r="AJ614" s="207">
        <v>46044</v>
      </c>
      <c r="AK614" s="227"/>
      <c r="AL614" s="299" t="s">
        <v>7153</v>
      </c>
      <c r="AM614" s="1"/>
    </row>
    <row r="615" spans="1:48" ht="45" hidden="1" customHeight="1">
      <c r="B615" s="323" t="s">
        <v>2415</v>
      </c>
      <c r="C615" s="217" t="s">
        <v>160</v>
      </c>
      <c r="D615" s="218" t="s">
        <v>161</v>
      </c>
      <c r="E615" s="277" t="s">
        <v>2416</v>
      </c>
      <c r="F615" s="220" t="s">
        <v>40</v>
      </c>
      <c r="G615" s="220" t="s">
        <v>2413</v>
      </c>
      <c r="H615" s="220" t="s">
        <v>42</v>
      </c>
      <c r="I615" s="220">
        <v>71</v>
      </c>
      <c r="J615" s="178" t="s">
        <v>2297</v>
      </c>
      <c r="K615" s="222">
        <v>45994</v>
      </c>
      <c r="L615" s="223" t="s">
        <v>45</v>
      </c>
      <c r="M615" s="223"/>
      <c r="N615" s="224"/>
      <c r="O615" s="224"/>
      <c r="P615" s="224"/>
      <c r="Q615" s="224"/>
      <c r="R615" s="224" t="s">
        <v>46</v>
      </c>
      <c r="S615" s="27" t="s">
        <v>47</v>
      </c>
      <c r="T615" s="195" t="s">
        <v>48</v>
      </c>
      <c r="U615" s="324" t="s">
        <v>2417</v>
      </c>
      <c r="V615" s="195"/>
      <c r="W615" s="195" t="s">
        <v>50</v>
      </c>
      <c r="X615" s="195"/>
      <c r="Y615" s="225" t="s">
        <v>62</v>
      </c>
      <c r="Z615" s="225"/>
      <c r="AA615" s="233" t="s">
        <v>2418</v>
      </c>
      <c r="AB615" s="225"/>
      <c r="AC615" s="225"/>
      <c r="AD615" s="224"/>
      <c r="AE615" s="226">
        <v>500</v>
      </c>
      <c r="AF615" s="226">
        <v>1900</v>
      </c>
      <c r="AG615" s="224">
        <v>46027</v>
      </c>
      <c r="AH615" s="224">
        <v>46038</v>
      </c>
      <c r="AI615" s="224"/>
      <c r="AJ615" s="207">
        <v>46044</v>
      </c>
      <c r="AK615" s="227"/>
      <c r="AL615" s="300" t="s">
        <v>7168</v>
      </c>
      <c r="AM615" s="1"/>
    </row>
    <row r="616" spans="1:48" ht="45" hidden="1" customHeight="1">
      <c r="A616" s="1"/>
      <c r="B616" s="323" t="s">
        <v>2419</v>
      </c>
      <c r="C616" s="217" t="s">
        <v>425</v>
      </c>
      <c r="D616" s="218" t="s">
        <v>6756</v>
      </c>
      <c r="E616" s="276" t="s">
        <v>1458</v>
      </c>
      <c r="F616" s="220" t="s">
        <v>40</v>
      </c>
      <c r="G616" s="220" t="s">
        <v>41</v>
      </c>
      <c r="H616" s="220" t="s">
        <v>42</v>
      </c>
      <c r="I616" s="220" t="s">
        <v>6758</v>
      </c>
      <c r="J616" s="196" t="s">
        <v>6755</v>
      </c>
      <c r="K616" s="222">
        <v>45992</v>
      </c>
      <c r="L616" s="223" t="s">
        <v>45</v>
      </c>
      <c r="M616" s="223"/>
      <c r="N616" s="224"/>
      <c r="O616" s="224"/>
      <c r="P616" s="224"/>
      <c r="Q616" s="224"/>
      <c r="R616" s="224" t="s">
        <v>46</v>
      </c>
      <c r="S616" s="27" t="s">
        <v>47</v>
      </c>
      <c r="T616" s="195" t="s">
        <v>48</v>
      </c>
      <c r="U616" s="324" t="s">
        <v>6759</v>
      </c>
      <c r="V616" s="195"/>
      <c r="W616" s="195" t="s">
        <v>147</v>
      </c>
      <c r="X616" s="195" t="s">
        <v>6989</v>
      </c>
      <c r="Y616" s="225" t="s">
        <v>51</v>
      </c>
      <c r="Z616" s="225" t="s">
        <v>77</v>
      </c>
      <c r="AA616" s="233" t="s">
        <v>6757</v>
      </c>
      <c r="AB616" s="225"/>
      <c r="AC616" s="225"/>
      <c r="AD616" s="224"/>
      <c r="AE616" s="226">
        <v>1800</v>
      </c>
      <c r="AF616" s="226">
        <v>2200</v>
      </c>
      <c r="AG616" s="224">
        <v>46185</v>
      </c>
      <c r="AH616" s="224">
        <v>46080</v>
      </c>
      <c r="AI616" s="224"/>
      <c r="AJ616" s="207">
        <v>46088</v>
      </c>
      <c r="AK616" s="227"/>
      <c r="AL616" s="300" t="s">
        <v>7160</v>
      </c>
      <c r="AM616" s="1"/>
      <c r="AN616" s="1"/>
      <c r="AO616" s="1"/>
      <c r="AP616" s="1"/>
      <c r="AQ616" s="1"/>
      <c r="AR616" s="1"/>
      <c r="AS616" s="1"/>
      <c r="AT616" s="1"/>
      <c r="AU616" s="1"/>
      <c r="AV616" s="1"/>
    </row>
    <row r="617" spans="1:48" ht="45" hidden="1" customHeight="1">
      <c r="B617" s="323" t="s">
        <v>2420</v>
      </c>
      <c r="C617" s="217" t="s">
        <v>54</v>
      </c>
      <c r="D617" s="218" t="s">
        <v>55</v>
      </c>
      <c r="E617" s="219" t="s">
        <v>6814</v>
      </c>
      <c r="F617" s="220"/>
      <c r="G617" s="220" t="s">
        <v>1391</v>
      </c>
      <c r="H617" s="220" t="s">
        <v>42</v>
      </c>
      <c r="I617" s="220">
        <v>111</v>
      </c>
      <c r="J617" s="221" t="s">
        <v>6817</v>
      </c>
      <c r="K617" s="222">
        <v>45748</v>
      </c>
      <c r="L617" s="223" t="s">
        <v>45</v>
      </c>
      <c r="M617" s="223"/>
      <c r="N617" s="224"/>
      <c r="O617" s="224"/>
      <c r="P617" s="224"/>
      <c r="Q617" s="224"/>
      <c r="R617" s="224" t="s">
        <v>46</v>
      </c>
      <c r="S617" s="195" t="s">
        <v>47</v>
      </c>
      <c r="T617" s="195" t="s">
        <v>48</v>
      </c>
      <c r="U617" s="324" t="s">
        <v>6818</v>
      </c>
      <c r="V617" s="195"/>
      <c r="W617" s="195" t="s">
        <v>6474</v>
      </c>
      <c r="X617" s="195"/>
      <c r="Y617" s="225" t="s">
        <v>170</v>
      </c>
      <c r="Z617" s="225"/>
      <c r="AA617" s="225"/>
      <c r="AB617" s="225"/>
      <c r="AC617" s="225"/>
      <c r="AD617" s="224"/>
      <c r="AE617" s="226">
        <v>500</v>
      </c>
      <c r="AF617" s="226">
        <v>600</v>
      </c>
      <c r="AG617" s="224">
        <v>45798</v>
      </c>
      <c r="AH617" s="224">
        <v>45807</v>
      </c>
      <c r="AI617" s="224"/>
      <c r="AJ617" s="207">
        <v>45807</v>
      </c>
      <c r="AK617" s="227"/>
      <c r="AL617" s="207"/>
      <c r="AM617" s="1"/>
    </row>
    <row r="618" spans="1:48" ht="45" hidden="1" customHeight="1">
      <c r="B618" s="323" t="s">
        <v>2421</v>
      </c>
      <c r="C618" s="217" t="s">
        <v>328</v>
      </c>
      <c r="D618" s="218" t="s">
        <v>329</v>
      </c>
      <c r="E618" s="219" t="s">
        <v>6815</v>
      </c>
      <c r="F618" s="26" t="s">
        <v>40</v>
      </c>
      <c r="G618" s="220" t="s">
        <v>2144</v>
      </c>
      <c r="H618" s="220" t="s">
        <v>42</v>
      </c>
      <c r="I618" s="220">
        <v>151.15199999999999</v>
      </c>
      <c r="J618" s="221" t="s">
        <v>57</v>
      </c>
      <c r="K618" s="222">
        <v>45901</v>
      </c>
      <c r="L618" s="223" t="s">
        <v>45</v>
      </c>
      <c r="M618" s="223"/>
      <c r="N618" s="224"/>
      <c r="O618" s="224"/>
      <c r="P618" s="224"/>
      <c r="Q618" s="224"/>
      <c r="R618" s="224" t="s">
        <v>46</v>
      </c>
      <c r="S618" s="195" t="s">
        <v>47</v>
      </c>
      <c r="T618" s="195" t="s">
        <v>48</v>
      </c>
      <c r="U618" s="324" t="s">
        <v>6816</v>
      </c>
      <c r="V618" s="195"/>
      <c r="W618" s="195" t="s">
        <v>109</v>
      </c>
      <c r="X618" s="195"/>
      <c r="Y618" s="225" t="s">
        <v>170</v>
      </c>
      <c r="Z618" s="225"/>
      <c r="AA618" s="225"/>
      <c r="AB618" s="225"/>
      <c r="AC618" s="225"/>
      <c r="AD618" s="224"/>
      <c r="AE618" s="226">
        <v>1300</v>
      </c>
      <c r="AF618" s="226">
        <v>1000</v>
      </c>
      <c r="AG618" s="224">
        <v>45916</v>
      </c>
      <c r="AH618" s="224">
        <v>45972</v>
      </c>
      <c r="AI618" s="224"/>
      <c r="AJ618" s="207">
        <v>45972</v>
      </c>
      <c r="AK618" s="227"/>
      <c r="AL618" s="207"/>
      <c r="AM618" s="1"/>
    </row>
    <row r="619" spans="1:48" ht="45" hidden="1" customHeight="1">
      <c r="A619" s="1"/>
      <c r="B619" s="323" t="s">
        <v>2422</v>
      </c>
      <c r="C619" s="217" t="s">
        <v>555</v>
      </c>
      <c r="D619" s="218" t="s">
        <v>556</v>
      </c>
      <c r="E619" s="219" t="s">
        <v>6821</v>
      </c>
      <c r="F619" s="220" t="s">
        <v>40</v>
      </c>
      <c r="G619" s="220" t="s">
        <v>446</v>
      </c>
      <c r="H619" s="220" t="s">
        <v>42</v>
      </c>
      <c r="I619" s="220" t="s">
        <v>6820</v>
      </c>
      <c r="J619" s="221" t="s">
        <v>6908</v>
      </c>
      <c r="K619" s="222">
        <v>46023</v>
      </c>
      <c r="L619" s="223" t="s">
        <v>45</v>
      </c>
      <c r="M619" s="223"/>
      <c r="N619" s="224"/>
      <c r="O619" s="224"/>
      <c r="P619" s="224"/>
      <c r="Q619" s="224"/>
      <c r="R619" s="224" t="s">
        <v>46</v>
      </c>
      <c r="S619" s="27" t="s">
        <v>47</v>
      </c>
      <c r="T619" s="175" t="s">
        <v>48</v>
      </c>
      <c r="U619" s="324" t="s">
        <v>7074</v>
      </c>
      <c r="V619" s="195"/>
      <c r="W619" s="195" t="s">
        <v>200</v>
      </c>
      <c r="X619" s="195" t="s">
        <v>109</v>
      </c>
      <c r="Y619" s="225" t="s">
        <v>200</v>
      </c>
      <c r="Z619" s="225"/>
      <c r="AA619" s="225"/>
      <c r="AB619" s="225"/>
      <c r="AC619" s="225"/>
      <c r="AD619" s="224"/>
      <c r="AE619" s="226"/>
      <c r="AF619" s="226"/>
      <c r="AG619" s="224">
        <v>46031</v>
      </c>
      <c r="AH619" s="224">
        <v>46068</v>
      </c>
      <c r="AI619" s="224"/>
      <c r="AJ619" s="207">
        <v>46066</v>
      </c>
      <c r="AK619" s="227"/>
      <c r="AL619" s="207"/>
      <c r="AM619" s="1"/>
      <c r="AN619" s="1"/>
      <c r="AO619" s="1"/>
      <c r="AP619" s="1"/>
      <c r="AQ619" s="1"/>
      <c r="AR619" s="1"/>
      <c r="AS619" s="1"/>
      <c r="AT619" s="1"/>
      <c r="AU619" s="1"/>
      <c r="AV619" s="1"/>
    </row>
    <row r="620" spans="1:48" ht="45" hidden="1" customHeight="1">
      <c r="B620" s="323" t="s">
        <v>2423</v>
      </c>
      <c r="C620" s="217" t="s">
        <v>336</v>
      </c>
      <c r="D620" s="218" t="s">
        <v>337</v>
      </c>
      <c r="E620" s="267" t="s">
        <v>6833</v>
      </c>
      <c r="F620" s="220" t="s">
        <v>40</v>
      </c>
      <c r="G620" s="220" t="s">
        <v>6834</v>
      </c>
      <c r="H620" s="220" t="s">
        <v>42</v>
      </c>
      <c r="I620" s="220" t="s">
        <v>244</v>
      </c>
      <c r="J620" s="178" t="s">
        <v>6755</v>
      </c>
      <c r="K620" s="222">
        <v>46023</v>
      </c>
      <c r="L620" s="223" t="s">
        <v>45</v>
      </c>
      <c r="M620" s="223"/>
      <c r="N620" s="224"/>
      <c r="O620" s="224"/>
      <c r="P620" s="224"/>
      <c r="Q620" s="224"/>
      <c r="R620" s="224" t="s">
        <v>46</v>
      </c>
      <c r="S620" s="195" t="s">
        <v>47</v>
      </c>
      <c r="T620" s="175" t="s">
        <v>48</v>
      </c>
      <c r="U620" s="324" t="s">
        <v>7064</v>
      </c>
      <c r="V620" s="195"/>
      <c r="W620" s="195" t="s">
        <v>147</v>
      </c>
      <c r="X620" s="195"/>
      <c r="Y620" s="225" t="s">
        <v>77</v>
      </c>
      <c r="Z620" s="225"/>
      <c r="AA620" s="225" t="s">
        <v>6832</v>
      </c>
      <c r="AB620" s="225"/>
      <c r="AC620" s="225"/>
      <c r="AD620" s="224"/>
      <c r="AE620" s="226">
        <v>700</v>
      </c>
      <c r="AF620" s="226">
        <v>1000</v>
      </c>
      <c r="AG620" s="224">
        <v>46036</v>
      </c>
      <c r="AH620" s="224">
        <v>46064</v>
      </c>
      <c r="AI620" s="224"/>
      <c r="AJ620" s="207">
        <v>46060</v>
      </c>
      <c r="AK620" s="227"/>
      <c r="AL620" s="299" t="s">
        <v>7155</v>
      </c>
      <c r="AM620" s="1"/>
    </row>
    <row r="621" spans="1:48" ht="45" hidden="1" customHeight="1">
      <c r="B621" s="323" t="s">
        <v>6825</v>
      </c>
      <c r="C621" s="217" t="s">
        <v>1030</v>
      </c>
      <c r="D621" s="218" t="s">
        <v>1031</v>
      </c>
      <c r="E621" s="267" t="s">
        <v>6836</v>
      </c>
      <c r="F621" s="220" t="s">
        <v>40</v>
      </c>
      <c r="G621" s="220" t="s">
        <v>6837</v>
      </c>
      <c r="H621" s="220" t="s">
        <v>42</v>
      </c>
      <c r="I621" s="220">
        <v>111</v>
      </c>
      <c r="J621" s="178" t="s">
        <v>6755</v>
      </c>
      <c r="K621" s="222">
        <v>46023</v>
      </c>
      <c r="L621" s="223" t="s">
        <v>45</v>
      </c>
      <c r="M621" s="223"/>
      <c r="N621" s="224"/>
      <c r="O621" s="224"/>
      <c r="P621" s="224"/>
      <c r="Q621" s="224"/>
      <c r="R621" s="224" t="s">
        <v>46</v>
      </c>
      <c r="S621" s="195" t="s">
        <v>47</v>
      </c>
      <c r="T621" s="175" t="s">
        <v>48</v>
      </c>
      <c r="U621" s="324" t="s">
        <v>7090</v>
      </c>
      <c r="V621" s="195" t="s">
        <v>85</v>
      </c>
      <c r="W621" s="195" t="s">
        <v>50</v>
      </c>
      <c r="X621" s="195"/>
      <c r="Y621" s="225" t="s">
        <v>62</v>
      </c>
      <c r="Z621" s="225"/>
      <c r="AA621" s="225" t="s">
        <v>6835</v>
      </c>
      <c r="AB621" s="225"/>
      <c r="AC621" s="225"/>
      <c r="AD621" s="224"/>
      <c r="AE621" s="226">
        <v>800</v>
      </c>
      <c r="AF621" s="226">
        <v>300</v>
      </c>
      <c r="AG621" s="224">
        <v>46037</v>
      </c>
      <c r="AH621" s="224">
        <v>46062</v>
      </c>
      <c r="AI621" s="224"/>
      <c r="AJ621" s="207">
        <v>46063</v>
      </c>
      <c r="AK621" s="227"/>
      <c r="AL621" s="299" t="s">
        <v>7154</v>
      </c>
      <c r="AM621" s="1"/>
    </row>
    <row r="622" spans="1:48" ht="45" hidden="1" customHeight="1">
      <c r="A622" s="1"/>
      <c r="B622" s="323" t="s">
        <v>6826</v>
      </c>
      <c r="C622" s="217" t="s">
        <v>648</v>
      </c>
      <c r="D622" s="218" t="s">
        <v>997</v>
      </c>
      <c r="E622" s="267" t="s">
        <v>311</v>
      </c>
      <c r="F622" s="220" t="s">
        <v>40</v>
      </c>
      <c r="G622" s="220" t="s">
        <v>2232</v>
      </c>
      <c r="H622" s="220" t="s">
        <v>42</v>
      </c>
      <c r="I622" s="220" t="s">
        <v>1879</v>
      </c>
      <c r="J622" s="178" t="s">
        <v>6755</v>
      </c>
      <c r="K622" s="222">
        <v>46023</v>
      </c>
      <c r="L622" s="223" t="s">
        <v>99</v>
      </c>
      <c r="M622" s="223"/>
      <c r="N622" s="224"/>
      <c r="O622" s="224"/>
      <c r="P622" s="224"/>
      <c r="Q622" s="224"/>
      <c r="R622" s="224" t="s">
        <v>46</v>
      </c>
      <c r="S622" s="195" t="s">
        <v>47</v>
      </c>
      <c r="T622" s="175" t="s">
        <v>48</v>
      </c>
      <c r="U622" s="324" t="s">
        <v>6947</v>
      </c>
      <c r="V622" s="195"/>
      <c r="W622" s="195" t="s">
        <v>147</v>
      </c>
      <c r="X622" s="195"/>
      <c r="Y622" s="225" t="s">
        <v>132</v>
      </c>
      <c r="Z622" s="225"/>
      <c r="AA622" s="225"/>
      <c r="AB622" s="225"/>
      <c r="AC622" s="225"/>
      <c r="AD622" s="224"/>
      <c r="AE622" s="226">
        <v>3000</v>
      </c>
      <c r="AF622" s="226">
        <v>3200</v>
      </c>
      <c r="AG622" s="224">
        <v>46038</v>
      </c>
      <c r="AH622" s="224">
        <v>46062</v>
      </c>
      <c r="AI622" s="224"/>
      <c r="AJ622" s="207">
        <v>46063</v>
      </c>
      <c r="AK622" s="227"/>
      <c r="AL622" s="299" t="s">
        <v>7147</v>
      </c>
      <c r="AM622" s="1"/>
      <c r="AN622" s="1"/>
      <c r="AO622" s="1"/>
      <c r="AP622" s="1"/>
      <c r="AQ622" s="1"/>
      <c r="AR622" s="1"/>
      <c r="AS622" s="1"/>
      <c r="AT622" s="1"/>
      <c r="AU622" s="1"/>
      <c r="AV622" s="1"/>
    </row>
    <row r="623" spans="1:48" ht="45" hidden="1" customHeight="1">
      <c r="B623" s="323" t="s">
        <v>6828</v>
      </c>
      <c r="C623" s="217" t="s">
        <v>104</v>
      </c>
      <c r="D623" s="218" t="s">
        <v>105</v>
      </c>
      <c r="E623" s="267" t="s">
        <v>6852</v>
      </c>
      <c r="F623" s="220" t="s">
        <v>40</v>
      </c>
      <c r="G623" s="220" t="s">
        <v>73</v>
      </c>
      <c r="H623" s="220" t="s">
        <v>42</v>
      </c>
      <c r="I623" s="220">
        <v>291.29199999999997</v>
      </c>
      <c r="J623" s="178" t="s">
        <v>6755</v>
      </c>
      <c r="K623" s="222">
        <v>46023</v>
      </c>
      <c r="L623" s="223" t="s">
        <v>45</v>
      </c>
      <c r="M623" s="223"/>
      <c r="N623" s="224"/>
      <c r="O623" s="224"/>
      <c r="P623" s="224"/>
      <c r="Q623" s="224"/>
      <c r="R623" s="224" t="s">
        <v>46</v>
      </c>
      <c r="S623" s="27" t="s">
        <v>47</v>
      </c>
      <c r="T623" s="175" t="s">
        <v>48</v>
      </c>
      <c r="U623" s="324" t="s">
        <v>7062</v>
      </c>
      <c r="V623" s="195"/>
      <c r="W623" s="195" t="s">
        <v>109</v>
      </c>
      <c r="X623" s="195"/>
      <c r="Y623" s="225" t="s">
        <v>62</v>
      </c>
      <c r="Z623" s="225"/>
      <c r="AA623" s="225" t="s">
        <v>6849</v>
      </c>
      <c r="AB623" s="225"/>
      <c r="AC623" s="225"/>
      <c r="AD623" s="224"/>
      <c r="AE623" s="226">
        <v>1400</v>
      </c>
      <c r="AF623" s="226">
        <v>1100</v>
      </c>
      <c r="AG623" s="224">
        <v>46037</v>
      </c>
      <c r="AH623" s="224">
        <v>46063</v>
      </c>
      <c r="AI623" s="224"/>
      <c r="AJ623" s="207">
        <v>46081</v>
      </c>
      <c r="AK623" s="227"/>
      <c r="AL623" s="299" t="s">
        <v>7158</v>
      </c>
      <c r="AM623" s="1"/>
    </row>
    <row r="624" spans="1:48" ht="45" hidden="1" customHeight="1">
      <c r="B624" s="323" t="s">
        <v>6829</v>
      </c>
      <c r="C624" s="217" t="s">
        <v>104</v>
      </c>
      <c r="D624" s="218" t="s">
        <v>105</v>
      </c>
      <c r="E624" s="267" t="s">
        <v>6853</v>
      </c>
      <c r="F624" s="220" t="s">
        <v>40</v>
      </c>
      <c r="G624" s="220" t="s">
        <v>73</v>
      </c>
      <c r="H624" s="220" t="s">
        <v>42</v>
      </c>
      <c r="I624" s="220">
        <v>311</v>
      </c>
      <c r="J624" s="178" t="s">
        <v>6755</v>
      </c>
      <c r="K624" s="222">
        <v>46023</v>
      </c>
      <c r="L624" s="223" t="s">
        <v>45</v>
      </c>
      <c r="M624" s="223"/>
      <c r="N624" s="224"/>
      <c r="O624" s="224"/>
      <c r="P624" s="224"/>
      <c r="Q624" s="224"/>
      <c r="R624" s="224" t="s">
        <v>46</v>
      </c>
      <c r="S624" s="27" t="s">
        <v>47</v>
      </c>
      <c r="T624" s="175" t="s">
        <v>48</v>
      </c>
      <c r="U624" s="324" t="s">
        <v>6854</v>
      </c>
      <c r="V624" s="195"/>
      <c r="W624" s="195" t="s">
        <v>188</v>
      </c>
      <c r="X624" s="195"/>
      <c r="Y624" s="225" t="s">
        <v>51</v>
      </c>
      <c r="Z624" s="225" t="s">
        <v>94</v>
      </c>
      <c r="AA624" s="225" t="s">
        <v>6850</v>
      </c>
      <c r="AB624" s="225"/>
      <c r="AC624" s="225"/>
      <c r="AD624" s="224"/>
      <c r="AE624" s="226">
        <v>1000</v>
      </c>
      <c r="AF624" s="226">
        <v>400</v>
      </c>
      <c r="AG624" s="224">
        <v>46043</v>
      </c>
      <c r="AH624" s="224">
        <v>46062</v>
      </c>
      <c r="AI624" s="224"/>
      <c r="AJ624" s="207">
        <v>46081</v>
      </c>
      <c r="AK624" s="227"/>
      <c r="AL624" s="299" t="s">
        <v>7159</v>
      </c>
      <c r="AM624" s="1"/>
    </row>
    <row r="625" spans="1:48" ht="45" hidden="1" customHeight="1">
      <c r="A625" s="1"/>
      <c r="B625" s="323" t="s">
        <v>6886</v>
      </c>
      <c r="C625" s="217" t="s">
        <v>267</v>
      </c>
      <c r="D625" s="218" t="s">
        <v>268</v>
      </c>
      <c r="E625" s="267" t="s">
        <v>6909</v>
      </c>
      <c r="F625" s="220" t="s">
        <v>40</v>
      </c>
      <c r="G625" s="220" t="s">
        <v>6864</v>
      </c>
      <c r="H625" s="220" t="s">
        <v>42</v>
      </c>
      <c r="I625" s="220" t="s">
        <v>2350</v>
      </c>
      <c r="J625" s="178" t="s">
        <v>6755</v>
      </c>
      <c r="K625" s="222">
        <v>46023</v>
      </c>
      <c r="L625" s="223" t="s">
        <v>45</v>
      </c>
      <c r="M625" s="223"/>
      <c r="N625" s="224"/>
      <c r="O625" s="224"/>
      <c r="P625" s="224"/>
      <c r="Q625" s="224"/>
      <c r="R625" s="224" t="s">
        <v>46</v>
      </c>
      <c r="S625" s="27" t="s">
        <v>47</v>
      </c>
      <c r="T625" s="175" t="s">
        <v>48</v>
      </c>
      <c r="U625" s="324" t="s">
        <v>7179</v>
      </c>
      <c r="V625" s="195"/>
      <c r="W625" s="195" t="s">
        <v>50</v>
      </c>
      <c r="X625" s="195"/>
      <c r="Y625" s="225" t="s">
        <v>50</v>
      </c>
      <c r="Z625" s="225"/>
      <c r="AA625" s="225"/>
      <c r="AB625" s="225"/>
      <c r="AC625" s="225"/>
      <c r="AD625" s="224"/>
      <c r="AE625" s="226">
        <v>2000</v>
      </c>
      <c r="AF625" s="226">
        <v>1500</v>
      </c>
      <c r="AG625" s="224">
        <v>46042</v>
      </c>
      <c r="AH625" s="224">
        <v>46063</v>
      </c>
      <c r="AI625" s="224"/>
      <c r="AJ625" s="207">
        <v>46081</v>
      </c>
      <c r="AK625" s="227"/>
      <c r="AL625" s="299" t="s">
        <v>7144</v>
      </c>
      <c r="AM625" s="1"/>
      <c r="AN625" s="1"/>
      <c r="AO625" s="1"/>
      <c r="AP625" s="1"/>
      <c r="AQ625" s="1"/>
      <c r="AR625" s="1"/>
      <c r="AS625" s="1"/>
      <c r="AT625" s="1"/>
      <c r="AU625" s="1"/>
      <c r="AV625" s="1"/>
    </row>
    <row r="626" spans="1:48" ht="45" hidden="1" customHeight="1">
      <c r="B626" s="323" t="s">
        <v>6830</v>
      </c>
      <c r="C626" s="217" t="s">
        <v>267</v>
      </c>
      <c r="D626" s="218" t="s">
        <v>268</v>
      </c>
      <c r="E626" s="267" t="s">
        <v>6863</v>
      </c>
      <c r="F626" s="220" t="s">
        <v>40</v>
      </c>
      <c r="G626" s="220" t="s">
        <v>6864</v>
      </c>
      <c r="H626" s="220" t="s">
        <v>42</v>
      </c>
      <c r="I626" s="220">
        <v>141.142</v>
      </c>
      <c r="J626" s="178" t="s">
        <v>6755</v>
      </c>
      <c r="K626" s="222">
        <v>46023</v>
      </c>
      <c r="L626" s="223" t="s">
        <v>45</v>
      </c>
      <c r="M626" s="223"/>
      <c r="N626" s="224"/>
      <c r="O626" s="224"/>
      <c r="P626" s="224"/>
      <c r="Q626" s="224"/>
      <c r="R626" s="224" t="s">
        <v>46</v>
      </c>
      <c r="S626" s="27" t="s">
        <v>47</v>
      </c>
      <c r="T626" s="175" t="s">
        <v>48</v>
      </c>
      <c r="U626" s="324" t="s">
        <v>6878</v>
      </c>
      <c r="V626" s="195"/>
      <c r="W626" s="195" t="s">
        <v>188</v>
      </c>
      <c r="X626" s="195"/>
      <c r="Y626" s="225" t="s">
        <v>62</v>
      </c>
      <c r="Z626" s="225"/>
      <c r="AA626" s="225"/>
      <c r="AB626" s="225"/>
      <c r="AC626" s="225"/>
      <c r="AD626" s="224"/>
      <c r="AE626" s="226">
        <v>1500</v>
      </c>
      <c r="AF626" s="226">
        <v>5100</v>
      </c>
      <c r="AG626" s="224">
        <v>46045</v>
      </c>
      <c r="AH626" s="224">
        <v>46071</v>
      </c>
      <c r="AI626" s="224"/>
      <c r="AJ626" s="207">
        <v>46081</v>
      </c>
      <c r="AK626" s="227">
        <v>46104</v>
      </c>
      <c r="AL626" s="299" t="s">
        <v>7146</v>
      </c>
      <c r="AM626" s="1"/>
    </row>
    <row r="627" spans="1:48" ht="45" hidden="1" customHeight="1">
      <c r="A627" s="1"/>
      <c r="B627" s="323" t="s">
        <v>6831</v>
      </c>
      <c r="C627" s="217" t="s">
        <v>267</v>
      </c>
      <c r="D627" s="218" t="s">
        <v>268</v>
      </c>
      <c r="E627" s="254" t="s">
        <v>6887</v>
      </c>
      <c r="F627" s="220" t="s">
        <v>40</v>
      </c>
      <c r="G627" s="220" t="s">
        <v>6904</v>
      </c>
      <c r="H627" s="220" t="s">
        <v>42</v>
      </c>
      <c r="I627" s="220" t="s">
        <v>6917</v>
      </c>
      <c r="J627" s="178" t="s">
        <v>6755</v>
      </c>
      <c r="K627" s="222">
        <v>46023</v>
      </c>
      <c r="L627" s="223" t="s">
        <v>45</v>
      </c>
      <c r="M627" s="223"/>
      <c r="N627" s="224"/>
      <c r="O627" s="224"/>
      <c r="P627" s="224"/>
      <c r="Q627" s="224"/>
      <c r="R627" s="224" t="s">
        <v>46</v>
      </c>
      <c r="S627" s="27" t="s">
        <v>47</v>
      </c>
      <c r="T627" s="175" t="s">
        <v>48</v>
      </c>
      <c r="U627" s="324" t="s">
        <v>6918</v>
      </c>
      <c r="V627" s="195"/>
      <c r="W627" s="195" t="s">
        <v>50</v>
      </c>
      <c r="X627" s="195"/>
      <c r="Y627" s="225" t="s">
        <v>50</v>
      </c>
      <c r="Z627" s="225"/>
      <c r="AA627" s="225"/>
      <c r="AB627" s="225"/>
      <c r="AC627" s="225"/>
      <c r="AD627" s="224"/>
      <c r="AE627" s="226"/>
      <c r="AF627" s="226"/>
      <c r="AG627" s="224">
        <v>46046</v>
      </c>
      <c r="AH627" s="224">
        <v>46080</v>
      </c>
      <c r="AI627" s="224"/>
      <c r="AJ627" s="207">
        <v>46081</v>
      </c>
      <c r="AK627" s="227"/>
      <c r="AL627" s="299" t="s">
        <v>7145</v>
      </c>
      <c r="AM627" s="1"/>
      <c r="AN627" s="1"/>
      <c r="AO627" s="1"/>
      <c r="AP627" s="1"/>
      <c r="AQ627" s="1"/>
      <c r="AR627" s="1"/>
      <c r="AS627" s="1"/>
      <c r="AT627" s="1"/>
      <c r="AU627" s="1"/>
      <c r="AV627" s="1"/>
    </row>
    <row r="628" spans="1:48" ht="45" hidden="1" customHeight="1">
      <c r="B628" s="323" t="s">
        <v>6879</v>
      </c>
      <c r="C628" s="217" t="s">
        <v>293</v>
      </c>
      <c r="D628" s="218" t="s">
        <v>842</v>
      </c>
      <c r="E628" s="267" t="s">
        <v>6889</v>
      </c>
      <c r="F628" s="220" t="s">
        <v>40</v>
      </c>
      <c r="G628" s="220" t="s">
        <v>6890</v>
      </c>
      <c r="H628" s="220" t="s">
        <v>42</v>
      </c>
      <c r="I628" s="220" t="s">
        <v>1879</v>
      </c>
      <c r="J628" s="178" t="s">
        <v>6755</v>
      </c>
      <c r="K628" s="222">
        <v>46023</v>
      </c>
      <c r="L628" s="223" t="s">
        <v>45</v>
      </c>
      <c r="M628" s="223"/>
      <c r="N628" s="224"/>
      <c r="O628" s="224"/>
      <c r="P628" s="224"/>
      <c r="Q628" s="224"/>
      <c r="R628" s="224" t="s">
        <v>46</v>
      </c>
      <c r="S628" s="27" t="s">
        <v>47</v>
      </c>
      <c r="T628" s="175" t="s">
        <v>48</v>
      </c>
      <c r="U628" s="324" t="s">
        <v>7075</v>
      </c>
      <c r="V628" s="195"/>
      <c r="W628" s="195" t="s">
        <v>94</v>
      </c>
      <c r="X628" s="195" t="s">
        <v>109</v>
      </c>
      <c r="Y628" s="225" t="s">
        <v>132</v>
      </c>
      <c r="Z628" s="225"/>
      <c r="AA628" s="225" t="s">
        <v>6888</v>
      </c>
      <c r="AB628" s="225"/>
      <c r="AC628" s="225"/>
      <c r="AD628" s="224"/>
      <c r="AE628" s="226">
        <v>1100</v>
      </c>
      <c r="AF628" s="226">
        <v>1900</v>
      </c>
      <c r="AG628" s="224">
        <v>46046</v>
      </c>
      <c r="AH628" s="224">
        <v>46070</v>
      </c>
      <c r="AI628" s="224"/>
      <c r="AJ628" s="207">
        <v>46080</v>
      </c>
      <c r="AK628" s="227"/>
      <c r="AL628" s="299" t="s">
        <v>7149</v>
      </c>
      <c r="AM628" s="1"/>
    </row>
    <row r="629" spans="1:48" ht="45" hidden="1" customHeight="1">
      <c r="B629" s="323" t="s">
        <v>6880</v>
      </c>
      <c r="C629" s="217" t="s">
        <v>152</v>
      </c>
      <c r="D629" s="218" t="s">
        <v>321</v>
      </c>
      <c r="E629" s="267" t="s">
        <v>6900</v>
      </c>
      <c r="F629" s="220" t="s">
        <v>40</v>
      </c>
      <c r="G629" s="220" t="s">
        <v>7002</v>
      </c>
      <c r="H629" s="220" t="s">
        <v>42</v>
      </c>
      <c r="I629" s="220">
        <v>42</v>
      </c>
      <c r="J629" s="178" t="s">
        <v>6755</v>
      </c>
      <c r="K629" s="222">
        <v>46023</v>
      </c>
      <c r="L629" s="223" t="s">
        <v>45</v>
      </c>
      <c r="M629" s="223"/>
      <c r="N629" s="224"/>
      <c r="O629" s="224"/>
      <c r="P629" s="224"/>
      <c r="Q629" s="224"/>
      <c r="R629" s="224" t="s">
        <v>46</v>
      </c>
      <c r="S629" s="27" t="s">
        <v>47</v>
      </c>
      <c r="T629" s="175" t="s">
        <v>48</v>
      </c>
      <c r="U629" s="324" t="s">
        <v>7065</v>
      </c>
      <c r="V629" s="195"/>
      <c r="W629" s="195" t="s">
        <v>147</v>
      </c>
      <c r="X629" s="195"/>
      <c r="Y629" s="225" t="s">
        <v>77</v>
      </c>
      <c r="Z629" s="225"/>
      <c r="AA629" s="225" t="s">
        <v>6891</v>
      </c>
      <c r="AB629" s="225"/>
      <c r="AC629" s="225"/>
      <c r="AD629" s="224"/>
      <c r="AE629" s="226">
        <v>0</v>
      </c>
      <c r="AF629" s="226">
        <v>700</v>
      </c>
      <c r="AG629" s="224">
        <v>46046</v>
      </c>
      <c r="AH629" s="224">
        <v>46080</v>
      </c>
      <c r="AI629" s="224"/>
      <c r="AJ629" s="207">
        <v>46060</v>
      </c>
      <c r="AK629" s="227"/>
      <c r="AL629" s="299" t="s">
        <v>7157</v>
      </c>
      <c r="AM629" s="1"/>
    </row>
    <row r="630" spans="1:48" ht="45" hidden="1" customHeight="1">
      <c r="B630" s="323" t="s">
        <v>6881</v>
      </c>
      <c r="C630" s="217" t="s">
        <v>600</v>
      </c>
      <c r="D630" s="218" t="s">
        <v>601</v>
      </c>
      <c r="E630" s="267" t="s">
        <v>6892</v>
      </c>
      <c r="F630" s="220" t="s">
        <v>40</v>
      </c>
      <c r="G630" s="220" t="s">
        <v>6905</v>
      </c>
      <c r="H630" s="220" t="s">
        <v>42</v>
      </c>
      <c r="I630" s="220">
        <v>81.081999999999994</v>
      </c>
      <c r="J630" s="178" t="s">
        <v>6755</v>
      </c>
      <c r="K630" s="222">
        <v>46023</v>
      </c>
      <c r="L630" s="223" t="s">
        <v>45</v>
      </c>
      <c r="M630" s="223"/>
      <c r="N630" s="224"/>
      <c r="O630" s="224"/>
      <c r="P630" s="224"/>
      <c r="Q630" s="224"/>
      <c r="R630" s="224" t="s">
        <v>46</v>
      </c>
      <c r="S630" s="27" t="s">
        <v>47</v>
      </c>
      <c r="T630" s="175" t="s">
        <v>48</v>
      </c>
      <c r="U630" s="324" t="s">
        <v>7089</v>
      </c>
      <c r="V630" s="195"/>
      <c r="W630" s="195" t="s">
        <v>147</v>
      </c>
      <c r="X630" s="195" t="s">
        <v>109</v>
      </c>
      <c r="Y630" s="225" t="s">
        <v>62</v>
      </c>
      <c r="Z630" s="225"/>
      <c r="AA630" s="225"/>
      <c r="AB630" s="225"/>
      <c r="AC630" s="225"/>
      <c r="AD630" s="224"/>
      <c r="AE630" s="226">
        <v>900</v>
      </c>
      <c r="AF630" s="226">
        <v>1000</v>
      </c>
      <c r="AG630" s="224">
        <v>46048</v>
      </c>
      <c r="AH630" s="224">
        <v>46080</v>
      </c>
      <c r="AI630" s="224"/>
      <c r="AJ630" s="207">
        <v>46081</v>
      </c>
      <c r="AK630" s="227"/>
      <c r="AL630" s="299" t="s">
        <v>7156</v>
      </c>
      <c r="AM630" s="1"/>
    </row>
    <row r="631" spans="1:48" ht="45" hidden="1" customHeight="1">
      <c r="B631" s="323" t="s">
        <v>6882</v>
      </c>
      <c r="C631" s="217" t="s">
        <v>79</v>
      </c>
      <c r="D631" s="218" t="s">
        <v>80</v>
      </c>
      <c r="E631" s="219" t="s">
        <v>6893</v>
      </c>
      <c r="F631" s="220" t="s">
        <v>40</v>
      </c>
      <c r="G631" s="220" t="s">
        <v>2283</v>
      </c>
      <c r="H631" s="220" t="s">
        <v>42</v>
      </c>
      <c r="I631" s="220" t="s">
        <v>2310</v>
      </c>
      <c r="J631" s="178" t="s">
        <v>1660</v>
      </c>
      <c r="K631" s="222">
        <v>46023</v>
      </c>
      <c r="L631" s="223" t="s">
        <v>7681</v>
      </c>
      <c r="M631" s="223"/>
      <c r="N631" s="224"/>
      <c r="O631" s="224"/>
      <c r="P631" s="224"/>
      <c r="Q631" s="224"/>
      <c r="R631" s="224" t="s">
        <v>46</v>
      </c>
      <c r="S631" s="27" t="s">
        <v>47</v>
      </c>
      <c r="T631" s="175" t="s">
        <v>48</v>
      </c>
      <c r="U631" s="324" t="s">
        <v>8146</v>
      </c>
      <c r="V631" s="195"/>
      <c r="W631" s="195" t="s">
        <v>94</v>
      </c>
      <c r="X631" s="195"/>
      <c r="Y631" s="225" t="s">
        <v>94</v>
      </c>
      <c r="Z631" s="225"/>
      <c r="AA631" s="225" t="s">
        <v>7456</v>
      </c>
      <c r="AB631" s="225"/>
      <c r="AC631" s="225"/>
      <c r="AD631" s="224"/>
      <c r="AE631" s="226"/>
      <c r="AF631" s="226"/>
      <c r="AG631" s="224">
        <v>46048</v>
      </c>
      <c r="AH631" s="224">
        <v>46111</v>
      </c>
      <c r="AI631" s="224"/>
      <c r="AJ631" s="207"/>
      <c r="AK631" s="227"/>
      <c r="AL631" s="207"/>
      <c r="AM631" s="1"/>
    </row>
    <row r="632" spans="1:48" ht="45" hidden="1" customHeight="1">
      <c r="B632" s="323" t="s">
        <v>6883</v>
      </c>
      <c r="C632" s="217" t="s">
        <v>79</v>
      </c>
      <c r="D632" s="218" t="s">
        <v>80</v>
      </c>
      <c r="E632" s="219" t="s">
        <v>6901</v>
      </c>
      <c r="F632" s="306" t="s">
        <v>40</v>
      </c>
      <c r="G632" s="220" t="s">
        <v>2283</v>
      </c>
      <c r="H632" s="220" t="s">
        <v>42</v>
      </c>
      <c r="I632" s="220">
        <v>192</v>
      </c>
      <c r="J632" s="178" t="s">
        <v>1660</v>
      </c>
      <c r="K632" s="222">
        <v>46023</v>
      </c>
      <c r="L632" s="223" t="s">
        <v>1485</v>
      </c>
      <c r="M632" s="223"/>
      <c r="N632" s="224"/>
      <c r="O632" s="224"/>
      <c r="P632" s="224"/>
      <c r="Q632" s="224"/>
      <c r="R632" s="224" t="s">
        <v>46</v>
      </c>
      <c r="S632" s="27" t="s">
        <v>47</v>
      </c>
      <c r="T632" s="175" t="s">
        <v>48</v>
      </c>
      <c r="U632" s="324" t="s">
        <v>6907</v>
      </c>
      <c r="V632" s="195" t="s">
        <v>85</v>
      </c>
      <c r="W632" s="195" t="s">
        <v>124</v>
      </c>
      <c r="X632" s="195"/>
      <c r="Y632" s="225" t="s">
        <v>77</v>
      </c>
      <c r="Z632" s="225"/>
      <c r="AA632" s="225" t="s">
        <v>7458</v>
      </c>
      <c r="AB632" s="225"/>
      <c r="AC632" s="225"/>
      <c r="AD632" s="224"/>
      <c r="AE632" s="226">
        <v>0</v>
      </c>
      <c r="AF632" s="226">
        <v>800</v>
      </c>
      <c r="AG632" s="224">
        <v>46049</v>
      </c>
      <c r="AH632" s="224">
        <v>46111</v>
      </c>
      <c r="AI632" s="224"/>
      <c r="AJ632" s="207">
        <v>46176</v>
      </c>
      <c r="AK632" s="227"/>
      <c r="AL632" s="207"/>
      <c r="AM632" s="1"/>
    </row>
    <row r="633" spans="1:48" ht="45" hidden="1" customHeight="1">
      <c r="B633" s="323" t="s">
        <v>6884</v>
      </c>
      <c r="C633" s="217" t="s">
        <v>79</v>
      </c>
      <c r="D633" s="218" t="s">
        <v>80</v>
      </c>
      <c r="E633" s="219" t="s">
        <v>6902</v>
      </c>
      <c r="F633" s="26" t="s">
        <v>40</v>
      </c>
      <c r="G633" s="220" t="s">
        <v>2283</v>
      </c>
      <c r="H633" s="220" t="s">
        <v>42</v>
      </c>
      <c r="I633" s="220">
        <v>41</v>
      </c>
      <c r="J633" s="178" t="s">
        <v>1660</v>
      </c>
      <c r="K633" s="222">
        <v>46023</v>
      </c>
      <c r="L633" s="223" t="s">
        <v>1485</v>
      </c>
      <c r="M633" s="223"/>
      <c r="N633" s="224"/>
      <c r="O633" s="224"/>
      <c r="P633" s="224"/>
      <c r="Q633" s="224"/>
      <c r="R633" s="224" t="s">
        <v>46</v>
      </c>
      <c r="S633" s="27" t="s">
        <v>47</v>
      </c>
      <c r="T633" s="195" t="s">
        <v>48</v>
      </c>
      <c r="U633" s="324" t="s">
        <v>7750</v>
      </c>
      <c r="V633" s="195" t="s">
        <v>85</v>
      </c>
      <c r="W633" s="195" t="s">
        <v>124</v>
      </c>
      <c r="X633" s="195"/>
      <c r="Y633" s="225" t="s">
        <v>77</v>
      </c>
      <c r="Z633" s="225"/>
      <c r="AA633" s="225" t="s">
        <v>7456</v>
      </c>
      <c r="AB633" s="225"/>
      <c r="AC633" s="225"/>
      <c r="AD633" s="224">
        <v>46181</v>
      </c>
      <c r="AE633" s="226">
        <v>300</v>
      </c>
      <c r="AF633" s="226">
        <v>1100</v>
      </c>
      <c r="AG633" s="224">
        <v>46049</v>
      </c>
      <c r="AH633" s="224">
        <v>46111</v>
      </c>
      <c r="AI633" s="224"/>
      <c r="AJ633" s="207">
        <v>46176</v>
      </c>
      <c r="AK633" s="227">
        <v>46181</v>
      </c>
      <c r="AL633" s="300" t="s">
        <v>7749</v>
      </c>
      <c r="AM633" s="1"/>
    </row>
    <row r="634" spans="1:48" ht="45" hidden="1" customHeight="1">
      <c r="B634" s="323" t="s">
        <v>6911</v>
      </c>
      <c r="C634" s="217" t="s">
        <v>648</v>
      </c>
      <c r="D634" s="218" t="s">
        <v>997</v>
      </c>
      <c r="E634" s="267" t="s">
        <v>6925</v>
      </c>
      <c r="F634" s="220" t="s">
        <v>40</v>
      </c>
      <c r="G634" s="220" t="s">
        <v>6926</v>
      </c>
      <c r="H634" s="220" t="s">
        <v>42</v>
      </c>
      <c r="I634" s="220">
        <v>61</v>
      </c>
      <c r="J634" s="178" t="s">
        <v>6857</v>
      </c>
      <c r="K634" s="222">
        <v>46023</v>
      </c>
      <c r="L634" s="223" t="s">
        <v>45</v>
      </c>
      <c r="M634" s="223"/>
      <c r="N634" s="224"/>
      <c r="O634" s="224"/>
      <c r="P634" s="224"/>
      <c r="Q634" s="224"/>
      <c r="R634" s="224" t="s">
        <v>46</v>
      </c>
      <c r="S634" s="27" t="s">
        <v>47</v>
      </c>
      <c r="T634" s="175" t="s">
        <v>48</v>
      </c>
      <c r="U634" s="324" t="s">
        <v>7082</v>
      </c>
      <c r="V634" s="195">
        <v>2</v>
      </c>
      <c r="W634" s="195" t="s">
        <v>94</v>
      </c>
      <c r="X634" s="195"/>
      <c r="Y634" s="225" t="s">
        <v>94</v>
      </c>
      <c r="Z634" s="225"/>
      <c r="AA634" s="225"/>
      <c r="AB634" s="225"/>
      <c r="AC634" s="225"/>
      <c r="AD634" s="224">
        <v>46121</v>
      </c>
      <c r="AE634" s="226">
        <v>400</v>
      </c>
      <c r="AF634" s="226">
        <v>1200</v>
      </c>
      <c r="AG634" s="224">
        <v>46051</v>
      </c>
      <c r="AH634" s="224">
        <v>46073</v>
      </c>
      <c r="AI634" s="224"/>
      <c r="AJ634" s="207">
        <v>46066</v>
      </c>
      <c r="AK634" s="227">
        <v>46121</v>
      </c>
      <c r="AL634" s="300" t="s">
        <v>7260</v>
      </c>
      <c r="AM634" s="1"/>
    </row>
    <row r="635" spans="1:48" ht="45" hidden="1" customHeight="1">
      <c r="B635" s="323" t="s">
        <v>6912</v>
      </c>
      <c r="C635" s="217" t="s">
        <v>104</v>
      </c>
      <c r="D635" s="218" t="s">
        <v>105</v>
      </c>
      <c r="E635" s="267" t="s">
        <v>6999</v>
      </c>
      <c r="F635" s="220" t="s">
        <v>40</v>
      </c>
      <c r="G635" s="220" t="s">
        <v>1557</v>
      </c>
      <c r="H635" s="220" t="s">
        <v>42</v>
      </c>
      <c r="I635" s="220" t="s">
        <v>6998</v>
      </c>
      <c r="J635" s="178" t="s">
        <v>6857</v>
      </c>
      <c r="K635" s="222">
        <v>46054</v>
      </c>
      <c r="L635" s="223" t="s">
        <v>45</v>
      </c>
      <c r="M635" s="223"/>
      <c r="N635" s="224"/>
      <c r="O635" s="224"/>
      <c r="P635" s="224"/>
      <c r="Q635" s="224"/>
      <c r="R635" s="224" t="s">
        <v>46</v>
      </c>
      <c r="S635" s="27" t="s">
        <v>47</v>
      </c>
      <c r="T635" s="175" t="s">
        <v>48</v>
      </c>
      <c r="U635" s="324" t="s">
        <v>7181</v>
      </c>
      <c r="V635" s="195"/>
      <c r="W635" s="195" t="s">
        <v>50</v>
      </c>
      <c r="X635" s="195" t="s">
        <v>109</v>
      </c>
      <c r="Y635" s="225" t="s">
        <v>7019</v>
      </c>
      <c r="Z635" s="225" t="s">
        <v>7020</v>
      </c>
      <c r="AA635" s="225"/>
      <c r="AB635" s="225"/>
      <c r="AC635" s="225"/>
      <c r="AD635" s="224"/>
      <c r="AE635" s="226">
        <v>1900</v>
      </c>
      <c r="AF635" s="226">
        <v>3400</v>
      </c>
      <c r="AG635" s="224">
        <v>46062</v>
      </c>
      <c r="AH635" s="224">
        <v>46091</v>
      </c>
      <c r="AI635" s="224"/>
      <c r="AJ635" s="207">
        <v>46107</v>
      </c>
      <c r="AK635" s="227"/>
      <c r="AL635" s="207"/>
      <c r="AM635" s="1"/>
    </row>
    <row r="636" spans="1:48" ht="45" hidden="1" customHeight="1">
      <c r="B636" s="323" t="s">
        <v>6913</v>
      </c>
      <c r="C636" s="217" t="s">
        <v>117</v>
      </c>
      <c r="D636" s="218" t="s">
        <v>118</v>
      </c>
      <c r="E636" s="267" t="s">
        <v>7001</v>
      </c>
      <c r="F636" s="220" t="s">
        <v>7139</v>
      </c>
      <c r="G636" s="220" t="s">
        <v>7002</v>
      </c>
      <c r="H636" s="220" t="s">
        <v>42</v>
      </c>
      <c r="I636" s="220">
        <v>51</v>
      </c>
      <c r="J636" s="178" t="s">
        <v>6857</v>
      </c>
      <c r="K636" s="222">
        <v>46054</v>
      </c>
      <c r="L636" s="223" t="s">
        <v>45</v>
      </c>
      <c r="M636" s="223"/>
      <c r="N636" s="224"/>
      <c r="O636" s="224"/>
      <c r="P636" s="224"/>
      <c r="Q636" s="224"/>
      <c r="R636" s="224" t="s">
        <v>46</v>
      </c>
      <c r="S636" s="27" t="s">
        <v>47</v>
      </c>
      <c r="T636" s="175" t="s">
        <v>48</v>
      </c>
      <c r="U636" s="324" t="s">
        <v>7063</v>
      </c>
      <c r="V636" s="195" t="s">
        <v>85</v>
      </c>
      <c r="W636" s="195" t="s">
        <v>147</v>
      </c>
      <c r="X636" s="195"/>
      <c r="Y636" s="225" t="s">
        <v>77</v>
      </c>
      <c r="Z636" s="225"/>
      <c r="AA636" s="225"/>
      <c r="AB636" s="225"/>
      <c r="AC636" s="225"/>
      <c r="AD636" s="224">
        <v>46121</v>
      </c>
      <c r="AE636" s="226">
        <v>400</v>
      </c>
      <c r="AF636" s="226">
        <v>800</v>
      </c>
      <c r="AG636" s="224">
        <v>46062</v>
      </c>
      <c r="AH636" s="224">
        <v>46093</v>
      </c>
      <c r="AI636" s="224"/>
      <c r="AJ636" s="207">
        <v>46107</v>
      </c>
      <c r="AK636" s="227">
        <v>46121</v>
      </c>
      <c r="AL636" s="300" t="s">
        <v>7263</v>
      </c>
      <c r="AM636" s="1"/>
    </row>
    <row r="637" spans="1:48" ht="45" hidden="1" customHeight="1">
      <c r="B637" s="323" t="s">
        <v>6995</v>
      </c>
      <c r="C637" s="217" t="s">
        <v>117</v>
      </c>
      <c r="D637" s="218" t="s">
        <v>118</v>
      </c>
      <c r="E637" s="267" t="s">
        <v>7005</v>
      </c>
      <c r="F637" s="220" t="s">
        <v>40</v>
      </c>
      <c r="G637" s="220" t="s">
        <v>7002</v>
      </c>
      <c r="H637" s="220" t="s">
        <v>42</v>
      </c>
      <c r="I637" s="220">
        <v>22</v>
      </c>
      <c r="J637" s="178" t="s">
        <v>6857</v>
      </c>
      <c r="K637" s="222">
        <v>46054</v>
      </c>
      <c r="L637" s="223" t="s">
        <v>45</v>
      </c>
      <c r="M637" s="223"/>
      <c r="N637" s="224"/>
      <c r="O637" s="224"/>
      <c r="P637" s="224"/>
      <c r="Q637" s="224"/>
      <c r="R637" s="224" t="s">
        <v>46</v>
      </c>
      <c r="S637" s="27" t="s">
        <v>47</v>
      </c>
      <c r="T637" s="175" t="s">
        <v>48</v>
      </c>
      <c r="U637" s="324" t="s">
        <v>7021</v>
      </c>
      <c r="V637" s="195" t="s">
        <v>85</v>
      </c>
      <c r="W637" s="195" t="s">
        <v>124</v>
      </c>
      <c r="X637" s="195"/>
      <c r="Y637" s="225" t="s">
        <v>62</v>
      </c>
      <c r="Z637" s="225"/>
      <c r="AA637" s="225"/>
      <c r="AB637" s="225"/>
      <c r="AC637" s="225"/>
      <c r="AD637" s="224">
        <v>46126</v>
      </c>
      <c r="AE637" s="226">
        <v>900</v>
      </c>
      <c r="AF637" s="226">
        <v>2400</v>
      </c>
      <c r="AG637" s="224">
        <v>46062</v>
      </c>
      <c r="AH637" s="224">
        <v>46094</v>
      </c>
      <c r="AI637" s="224"/>
      <c r="AJ637" s="207">
        <v>46104</v>
      </c>
      <c r="AK637" s="227">
        <v>46126</v>
      </c>
      <c r="AL637" s="300" t="s">
        <v>7276</v>
      </c>
      <c r="AM637" s="1"/>
    </row>
    <row r="638" spans="1:48" ht="45" hidden="1" customHeight="1">
      <c r="B638" s="323" t="s">
        <v>6996</v>
      </c>
      <c r="C638" s="217" t="s">
        <v>979</v>
      </c>
      <c r="D638" s="218" t="s">
        <v>980</v>
      </c>
      <c r="E638" s="219" t="s">
        <v>7025</v>
      </c>
      <c r="F638" s="220" t="s">
        <v>40</v>
      </c>
      <c r="G638" s="220" t="s">
        <v>107</v>
      </c>
      <c r="H638" s="220" t="s">
        <v>982</v>
      </c>
      <c r="I638" s="220" t="s">
        <v>7027</v>
      </c>
      <c r="J638" s="221"/>
      <c r="K638" s="222">
        <v>46054</v>
      </c>
      <c r="L638" s="223" t="s">
        <v>99</v>
      </c>
      <c r="M638" s="223"/>
      <c r="N638" s="224"/>
      <c r="O638" s="224"/>
      <c r="P638" s="224"/>
      <c r="Q638" s="224"/>
      <c r="R638" s="224" t="s">
        <v>46</v>
      </c>
      <c r="S638" s="27" t="s">
        <v>47</v>
      </c>
      <c r="T638" s="195" t="s">
        <v>48</v>
      </c>
      <c r="U638" s="324" t="s">
        <v>7026</v>
      </c>
      <c r="V638" s="195"/>
      <c r="W638" s="195" t="s">
        <v>147</v>
      </c>
      <c r="X638" s="195"/>
      <c r="Y638" s="225" t="s">
        <v>170</v>
      </c>
      <c r="Z638" s="225"/>
      <c r="AA638" s="225"/>
      <c r="AB638" s="225"/>
      <c r="AC638" s="225"/>
      <c r="AD638" s="224"/>
      <c r="AE638" s="226">
        <v>4000</v>
      </c>
      <c r="AF638" s="226">
        <v>5500</v>
      </c>
      <c r="AG638" s="224">
        <v>46066</v>
      </c>
      <c r="AH638" s="224">
        <v>46080</v>
      </c>
      <c r="AI638" s="224"/>
      <c r="AJ638" s="207">
        <v>46080</v>
      </c>
      <c r="AK638" s="227"/>
      <c r="AL638" s="207"/>
      <c r="AM638" s="1"/>
    </row>
    <row r="639" spans="1:48" ht="45" hidden="1" customHeight="1">
      <c r="B639" s="323" t="s">
        <v>6997</v>
      </c>
      <c r="C639" s="217" t="s">
        <v>2359</v>
      </c>
      <c r="D639" s="218" t="s">
        <v>2360</v>
      </c>
      <c r="E639" s="267" t="s">
        <v>7028</v>
      </c>
      <c r="F639" s="220" t="s">
        <v>40</v>
      </c>
      <c r="G639" s="220" t="s">
        <v>7029</v>
      </c>
      <c r="H639" s="220" t="s">
        <v>427</v>
      </c>
      <c r="I639" s="220" t="s">
        <v>153</v>
      </c>
      <c r="J639" s="178" t="s">
        <v>6857</v>
      </c>
      <c r="K639" s="222">
        <v>46054</v>
      </c>
      <c r="L639" s="223" t="s">
        <v>99</v>
      </c>
      <c r="M639" s="223"/>
      <c r="N639" s="224"/>
      <c r="O639" s="224"/>
      <c r="P639" s="224"/>
      <c r="Q639" s="224"/>
      <c r="R639" s="224" t="s">
        <v>46</v>
      </c>
      <c r="S639" s="27" t="s">
        <v>47</v>
      </c>
      <c r="T639" s="195" t="s">
        <v>48</v>
      </c>
      <c r="U639" s="324" t="s">
        <v>7043</v>
      </c>
      <c r="V639" s="195"/>
      <c r="W639" s="195" t="s">
        <v>7041</v>
      </c>
      <c r="X639" s="195" t="s">
        <v>7042</v>
      </c>
      <c r="Y639" s="225" t="s">
        <v>51</v>
      </c>
      <c r="Z639" s="225"/>
      <c r="AA639" s="225"/>
      <c r="AB639" s="225"/>
      <c r="AC639" s="225"/>
      <c r="AD639" s="224"/>
      <c r="AE639" s="226">
        <v>2500</v>
      </c>
      <c r="AF639" s="226">
        <v>8200</v>
      </c>
      <c r="AG639" s="224">
        <v>46073</v>
      </c>
      <c r="AH639" s="224">
        <v>46096</v>
      </c>
      <c r="AI639" s="224"/>
      <c r="AJ639" s="207">
        <v>46113</v>
      </c>
      <c r="AK639" s="227"/>
      <c r="AL639" s="207"/>
      <c r="AM639" s="1"/>
    </row>
    <row r="640" spans="1:48" ht="45" hidden="1" customHeight="1">
      <c r="B640" s="323" t="s">
        <v>7033</v>
      </c>
      <c r="C640" s="217" t="s">
        <v>150</v>
      </c>
      <c r="D640" s="218" t="s">
        <v>151</v>
      </c>
      <c r="E640" s="219" t="s">
        <v>7040</v>
      </c>
      <c r="F640" s="220" t="s">
        <v>40</v>
      </c>
      <c r="G640" s="220" t="s">
        <v>7039</v>
      </c>
      <c r="H640" s="220" t="s">
        <v>42</v>
      </c>
      <c r="I640" s="220">
        <v>71</v>
      </c>
      <c r="J640" s="221"/>
      <c r="K640" s="222">
        <v>46054</v>
      </c>
      <c r="L640" s="223" t="s">
        <v>45</v>
      </c>
      <c r="M640" s="223"/>
      <c r="N640" s="224"/>
      <c r="O640" s="224"/>
      <c r="P640" s="224"/>
      <c r="Q640" s="224"/>
      <c r="R640" s="224" t="s">
        <v>46</v>
      </c>
      <c r="S640" s="27" t="s">
        <v>47</v>
      </c>
      <c r="T640" s="175" t="s">
        <v>48</v>
      </c>
      <c r="U640" s="324" t="s">
        <v>7044</v>
      </c>
      <c r="V640" s="195"/>
      <c r="W640" s="195" t="s">
        <v>109</v>
      </c>
      <c r="X640" s="195"/>
      <c r="Y640" s="225" t="s">
        <v>132</v>
      </c>
      <c r="Z640" s="225"/>
      <c r="AA640" s="225"/>
      <c r="AB640" s="225"/>
      <c r="AC640" s="225"/>
      <c r="AD640" s="224"/>
      <c r="AE640" s="226">
        <v>800</v>
      </c>
      <c r="AF640" s="226">
        <v>700</v>
      </c>
      <c r="AG640" s="224">
        <v>44980</v>
      </c>
      <c r="AH640" s="224">
        <v>46092</v>
      </c>
      <c r="AI640" s="224"/>
      <c r="AJ640" s="207">
        <v>46097</v>
      </c>
      <c r="AK640" s="227"/>
      <c r="AL640" s="207"/>
      <c r="AM640" s="1"/>
    </row>
    <row r="641" spans="2:39" ht="45" hidden="1" customHeight="1">
      <c r="B641" s="323" t="s">
        <v>7034</v>
      </c>
      <c r="C641" s="217" t="s">
        <v>293</v>
      </c>
      <c r="D641" s="218" t="s">
        <v>842</v>
      </c>
      <c r="E641" s="286" t="s">
        <v>7056</v>
      </c>
      <c r="F641" s="220" t="s">
        <v>40</v>
      </c>
      <c r="G641" s="220" t="s">
        <v>7058</v>
      </c>
      <c r="H641" s="220" t="s">
        <v>42</v>
      </c>
      <c r="I641" s="220">
        <v>107</v>
      </c>
      <c r="J641" s="195"/>
      <c r="K641" s="222">
        <v>46054</v>
      </c>
      <c r="L641" s="223" t="s">
        <v>7057</v>
      </c>
      <c r="M641" s="223"/>
      <c r="N641" s="224"/>
      <c r="O641" s="224"/>
      <c r="P641" s="224"/>
      <c r="Q641" s="224"/>
      <c r="R641" s="224" t="s">
        <v>46</v>
      </c>
      <c r="S641" s="27" t="s">
        <v>47</v>
      </c>
      <c r="T641" s="195" t="s">
        <v>48</v>
      </c>
      <c r="U641" s="324" t="s">
        <v>7059</v>
      </c>
      <c r="V641" s="195" t="s">
        <v>85</v>
      </c>
      <c r="W641" s="195" t="s">
        <v>200</v>
      </c>
      <c r="X641" s="195"/>
      <c r="Y641" s="225" t="s">
        <v>200</v>
      </c>
      <c r="Z641" s="225"/>
      <c r="AA641" s="225"/>
      <c r="AB641" s="225"/>
      <c r="AC641" s="225"/>
      <c r="AD641" s="224">
        <v>46202</v>
      </c>
      <c r="AE641" s="226"/>
      <c r="AF641" s="226"/>
      <c r="AG641" s="224">
        <v>46078</v>
      </c>
      <c r="AH641" s="224">
        <v>46093</v>
      </c>
      <c r="AI641" s="224"/>
      <c r="AJ641" s="207">
        <v>46200</v>
      </c>
      <c r="AK641" s="227">
        <v>46202</v>
      </c>
      <c r="AL641" s="207"/>
      <c r="AM641" s="1"/>
    </row>
    <row r="642" spans="2:39" ht="45" hidden="1" customHeight="1">
      <c r="B642" s="323" t="s">
        <v>7035</v>
      </c>
      <c r="C642" s="217" t="s">
        <v>79</v>
      </c>
      <c r="D642" s="218" t="s">
        <v>80</v>
      </c>
      <c r="E642" s="286" t="s">
        <v>7087</v>
      </c>
      <c r="F642" s="220" t="s">
        <v>40</v>
      </c>
      <c r="G642" s="220" t="s">
        <v>7088</v>
      </c>
      <c r="H642" s="220" t="s">
        <v>42</v>
      </c>
      <c r="I642" s="220">
        <v>151</v>
      </c>
      <c r="J642" s="178" t="s">
        <v>1660</v>
      </c>
      <c r="K642" s="222">
        <v>46082</v>
      </c>
      <c r="L642" s="223" t="s">
        <v>7682</v>
      </c>
      <c r="M642" s="223"/>
      <c r="N642" s="224"/>
      <c r="O642" s="224"/>
      <c r="P642" s="224"/>
      <c r="Q642" s="224"/>
      <c r="R642" s="224" t="s">
        <v>46</v>
      </c>
      <c r="S642" s="27" t="s">
        <v>47</v>
      </c>
      <c r="T642" s="175" t="s">
        <v>48</v>
      </c>
      <c r="U642" s="324" t="s">
        <v>8185</v>
      </c>
      <c r="V642" s="195" t="s">
        <v>85</v>
      </c>
      <c r="W642" s="195" t="s">
        <v>124</v>
      </c>
      <c r="X642" s="195"/>
      <c r="Y642" s="225" t="s">
        <v>62</v>
      </c>
      <c r="Z642" s="225"/>
      <c r="AA642" s="225" t="s">
        <v>7456</v>
      </c>
      <c r="AB642" s="225"/>
      <c r="AC642" s="225"/>
      <c r="AD642" s="224">
        <v>46227</v>
      </c>
      <c r="AE642" s="226">
        <v>0</v>
      </c>
      <c r="AF642" s="226">
        <v>500</v>
      </c>
      <c r="AG642" s="224">
        <v>46087</v>
      </c>
      <c r="AH642" s="224">
        <v>46101</v>
      </c>
      <c r="AI642" s="224"/>
      <c r="AJ642" s="207">
        <v>46226</v>
      </c>
      <c r="AK642" s="227">
        <v>46227</v>
      </c>
      <c r="AL642" s="207"/>
      <c r="AM642" s="1"/>
    </row>
    <row r="643" spans="2:39" ht="45" hidden="1" customHeight="1">
      <c r="B643" s="323" t="s">
        <v>7036</v>
      </c>
      <c r="C643" s="217" t="s">
        <v>104</v>
      </c>
      <c r="D643" s="218" t="s">
        <v>105</v>
      </c>
      <c r="E643" s="217" t="s">
        <v>7122</v>
      </c>
      <c r="F643" s="220"/>
      <c r="G643" s="220" t="s">
        <v>391</v>
      </c>
      <c r="H643" s="220" t="s">
        <v>42</v>
      </c>
      <c r="I643" s="220">
        <v>83</v>
      </c>
      <c r="J643" s="195"/>
      <c r="K643" s="222">
        <v>46082</v>
      </c>
      <c r="L643" s="223" t="s">
        <v>45</v>
      </c>
      <c r="M643" s="223"/>
      <c r="N643" s="224"/>
      <c r="O643" s="224"/>
      <c r="P643" s="224"/>
      <c r="Q643" s="224"/>
      <c r="R643" s="224" t="s">
        <v>46</v>
      </c>
      <c r="S643" s="27" t="s">
        <v>47</v>
      </c>
      <c r="T643" s="195" t="s">
        <v>48</v>
      </c>
      <c r="U643" s="324" t="s">
        <v>7094</v>
      </c>
      <c r="V643" s="195"/>
      <c r="W643" s="195" t="s">
        <v>124</v>
      </c>
      <c r="X643" s="195"/>
      <c r="Y643" s="225" t="s">
        <v>62</v>
      </c>
      <c r="Z643" s="225"/>
      <c r="AA643" s="225"/>
      <c r="AB643" s="225"/>
      <c r="AC643" s="225"/>
      <c r="AD643" s="224"/>
      <c r="AE643" s="226">
        <v>0</v>
      </c>
      <c r="AF643" s="226">
        <v>300</v>
      </c>
      <c r="AG643" s="224">
        <v>46088</v>
      </c>
      <c r="AH643" s="224">
        <v>46101</v>
      </c>
      <c r="AI643" s="224"/>
      <c r="AJ643" s="207">
        <v>46094</v>
      </c>
      <c r="AK643" s="227"/>
      <c r="AL643" s="207"/>
      <c r="AM643" s="1"/>
    </row>
    <row r="644" spans="2:39" ht="45" hidden="1" customHeight="1">
      <c r="B644" s="323" t="s">
        <v>7037</v>
      </c>
      <c r="C644" s="217" t="s">
        <v>117</v>
      </c>
      <c r="D644" s="218" t="s">
        <v>118</v>
      </c>
      <c r="E644" s="286" t="s">
        <v>7091</v>
      </c>
      <c r="F644" s="220" t="s">
        <v>40</v>
      </c>
      <c r="G644" s="220" t="s">
        <v>7048</v>
      </c>
      <c r="H644" s="220" t="s">
        <v>42</v>
      </c>
      <c r="I644" s="220">
        <v>61.061999999999998</v>
      </c>
      <c r="J644" s="195"/>
      <c r="K644" s="222">
        <v>46082</v>
      </c>
      <c r="L644" s="223" t="s">
        <v>45</v>
      </c>
      <c r="M644" s="223"/>
      <c r="N644" s="224"/>
      <c r="O644" s="224"/>
      <c r="P644" s="224"/>
      <c r="Q644" s="224"/>
      <c r="R644" s="224" t="s">
        <v>46</v>
      </c>
      <c r="S644" s="27" t="s">
        <v>47</v>
      </c>
      <c r="T644" s="195" t="s">
        <v>48</v>
      </c>
      <c r="U644" s="324" t="s">
        <v>7178</v>
      </c>
      <c r="V644" s="195" t="s">
        <v>85</v>
      </c>
      <c r="W644" s="195" t="s">
        <v>109</v>
      </c>
      <c r="X644" s="195"/>
      <c r="Y644" s="225" t="s">
        <v>77</v>
      </c>
      <c r="Z644" s="225"/>
      <c r="AA644" s="225"/>
      <c r="AB644" s="225"/>
      <c r="AC644" s="225"/>
      <c r="AD644" s="224"/>
      <c r="AE644" s="226">
        <v>1700</v>
      </c>
      <c r="AF644" s="226">
        <v>1700</v>
      </c>
      <c r="AG644" s="224">
        <v>46090</v>
      </c>
      <c r="AH644" s="224">
        <v>46106</v>
      </c>
      <c r="AI644" s="224"/>
      <c r="AJ644" s="207">
        <v>46110</v>
      </c>
      <c r="AK644" s="227"/>
      <c r="AL644" s="207"/>
      <c r="AM644" s="1"/>
    </row>
    <row r="645" spans="2:39" ht="45" hidden="1" customHeight="1">
      <c r="B645" s="323" t="s">
        <v>7038</v>
      </c>
      <c r="C645" s="217" t="s">
        <v>425</v>
      </c>
      <c r="D645" s="218" t="s">
        <v>7092</v>
      </c>
      <c r="E645" s="286" t="s">
        <v>256</v>
      </c>
      <c r="F645" s="220" t="s">
        <v>40</v>
      </c>
      <c r="G645" s="220" t="s">
        <v>301</v>
      </c>
      <c r="H645" s="220" t="s">
        <v>7138</v>
      </c>
      <c r="I645" s="220" t="s">
        <v>1842</v>
      </c>
      <c r="J645" s="195"/>
      <c r="K645" s="222">
        <v>46082</v>
      </c>
      <c r="L645" s="223" t="s">
        <v>99</v>
      </c>
      <c r="M645" s="223"/>
      <c r="N645" s="224"/>
      <c r="O645" s="224"/>
      <c r="P645" s="224"/>
      <c r="Q645" s="224"/>
      <c r="R645" s="224" t="s">
        <v>46</v>
      </c>
      <c r="S645" s="27" t="s">
        <v>47</v>
      </c>
      <c r="T645" s="195" t="s">
        <v>48</v>
      </c>
      <c r="U645" s="324" t="s">
        <v>7093</v>
      </c>
      <c r="V645" s="195"/>
      <c r="W645" s="195" t="s">
        <v>124</v>
      </c>
      <c r="X645" s="195"/>
      <c r="Y645" s="225" t="s">
        <v>170</v>
      </c>
      <c r="Z645" s="225"/>
      <c r="AA645" s="225" t="s">
        <v>7192</v>
      </c>
      <c r="AB645" s="225"/>
      <c r="AC645" s="225"/>
      <c r="AD645" s="224">
        <v>46111</v>
      </c>
      <c r="AE645" s="226">
        <v>3700</v>
      </c>
      <c r="AF645" s="226">
        <v>6700</v>
      </c>
      <c r="AG645" s="224">
        <v>46092</v>
      </c>
      <c r="AH645" s="224">
        <v>46108</v>
      </c>
      <c r="AI645" s="224"/>
      <c r="AJ645" s="207">
        <v>46106</v>
      </c>
      <c r="AK645" s="227"/>
      <c r="AL645" s="207"/>
      <c r="AM645" s="287"/>
    </row>
    <row r="646" spans="2:39" ht="45" hidden="1" customHeight="1">
      <c r="B646" s="323" t="s">
        <v>7053</v>
      </c>
      <c r="C646" s="217" t="s">
        <v>1015</v>
      </c>
      <c r="D646" s="218" t="s">
        <v>1016</v>
      </c>
      <c r="E646" s="217" t="s">
        <v>7107</v>
      </c>
      <c r="F646" s="220"/>
      <c r="G646" s="220" t="s">
        <v>301</v>
      </c>
      <c r="H646" s="220" t="s">
        <v>747</v>
      </c>
      <c r="I646" s="220" t="s">
        <v>7191</v>
      </c>
      <c r="J646" s="195"/>
      <c r="K646" s="222">
        <v>46082</v>
      </c>
      <c r="L646" s="223" t="s">
        <v>45</v>
      </c>
      <c r="M646" s="223"/>
      <c r="N646" s="224"/>
      <c r="O646" s="224"/>
      <c r="P646" s="224"/>
      <c r="Q646" s="224"/>
      <c r="R646" s="224" t="s">
        <v>46</v>
      </c>
      <c r="S646" s="27" t="s">
        <v>47</v>
      </c>
      <c r="T646" s="195" t="s">
        <v>1366</v>
      </c>
      <c r="U646" s="324"/>
      <c r="V646" s="195"/>
      <c r="W646" s="195" t="s">
        <v>94</v>
      </c>
      <c r="X646" s="195"/>
      <c r="Y646" s="225" t="s">
        <v>94</v>
      </c>
      <c r="Z646" s="225"/>
      <c r="AA646" s="225"/>
      <c r="AB646" s="225"/>
      <c r="AC646" s="225"/>
      <c r="AD646" s="224"/>
      <c r="AE646" s="226">
        <v>1500</v>
      </c>
      <c r="AF646" s="226">
        <v>4500</v>
      </c>
      <c r="AG646" s="224">
        <v>46095</v>
      </c>
      <c r="AH646" s="224"/>
      <c r="AI646" s="224"/>
      <c r="AJ646" s="207">
        <v>46129</v>
      </c>
      <c r="AK646" s="227"/>
      <c r="AL646" s="207"/>
      <c r="AM646" s="1"/>
    </row>
    <row r="647" spans="2:39" ht="45" hidden="1" customHeight="1">
      <c r="B647" s="323" t="s">
        <v>7054</v>
      </c>
      <c r="C647" s="217" t="s">
        <v>770</v>
      </c>
      <c r="D647" s="218" t="s">
        <v>771</v>
      </c>
      <c r="E647" s="286" t="s">
        <v>7186</v>
      </c>
      <c r="F647" s="220" t="s">
        <v>40</v>
      </c>
      <c r="G647" s="220" t="s">
        <v>121</v>
      </c>
      <c r="H647" s="220" t="s">
        <v>747</v>
      </c>
      <c r="I647" s="220" t="s">
        <v>7188</v>
      </c>
      <c r="J647" s="195" t="s">
        <v>6857</v>
      </c>
      <c r="K647" s="222">
        <v>46082</v>
      </c>
      <c r="L647" s="223" t="s">
        <v>45</v>
      </c>
      <c r="M647" s="223"/>
      <c r="N647" s="224"/>
      <c r="O647" s="224"/>
      <c r="P647" s="224"/>
      <c r="Q647" s="224"/>
      <c r="R647" s="224" t="s">
        <v>46</v>
      </c>
      <c r="S647" s="27" t="s">
        <v>47</v>
      </c>
      <c r="T647" s="195" t="s">
        <v>48</v>
      </c>
      <c r="U647" s="324" t="s">
        <v>7187</v>
      </c>
      <c r="V647" s="195" t="s">
        <v>85</v>
      </c>
      <c r="W647" s="195" t="s">
        <v>94</v>
      </c>
      <c r="X647" s="195"/>
      <c r="Y647" s="225" t="s">
        <v>94</v>
      </c>
      <c r="Z647" s="225"/>
      <c r="AA647" s="225"/>
      <c r="AB647" s="225"/>
      <c r="AC647" s="225"/>
      <c r="AD647" s="224">
        <v>46120</v>
      </c>
      <c r="AE647" s="226">
        <v>900</v>
      </c>
      <c r="AF647" s="226">
        <v>2200</v>
      </c>
      <c r="AG647" s="224">
        <v>46095</v>
      </c>
      <c r="AH647" s="224">
        <v>46108</v>
      </c>
      <c r="AI647" s="224"/>
      <c r="AJ647" s="207">
        <v>46108</v>
      </c>
      <c r="AK647" s="227">
        <v>46120</v>
      </c>
      <c r="AL647" s="300" t="s">
        <v>7259</v>
      </c>
      <c r="AM647" s="1"/>
    </row>
    <row r="648" spans="2:39" ht="45" hidden="1" customHeight="1">
      <c r="B648" s="323" t="s">
        <v>7055</v>
      </c>
      <c r="C648" s="217" t="s">
        <v>117</v>
      </c>
      <c r="D648" s="218" t="s">
        <v>118</v>
      </c>
      <c r="E648" s="286" t="s">
        <v>7108</v>
      </c>
      <c r="F648" s="220" t="s">
        <v>40</v>
      </c>
      <c r="G648" s="220" t="s">
        <v>7109</v>
      </c>
      <c r="H648" s="220" t="s">
        <v>42</v>
      </c>
      <c r="I648" s="220">
        <v>171</v>
      </c>
      <c r="J648" s="195" t="s">
        <v>6857</v>
      </c>
      <c r="K648" s="222">
        <v>46082</v>
      </c>
      <c r="L648" s="223" t="s">
        <v>45</v>
      </c>
      <c r="M648" s="223"/>
      <c r="N648" s="224"/>
      <c r="O648" s="224"/>
      <c r="P648" s="224"/>
      <c r="Q648" s="224"/>
      <c r="R648" s="224" t="s">
        <v>46</v>
      </c>
      <c r="S648" s="27" t="s">
        <v>47</v>
      </c>
      <c r="T648" s="195" t="s">
        <v>48</v>
      </c>
      <c r="U648" s="324" t="s">
        <v>7110</v>
      </c>
      <c r="V648" s="195" t="s">
        <v>85</v>
      </c>
      <c r="W648" s="195" t="s">
        <v>50</v>
      </c>
      <c r="X648" s="195"/>
      <c r="Y648" s="225" t="s">
        <v>50</v>
      </c>
      <c r="Z648" s="225"/>
      <c r="AA648" s="225"/>
      <c r="AB648" s="225"/>
      <c r="AC648" s="225"/>
      <c r="AD648" s="224">
        <v>46121</v>
      </c>
      <c r="AE648" s="226">
        <v>400</v>
      </c>
      <c r="AF648" s="226">
        <v>600</v>
      </c>
      <c r="AG648" s="224">
        <v>46095</v>
      </c>
      <c r="AH648" s="224">
        <v>46118</v>
      </c>
      <c r="AI648" s="224"/>
      <c r="AJ648" s="207">
        <v>46121</v>
      </c>
      <c r="AK648" s="227">
        <v>46121</v>
      </c>
      <c r="AL648" s="300" t="s">
        <v>7262</v>
      </c>
      <c r="AM648" s="1"/>
    </row>
    <row r="649" spans="2:39" ht="45" hidden="1" customHeight="1">
      <c r="B649" s="323" t="s">
        <v>7102</v>
      </c>
      <c r="C649" s="217" t="s">
        <v>79</v>
      </c>
      <c r="D649" s="218" t="s">
        <v>80</v>
      </c>
      <c r="E649" s="286" t="s">
        <v>7111</v>
      </c>
      <c r="F649" s="220" t="s">
        <v>40</v>
      </c>
      <c r="G649" s="220" t="s">
        <v>1215</v>
      </c>
      <c r="H649" s="220" t="s">
        <v>42</v>
      </c>
      <c r="I649" s="220">
        <v>511</v>
      </c>
      <c r="J649" s="195"/>
      <c r="K649" s="222">
        <v>46082</v>
      </c>
      <c r="L649" s="223" t="s">
        <v>1491</v>
      </c>
      <c r="M649" s="223"/>
      <c r="N649" s="224"/>
      <c r="O649" s="224"/>
      <c r="P649" s="224"/>
      <c r="Q649" s="224"/>
      <c r="R649" s="224" t="s">
        <v>46</v>
      </c>
      <c r="S649" s="27" t="s">
        <v>47</v>
      </c>
      <c r="T649" s="195" t="s">
        <v>48</v>
      </c>
      <c r="U649" s="324" t="s">
        <v>8054</v>
      </c>
      <c r="V649" s="195" t="s">
        <v>85</v>
      </c>
      <c r="W649" s="195" t="s">
        <v>124</v>
      </c>
      <c r="X649" s="195"/>
      <c r="Y649" s="225" t="s">
        <v>62</v>
      </c>
      <c r="Z649" s="225"/>
      <c r="AA649" s="225"/>
      <c r="AB649" s="225"/>
      <c r="AC649" s="225"/>
      <c r="AD649" s="224">
        <v>46211</v>
      </c>
      <c r="AE649" s="226">
        <v>1300</v>
      </c>
      <c r="AF649" s="226">
        <v>100</v>
      </c>
      <c r="AG649" s="224">
        <v>46198</v>
      </c>
      <c r="AH649" s="224">
        <v>46202</v>
      </c>
      <c r="AI649" s="224"/>
      <c r="AJ649" s="207">
        <v>46211</v>
      </c>
      <c r="AK649" s="227">
        <v>46211</v>
      </c>
      <c r="AL649" s="207"/>
      <c r="AM649" s="1"/>
    </row>
    <row r="650" spans="2:39" ht="45" hidden="1" customHeight="1">
      <c r="B650" s="323" t="s">
        <v>7103</v>
      </c>
      <c r="C650" s="217" t="s">
        <v>328</v>
      </c>
      <c r="D650" s="218" t="s">
        <v>329</v>
      </c>
      <c r="E650" s="217" t="s">
        <v>7119</v>
      </c>
      <c r="F650" s="220" t="s">
        <v>40</v>
      </c>
      <c r="G650" s="220" t="s">
        <v>7121</v>
      </c>
      <c r="H650" s="220" t="s">
        <v>42</v>
      </c>
      <c r="I650" s="220" t="s">
        <v>7120</v>
      </c>
      <c r="J650" s="195"/>
      <c r="K650" s="222">
        <v>46082</v>
      </c>
      <c r="L650" s="223" t="s">
        <v>45</v>
      </c>
      <c r="M650" s="223"/>
      <c r="N650" s="224"/>
      <c r="O650" s="224"/>
      <c r="P650" s="224"/>
      <c r="Q650" s="224"/>
      <c r="R650" s="224" t="s">
        <v>46</v>
      </c>
      <c r="S650" s="27" t="s">
        <v>47</v>
      </c>
      <c r="T650" s="195" t="s">
        <v>1284</v>
      </c>
      <c r="U650" s="324" t="s">
        <v>7329</v>
      </c>
      <c r="V650" s="195"/>
      <c r="W650" s="195" t="s">
        <v>109</v>
      </c>
      <c r="X650" s="195"/>
      <c r="Y650" s="225" t="s">
        <v>7264</v>
      </c>
      <c r="Z650" s="225" t="s">
        <v>7265</v>
      </c>
      <c r="AA650" s="225"/>
      <c r="AB650" s="225"/>
      <c r="AC650" s="225"/>
      <c r="AD650" s="224"/>
      <c r="AE650" s="226">
        <v>1100</v>
      </c>
      <c r="AF650" s="226">
        <v>5900</v>
      </c>
      <c r="AG650" s="224">
        <v>46099</v>
      </c>
      <c r="AH650" s="224">
        <v>46119</v>
      </c>
      <c r="AI650" s="224"/>
      <c r="AJ650" s="207">
        <v>46119</v>
      </c>
      <c r="AK650" s="227"/>
      <c r="AL650" s="207"/>
      <c r="AM650" s="1"/>
    </row>
    <row r="651" spans="2:39" ht="45" hidden="1" customHeight="1">
      <c r="B651" s="323" t="s">
        <v>7104</v>
      </c>
      <c r="C651" s="217" t="s">
        <v>248</v>
      </c>
      <c r="D651" s="218" t="s">
        <v>249</v>
      </c>
      <c r="E651" s="286" t="s">
        <v>7227</v>
      </c>
      <c r="F651" s="220" t="s">
        <v>40</v>
      </c>
      <c r="G651" s="220" t="s">
        <v>7228</v>
      </c>
      <c r="H651" s="220" t="s">
        <v>42</v>
      </c>
      <c r="I651" s="220">
        <v>61</v>
      </c>
      <c r="J651" s="195"/>
      <c r="K651" s="222">
        <v>46113</v>
      </c>
      <c r="L651" s="223" t="s">
        <v>7682</v>
      </c>
      <c r="M651" s="223"/>
      <c r="N651" s="224"/>
      <c r="O651" s="224"/>
      <c r="P651" s="224"/>
      <c r="Q651" s="224"/>
      <c r="R651" s="224" t="s">
        <v>46</v>
      </c>
      <c r="S651" s="195" t="s">
        <v>47</v>
      </c>
      <c r="T651" s="195" t="s">
        <v>48</v>
      </c>
      <c r="U651" s="324" t="s">
        <v>7973</v>
      </c>
      <c r="V651" s="195" t="s">
        <v>85</v>
      </c>
      <c r="W651" s="195"/>
      <c r="X651" s="195"/>
      <c r="Y651" s="225" t="s">
        <v>77</v>
      </c>
      <c r="Z651" s="225"/>
      <c r="AA651" s="225"/>
      <c r="AB651" s="225"/>
      <c r="AC651" s="225"/>
      <c r="AD651" s="224"/>
      <c r="AE651" s="226">
        <v>200</v>
      </c>
      <c r="AF651" s="226">
        <v>100</v>
      </c>
      <c r="AG651" s="224">
        <v>46119</v>
      </c>
      <c r="AH651" s="224">
        <v>46184</v>
      </c>
      <c r="AI651" s="224"/>
      <c r="AJ651" s="207">
        <v>46184</v>
      </c>
      <c r="AK651" s="227">
        <v>46185</v>
      </c>
      <c r="AL651" s="207"/>
      <c r="AM651" s="1"/>
    </row>
    <row r="652" spans="2:39" ht="45" hidden="1" customHeight="1">
      <c r="B652" s="323" t="s">
        <v>7105</v>
      </c>
      <c r="C652" s="217" t="s">
        <v>104</v>
      </c>
      <c r="D652" s="218" t="s">
        <v>105</v>
      </c>
      <c r="E652" s="286" t="s">
        <v>7229</v>
      </c>
      <c r="F652" s="220"/>
      <c r="G652" s="220" t="s">
        <v>6904</v>
      </c>
      <c r="H652" s="220" t="s">
        <v>42</v>
      </c>
      <c r="I652" s="220" t="s">
        <v>7230</v>
      </c>
      <c r="J652" s="195"/>
      <c r="K652" s="222">
        <v>46113</v>
      </c>
      <c r="L652" s="223" t="s">
        <v>45</v>
      </c>
      <c r="M652" s="223"/>
      <c r="N652" s="224"/>
      <c r="O652" s="224"/>
      <c r="P652" s="224"/>
      <c r="Q652" s="224"/>
      <c r="R652" s="224" t="s">
        <v>46</v>
      </c>
      <c r="S652" s="27" t="s">
        <v>47</v>
      </c>
      <c r="T652" s="195" t="s">
        <v>48</v>
      </c>
      <c r="U652" s="324" t="s">
        <v>7582</v>
      </c>
      <c r="V652" s="195" t="s">
        <v>85</v>
      </c>
      <c r="W652" s="195" t="s">
        <v>7236</v>
      </c>
      <c r="X652" s="195" t="s">
        <v>7237</v>
      </c>
      <c r="Y652" s="225" t="s">
        <v>7266</v>
      </c>
      <c r="Z652" s="225" t="s">
        <v>7275</v>
      </c>
      <c r="AA652" s="225"/>
      <c r="AB652" s="225"/>
      <c r="AC652" s="225"/>
      <c r="AD652" s="224"/>
      <c r="AE652" s="226">
        <v>3000</v>
      </c>
      <c r="AF652" s="226">
        <v>2400</v>
      </c>
      <c r="AG652" s="224">
        <v>46119</v>
      </c>
      <c r="AH652" s="224">
        <v>46141</v>
      </c>
      <c r="AI652" s="224"/>
      <c r="AJ652" s="207">
        <v>46141</v>
      </c>
      <c r="AK652" s="227"/>
      <c r="AL652" s="207"/>
      <c r="AM652" s="1"/>
    </row>
    <row r="653" spans="2:39" ht="45" hidden="1" customHeight="1">
      <c r="B653" s="323" t="s">
        <v>7106</v>
      </c>
      <c r="C653" s="217" t="s">
        <v>1572</v>
      </c>
      <c r="D653" s="218" t="s">
        <v>1573</v>
      </c>
      <c r="E653" s="217" t="s">
        <v>7231</v>
      </c>
      <c r="F653" s="220" t="s">
        <v>40</v>
      </c>
      <c r="G653" s="220" t="s">
        <v>446</v>
      </c>
      <c r="H653" s="220" t="s">
        <v>427</v>
      </c>
      <c r="I653" s="220" t="s">
        <v>2108</v>
      </c>
      <c r="J653" s="195"/>
      <c r="K653" s="222">
        <v>46113</v>
      </c>
      <c r="L653" s="223" t="s">
        <v>45</v>
      </c>
      <c r="M653" s="223"/>
      <c r="N653" s="224"/>
      <c r="O653" s="224"/>
      <c r="P653" s="224"/>
      <c r="Q653" s="224"/>
      <c r="R653" s="224" t="s">
        <v>1813</v>
      </c>
      <c r="S653" s="27" t="s">
        <v>47</v>
      </c>
      <c r="T653" s="195" t="s">
        <v>48</v>
      </c>
      <c r="U653" s="324" t="s">
        <v>7599</v>
      </c>
      <c r="V653" s="195"/>
      <c r="W653" s="195" t="s">
        <v>200</v>
      </c>
      <c r="X653" s="195"/>
      <c r="Y653" s="225" t="s">
        <v>50</v>
      </c>
      <c r="Z653" s="225"/>
      <c r="AA653" s="225"/>
      <c r="AB653" s="225"/>
      <c r="AC653" s="225"/>
      <c r="AD653" s="224"/>
      <c r="AE653" s="226">
        <v>1700</v>
      </c>
      <c r="AF653" s="226">
        <v>6000</v>
      </c>
      <c r="AG653" s="224">
        <v>46119</v>
      </c>
      <c r="AH653" s="224">
        <v>46142</v>
      </c>
      <c r="AI653" s="224"/>
      <c r="AJ653" s="207">
        <v>46171</v>
      </c>
      <c r="AK653" s="227"/>
      <c r="AL653" s="207"/>
      <c r="AM653" s="1"/>
    </row>
    <row r="654" spans="2:39" ht="45" hidden="1" customHeight="1">
      <c r="B654" s="323" t="s">
        <v>7223</v>
      </c>
      <c r="C654" s="217" t="s">
        <v>425</v>
      </c>
      <c r="D654" s="218" t="s">
        <v>881</v>
      </c>
      <c r="E654" s="217" t="s">
        <v>7269</v>
      </c>
      <c r="F654" s="220"/>
      <c r="G654" s="220" t="s">
        <v>301</v>
      </c>
      <c r="H654" s="220" t="s">
        <v>883</v>
      </c>
      <c r="I654" s="220">
        <v>41.042000000000002</v>
      </c>
      <c r="J654" s="195"/>
      <c r="K654" s="222">
        <v>46113</v>
      </c>
      <c r="L654" s="223" t="s">
        <v>45</v>
      </c>
      <c r="M654" s="223"/>
      <c r="N654" s="224"/>
      <c r="O654" s="224"/>
      <c r="P654" s="224"/>
      <c r="Q654" s="224"/>
      <c r="R654" s="224" t="s">
        <v>46</v>
      </c>
      <c r="S654" s="195" t="s">
        <v>47</v>
      </c>
      <c r="T654" s="195" t="s">
        <v>7272</v>
      </c>
      <c r="U654" s="324" t="s">
        <v>7270</v>
      </c>
      <c r="V654" s="195"/>
      <c r="W654" s="195" t="s">
        <v>94</v>
      </c>
      <c r="X654" s="195"/>
      <c r="Y654" s="225" t="s">
        <v>7271</v>
      </c>
      <c r="Z654" s="225"/>
      <c r="AA654" s="225"/>
      <c r="AB654" s="225"/>
      <c r="AC654" s="225"/>
      <c r="AD654" s="224"/>
      <c r="AE654" s="226">
        <v>400</v>
      </c>
      <c r="AF654" s="226">
        <v>2000</v>
      </c>
      <c r="AG654" s="224">
        <v>46118</v>
      </c>
      <c r="AH654" s="224">
        <v>46134</v>
      </c>
      <c r="AI654" s="224"/>
      <c r="AJ654" s="207">
        <v>46130</v>
      </c>
      <c r="AK654" s="227"/>
      <c r="AL654" s="207"/>
      <c r="AM654" s="1"/>
    </row>
    <row r="655" spans="2:39" ht="45" hidden="1" customHeight="1">
      <c r="B655" s="323" t="s">
        <v>7224</v>
      </c>
      <c r="C655" s="217" t="s">
        <v>1234</v>
      </c>
      <c r="D655" s="218" t="s">
        <v>7273</v>
      </c>
      <c r="E655" s="217" t="s">
        <v>7274</v>
      </c>
      <c r="F655" s="220"/>
      <c r="G655" s="220" t="s">
        <v>1321</v>
      </c>
      <c r="H655" s="220" t="s">
        <v>883</v>
      </c>
      <c r="I655" s="220">
        <v>92</v>
      </c>
      <c r="J655" s="195"/>
      <c r="K655" s="222">
        <v>46113</v>
      </c>
      <c r="L655" s="223" t="s">
        <v>45</v>
      </c>
      <c r="M655" s="223"/>
      <c r="N655" s="224"/>
      <c r="O655" s="224"/>
      <c r="P655" s="224"/>
      <c r="Q655" s="224"/>
      <c r="R655" s="224" t="s">
        <v>46</v>
      </c>
      <c r="S655" s="195" t="s">
        <v>47</v>
      </c>
      <c r="T655" s="195" t="s">
        <v>7272</v>
      </c>
      <c r="U655" s="324" t="s">
        <v>7362</v>
      </c>
      <c r="V655" s="195"/>
      <c r="W655" s="195" t="s">
        <v>94</v>
      </c>
      <c r="X655" s="195"/>
      <c r="Y655" s="225" t="s">
        <v>7271</v>
      </c>
      <c r="Z655" s="225"/>
      <c r="AA655" s="225"/>
      <c r="AB655" s="225"/>
      <c r="AC655" s="225"/>
      <c r="AD655" s="224"/>
      <c r="AE655" s="226">
        <v>300</v>
      </c>
      <c r="AF655" s="226">
        <v>1300</v>
      </c>
      <c r="AG655" s="224">
        <v>46118</v>
      </c>
      <c r="AH655" s="224">
        <v>46134</v>
      </c>
      <c r="AI655" s="224"/>
      <c r="AJ655" s="207" t="s">
        <v>7317</v>
      </c>
      <c r="AK655" s="227"/>
      <c r="AL655" s="207"/>
      <c r="AM655" s="1"/>
    </row>
    <row r="656" spans="2:39" ht="45" hidden="1" customHeight="1">
      <c r="B656" s="323" t="s">
        <v>7225</v>
      </c>
      <c r="C656" s="217" t="s">
        <v>104</v>
      </c>
      <c r="D656" s="218" t="s">
        <v>105</v>
      </c>
      <c r="E656" s="286" t="s">
        <v>2893</v>
      </c>
      <c r="F656" s="220"/>
      <c r="G656" s="220" t="s">
        <v>98</v>
      </c>
      <c r="H656" s="220" t="s">
        <v>42</v>
      </c>
      <c r="I656" s="220">
        <v>101</v>
      </c>
      <c r="J656" s="195"/>
      <c r="K656" s="222">
        <v>46113</v>
      </c>
      <c r="L656" s="223" t="s">
        <v>45</v>
      </c>
      <c r="M656" s="223"/>
      <c r="N656" s="224"/>
      <c r="O656" s="224"/>
      <c r="P656" s="224"/>
      <c r="Q656" s="224"/>
      <c r="R656" s="224" t="s">
        <v>46</v>
      </c>
      <c r="S656" s="27" t="s">
        <v>47</v>
      </c>
      <c r="T656" s="175" t="s">
        <v>48</v>
      </c>
      <c r="U656" s="324" t="s">
        <v>7601</v>
      </c>
      <c r="V656" s="195"/>
      <c r="W656" s="195" t="s">
        <v>94</v>
      </c>
      <c r="X656" s="195"/>
      <c r="Y656" s="225" t="s">
        <v>94</v>
      </c>
      <c r="Z656" s="225"/>
      <c r="AA656" s="225"/>
      <c r="AB656" s="225"/>
      <c r="AC656" s="225"/>
      <c r="AD656" s="224"/>
      <c r="AE656" s="226">
        <v>300</v>
      </c>
      <c r="AF656" s="226">
        <v>500</v>
      </c>
      <c r="AG656" s="224">
        <v>46136</v>
      </c>
      <c r="AH656" s="224">
        <v>46142</v>
      </c>
      <c r="AI656" s="224"/>
      <c r="AJ656" s="207">
        <v>46142</v>
      </c>
      <c r="AK656" s="227"/>
      <c r="AL656" s="207"/>
      <c r="AM656" s="1"/>
    </row>
    <row r="657" spans="2:39" ht="45" hidden="1" customHeight="1">
      <c r="B657" s="323" t="s">
        <v>7976</v>
      </c>
      <c r="C657" s="217" t="s">
        <v>248</v>
      </c>
      <c r="D657" s="218" t="s">
        <v>249</v>
      </c>
      <c r="E657" s="286" t="s">
        <v>7977</v>
      </c>
      <c r="F657" s="220" t="s">
        <v>40</v>
      </c>
      <c r="G657" s="220" t="s">
        <v>8055</v>
      </c>
      <c r="H657" s="220" t="s">
        <v>42</v>
      </c>
      <c r="I657" s="220">
        <v>262</v>
      </c>
      <c r="J657" s="195"/>
      <c r="K657" s="222">
        <v>46174</v>
      </c>
      <c r="L657" s="223" t="s">
        <v>45</v>
      </c>
      <c r="M657" s="223"/>
      <c r="N657" s="224"/>
      <c r="O657" s="224"/>
      <c r="P657" s="224"/>
      <c r="Q657" s="224"/>
      <c r="R657" s="224" t="s">
        <v>46</v>
      </c>
      <c r="S657" s="195" t="s">
        <v>47</v>
      </c>
      <c r="T657" s="195" t="s">
        <v>48</v>
      </c>
      <c r="U657" s="324" t="s">
        <v>7978</v>
      </c>
      <c r="V657" s="195" t="s">
        <v>85</v>
      </c>
      <c r="W657" s="195" t="s">
        <v>94</v>
      </c>
      <c r="X657" s="195"/>
      <c r="Y657" s="225" t="s">
        <v>7910</v>
      </c>
      <c r="Z657" s="225" t="s">
        <v>94</v>
      </c>
      <c r="AA657" s="225"/>
      <c r="AB657" s="225"/>
      <c r="AC657" s="225"/>
      <c r="AD657" s="224">
        <v>46211</v>
      </c>
      <c r="AE657" s="226"/>
      <c r="AF657" s="226"/>
      <c r="AG657" s="224">
        <v>46200</v>
      </c>
      <c r="AH657" s="224">
        <v>46210</v>
      </c>
      <c r="AI657" s="224"/>
      <c r="AJ657" s="207">
        <v>46210</v>
      </c>
      <c r="AK657" s="227">
        <v>46211</v>
      </c>
      <c r="AL657" s="207"/>
      <c r="AM657" s="1"/>
    </row>
    <row r="658" spans="2:39" ht="45" hidden="1" customHeight="1">
      <c r="B658" s="323" t="s">
        <v>7226</v>
      </c>
      <c r="C658" s="217" t="s">
        <v>353</v>
      </c>
      <c r="D658" s="218" t="s">
        <v>354</v>
      </c>
      <c r="E658" s="217" t="s">
        <v>7950</v>
      </c>
      <c r="F658" s="220" t="s">
        <v>40</v>
      </c>
      <c r="G658" s="220" t="s">
        <v>2127</v>
      </c>
      <c r="H658" s="220" t="s">
        <v>42</v>
      </c>
      <c r="I658" s="220">
        <v>123</v>
      </c>
      <c r="J658" s="195"/>
      <c r="K658" s="222">
        <v>46174</v>
      </c>
      <c r="L658" s="223" t="s">
        <v>45</v>
      </c>
      <c r="M658" s="223"/>
      <c r="N658" s="224"/>
      <c r="O658" s="224"/>
      <c r="P658" s="224"/>
      <c r="Q658" s="224"/>
      <c r="R658" s="224" t="s">
        <v>46</v>
      </c>
      <c r="S658" s="195" t="s">
        <v>47</v>
      </c>
      <c r="T658" s="195" t="s">
        <v>48</v>
      </c>
      <c r="U658" s="324" t="s">
        <v>8219</v>
      </c>
      <c r="V658" s="195" t="s">
        <v>85</v>
      </c>
      <c r="W658" s="195" t="s">
        <v>109</v>
      </c>
      <c r="X658" s="195"/>
      <c r="Y658" s="225" t="s">
        <v>62</v>
      </c>
      <c r="Z658" s="225"/>
      <c r="AA658" s="225"/>
      <c r="AB658" s="225"/>
      <c r="AC658" s="225"/>
      <c r="AD658" s="224"/>
      <c r="AE658" s="226"/>
      <c r="AF658" s="226"/>
      <c r="AG658" s="224">
        <v>46199</v>
      </c>
      <c r="AH658" s="224">
        <v>46202</v>
      </c>
      <c r="AI658" s="224"/>
      <c r="AJ658" s="207">
        <v>46226</v>
      </c>
      <c r="AK658" s="227"/>
      <c r="AL658" s="207"/>
      <c r="AM658" s="1"/>
    </row>
    <row r="659" spans="2:39" s="363" customFormat="1" ht="45" hidden="1" customHeight="1">
      <c r="B659" s="701" t="s">
        <v>8164</v>
      </c>
      <c r="C659" s="702" t="s">
        <v>8545</v>
      </c>
      <c r="D659" s="703" t="s">
        <v>8544</v>
      </c>
      <c r="E659" s="702"/>
      <c r="F659" s="704"/>
      <c r="G659" s="704" t="s">
        <v>308</v>
      </c>
      <c r="H659" s="704" t="s">
        <v>8543</v>
      </c>
      <c r="I659" s="704">
        <v>17</v>
      </c>
      <c r="J659" s="705"/>
      <c r="K659" s="706">
        <v>46235</v>
      </c>
      <c r="L659" s="707" t="s">
        <v>99</v>
      </c>
      <c r="M659" s="707"/>
      <c r="N659" s="708"/>
      <c r="O659" s="708"/>
      <c r="P659" s="708"/>
      <c r="Q659" s="708"/>
      <c r="R659" s="708" t="s">
        <v>46</v>
      </c>
      <c r="S659" s="705" t="s">
        <v>47</v>
      </c>
      <c r="T659" s="705" t="s">
        <v>48</v>
      </c>
      <c r="U659" s="709" t="s">
        <v>8546</v>
      </c>
      <c r="V659" s="705"/>
      <c r="W659" s="705" t="s">
        <v>94</v>
      </c>
      <c r="X659" s="705"/>
      <c r="Y659" s="710"/>
      <c r="Z659" s="710"/>
      <c r="AA659" s="710"/>
      <c r="AB659" s="710"/>
      <c r="AC659" s="710"/>
      <c r="AD659" s="708"/>
      <c r="AE659" s="711">
        <v>2200</v>
      </c>
      <c r="AF659" s="711">
        <v>1600</v>
      </c>
      <c r="AG659" s="708">
        <v>46262</v>
      </c>
      <c r="AH659" s="708"/>
      <c r="AI659" s="708"/>
      <c r="AJ659" s="712"/>
      <c r="AK659" s="713"/>
      <c r="AL659" s="712"/>
      <c r="AM659" s="546"/>
    </row>
    <row r="660" spans="2:39" s="363" customFormat="1" ht="45" hidden="1" customHeight="1">
      <c r="B660" s="554" t="s">
        <v>8165</v>
      </c>
      <c r="C660" s="534"/>
      <c r="D660" s="535"/>
      <c r="E660" s="534"/>
      <c r="F660" s="536"/>
      <c r="G660" s="536"/>
      <c r="H660" s="536"/>
      <c r="I660" s="536"/>
      <c r="J660" s="537"/>
      <c r="K660" s="538"/>
      <c r="L660" s="539"/>
      <c r="M660" s="539"/>
      <c r="N660" s="540"/>
      <c r="O660" s="540"/>
      <c r="P660" s="540"/>
      <c r="Q660" s="540"/>
      <c r="R660" s="540"/>
      <c r="S660" s="537"/>
      <c r="T660" s="537"/>
      <c r="U660" s="541"/>
      <c r="V660" s="537"/>
      <c r="W660" s="537"/>
      <c r="X660" s="537"/>
      <c r="Y660" s="542"/>
      <c r="Z660" s="542"/>
      <c r="AA660" s="542"/>
      <c r="AB660" s="542"/>
      <c r="AC660" s="542"/>
      <c r="AD660" s="540"/>
      <c r="AE660" s="543"/>
      <c r="AF660" s="543"/>
      <c r="AG660" s="540"/>
      <c r="AH660" s="540"/>
      <c r="AI660" s="540"/>
      <c r="AJ660" s="544"/>
      <c r="AK660" s="545"/>
      <c r="AL660" s="544"/>
      <c r="AM660" s="546"/>
    </row>
    <row r="661" spans="2:39" s="363" customFormat="1" ht="45" hidden="1" customHeight="1">
      <c r="B661" s="554" t="s">
        <v>8166</v>
      </c>
      <c r="C661" s="534"/>
      <c r="D661" s="535"/>
      <c r="E661" s="534"/>
      <c r="F661" s="536"/>
      <c r="G661" s="536"/>
      <c r="H661" s="536"/>
      <c r="I661" s="536"/>
      <c r="J661" s="537"/>
      <c r="K661" s="538"/>
      <c r="L661" s="539"/>
      <c r="M661" s="539"/>
      <c r="N661" s="540"/>
      <c r="O661" s="540"/>
      <c r="P661" s="540"/>
      <c r="Q661" s="540"/>
      <c r="R661" s="540"/>
      <c r="S661" s="537"/>
      <c r="T661" s="537"/>
      <c r="U661" s="541"/>
      <c r="V661" s="537"/>
      <c r="W661" s="537"/>
      <c r="X661" s="537"/>
      <c r="Y661" s="542"/>
      <c r="Z661" s="542"/>
      <c r="AA661" s="542"/>
      <c r="AB661" s="542"/>
      <c r="AC661" s="542"/>
      <c r="AD661" s="540"/>
      <c r="AE661" s="543"/>
      <c r="AF661" s="543"/>
      <c r="AG661" s="540"/>
      <c r="AH661" s="540"/>
      <c r="AI661" s="540"/>
      <c r="AJ661" s="544"/>
      <c r="AK661" s="545"/>
      <c r="AL661" s="544"/>
      <c r="AM661" s="546"/>
    </row>
    <row r="662" spans="2:39" s="363" customFormat="1" ht="45" hidden="1" customHeight="1">
      <c r="B662" s="554" t="s">
        <v>8167</v>
      </c>
      <c r="C662" s="534"/>
      <c r="D662" s="535"/>
      <c r="E662" s="534"/>
      <c r="F662" s="536"/>
      <c r="G662" s="536"/>
      <c r="H662" s="536"/>
      <c r="I662" s="536"/>
      <c r="J662" s="537"/>
      <c r="K662" s="538"/>
      <c r="L662" s="539"/>
      <c r="M662" s="539"/>
      <c r="N662" s="540"/>
      <c r="O662" s="540"/>
      <c r="P662" s="540"/>
      <c r="Q662" s="540"/>
      <c r="R662" s="540"/>
      <c r="S662" s="537"/>
      <c r="T662" s="537"/>
      <c r="U662" s="541"/>
      <c r="V662" s="537"/>
      <c r="W662" s="537"/>
      <c r="X662" s="537"/>
      <c r="Y662" s="542"/>
      <c r="Z662" s="542"/>
      <c r="AA662" s="542"/>
      <c r="AB662" s="542"/>
      <c r="AC662" s="542"/>
      <c r="AD662" s="540"/>
      <c r="AE662" s="543"/>
      <c r="AF662" s="543"/>
      <c r="AG662" s="540"/>
      <c r="AH662" s="540"/>
      <c r="AI662" s="540"/>
      <c r="AJ662" s="544"/>
      <c r="AK662" s="545"/>
      <c r="AL662" s="544"/>
      <c r="AM662" s="546"/>
    </row>
    <row r="663" spans="2:39" s="363" customFormat="1" ht="45" hidden="1" customHeight="1">
      <c r="B663" s="554" t="s">
        <v>8168</v>
      </c>
      <c r="C663" s="534"/>
      <c r="D663" s="535"/>
      <c r="E663" s="534"/>
      <c r="F663" s="536"/>
      <c r="G663" s="536"/>
      <c r="H663" s="536"/>
      <c r="I663" s="536"/>
      <c r="J663" s="537"/>
      <c r="K663" s="538"/>
      <c r="L663" s="539"/>
      <c r="M663" s="539"/>
      <c r="N663" s="540"/>
      <c r="O663" s="540"/>
      <c r="P663" s="540"/>
      <c r="Q663" s="540"/>
      <c r="R663" s="540"/>
      <c r="S663" s="537"/>
      <c r="T663" s="537"/>
      <c r="U663" s="541"/>
      <c r="V663" s="537"/>
      <c r="W663" s="537"/>
      <c r="X663" s="537"/>
      <c r="Y663" s="542"/>
      <c r="Z663" s="542"/>
      <c r="AA663" s="542"/>
      <c r="AB663" s="542"/>
      <c r="AC663" s="542"/>
      <c r="AD663" s="540"/>
      <c r="AE663" s="543"/>
      <c r="AF663" s="543"/>
      <c r="AG663" s="540"/>
      <c r="AH663" s="540"/>
      <c r="AI663" s="540"/>
      <c r="AJ663" s="544"/>
      <c r="AK663" s="545"/>
      <c r="AL663" s="544"/>
      <c r="AM663" s="546"/>
    </row>
    <row r="664" spans="2:39" s="363" customFormat="1" ht="45" hidden="1" customHeight="1">
      <c r="B664" s="554" t="s">
        <v>8169</v>
      </c>
      <c r="C664" s="534"/>
      <c r="D664" s="535"/>
      <c r="E664" s="534"/>
      <c r="F664" s="536"/>
      <c r="G664" s="536"/>
      <c r="H664" s="536"/>
      <c r="I664" s="536"/>
      <c r="J664" s="537"/>
      <c r="K664" s="538"/>
      <c r="L664" s="539"/>
      <c r="M664" s="539"/>
      <c r="N664" s="540"/>
      <c r="O664" s="540"/>
      <c r="P664" s="540"/>
      <c r="Q664" s="540"/>
      <c r="R664" s="540"/>
      <c r="S664" s="537"/>
      <c r="T664" s="537"/>
      <c r="U664" s="541"/>
      <c r="V664" s="537"/>
      <c r="W664" s="537"/>
      <c r="X664" s="537"/>
      <c r="Y664" s="542"/>
      <c r="Z664" s="542"/>
      <c r="AA664" s="542"/>
      <c r="AB664" s="542"/>
      <c r="AC664" s="542"/>
      <c r="AD664" s="540"/>
      <c r="AE664" s="543"/>
      <c r="AF664" s="543"/>
      <c r="AG664" s="540"/>
      <c r="AH664" s="540"/>
      <c r="AI664" s="540"/>
      <c r="AJ664" s="544"/>
      <c r="AK664" s="545"/>
      <c r="AL664" s="544"/>
      <c r="AM664" s="546"/>
    </row>
    <row r="665" spans="2:39" s="363" customFormat="1" ht="45" hidden="1" customHeight="1">
      <c r="B665" s="554" t="s">
        <v>8170</v>
      </c>
      <c r="C665" s="534"/>
      <c r="D665" s="535"/>
      <c r="E665" s="534"/>
      <c r="F665" s="536"/>
      <c r="G665" s="536"/>
      <c r="H665" s="536"/>
      <c r="I665" s="536"/>
      <c r="J665" s="537"/>
      <c r="K665" s="538"/>
      <c r="L665" s="539"/>
      <c r="M665" s="539"/>
      <c r="N665" s="540"/>
      <c r="O665" s="540"/>
      <c r="P665" s="540"/>
      <c r="Q665" s="540"/>
      <c r="R665" s="540"/>
      <c r="S665" s="537"/>
      <c r="T665" s="537"/>
      <c r="U665" s="541"/>
      <c r="V665" s="537"/>
      <c r="W665" s="537"/>
      <c r="X665" s="537"/>
      <c r="Y665" s="542"/>
      <c r="Z665" s="542"/>
      <c r="AA665" s="542"/>
      <c r="AB665" s="542"/>
      <c r="AC665" s="542"/>
      <c r="AD665" s="540"/>
      <c r="AE665" s="543"/>
      <c r="AF665" s="543"/>
      <c r="AG665" s="540"/>
      <c r="AH665" s="540"/>
      <c r="AI665" s="540"/>
      <c r="AJ665" s="544"/>
      <c r="AK665" s="545"/>
      <c r="AL665" s="544"/>
      <c r="AM665" s="546"/>
    </row>
    <row r="666" spans="2:39" ht="45" hidden="1" customHeight="1">
      <c r="B666" s="380" t="s">
        <v>2424</v>
      </c>
      <c r="C666" s="72" t="s">
        <v>134</v>
      </c>
      <c r="D666" s="72" t="s">
        <v>997</v>
      </c>
      <c r="E666" s="72" t="s">
        <v>2282</v>
      </c>
      <c r="F666" s="73"/>
      <c r="G666" s="73" t="s">
        <v>1215</v>
      </c>
      <c r="H666" s="73" t="s">
        <v>42</v>
      </c>
      <c r="I666" s="73"/>
      <c r="J666" s="74"/>
      <c r="K666" s="75">
        <v>45352</v>
      </c>
      <c r="L666" s="76"/>
      <c r="M666" s="76"/>
      <c r="N666" s="77"/>
      <c r="O666" s="77"/>
      <c r="P666" s="77"/>
      <c r="Q666" s="77"/>
      <c r="R666" s="77"/>
      <c r="S666" s="74" t="s">
        <v>2337</v>
      </c>
      <c r="T666" s="74" t="s">
        <v>122</v>
      </c>
      <c r="U666" s="385" t="s">
        <v>2425</v>
      </c>
      <c r="V666" s="74"/>
      <c r="W666" s="74"/>
      <c r="X666" s="74"/>
      <c r="Y666" s="65"/>
      <c r="Z666" s="65"/>
      <c r="AA666" s="78" t="s">
        <v>2426</v>
      </c>
      <c r="AB666" s="78"/>
      <c r="AC666" s="78"/>
      <c r="AD666" s="77"/>
      <c r="AE666" s="79">
        <v>2000</v>
      </c>
      <c r="AF666" s="79">
        <v>1000</v>
      </c>
      <c r="AG666" s="77"/>
      <c r="AH666" s="77"/>
      <c r="AI666" s="77"/>
      <c r="AJ666" s="80" t="s">
        <v>2427</v>
      </c>
      <c r="AK666" s="215"/>
      <c r="AL666" s="80"/>
      <c r="AM666" s="1"/>
    </row>
    <row r="667" spans="2:39" ht="45" hidden="1" customHeight="1">
      <c r="B667" s="380" t="s">
        <v>2428</v>
      </c>
      <c r="C667" s="72" t="s">
        <v>88</v>
      </c>
      <c r="D667" s="72" t="s">
        <v>2429</v>
      </c>
      <c r="E667" s="72" t="s">
        <v>2430</v>
      </c>
      <c r="F667" s="73"/>
      <c r="G667" s="73" t="s">
        <v>446</v>
      </c>
      <c r="H667" s="73" t="s">
        <v>42</v>
      </c>
      <c r="I667" s="73"/>
      <c r="J667" s="74"/>
      <c r="K667" s="75">
        <v>45108</v>
      </c>
      <c r="L667" s="75"/>
      <c r="M667" s="76"/>
      <c r="N667" s="77"/>
      <c r="O667" s="77"/>
      <c r="P667" s="77"/>
      <c r="Q667" s="77"/>
      <c r="R667" s="77"/>
      <c r="S667" s="74" t="s">
        <v>2337</v>
      </c>
      <c r="T667" s="74" t="s">
        <v>122</v>
      </c>
      <c r="U667" s="385" t="s">
        <v>2431</v>
      </c>
      <c r="V667" s="74"/>
      <c r="W667" s="74"/>
      <c r="X667" s="74"/>
      <c r="Y667" s="65"/>
      <c r="Z667" s="65"/>
      <c r="AA667" s="78" t="s">
        <v>2432</v>
      </c>
      <c r="AB667" s="78"/>
      <c r="AC667" s="78"/>
      <c r="AD667" s="77"/>
      <c r="AE667" s="81">
        <v>800</v>
      </c>
      <c r="AF667" s="81">
        <v>3500</v>
      </c>
      <c r="AG667" s="77">
        <v>45127</v>
      </c>
      <c r="AH667" s="77">
        <v>45138</v>
      </c>
      <c r="AI667" s="77"/>
      <c r="AJ667" s="80" t="s">
        <v>2427</v>
      </c>
      <c r="AK667" s="215"/>
      <c r="AL667" s="80"/>
      <c r="AM667" s="1"/>
    </row>
    <row r="668" spans="2:39" ht="45" hidden="1" customHeight="1">
      <c r="B668" s="380" t="s">
        <v>2433</v>
      </c>
      <c r="C668" s="72" t="s">
        <v>711</v>
      </c>
      <c r="D668" s="82" t="s">
        <v>712</v>
      </c>
      <c r="E668" s="72" t="s">
        <v>2434</v>
      </c>
      <c r="F668" s="73"/>
      <c r="G668" s="73" t="s">
        <v>287</v>
      </c>
      <c r="H668" s="73" t="s">
        <v>42</v>
      </c>
      <c r="I668" s="73"/>
      <c r="J668" s="74"/>
      <c r="K668" s="75">
        <v>45139</v>
      </c>
      <c r="L668" s="75"/>
      <c r="M668" s="76"/>
      <c r="N668" s="77"/>
      <c r="O668" s="77"/>
      <c r="P668" s="77"/>
      <c r="Q668" s="77"/>
      <c r="R668" s="77"/>
      <c r="S668" s="74" t="s">
        <v>2337</v>
      </c>
      <c r="T668" s="74" t="s">
        <v>122</v>
      </c>
      <c r="U668" s="385"/>
      <c r="V668" s="74"/>
      <c r="W668" s="74"/>
      <c r="X668" s="74"/>
      <c r="Y668" s="65"/>
      <c r="Z668" s="65"/>
      <c r="AA668" s="78"/>
      <c r="AB668" s="78"/>
      <c r="AC668" s="78"/>
      <c r="AD668" s="77"/>
      <c r="AE668" s="83">
        <v>0.5</v>
      </c>
      <c r="AF668" s="83">
        <v>3.4</v>
      </c>
      <c r="AG668" s="77">
        <v>45152</v>
      </c>
      <c r="AH668" s="77">
        <v>45163</v>
      </c>
      <c r="AI668" s="77"/>
      <c r="AJ668" s="80" t="s">
        <v>2427</v>
      </c>
      <c r="AK668" s="215"/>
      <c r="AL668" s="80"/>
      <c r="AM668" s="1"/>
    </row>
    <row r="669" spans="2:39" ht="45" hidden="1" customHeight="1">
      <c r="B669" s="380" t="s">
        <v>2435</v>
      </c>
      <c r="C669" s="72" t="s">
        <v>1112</v>
      </c>
      <c r="D669" s="82" t="s">
        <v>1113</v>
      </c>
      <c r="E669" s="72" t="s">
        <v>2436</v>
      </c>
      <c r="F669" s="73"/>
      <c r="G669" s="73" t="s">
        <v>296</v>
      </c>
      <c r="H669" s="73" t="s">
        <v>747</v>
      </c>
      <c r="I669" s="73"/>
      <c r="J669" s="74"/>
      <c r="K669" s="75">
        <v>45170</v>
      </c>
      <c r="L669" s="75"/>
      <c r="M669" s="76"/>
      <c r="N669" s="77"/>
      <c r="O669" s="77"/>
      <c r="P669" s="77"/>
      <c r="Q669" s="77"/>
      <c r="R669" s="77"/>
      <c r="S669" s="74" t="s">
        <v>2337</v>
      </c>
      <c r="T669" s="74" t="s">
        <v>122</v>
      </c>
      <c r="U669" s="385"/>
      <c r="V669" s="74"/>
      <c r="W669" s="74"/>
      <c r="X669" s="74"/>
      <c r="Y669" s="65"/>
      <c r="Z669" s="65"/>
      <c r="AA669" s="78" t="s">
        <v>2437</v>
      </c>
      <c r="AB669" s="78"/>
      <c r="AC669" s="78"/>
      <c r="AD669" s="77"/>
      <c r="AE669" s="81">
        <v>2200</v>
      </c>
      <c r="AF669" s="81">
        <v>8700</v>
      </c>
      <c r="AG669" s="77"/>
      <c r="AH669" s="77"/>
      <c r="AI669" s="77"/>
      <c r="AJ669" s="80" t="s">
        <v>2427</v>
      </c>
      <c r="AK669" s="215"/>
      <c r="AL669" s="80"/>
      <c r="AM669" s="1"/>
    </row>
    <row r="670" spans="2:39" ht="45" hidden="1" customHeight="1">
      <c r="B670" s="380" t="s">
        <v>2438</v>
      </c>
      <c r="C670" s="72" t="s">
        <v>674</v>
      </c>
      <c r="D670" s="82" t="s">
        <v>699</v>
      </c>
      <c r="E670" s="72" t="s">
        <v>2439</v>
      </c>
      <c r="F670" s="73"/>
      <c r="G670" s="73" t="s">
        <v>137</v>
      </c>
      <c r="H670" s="73" t="s">
        <v>833</v>
      </c>
      <c r="I670" s="73"/>
      <c r="J670" s="74"/>
      <c r="K670" s="75">
        <v>45170</v>
      </c>
      <c r="L670" s="75"/>
      <c r="M670" s="76"/>
      <c r="N670" s="77"/>
      <c r="O670" s="77"/>
      <c r="P670" s="77"/>
      <c r="Q670" s="77"/>
      <c r="R670" s="77"/>
      <c r="S670" s="74" t="s">
        <v>2337</v>
      </c>
      <c r="T670" s="74" t="s">
        <v>122</v>
      </c>
      <c r="U670" s="385"/>
      <c r="V670" s="74"/>
      <c r="W670" s="74"/>
      <c r="X670" s="74"/>
      <c r="Y670" s="65"/>
      <c r="Z670" s="65"/>
      <c r="AA670" s="78"/>
      <c r="AB670" s="78"/>
      <c r="AC670" s="78"/>
      <c r="AD670" s="77"/>
      <c r="AE670" s="81">
        <v>300</v>
      </c>
      <c r="AF670" s="81">
        <v>3000</v>
      </c>
      <c r="AG670" s="77"/>
      <c r="AH670" s="77"/>
      <c r="AI670" s="77"/>
      <c r="AJ670" s="80" t="s">
        <v>2427</v>
      </c>
      <c r="AK670" s="215"/>
      <c r="AL670" s="80"/>
      <c r="AM670" s="1"/>
    </row>
    <row r="671" spans="2:39" ht="45" hidden="1" customHeight="1">
      <c r="B671" s="72" t="s">
        <v>2440</v>
      </c>
      <c r="C671" s="72" t="s">
        <v>248</v>
      </c>
      <c r="D671" s="82" t="s">
        <v>517</v>
      </c>
      <c r="E671" s="72" t="s">
        <v>2441</v>
      </c>
      <c r="F671" s="73"/>
      <c r="G671" s="73" t="s">
        <v>296</v>
      </c>
      <c r="H671" s="73" t="s">
        <v>519</v>
      </c>
      <c r="I671" s="73"/>
      <c r="J671" s="74"/>
      <c r="K671" s="75">
        <v>45170</v>
      </c>
      <c r="L671" s="75"/>
      <c r="M671" s="77"/>
      <c r="N671" s="77"/>
      <c r="O671" s="77"/>
      <c r="P671" s="77"/>
      <c r="Q671" s="77"/>
      <c r="R671" s="77"/>
      <c r="S671" s="74" t="s">
        <v>2337</v>
      </c>
      <c r="T671" s="74" t="s">
        <v>122</v>
      </c>
      <c r="U671" s="65"/>
      <c r="V671" s="74"/>
      <c r="W671" s="74"/>
      <c r="X671" s="74"/>
      <c r="Y671" s="65"/>
      <c r="Z671" s="65"/>
      <c r="AA671" s="78"/>
      <c r="AB671" s="78"/>
      <c r="AC671" s="78"/>
      <c r="AD671" s="77"/>
      <c r="AE671" s="81">
        <v>0</v>
      </c>
      <c r="AF671" s="81">
        <v>2400</v>
      </c>
      <c r="AG671" s="77"/>
      <c r="AH671" s="77"/>
      <c r="AI671" s="77"/>
      <c r="AJ671" s="80" t="s">
        <v>2427</v>
      </c>
      <c r="AK671" s="215"/>
      <c r="AL671" s="80"/>
      <c r="AM671" s="1"/>
    </row>
    <row r="672" spans="2:39" ht="45" hidden="1" customHeight="1">
      <c r="B672" s="72" t="s">
        <v>2442</v>
      </c>
      <c r="C672" s="72" t="s">
        <v>830</v>
      </c>
      <c r="D672" s="82" t="s">
        <v>830</v>
      </c>
      <c r="E672" s="72" t="s">
        <v>2443</v>
      </c>
      <c r="F672" s="73"/>
      <c r="G672" s="73" t="s">
        <v>296</v>
      </c>
      <c r="H672" s="73" t="s">
        <v>833</v>
      </c>
      <c r="I672" s="73"/>
      <c r="J672" s="74"/>
      <c r="K672" s="75">
        <v>45170</v>
      </c>
      <c r="L672" s="75"/>
      <c r="M672" s="77"/>
      <c r="N672" s="77"/>
      <c r="O672" s="77"/>
      <c r="P672" s="77"/>
      <c r="Q672" s="77"/>
      <c r="R672" s="77"/>
      <c r="S672" s="74" t="s">
        <v>2337</v>
      </c>
      <c r="T672" s="74" t="s">
        <v>122</v>
      </c>
      <c r="U672" s="65"/>
      <c r="V672" s="74"/>
      <c r="W672" s="74"/>
      <c r="X672" s="74"/>
      <c r="Y672" s="65"/>
      <c r="Z672" s="65"/>
      <c r="AA672" s="78"/>
      <c r="AB672" s="78"/>
      <c r="AC672" s="78"/>
      <c r="AD672" s="77"/>
      <c r="AE672" s="81">
        <v>0</v>
      </c>
      <c r="AF672" s="81">
        <v>1900</v>
      </c>
      <c r="AG672" s="77"/>
      <c r="AH672" s="77"/>
      <c r="AI672" s="77"/>
      <c r="AJ672" s="80" t="s">
        <v>2427</v>
      </c>
      <c r="AK672" s="215"/>
      <c r="AL672" s="80"/>
      <c r="AM672" s="1"/>
    </row>
    <row r="673" spans="2:39" ht="45" hidden="1" customHeight="1">
      <c r="B673" s="72" t="s">
        <v>2444</v>
      </c>
      <c r="C673" s="72" t="s">
        <v>853</v>
      </c>
      <c r="D673" s="82" t="s">
        <v>854</v>
      </c>
      <c r="E673" s="72" t="s">
        <v>2445</v>
      </c>
      <c r="F673" s="73"/>
      <c r="G673" s="73"/>
      <c r="H673" s="73" t="s">
        <v>427</v>
      </c>
      <c r="I673" s="73"/>
      <c r="J673" s="74"/>
      <c r="K673" s="75">
        <v>45170</v>
      </c>
      <c r="L673" s="75"/>
      <c r="M673" s="77"/>
      <c r="N673" s="77"/>
      <c r="O673" s="77"/>
      <c r="P673" s="77"/>
      <c r="Q673" s="77"/>
      <c r="R673" s="77"/>
      <c r="S673" s="74" t="s">
        <v>2337</v>
      </c>
      <c r="T673" s="74" t="s">
        <v>122</v>
      </c>
      <c r="U673" s="65"/>
      <c r="V673" s="74"/>
      <c r="W673" s="74"/>
      <c r="X673" s="74"/>
      <c r="Y673" s="65"/>
      <c r="Z673" s="65"/>
      <c r="AA673" s="78"/>
      <c r="AB673" s="78"/>
      <c r="AC673" s="78"/>
      <c r="AD673" s="77"/>
      <c r="AE673" s="81">
        <v>2200</v>
      </c>
      <c r="AF673" s="81">
        <v>10000</v>
      </c>
      <c r="AG673" s="77"/>
      <c r="AH673" s="77"/>
      <c r="AI673" s="77"/>
      <c r="AJ673" s="80" t="s">
        <v>2427</v>
      </c>
      <c r="AK673" s="215"/>
      <c r="AL673" s="80"/>
      <c r="AM673" s="1"/>
    </row>
    <row r="674" spans="2:39" ht="45" hidden="1" customHeight="1">
      <c r="B674" s="72" t="s">
        <v>2446</v>
      </c>
      <c r="C674" s="72" t="s">
        <v>744</v>
      </c>
      <c r="D674" s="82" t="s">
        <v>2447</v>
      </c>
      <c r="E674" s="72" t="s">
        <v>2448</v>
      </c>
      <c r="F674" s="73"/>
      <c r="G674" s="73" t="s">
        <v>308</v>
      </c>
      <c r="H674" s="73" t="s">
        <v>747</v>
      </c>
      <c r="I674" s="73"/>
      <c r="J674" s="74"/>
      <c r="K674" s="75">
        <v>45170</v>
      </c>
      <c r="L674" s="75"/>
      <c r="M674" s="77"/>
      <c r="N674" s="77"/>
      <c r="O674" s="77"/>
      <c r="P674" s="77"/>
      <c r="Q674" s="77"/>
      <c r="R674" s="77"/>
      <c r="S674" s="74" t="s">
        <v>2337</v>
      </c>
      <c r="T674" s="74" t="s">
        <v>122</v>
      </c>
      <c r="U674" s="65"/>
      <c r="V674" s="74"/>
      <c r="W674" s="74"/>
      <c r="X674" s="74"/>
      <c r="Y674" s="65"/>
      <c r="Z674" s="65"/>
      <c r="AA674" s="78" t="s">
        <v>2437</v>
      </c>
      <c r="AB674" s="78"/>
      <c r="AC674" s="78"/>
      <c r="AD674" s="77"/>
      <c r="AE674" s="81"/>
      <c r="AF674" s="81"/>
      <c r="AG674" s="77"/>
      <c r="AH674" s="77"/>
      <c r="AI674" s="77"/>
      <c r="AJ674" s="80" t="s">
        <v>2427</v>
      </c>
      <c r="AK674" s="215"/>
      <c r="AL674" s="80"/>
      <c r="AM674" s="1"/>
    </row>
    <row r="675" spans="2:39" ht="45" hidden="1" customHeight="1">
      <c r="B675" s="72" t="s">
        <v>2449</v>
      </c>
      <c r="C675" s="72" t="s">
        <v>79</v>
      </c>
      <c r="D675" s="72" t="s">
        <v>619</v>
      </c>
      <c r="E675" s="72" t="s">
        <v>2450</v>
      </c>
      <c r="F675" s="73"/>
      <c r="G675" s="73" t="s">
        <v>2127</v>
      </c>
      <c r="H675" s="73" t="s">
        <v>42</v>
      </c>
      <c r="I675" s="73"/>
      <c r="J675" s="74"/>
      <c r="K675" s="75">
        <v>45870</v>
      </c>
      <c r="L675" s="76" t="s">
        <v>45</v>
      </c>
      <c r="M675" s="77"/>
      <c r="N675" s="77"/>
      <c r="O675" s="77"/>
      <c r="P675" s="77"/>
      <c r="Q675" s="77"/>
      <c r="R675" s="77" t="s">
        <v>46</v>
      </c>
      <c r="S675" s="74" t="s">
        <v>47</v>
      </c>
      <c r="T675" s="74" t="s">
        <v>122</v>
      </c>
      <c r="U675" s="65" t="s">
        <v>2451</v>
      </c>
      <c r="V675" s="74"/>
      <c r="W675" s="74" t="s">
        <v>124</v>
      </c>
      <c r="X675" s="74"/>
      <c r="Y675" s="65"/>
      <c r="Z675" s="65"/>
      <c r="AA675" s="65"/>
      <c r="AB675" s="65"/>
      <c r="AC675" s="65"/>
      <c r="AD675" s="77"/>
      <c r="AE675" s="79">
        <v>200</v>
      </c>
      <c r="AF675" s="79">
        <v>100</v>
      </c>
      <c r="AG675" s="77">
        <v>45891</v>
      </c>
      <c r="AH675" s="77"/>
      <c r="AI675" s="77"/>
      <c r="AJ675" s="80" t="s">
        <v>2427</v>
      </c>
      <c r="AK675" s="215"/>
      <c r="AL675" s="80"/>
      <c r="AM675" s="1"/>
    </row>
    <row r="676" spans="2:39" ht="45" hidden="1" customHeight="1">
      <c r="B676" s="184" t="s">
        <v>2265</v>
      </c>
      <c r="C676" s="184" t="s">
        <v>248</v>
      </c>
      <c r="D676" s="184" t="s">
        <v>249</v>
      </c>
      <c r="E676" s="185" t="s">
        <v>2266</v>
      </c>
      <c r="F676" s="548" t="s">
        <v>40</v>
      </c>
      <c r="G676" s="548" t="s">
        <v>2044</v>
      </c>
      <c r="H676" s="548" t="s">
        <v>42</v>
      </c>
      <c r="I676" s="548">
        <v>521</v>
      </c>
      <c r="J676" s="186" t="s">
        <v>74</v>
      </c>
      <c r="K676" s="549">
        <v>45870</v>
      </c>
      <c r="L676" s="550" t="s">
        <v>45</v>
      </c>
      <c r="M676" s="187"/>
      <c r="N676" s="187"/>
      <c r="O676" s="187"/>
      <c r="P676" s="187"/>
      <c r="Q676" s="187"/>
      <c r="R676" s="187" t="s">
        <v>46</v>
      </c>
      <c r="S676" s="188" t="s">
        <v>47</v>
      </c>
      <c r="T676" s="189" t="s">
        <v>1336</v>
      </c>
      <c r="U676" s="190" t="s">
        <v>2267</v>
      </c>
      <c r="V676" s="189"/>
      <c r="W676" s="189" t="s">
        <v>50</v>
      </c>
      <c r="X676" s="189"/>
      <c r="Y676" s="190" t="s">
        <v>94</v>
      </c>
      <c r="Z676" s="190"/>
      <c r="AA676" s="190" t="s">
        <v>2268</v>
      </c>
      <c r="AB676" s="190"/>
      <c r="AC676" s="190"/>
      <c r="AD676" s="187"/>
      <c r="AE676" s="191">
        <v>200</v>
      </c>
      <c r="AF676" s="191">
        <v>100</v>
      </c>
      <c r="AG676" s="187">
        <v>45908</v>
      </c>
      <c r="AH676" s="187">
        <v>45930</v>
      </c>
      <c r="AI676" s="187"/>
      <c r="AJ676" s="192" t="s">
        <v>2457</v>
      </c>
      <c r="AK676" s="214"/>
      <c r="AL676" s="192"/>
      <c r="AM676" s="1"/>
    </row>
    <row r="677" spans="2:39" ht="45" hidden="1" customHeight="1">
      <c r="B677" s="72" t="s">
        <v>2452</v>
      </c>
      <c r="C677" s="72" t="s">
        <v>2453</v>
      </c>
      <c r="D677" s="72" t="s">
        <v>224</v>
      </c>
      <c r="E677" s="72" t="s">
        <v>2454</v>
      </c>
      <c r="F677" s="72"/>
      <c r="G677" s="72" t="s">
        <v>296</v>
      </c>
      <c r="H677" s="72" t="s">
        <v>42</v>
      </c>
      <c r="I677" s="72" t="s">
        <v>2455</v>
      </c>
      <c r="J677" s="74"/>
      <c r="K677" s="84">
        <v>45870</v>
      </c>
      <c r="L677" s="77" t="s">
        <v>45</v>
      </c>
      <c r="M677" s="77"/>
      <c r="N677" s="77"/>
      <c r="O677" s="77"/>
      <c r="P677" s="77"/>
      <c r="Q677" s="77"/>
      <c r="R677" s="77" t="s">
        <v>46</v>
      </c>
      <c r="S677" s="74" t="s">
        <v>2337</v>
      </c>
      <c r="T677" s="74" t="s">
        <v>122</v>
      </c>
      <c r="U677" s="65" t="s">
        <v>2456</v>
      </c>
      <c r="V677" s="74"/>
      <c r="W677" s="74"/>
      <c r="X677" s="74"/>
      <c r="Y677" s="65"/>
      <c r="Z677" s="65"/>
      <c r="AA677" s="65" t="s">
        <v>2457</v>
      </c>
      <c r="AB677" s="65"/>
      <c r="AC677" s="65"/>
      <c r="AD677" s="77"/>
      <c r="AE677" s="79">
        <v>2500</v>
      </c>
      <c r="AF677" s="79">
        <v>11700</v>
      </c>
      <c r="AG677" s="77"/>
      <c r="AH677" s="77"/>
      <c r="AI677" s="77"/>
      <c r="AJ677" s="80" t="s">
        <v>2427</v>
      </c>
      <c r="AK677" s="215"/>
      <c r="AL677" s="80"/>
      <c r="AM677" s="1"/>
    </row>
    <row r="678" spans="2:39" ht="45" hidden="1" customHeight="1">
      <c r="B678" s="72" t="s">
        <v>2458</v>
      </c>
      <c r="C678" s="72" t="s">
        <v>449</v>
      </c>
      <c r="D678" s="85" t="s">
        <v>450</v>
      </c>
      <c r="E678" s="72" t="s">
        <v>2459</v>
      </c>
      <c r="F678" s="72"/>
      <c r="G678" s="72" t="s">
        <v>1968</v>
      </c>
      <c r="H678" s="72" t="s">
        <v>42</v>
      </c>
      <c r="I678" s="72">
        <v>131.13200000000001</v>
      </c>
      <c r="J678" s="74" t="s">
        <v>2237</v>
      </c>
      <c r="K678" s="84">
        <v>45901</v>
      </c>
      <c r="L678" s="77" t="s">
        <v>45</v>
      </c>
      <c r="M678" s="77"/>
      <c r="N678" s="77"/>
      <c r="O678" s="77"/>
      <c r="P678" s="77"/>
      <c r="Q678" s="77"/>
      <c r="R678" s="77" t="s">
        <v>46</v>
      </c>
      <c r="S678" s="74" t="s">
        <v>2337</v>
      </c>
      <c r="T678" s="74" t="s">
        <v>122</v>
      </c>
      <c r="U678" s="65" t="s">
        <v>2460</v>
      </c>
      <c r="V678" s="74"/>
      <c r="W678" s="74" t="s">
        <v>50</v>
      </c>
      <c r="X678" s="74"/>
      <c r="Y678" s="65"/>
      <c r="Z678" s="65"/>
      <c r="AA678" s="65" t="s">
        <v>2461</v>
      </c>
      <c r="AB678" s="65"/>
      <c r="AC678" s="65"/>
      <c r="AD678" s="77"/>
      <c r="AE678" s="79">
        <v>900</v>
      </c>
      <c r="AF678" s="79">
        <v>1200</v>
      </c>
      <c r="AG678" s="77"/>
      <c r="AH678" s="77"/>
      <c r="AI678" s="77"/>
      <c r="AJ678" s="80" t="s">
        <v>2427</v>
      </c>
      <c r="AK678" s="215"/>
      <c r="AL678" s="80"/>
      <c r="AM678" s="1"/>
    </row>
    <row r="679" spans="2:39" ht="45" hidden="1" customHeight="1">
      <c r="B679" s="72" t="s">
        <v>2462</v>
      </c>
      <c r="C679" s="72" t="s">
        <v>37</v>
      </c>
      <c r="D679" s="72" t="s">
        <v>38</v>
      </c>
      <c r="E679" s="72" t="s">
        <v>668</v>
      </c>
      <c r="F679" s="72"/>
      <c r="G679" s="72" t="s">
        <v>41</v>
      </c>
      <c r="H679" s="72" t="s">
        <v>42</v>
      </c>
      <c r="I679" s="72" t="s">
        <v>2463</v>
      </c>
      <c r="J679" s="74" t="s">
        <v>2237</v>
      </c>
      <c r="K679" s="84">
        <v>45901</v>
      </c>
      <c r="L679" s="77" t="s">
        <v>45</v>
      </c>
      <c r="M679" s="77"/>
      <c r="N679" s="77"/>
      <c r="O679" s="77"/>
      <c r="P679" s="77"/>
      <c r="Q679" s="77"/>
      <c r="R679" s="77" t="s">
        <v>46</v>
      </c>
      <c r="S679" s="74" t="s">
        <v>2337</v>
      </c>
      <c r="T679" s="74" t="s">
        <v>122</v>
      </c>
      <c r="U679" s="65" t="s">
        <v>2464</v>
      </c>
      <c r="V679" s="74"/>
      <c r="W679" s="74"/>
      <c r="X679" s="74"/>
      <c r="Y679" s="65"/>
      <c r="Z679" s="65"/>
      <c r="AA679" s="65" t="s">
        <v>2457</v>
      </c>
      <c r="AB679" s="65"/>
      <c r="AC679" s="65"/>
      <c r="AD679" s="77"/>
      <c r="AE679" s="79">
        <v>3300</v>
      </c>
      <c r="AF679" s="79">
        <v>11300</v>
      </c>
      <c r="AG679" s="77"/>
      <c r="AH679" s="77"/>
      <c r="AI679" s="77"/>
      <c r="AJ679" s="80" t="s">
        <v>2427</v>
      </c>
      <c r="AK679" s="215"/>
      <c r="AL679" s="80"/>
      <c r="AM679" s="1"/>
    </row>
    <row r="680" spans="2:39" ht="45" hidden="1" customHeight="1">
      <c r="B680" s="235" t="s">
        <v>2335</v>
      </c>
      <c r="C680" s="235" t="s">
        <v>79</v>
      </c>
      <c r="D680" s="235" t="s">
        <v>80</v>
      </c>
      <c r="E680" s="404" t="s">
        <v>2336</v>
      </c>
      <c r="F680" s="237"/>
      <c r="G680" s="237" t="s">
        <v>229</v>
      </c>
      <c r="H680" s="235" t="s">
        <v>42</v>
      </c>
      <c r="I680" s="237">
        <v>581</v>
      </c>
      <c r="J680" s="246" t="s">
        <v>1660</v>
      </c>
      <c r="K680" s="238">
        <v>45932</v>
      </c>
      <c r="L680" s="240" t="s">
        <v>58</v>
      </c>
      <c r="M680" s="240"/>
      <c r="N680" s="240"/>
      <c r="O680" s="240"/>
      <c r="P680" s="240"/>
      <c r="Q680" s="240"/>
      <c r="R680" s="240" t="s">
        <v>46</v>
      </c>
      <c r="S680" s="405" t="s">
        <v>47</v>
      </c>
      <c r="T680" s="241" t="s">
        <v>1336</v>
      </c>
      <c r="U680" s="242" t="s">
        <v>7022</v>
      </c>
      <c r="V680" s="241"/>
      <c r="W680" s="241" t="s">
        <v>188</v>
      </c>
      <c r="X680" s="241"/>
      <c r="Y680" s="242" t="s">
        <v>132</v>
      </c>
      <c r="Z680" s="242" t="s">
        <v>62</v>
      </c>
      <c r="AA680" s="242" t="s">
        <v>2338</v>
      </c>
      <c r="AB680" s="242"/>
      <c r="AC680" s="242"/>
      <c r="AD680" s="240"/>
      <c r="AE680" s="243">
        <v>1400</v>
      </c>
      <c r="AF680" s="243">
        <v>100</v>
      </c>
      <c r="AG680" s="240">
        <v>46055</v>
      </c>
      <c r="AH680" s="240">
        <v>46063</v>
      </c>
      <c r="AI680" s="240"/>
      <c r="AJ680" s="244" t="s">
        <v>2457</v>
      </c>
      <c r="AK680" s="245"/>
      <c r="AL680" s="244"/>
      <c r="AM680" s="1"/>
    </row>
    <row r="681" spans="2:39" ht="45" hidden="1" customHeight="1">
      <c r="B681" s="72" t="s">
        <v>2311</v>
      </c>
      <c r="C681" s="389" t="s">
        <v>2249</v>
      </c>
      <c r="D681" s="72" t="s">
        <v>6874</v>
      </c>
      <c r="E681" s="389" t="s">
        <v>2465</v>
      </c>
      <c r="F681" s="73"/>
      <c r="G681" s="73" t="s">
        <v>2313</v>
      </c>
      <c r="H681" s="72" t="s">
        <v>42</v>
      </c>
      <c r="I681" s="73" t="s">
        <v>252</v>
      </c>
      <c r="J681" s="246" t="s">
        <v>1660</v>
      </c>
      <c r="K681" s="75">
        <v>45962</v>
      </c>
      <c r="L681" s="76" t="s">
        <v>45</v>
      </c>
      <c r="M681" s="77"/>
      <c r="N681" s="77"/>
      <c r="O681" s="77"/>
      <c r="P681" s="77"/>
      <c r="Q681" s="77"/>
      <c r="R681" s="77" t="s">
        <v>46</v>
      </c>
      <c r="S681" s="74" t="s">
        <v>2337</v>
      </c>
      <c r="T681" s="74" t="s">
        <v>122</v>
      </c>
      <c r="U681" s="65" t="s">
        <v>2466</v>
      </c>
      <c r="V681" s="74"/>
      <c r="W681" s="74" t="s">
        <v>109</v>
      </c>
      <c r="X681" s="74"/>
      <c r="Y681" s="65"/>
      <c r="Z681" s="65"/>
      <c r="AA681" s="65" t="s">
        <v>2467</v>
      </c>
      <c r="AB681" s="65"/>
      <c r="AC681" s="65"/>
      <c r="AD681" s="77"/>
      <c r="AE681" s="79">
        <v>800</v>
      </c>
      <c r="AF681" s="79">
        <v>1400</v>
      </c>
      <c r="AG681" s="77">
        <v>45995</v>
      </c>
      <c r="AH681" s="77">
        <v>46013</v>
      </c>
      <c r="AI681" s="77"/>
      <c r="AJ681" s="80" t="s">
        <v>2427</v>
      </c>
      <c r="AK681" s="215"/>
      <c r="AL681" s="80"/>
      <c r="AM681" s="1"/>
    </row>
    <row r="682" spans="2:39" ht="45" hidden="1" customHeight="1">
      <c r="B682" s="235" t="s">
        <v>2348</v>
      </c>
      <c r="C682" s="234" t="s">
        <v>425</v>
      </c>
      <c r="D682" s="235" t="s">
        <v>6858</v>
      </c>
      <c r="E682" s="236" t="s">
        <v>2349</v>
      </c>
      <c r="F682" s="237"/>
      <c r="G682" s="237" t="s">
        <v>2325</v>
      </c>
      <c r="H682" s="235" t="s">
        <v>427</v>
      </c>
      <c r="I682" s="237" t="s">
        <v>2350</v>
      </c>
      <c r="J682" s="246" t="s">
        <v>6856</v>
      </c>
      <c r="K682" s="238">
        <v>45992</v>
      </c>
      <c r="L682" s="239" t="s">
        <v>99</v>
      </c>
      <c r="M682" s="240"/>
      <c r="N682" s="240"/>
      <c r="O682" s="240"/>
      <c r="P682" s="240"/>
      <c r="Q682" s="240"/>
      <c r="R682" s="240" t="s">
        <v>46</v>
      </c>
      <c r="S682" s="241" t="s">
        <v>2337</v>
      </c>
      <c r="T682" s="241" t="s">
        <v>122</v>
      </c>
      <c r="U682" s="242" t="s">
        <v>2351</v>
      </c>
      <c r="V682" s="241"/>
      <c r="W682" s="241"/>
      <c r="X682" s="241"/>
      <c r="Y682" s="242"/>
      <c r="Z682" s="242"/>
      <c r="AA682" s="242"/>
      <c r="AB682" s="242"/>
      <c r="AC682" s="242"/>
      <c r="AD682" s="240"/>
      <c r="AE682" s="243">
        <v>2000</v>
      </c>
      <c r="AF682" s="243">
        <v>3600</v>
      </c>
      <c r="AG682" s="240">
        <v>46038</v>
      </c>
      <c r="AH682" s="240">
        <v>46052</v>
      </c>
      <c r="AI682" s="240"/>
      <c r="AJ682" s="244"/>
      <c r="AK682" s="245"/>
      <c r="AL682" s="244"/>
      <c r="AM682" s="1"/>
    </row>
    <row r="683" spans="2:39" ht="45" hidden="1" customHeight="1">
      <c r="B683" s="235" t="s">
        <v>2356</v>
      </c>
      <c r="C683" s="234" t="s">
        <v>248</v>
      </c>
      <c r="D683" s="235" t="s">
        <v>249</v>
      </c>
      <c r="E683" s="236" t="s">
        <v>2357</v>
      </c>
      <c r="F683" s="237" t="s">
        <v>40</v>
      </c>
      <c r="G683" s="237" t="s">
        <v>2354</v>
      </c>
      <c r="H683" s="235" t="s">
        <v>42</v>
      </c>
      <c r="I683" s="237">
        <v>591</v>
      </c>
      <c r="J683" s="246" t="s">
        <v>6755</v>
      </c>
      <c r="K683" s="238">
        <v>45992</v>
      </c>
      <c r="L683" s="239" t="s">
        <v>45</v>
      </c>
      <c r="M683" s="240"/>
      <c r="N683" s="240"/>
      <c r="O683" s="240"/>
      <c r="P683" s="240"/>
      <c r="Q683" s="240"/>
      <c r="R683" s="240" t="s">
        <v>46</v>
      </c>
      <c r="S683" s="405" t="s">
        <v>47</v>
      </c>
      <c r="T683" s="241" t="s">
        <v>1284</v>
      </c>
      <c r="U683" s="242" t="s">
        <v>6955</v>
      </c>
      <c r="V683" s="241"/>
      <c r="W683" s="241"/>
      <c r="X683" s="241"/>
      <c r="Y683" s="242" t="s">
        <v>132</v>
      </c>
      <c r="Z683" s="242"/>
      <c r="AA683" s="242" t="s">
        <v>6910</v>
      </c>
      <c r="AB683" s="242"/>
      <c r="AC683" s="242"/>
      <c r="AD683" s="240"/>
      <c r="AE683" s="243">
        <v>300</v>
      </c>
      <c r="AF683" s="243">
        <v>100</v>
      </c>
      <c r="AG683" s="240">
        <v>46037</v>
      </c>
      <c r="AH683" s="240">
        <v>46069</v>
      </c>
      <c r="AI683" s="240"/>
      <c r="AJ683" s="244" t="s">
        <v>2457</v>
      </c>
      <c r="AK683" s="245"/>
      <c r="AL683" s="244"/>
      <c r="AM683" s="1"/>
    </row>
    <row r="684" spans="2:39" ht="45" hidden="1" customHeight="1">
      <c r="B684" s="235" t="s">
        <v>6827</v>
      </c>
      <c r="C684" s="234" t="s">
        <v>104</v>
      </c>
      <c r="D684" s="235" t="s">
        <v>105</v>
      </c>
      <c r="E684" s="256" t="s">
        <v>6851</v>
      </c>
      <c r="F684" s="237" t="s">
        <v>2104</v>
      </c>
      <c r="G684" s="237" t="s">
        <v>73</v>
      </c>
      <c r="H684" s="235" t="s">
        <v>42</v>
      </c>
      <c r="I684" s="237">
        <v>591</v>
      </c>
      <c r="J684" s="246" t="s">
        <v>6755</v>
      </c>
      <c r="K684" s="238">
        <v>46023</v>
      </c>
      <c r="L684" s="240" t="s">
        <v>45</v>
      </c>
      <c r="M684" s="239"/>
      <c r="N684" s="240"/>
      <c r="O684" s="240"/>
      <c r="P684" s="240"/>
      <c r="Q684" s="240"/>
      <c r="R684" s="240" t="s">
        <v>46</v>
      </c>
      <c r="S684" s="241" t="s">
        <v>2337</v>
      </c>
      <c r="T684" s="241" t="s">
        <v>122</v>
      </c>
      <c r="U684" s="398" t="s">
        <v>6855</v>
      </c>
      <c r="V684" s="241"/>
      <c r="W684" s="241"/>
      <c r="X684" s="241"/>
      <c r="Y684" s="242"/>
      <c r="Z684" s="242"/>
      <c r="AA684" s="242" t="s">
        <v>6848</v>
      </c>
      <c r="AB684" s="242"/>
      <c r="AC684" s="242"/>
      <c r="AD684" s="240"/>
      <c r="AE684" s="243">
        <v>1400</v>
      </c>
      <c r="AF684" s="243">
        <v>100</v>
      </c>
      <c r="AG684" s="240"/>
      <c r="AH684" s="240"/>
      <c r="AI684" s="240"/>
      <c r="AJ684" s="244"/>
      <c r="AK684" s="245"/>
      <c r="AL684" s="244"/>
      <c r="AM684" s="1"/>
    </row>
    <row r="685" spans="2:39" ht="45" hidden="1" customHeight="1">
      <c r="B685" s="235" t="s">
        <v>6885</v>
      </c>
      <c r="C685" s="390" t="s">
        <v>1030</v>
      </c>
      <c r="D685" s="391" t="s">
        <v>1031</v>
      </c>
      <c r="E685" s="392" t="s">
        <v>6915</v>
      </c>
      <c r="F685" s="393"/>
      <c r="G685" s="393" t="s">
        <v>6837</v>
      </c>
      <c r="H685" s="235" t="s">
        <v>42</v>
      </c>
      <c r="I685" s="393"/>
      <c r="J685" s="556"/>
      <c r="K685" s="394">
        <v>46023</v>
      </c>
      <c r="L685" s="395" t="s">
        <v>45</v>
      </c>
      <c r="M685" s="396"/>
      <c r="N685" s="396"/>
      <c r="O685" s="396"/>
      <c r="P685" s="396"/>
      <c r="Q685" s="396"/>
      <c r="R685" s="240" t="s">
        <v>46</v>
      </c>
      <c r="S685" s="241" t="s">
        <v>2337</v>
      </c>
      <c r="T685" s="241" t="s">
        <v>122</v>
      </c>
      <c r="U685" s="397"/>
      <c r="V685" s="399"/>
      <c r="W685" s="399"/>
      <c r="X685" s="399"/>
      <c r="Y685" s="397"/>
      <c r="Z685" s="397"/>
      <c r="AA685" s="397" t="s">
        <v>6914</v>
      </c>
      <c r="AB685" s="397"/>
      <c r="AC685" s="397"/>
      <c r="AD685" s="396"/>
      <c r="AE685" s="400"/>
      <c r="AF685" s="400"/>
      <c r="AG685" s="396"/>
      <c r="AH685" s="396"/>
      <c r="AI685" s="396"/>
      <c r="AJ685" s="401" t="s">
        <v>2427</v>
      </c>
      <c r="AK685" s="402"/>
      <c r="AL685" s="244"/>
      <c r="AM685" s="1"/>
    </row>
    <row r="686" spans="2:39" ht="45" customHeight="1">
      <c r="B686" s="1"/>
      <c r="C686" s="86"/>
      <c r="D686" s="2"/>
      <c r="E686" s="2"/>
      <c r="F686" s="2"/>
      <c r="G686" s="2"/>
      <c r="H686" s="2"/>
      <c r="I686" s="2"/>
      <c r="J686" s="1"/>
      <c r="K686" s="1"/>
      <c r="L686" s="1"/>
      <c r="M686" s="3"/>
      <c r="N686" s="3"/>
      <c r="O686" s="3"/>
      <c r="P686" s="3"/>
      <c r="Q686" s="3"/>
      <c r="R686" s="3"/>
      <c r="S686" s="1"/>
      <c r="T686" s="1"/>
      <c r="U686" s="4"/>
      <c r="V686" s="1"/>
      <c r="W686" s="1"/>
      <c r="X686" s="1"/>
      <c r="Y686" s="4"/>
      <c r="Z686" s="4"/>
      <c r="AA686" s="4"/>
      <c r="AB686" s="4"/>
      <c r="AC686" s="4"/>
      <c r="AD686" s="3"/>
      <c r="AE686" s="5"/>
      <c r="AF686" s="5"/>
      <c r="AG686" s="3"/>
      <c r="AH686" s="3"/>
      <c r="AI686" s="3"/>
      <c r="AJ686" s="7"/>
      <c r="AK686" s="7"/>
      <c r="AL686" s="7"/>
      <c r="AM686" s="1"/>
    </row>
    <row r="687" spans="2:39" ht="45" customHeight="1">
      <c r="B687" s="1"/>
      <c r="C687" s="2"/>
      <c r="D687" s="2"/>
      <c r="E687" s="2"/>
      <c r="F687" s="2"/>
      <c r="G687" s="2"/>
      <c r="H687" s="2"/>
      <c r="I687" s="2"/>
      <c r="J687" s="1"/>
      <c r="K687" s="1"/>
      <c r="L687" s="1"/>
      <c r="M687" s="3"/>
      <c r="N687" s="3"/>
      <c r="O687" s="3"/>
      <c r="P687" s="3"/>
      <c r="Q687" s="3"/>
      <c r="R687" s="3"/>
      <c r="S687" s="1"/>
      <c r="T687" s="4"/>
      <c r="U687" s="4"/>
      <c r="V687" s="1"/>
      <c r="W687" s="1"/>
      <c r="X687" s="1"/>
      <c r="Y687" s="4"/>
      <c r="Z687" s="4"/>
      <c r="AA687" s="4"/>
      <c r="AB687" s="4"/>
      <c r="AC687" s="4"/>
      <c r="AD687" s="3"/>
      <c r="AE687" s="5"/>
      <c r="AF687" s="5"/>
      <c r="AG687" s="3"/>
      <c r="AH687" s="3"/>
      <c r="AI687" s="3"/>
      <c r="AJ687" s="7"/>
      <c r="AK687" s="7"/>
      <c r="AL687" s="7"/>
      <c r="AM687" s="1"/>
    </row>
    <row r="688" spans="2:39" ht="45" customHeight="1">
      <c r="B688" s="1"/>
      <c r="C688" s="2"/>
      <c r="D688" s="2"/>
      <c r="E688" s="2"/>
      <c r="F688" s="2"/>
      <c r="G688" s="2"/>
      <c r="H688" s="2"/>
      <c r="I688" s="2"/>
      <c r="J688" s="1"/>
      <c r="K688" s="1"/>
      <c r="L688" s="1"/>
      <c r="M688" s="3"/>
      <c r="N688" s="3"/>
      <c r="O688" s="3"/>
      <c r="P688" s="3"/>
      <c r="Q688" s="3"/>
      <c r="R688" s="3"/>
      <c r="S688" s="1"/>
      <c r="T688" s="1"/>
      <c r="V688" s="1"/>
      <c r="W688" s="1"/>
      <c r="X688" s="1"/>
      <c r="Y688" s="4"/>
      <c r="Z688" s="4"/>
      <c r="AA688" s="4"/>
      <c r="AB688" s="4"/>
      <c r="AC688" s="4"/>
      <c r="AD688" s="3"/>
      <c r="AE688" s="5"/>
      <c r="AF688" s="5"/>
      <c r="AG688" s="3"/>
      <c r="AH688" s="3"/>
      <c r="AI688" s="3"/>
      <c r="AJ688" s="7"/>
      <c r="AK688" s="7"/>
      <c r="AL688" s="7"/>
      <c r="AM688" s="1"/>
    </row>
    <row r="689" spans="2:39" ht="27" customHeight="1">
      <c r="B689" s="1"/>
      <c r="C689" s="2"/>
      <c r="D689" s="2"/>
      <c r="E689" s="2"/>
      <c r="F689" s="2"/>
      <c r="G689" s="2"/>
      <c r="H689" s="2"/>
      <c r="I689" s="2"/>
      <c r="J689" s="1"/>
      <c r="K689" s="1"/>
      <c r="L689" s="1"/>
      <c r="M689" s="3"/>
      <c r="N689" s="3"/>
      <c r="O689" s="3"/>
      <c r="P689" s="3"/>
      <c r="Q689" s="3"/>
      <c r="R689" s="3"/>
      <c r="S689" s="1"/>
      <c r="T689" s="1"/>
      <c r="U689" s="4"/>
      <c r="V689" s="1"/>
      <c r="W689" s="1"/>
      <c r="X689" s="1"/>
      <c r="Y689" s="4"/>
      <c r="Z689" s="4"/>
      <c r="AA689" s="4"/>
      <c r="AB689" s="4"/>
      <c r="AC689" s="4"/>
      <c r="AD689" s="3"/>
      <c r="AE689" s="5"/>
      <c r="AF689" s="5"/>
      <c r="AG689" s="3"/>
      <c r="AH689" s="3"/>
      <c r="AI689" s="3"/>
      <c r="AJ689" s="7"/>
      <c r="AK689" s="7"/>
      <c r="AL689" s="7"/>
      <c r="AM689" s="1"/>
    </row>
    <row r="690" spans="2:39" ht="146.25" customHeight="1">
      <c r="B690" s="1"/>
      <c r="C690" s="2"/>
      <c r="D690" s="2"/>
      <c r="E690" s="2"/>
      <c r="F690" s="2"/>
      <c r="G690" s="2"/>
      <c r="H690" s="270"/>
      <c r="I690" s="270"/>
      <c r="J690" s="270"/>
      <c r="K690" s="270"/>
      <c r="L690" s="270"/>
      <c r="M690" s="270"/>
      <c r="N690" s="270"/>
      <c r="O690" s="270">
        <f>-'Ext. MDU'!I1055</f>
        <v>0</v>
      </c>
      <c r="P690" s="270"/>
      <c r="Q690" s="270"/>
      <c r="R690" s="270"/>
      <c r="S690" s="1"/>
      <c r="T690" s="1"/>
      <c r="U690" s="4"/>
      <c r="V690" s="1"/>
      <c r="W690" s="1"/>
      <c r="X690" s="1"/>
      <c r="Y690" s="4"/>
      <c r="Z690" s="4"/>
      <c r="AA690" s="4"/>
      <c r="AB690" s="4"/>
      <c r="AC690" s="4"/>
      <c r="AD690" s="3"/>
      <c r="AE690" s="5"/>
      <c r="AF690" s="5"/>
      <c r="AG690" s="3"/>
      <c r="AH690" s="3"/>
      <c r="AI690" s="3"/>
      <c r="AJ690" s="7"/>
      <c r="AK690" s="7"/>
      <c r="AL690" s="7"/>
      <c r="AM690" s="1"/>
    </row>
    <row r="691" spans="2:39" ht="27" customHeight="1">
      <c r="B691" s="1"/>
      <c r="C691" s="2"/>
      <c r="D691" s="2"/>
      <c r="E691" s="2"/>
      <c r="F691" s="2"/>
      <c r="G691" s="1"/>
      <c r="H691" s="271"/>
      <c r="I691" s="271"/>
      <c r="J691" s="271"/>
      <c r="K691" s="271"/>
      <c r="L691" s="271"/>
      <c r="M691" s="271"/>
      <c r="N691" s="271"/>
      <c r="O691" s="271"/>
      <c r="P691" s="271"/>
      <c r="Q691" s="271"/>
      <c r="R691" s="271"/>
      <c r="S691" s="1"/>
      <c r="T691" s="1"/>
      <c r="U691" s="4"/>
      <c r="V691" s="1"/>
      <c r="W691" s="1"/>
      <c r="X691" s="1"/>
      <c r="Y691" s="4"/>
      <c r="Z691" s="4"/>
      <c r="AA691" s="4"/>
      <c r="AB691" s="4"/>
      <c r="AC691" s="4"/>
      <c r="AD691" s="3"/>
      <c r="AE691" s="5"/>
      <c r="AF691" s="5"/>
      <c r="AG691" s="3"/>
      <c r="AH691" s="3"/>
      <c r="AI691" s="3"/>
      <c r="AJ691" s="7"/>
      <c r="AK691" s="7"/>
      <c r="AL691" s="7"/>
      <c r="AM691" s="1"/>
    </row>
    <row r="692" spans="2:39" ht="15" customHeight="1">
      <c r="H692" s="271"/>
      <c r="I692" s="271"/>
      <c r="J692" s="271"/>
      <c r="K692" s="271"/>
      <c r="L692" s="271"/>
      <c r="M692" s="271"/>
      <c r="N692" s="271"/>
      <c r="O692" s="271"/>
      <c r="P692" s="271"/>
      <c r="Q692" s="271"/>
      <c r="R692" s="271"/>
    </row>
    <row r="693" spans="2:39" ht="15" customHeight="1">
      <c r="H693" s="271"/>
      <c r="I693" s="271"/>
      <c r="J693" s="271"/>
    </row>
  </sheetData>
  <autoFilter ref="A6:AV685" xr:uid="{00000000-0001-0000-0000-000000000000}">
    <filterColumn colId="2">
      <filters>
        <filter val="TRZAB"/>
      </filters>
    </filterColumn>
    <sortState xmlns:xlrd2="http://schemas.microsoft.com/office/spreadsheetml/2017/richdata2" ref="A7:AV685">
      <sortCondition sortBy="cellColor" ref="C6:C685" dxfId="12"/>
    </sortState>
  </autoFilter>
  <mergeCells count="4">
    <mergeCell ref="D2:H3"/>
    <mergeCell ref="S2:T3"/>
    <mergeCell ref="W2:Z3"/>
    <mergeCell ref="AE2:AJ3"/>
  </mergeCells>
  <phoneticPr fontId="57" type="noConversion"/>
  <hyperlinks>
    <hyperlink ref="AL560" r:id="rId1" xr:uid="{FA7A5ED2-DD5E-4E9E-86D8-8FA5C542D81F}"/>
    <hyperlink ref="AL558" r:id="rId2" xr:uid="{9F788D94-B986-46D0-B2DB-E1F68031C0F2}"/>
    <hyperlink ref="AL571" r:id="rId3" xr:uid="{212E4395-DAFF-455F-9392-6E4325B6A96B}"/>
    <hyperlink ref="AL578" r:id="rId4" xr:uid="{BD571CD5-BB8E-4274-9AFB-97E0DDF26FB5}"/>
    <hyperlink ref="AL569" r:id="rId5" xr:uid="{092EF1D6-428E-4F2C-B637-973043A8A164}"/>
    <hyperlink ref="AL580" r:id="rId6" xr:uid="{D1CABE8D-A752-4CDA-9E7C-9D420354ABDB}"/>
    <hyperlink ref="AL576" r:id="rId7" xr:uid="{5780CE18-850F-4B61-A883-7E68767F3AB9}"/>
    <hyperlink ref="AL565" r:id="rId8" xr:uid="{6655D490-AF7E-456E-9AA2-7CD1520B706E}"/>
    <hyperlink ref="AL567" r:id="rId9" xr:uid="{FD98D34F-26F7-4376-A3FB-2D5364E71ACC}"/>
    <hyperlink ref="AL563" r:id="rId10" xr:uid="{7FB62E9D-9A3C-4A23-B887-911AB085FE7A}"/>
    <hyperlink ref="AL574" r:id="rId11" xr:uid="{1CAEDD44-53B7-4E82-8A2A-C3608FC611FF}"/>
    <hyperlink ref="AL585" r:id="rId12" xr:uid="{04056587-D8A9-4831-958B-7625ECF7C9D7}"/>
    <hyperlink ref="AL584" r:id="rId13" xr:uid="{EF2147FB-7D2F-4753-80C2-DED70A091A27}"/>
    <hyperlink ref="AL582" r:id="rId14" xr:uid="{9CEF2138-D175-4B8F-8656-9B4DDFADD863}"/>
    <hyperlink ref="AL583" r:id="rId15" xr:uid="{40BD0843-3C49-462B-B029-984DD35DB8C1}"/>
    <hyperlink ref="AL564" r:id="rId16" xr:uid="{B97D55EA-CDB1-413C-A76D-E8108EF1EAAF}"/>
    <hyperlink ref="AL562" r:id="rId17" xr:uid="{ED29D29D-487A-442A-AEF5-7A0287F0CC77}"/>
    <hyperlink ref="AL566" r:id="rId18" xr:uid="{A4172C63-0971-43D9-8EF4-43847A745C9F}"/>
    <hyperlink ref="AL591" r:id="rId19" xr:uid="{4572FC6C-BD32-4631-BCDC-8A2AAE36900A}"/>
    <hyperlink ref="AL592" r:id="rId20" xr:uid="{101B15A7-F28A-47E5-9BE5-27278E425A0E}"/>
    <hyperlink ref="AL561" r:id="rId21" xr:uid="{7647CDF7-078C-4A46-BCF4-A078469CCDAF}"/>
    <hyperlink ref="AL586" r:id="rId22" xr:uid="{641CAEEE-28A6-446F-B2FB-8F1097446219}"/>
    <hyperlink ref="AL587" r:id="rId23" xr:uid="{C970D9DD-4A35-4AAA-A739-F016106EFD62}"/>
    <hyperlink ref="AL588" r:id="rId24" xr:uid="{AB9C2544-7067-4E82-9D54-A1D7AF817222}"/>
    <hyperlink ref="AL589" r:id="rId25" xr:uid="{D5ABF02C-611F-4AD6-892E-CDD19E94BA61}"/>
    <hyperlink ref="AL555" r:id="rId26" xr:uid="{498A1B30-49E8-4DA6-9EC6-D3414620E8FA}"/>
    <hyperlink ref="AL625" r:id="rId27" xr:uid="{98C9F141-694B-464F-A65E-0E30B0A9A294}"/>
    <hyperlink ref="AL627" r:id="rId28" xr:uid="{E853B15F-D840-4870-9816-2410D394CC46}"/>
    <hyperlink ref="AL626" r:id="rId29" xr:uid="{69F3FE3C-B8CA-468F-8F3C-1B3C1EC44E7B}"/>
    <hyperlink ref="AL622" r:id="rId30" xr:uid="{611F2F16-91FE-415C-B54A-39E2DE20438D}"/>
    <hyperlink ref="AL596" r:id="rId31" xr:uid="{8948E978-1EA5-4FB3-9260-92E2F0571544}"/>
    <hyperlink ref="AL628" r:id="rId32" xr:uid="{A90CA959-C2BD-4552-8B29-1E1A0508590F}"/>
    <hyperlink ref="AL604" r:id="rId33" xr:uid="{79BCEED2-D692-4C4E-AE5C-2DAF8B736AF4}"/>
    <hyperlink ref="AL603" r:id="rId34" xr:uid="{9930D880-1AA3-400D-9F3D-725C7BB5817F}"/>
    <hyperlink ref="AL602" r:id="rId35" xr:uid="{687C33EE-B439-4676-AE2E-000870FA8A40}"/>
    <hyperlink ref="AL614" r:id="rId36" xr:uid="{324A516E-3D22-43E4-9236-F5FBEE428D36}"/>
    <hyperlink ref="AL621" r:id="rId37" xr:uid="{7E52662C-D651-4DAD-B08B-51070786E9F4}"/>
    <hyperlink ref="AL620" r:id="rId38" xr:uid="{07A82F70-370E-48FC-8650-12F900E7BCEF}"/>
    <hyperlink ref="AL630" r:id="rId39" xr:uid="{625BB61B-5499-44F6-A780-3F9F75739386}"/>
    <hyperlink ref="AL629" r:id="rId40" xr:uid="{4CCF2FE6-EDCC-4295-9D50-C3D248AB6F4D}"/>
    <hyperlink ref="AL623" r:id="rId41" xr:uid="{F515B3B2-5A1A-4DF2-A94A-7125EB89972E}"/>
    <hyperlink ref="AL624" r:id="rId42" xr:uid="{CDDCEFB3-9181-4D8D-8650-2059737806D4}"/>
    <hyperlink ref="AL616" r:id="rId43" xr:uid="{BAC1557A-EC81-4207-89BF-D8AA71A7E6BC}"/>
    <hyperlink ref="AL593" r:id="rId44" xr:uid="{49F148F8-2EFB-4ED4-86B1-C22075D7F545}"/>
    <hyperlink ref="AL597" r:id="rId45" xr:uid="{B1982983-BAFB-4EE0-A955-B3EA0BEC3134}"/>
    <hyperlink ref="AL610" r:id="rId46" xr:uid="{96A5DF29-1AEF-438D-86B5-C4D6E1E4DB67}"/>
    <hyperlink ref="AL612" r:id="rId47" xr:uid="{83B617A4-8AED-478A-AED7-621B6E5BA27E}"/>
    <hyperlink ref="AL609" r:id="rId48" xr:uid="{CEFF5C05-8AEA-44BF-AA91-226934574458}"/>
    <hyperlink ref="AL611" r:id="rId49" xr:uid="{D4447839-3974-4C8B-B17C-56FC03BA380A}"/>
    <hyperlink ref="AL615" r:id="rId50" xr:uid="{3C5D42FE-44C8-4B68-B025-030364CF9BE6}"/>
    <hyperlink ref="AL605" r:id="rId51" xr:uid="{8398E709-F05E-478F-999E-B96C713FB38F}"/>
    <hyperlink ref="AL606" r:id="rId52" xr:uid="{65C90CB0-092B-47B3-AACC-2C6104C0D012}"/>
    <hyperlink ref="AL590" r:id="rId53" xr:uid="{FDBF02DD-8FCB-44B9-9ABE-9C0214AB4607}"/>
    <hyperlink ref="AL613" r:id="rId54" xr:uid="{3FC0E023-245A-4704-8215-641972DD6F19}"/>
    <hyperlink ref="AL608" r:id="rId55" xr:uid="{AC513F99-8AB4-4534-B4D4-7B7677E6DF49}"/>
    <hyperlink ref="AL595" r:id="rId56" xr:uid="{1932B10A-25EB-4A78-AC0F-4E3049538470}"/>
    <hyperlink ref="AL594" r:id="rId57" xr:uid="{21BFE273-FCB9-4C20-BDDC-13717D927B83}"/>
    <hyperlink ref="AL539" r:id="rId58" xr:uid="{6D39836D-B63F-4AB9-8B0D-A490007DC9C8}"/>
    <hyperlink ref="AL556" r:id="rId59" xr:uid="{12389990-639F-4382-88D5-4792CA94CA81}"/>
    <hyperlink ref="AL572" r:id="rId60" xr:uid="{EDFD822D-D93C-43C0-BB68-E82FE01CD44C}"/>
    <hyperlink ref="AL536" r:id="rId61" xr:uid="{F8E2C15B-86FA-4984-84BB-11CCFB817F65}"/>
    <hyperlink ref="AL570" r:id="rId62" xr:uid="{C530395F-B350-4A10-8361-96231A77551F}"/>
    <hyperlink ref="AL568" r:id="rId63" xr:uid="{743E074D-2AE8-4F72-B92B-2E4204A3237A}"/>
    <hyperlink ref="AL559" r:id="rId64" xr:uid="{D91F80A1-4C86-4777-A8B3-0E3222EB3BEC}"/>
    <hyperlink ref="AL573" r:id="rId65" xr:uid="{7FB551F4-9D22-4489-833F-C69A8B6CD5EE}"/>
    <hyperlink ref="AL577" r:id="rId66" xr:uid="{327A2657-6D7F-480F-A3F4-FBEE6DE32979}"/>
    <hyperlink ref="AL535" r:id="rId67" xr:uid="{701E9016-E541-4F46-B20E-8F1C3055F8F9}"/>
    <hyperlink ref="AL575" r:id="rId68" xr:uid="{A04E19E6-C67F-45D1-9C10-59C11F1576CF}"/>
    <hyperlink ref="AL542" r:id="rId69" xr:uid="{BD3A718C-597C-4372-87DA-D3ED4C37CF4A}"/>
    <hyperlink ref="AL557" r:id="rId70" xr:uid="{C8908AD1-FFB0-49A0-843A-91FC8CC17B10}"/>
    <hyperlink ref="AL581" r:id="rId71" xr:uid="{3E991F5E-1FDB-4E98-AC84-DA180D4439FB}"/>
    <hyperlink ref="AL543" r:id="rId72" xr:uid="{8AAA9392-636C-476E-A2F1-9737CAE5DCA5}"/>
    <hyperlink ref="AL551" r:id="rId73" xr:uid="{DAC5431D-AE9D-4235-ACE8-D17FD8B90D60}"/>
    <hyperlink ref="AL544" r:id="rId74" xr:uid="{0EC9BD6E-AF49-4007-A4D6-D7D4C07951EF}"/>
    <hyperlink ref="AL647" r:id="rId75" xr:uid="{246F37A2-73B9-4061-AB94-A1BA291BBF4C}"/>
    <hyperlink ref="AL634" r:id="rId76" xr:uid="{B1873F00-50DF-42DD-A1FD-CE1536A6E9D3}"/>
    <hyperlink ref="AL648" r:id="rId77" xr:uid="{2307CD1C-1782-4814-AE36-0C6F656A407E}"/>
    <hyperlink ref="AL636" r:id="rId78" xr:uid="{86A203E4-51B9-4353-9F31-8949D001018F}"/>
    <hyperlink ref="AL637" r:id="rId79" xr:uid="{64C0F7D5-521D-4F54-B19F-9F871CC811AF}"/>
    <hyperlink ref="AL633" r:id="rId80" xr:uid="{B92F91B6-F513-401A-8724-AC50A9DCCCC9}"/>
    <hyperlink ref="AL532" r:id="rId81" xr:uid="{0C257BE0-9CBE-41C8-A658-FF176F217F39}"/>
  </hyperlinks>
  <printOptions gridLines="1"/>
  <pageMargins left="0" right="0" top="0" bottom="0" header="0.5" footer="0.5"/>
  <pageSetup paperSize="9" orientation="portrait" r:id="rId82"/>
  <drawing r:id="rId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E1306"/>
  <sheetViews>
    <sheetView showGridLines="0" zoomScale="80" zoomScaleNormal="80" workbookViewId="0">
      <pane ySplit="4" topLeftCell="A5" activePane="bottomLeft" state="frozen"/>
      <selection activeCell="N1" sqref="N1"/>
      <selection pane="bottomLeft" activeCell="H1075" sqref="H1075"/>
    </sheetView>
  </sheetViews>
  <sheetFormatPr defaultColWidth="14.44140625" defaultRowHeight="15" customHeight="1"/>
  <cols>
    <col min="1" max="1" width="1.44140625" style="421" customWidth="1"/>
    <col min="2" max="2" width="11" style="421" customWidth="1"/>
    <col min="3" max="4" width="9.109375" style="421" customWidth="1"/>
    <col min="5" max="5" width="13.88671875" style="421" customWidth="1"/>
    <col min="6" max="6" width="17.88671875" style="421" bestFit="1" customWidth="1"/>
    <col min="7" max="7" width="24.88671875" style="421" customWidth="1"/>
    <col min="8" max="8" width="107.88671875" style="421" bestFit="1" customWidth="1"/>
    <col min="9" max="9" width="22.77734375" style="421" bestFit="1" customWidth="1"/>
    <col min="10" max="10" width="9.44140625" style="421" customWidth="1"/>
    <col min="11" max="11" width="12.6640625" style="421" customWidth="1"/>
    <col min="12" max="12" width="24.5546875" style="421" customWidth="1"/>
    <col min="13" max="13" width="28" style="421" customWidth="1"/>
    <col min="14" max="14" width="10.5546875" style="421" customWidth="1"/>
    <col min="15" max="15" width="12.5546875" style="421" customWidth="1"/>
    <col min="16" max="17" width="17.77734375" style="421" bestFit="1" customWidth="1"/>
    <col min="18" max="18" width="79.44140625" style="421" customWidth="1"/>
    <col min="19" max="19" width="17.6640625" style="521" bestFit="1" customWidth="1"/>
    <col min="20" max="20" width="17.109375" style="421" customWidth="1"/>
    <col min="21" max="21" width="18.33203125" style="421" customWidth="1"/>
    <col min="22" max="22" width="25.6640625" style="421" customWidth="1"/>
    <col min="23" max="24" width="27" style="421" customWidth="1"/>
    <col min="25" max="25" width="3.33203125" style="421" customWidth="1"/>
    <col min="26" max="26" width="17.6640625" style="523" customWidth="1"/>
    <col min="27" max="27" width="27" customWidth="1"/>
    <col min="28" max="28" width="16.88671875" bestFit="1" customWidth="1"/>
    <col min="29" max="29" width="15.33203125" bestFit="1" customWidth="1"/>
    <col min="30" max="30" width="22.33203125" bestFit="1" customWidth="1"/>
    <col min="31" max="31" width="15.109375" customWidth="1"/>
    <col min="32" max="16384" width="14.44140625" style="421"/>
  </cols>
  <sheetData>
    <row r="1" spans="1:31" ht="27" customHeight="1">
      <c r="A1" s="414"/>
      <c r="B1" s="414"/>
      <c r="C1" s="415"/>
      <c r="D1" s="415"/>
      <c r="E1" s="415"/>
      <c r="F1" s="415"/>
      <c r="G1" s="416"/>
      <c r="H1" s="415"/>
      <c r="I1" s="416"/>
      <c r="J1" s="414"/>
      <c r="K1" s="414"/>
      <c r="L1" s="414"/>
      <c r="M1" s="414"/>
      <c r="N1" s="416"/>
      <c r="O1" s="416"/>
      <c r="P1" s="415"/>
      <c r="Q1" s="415"/>
      <c r="R1" s="417"/>
      <c r="S1" s="419"/>
      <c r="T1" s="418"/>
      <c r="U1" s="419"/>
      <c r="V1" s="419"/>
      <c r="W1" s="420"/>
      <c r="X1" s="420"/>
      <c r="Y1" s="420"/>
      <c r="Z1" s="419"/>
      <c r="AA1" s="420"/>
      <c r="AB1" s="420"/>
      <c r="AC1" s="420"/>
      <c r="AD1" s="420"/>
      <c r="AE1" s="420"/>
    </row>
    <row r="2" spans="1:31" ht="27" customHeight="1">
      <c r="A2" s="414"/>
      <c r="B2" s="414"/>
      <c r="C2" s="422"/>
      <c r="D2" s="422"/>
      <c r="E2" s="422"/>
      <c r="F2" s="732" t="s">
        <v>2470</v>
      </c>
      <c r="G2" s="733"/>
      <c r="H2" s="733"/>
      <c r="I2" s="423"/>
      <c r="J2" s="424"/>
      <c r="K2" s="417"/>
      <c r="L2" s="735" t="s">
        <v>2471</v>
      </c>
      <c r="M2" s="736"/>
      <c r="N2" s="416"/>
      <c r="O2" s="416"/>
      <c r="P2" s="415"/>
      <c r="Q2" s="415"/>
      <c r="R2" s="425"/>
      <c r="S2" s="419"/>
      <c r="T2" s="738" t="s">
        <v>2472</v>
      </c>
      <c r="U2" s="739"/>
      <c r="V2" s="739"/>
      <c r="W2" s="739"/>
      <c r="X2" s="739"/>
      <c r="Y2" s="524"/>
      <c r="Z2" s="738" t="s">
        <v>1</v>
      </c>
      <c r="AA2" s="739"/>
      <c r="AB2" s="739"/>
      <c r="AC2" s="739"/>
      <c r="AD2" s="739"/>
      <c r="AE2" s="742"/>
    </row>
    <row r="3" spans="1:31" ht="24.75" customHeight="1">
      <c r="A3" s="414"/>
      <c r="B3" s="414"/>
      <c r="C3" s="426"/>
      <c r="D3" s="426"/>
      <c r="E3" s="426"/>
      <c r="F3" s="734"/>
      <c r="G3" s="734"/>
      <c r="H3" s="734"/>
      <c r="I3" s="427"/>
      <c r="J3" s="428"/>
      <c r="K3" s="417"/>
      <c r="L3" s="737"/>
      <c r="M3" s="734"/>
      <c r="N3" s="416"/>
      <c r="O3" s="416"/>
      <c r="P3" s="415"/>
      <c r="Q3" s="415"/>
      <c r="R3" s="425"/>
      <c r="S3" s="419"/>
      <c r="T3" s="740"/>
      <c r="U3" s="741"/>
      <c r="V3" s="741"/>
      <c r="W3" s="741"/>
      <c r="X3" s="741"/>
      <c r="Y3" s="524"/>
      <c r="Z3" s="740"/>
      <c r="AA3" s="741"/>
      <c r="AB3" s="741"/>
      <c r="AC3" s="741"/>
      <c r="AD3" s="741"/>
      <c r="AE3" s="743"/>
    </row>
    <row r="4" spans="1:31" ht="45" customHeight="1">
      <c r="A4" s="414"/>
      <c r="B4" s="635" t="s">
        <v>4</v>
      </c>
      <c r="C4" s="635" t="s">
        <v>2473</v>
      </c>
      <c r="D4" s="635" t="s">
        <v>2474</v>
      </c>
      <c r="E4" s="635" t="s">
        <v>2475</v>
      </c>
      <c r="F4" s="635" t="s">
        <v>10</v>
      </c>
      <c r="G4" s="635" t="s">
        <v>2476</v>
      </c>
      <c r="H4" s="635" t="s">
        <v>2477</v>
      </c>
      <c r="I4" s="635" t="s">
        <v>2478</v>
      </c>
      <c r="J4" s="635" t="s">
        <v>13</v>
      </c>
      <c r="K4" s="635" t="s">
        <v>1</v>
      </c>
      <c r="L4" s="635" t="s">
        <v>25</v>
      </c>
      <c r="M4" s="635" t="s">
        <v>26</v>
      </c>
      <c r="N4" s="635" t="s">
        <v>2479</v>
      </c>
      <c r="O4" s="635" t="s">
        <v>2480</v>
      </c>
      <c r="P4" s="635" t="s">
        <v>2481</v>
      </c>
      <c r="Q4" s="635" t="s">
        <v>2482</v>
      </c>
      <c r="R4" s="635" t="s">
        <v>2483</v>
      </c>
      <c r="S4" s="656" t="s">
        <v>29</v>
      </c>
      <c r="T4" s="655" t="s">
        <v>2484</v>
      </c>
      <c r="U4" s="656" t="s">
        <v>32</v>
      </c>
      <c r="V4" s="656" t="s">
        <v>33</v>
      </c>
      <c r="W4" s="656" t="s">
        <v>34</v>
      </c>
      <c r="X4" s="656" t="s">
        <v>2486</v>
      </c>
      <c r="Y4" s="657" t="s">
        <v>8052</v>
      </c>
      <c r="Z4" s="658" t="s">
        <v>8048</v>
      </c>
      <c r="AA4" s="658" t="s">
        <v>8045</v>
      </c>
      <c r="AB4" s="658" t="s">
        <v>8521</v>
      </c>
      <c r="AC4" s="658" t="s">
        <v>8036</v>
      </c>
      <c r="AD4" s="658" t="s">
        <v>8035</v>
      </c>
      <c r="AE4" s="658" t="s">
        <v>8037</v>
      </c>
    </row>
    <row r="5" spans="1:31" ht="36" hidden="1" customHeight="1">
      <c r="A5" s="463"/>
      <c r="B5" s="440" t="s">
        <v>4282</v>
      </c>
      <c r="C5" s="440" t="s">
        <v>353</v>
      </c>
      <c r="D5" s="440" t="s">
        <v>355</v>
      </c>
      <c r="E5" s="440" t="s">
        <v>354</v>
      </c>
      <c r="F5" s="440" t="s">
        <v>42</v>
      </c>
      <c r="G5" s="441" t="s">
        <v>4283</v>
      </c>
      <c r="H5" s="440" t="s">
        <v>4284</v>
      </c>
      <c r="I5" s="441" t="s">
        <v>4285</v>
      </c>
      <c r="J5" s="450">
        <v>45505</v>
      </c>
      <c r="K5" s="429" t="s">
        <v>2493</v>
      </c>
      <c r="L5" s="444" t="s">
        <v>774</v>
      </c>
      <c r="M5" s="444" t="s">
        <v>774</v>
      </c>
      <c r="N5" s="441" t="s">
        <v>2572</v>
      </c>
      <c r="O5" s="445" t="s">
        <v>85</v>
      </c>
      <c r="P5" s="445"/>
      <c r="Q5" s="445">
        <v>80</v>
      </c>
      <c r="R5" s="445" t="s">
        <v>4286</v>
      </c>
      <c r="S5" s="446">
        <v>45545</v>
      </c>
      <c r="T5" s="446">
        <v>45532</v>
      </c>
      <c r="U5" s="446">
        <v>45532</v>
      </c>
      <c r="V5" s="447">
        <v>45534</v>
      </c>
      <c r="W5" s="447">
        <v>45534</v>
      </c>
      <c r="X5" s="447" t="s">
        <v>8044</v>
      </c>
      <c r="Y5" s="420"/>
      <c r="Z5" s="224" t="str">
        <f t="shared" ref="Z5:Z68" si="0">IF(K5="CANCELADO","CANCELADO",IF(AA5="PENDENTE","AG. RELATÓRIO",IF(S5="SIM","AG. MEDIÇÃO",IF(S5&gt;0,"AG. MEDIÇÃO","PENDENTE"))))</f>
        <v>AG. MEDIÇÃO</v>
      </c>
      <c r="AA5" s="207" t="str">
        <f t="shared" ref="AA5:AA68" si="1">IF(K5="CANCELADO","CANCELADO",IF(X5="","PENDENTE","ENTREGUE"))</f>
        <v>ENTREGUE</v>
      </c>
      <c r="AB5" s="207" t="str">
        <f t="shared" ref="AB5:AB68" si="2">IF(K5="SEM SINAL","SEM SINAL",IF(K5="PARALISADO","PARALISADO",IF(Z5="PENDENTE","AG. MEDIÇÃO",IF(K5="CANCELADO","CANCELADO",Z5))))</f>
        <v>AG. MEDIÇÃO</v>
      </c>
      <c r="AC5" s="156">
        <f t="shared" ref="AC5:AC68" ca="1" si="3">IFERROR(IF(K5="CANCELADO","CANCELADO",IF(T5="","DATA ENTRADA",IF(AND(T5&gt;0,W5=""),NETWORKDAYS(T5,TODAY())-1,NETWORKDAYS(T5,W5)-1))),"CHECAR DATA")</f>
        <v>2</v>
      </c>
      <c r="AD5" s="156" t="str">
        <f t="shared" ref="AD5:AD68" ca="1" si="4">IF(AC5&lt;=3,"NO PRAZO","ATRASADO")</f>
        <v>NO PRAZO</v>
      </c>
      <c r="AE5" s="156">
        <f t="shared" ref="AE5:AE68" ca="1" si="5">IFERROR(AC5-3,AC5)</f>
        <v>-1</v>
      </c>
    </row>
    <row r="6" spans="1:31" ht="36" hidden="1" customHeight="1">
      <c r="A6" s="414"/>
      <c r="B6" s="440" t="s">
        <v>3711</v>
      </c>
      <c r="C6" s="440" t="s">
        <v>267</v>
      </c>
      <c r="D6" s="440" t="s">
        <v>3712</v>
      </c>
      <c r="E6" s="440"/>
      <c r="F6" s="440" t="s">
        <v>42</v>
      </c>
      <c r="G6" s="441" t="s">
        <v>3348</v>
      </c>
      <c r="H6" s="440" t="s">
        <v>3713</v>
      </c>
      <c r="I6" s="441" t="s">
        <v>3714</v>
      </c>
      <c r="J6" s="450">
        <v>45383</v>
      </c>
      <c r="K6" s="429" t="s">
        <v>2493</v>
      </c>
      <c r="L6" s="444" t="s">
        <v>3715</v>
      </c>
      <c r="M6" s="444" t="s">
        <v>132</v>
      </c>
      <c r="N6" s="441" t="s">
        <v>2572</v>
      </c>
      <c r="O6" s="445" t="s">
        <v>3716</v>
      </c>
      <c r="P6" s="445"/>
      <c r="Q6" s="441">
        <v>163</v>
      </c>
      <c r="R6" s="445" t="s">
        <v>3717</v>
      </c>
      <c r="S6" s="446">
        <v>45469</v>
      </c>
      <c r="T6" s="446">
        <v>45405</v>
      </c>
      <c r="U6" s="446"/>
      <c r="V6" s="447">
        <v>45448</v>
      </c>
      <c r="W6" s="447">
        <v>45448</v>
      </c>
      <c r="X6" s="447" t="s">
        <v>8044</v>
      </c>
      <c r="Y6" s="420"/>
      <c r="Z6" s="224" t="str">
        <f t="shared" si="0"/>
        <v>AG. MEDIÇÃO</v>
      </c>
      <c r="AA6" s="207" t="str">
        <f t="shared" si="1"/>
        <v>ENTREGUE</v>
      </c>
      <c r="AB6" s="207" t="str">
        <f t="shared" si="2"/>
        <v>AG. MEDIÇÃO</v>
      </c>
      <c r="AC6" s="156">
        <f t="shared" ca="1" si="3"/>
        <v>31</v>
      </c>
      <c r="AD6" s="156" t="str">
        <f t="shared" ca="1" si="4"/>
        <v>ATRASADO</v>
      </c>
      <c r="AE6" s="156">
        <f t="shared" ca="1" si="5"/>
        <v>28</v>
      </c>
    </row>
    <row r="7" spans="1:31" ht="36" hidden="1" customHeight="1">
      <c r="A7" s="414"/>
      <c r="B7" s="440" t="s">
        <v>4060</v>
      </c>
      <c r="C7" s="440" t="s">
        <v>111</v>
      </c>
      <c r="D7" s="440" t="s">
        <v>348</v>
      </c>
      <c r="E7" s="440" t="s">
        <v>2504</v>
      </c>
      <c r="F7" s="440" t="s">
        <v>42</v>
      </c>
      <c r="G7" s="441" t="s">
        <v>4061</v>
      </c>
      <c r="H7" s="440" t="s">
        <v>4062</v>
      </c>
      <c r="I7" s="441" t="s">
        <v>4063</v>
      </c>
      <c r="J7" s="450">
        <v>45474</v>
      </c>
      <c r="K7" s="429" t="s">
        <v>2493</v>
      </c>
      <c r="L7" s="444" t="s">
        <v>3221</v>
      </c>
      <c r="M7" s="444" t="s">
        <v>827</v>
      </c>
      <c r="N7" s="441" t="s">
        <v>2572</v>
      </c>
      <c r="O7" s="445" t="s">
        <v>85</v>
      </c>
      <c r="P7" s="445"/>
      <c r="Q7" s="445">
        <v>359</v>
      </c>
      <c r="R7" s="445" t="s">
        <v>4064</v>
      </c>
      <c r="S7" s="446">
        <v>45532</v>
      </c>
      <c r="T7" s="446">
        <v>45497</v>
      </c>
      <c r="U7" s="446">
        <v>45504</v>
      </c>
      <c r="V7" s="447">
        <v>45504</v>
      </c>
      <c r="W7" s="447">
        <v>45505</v>
      </c>
      <c r="X7" s="447" t="s">
        <v>8044</v>
      </c>
      <c r="Y7" s="420"/>
      <c r="Z7" s="224" t="str">
        <f t="shared" si="0"/>
        <v>AG. MEDIÇÃO</v>
      </c>
      <c r="AA7" s="207" t="str">
        <f t="shared" si="1"/>
        <v>ENTREGUE</v>
      </c>
      <c r="AB7" s="207" t="str">
        <f t="shared" si="2"/>
        <v>AG. MEDIÇÃO</v>
      </c>
      <c r="AC7" s="156">
        <f t="shared" ca="1" si="3"/>
        <v>6</v>
      </c>
      <c r="AD7" s="156" t="str">
        <f t="shared" ca="1" si="4"/>
        <v>ATRASADO</v>
      </c>
      <c r="AE7" s="156">
        <f t="shared" ca="1" si="5"/>
        <v>3</v>
      </c>
    </row>
    <row r="8" spans="1:31" ht="36" hidden="1" customHeight="1">
      <c r="A8" s="414"/>
      <c r="B8" s="440" t="s">
        <v>3428</v>
      </c>
      <c r="C8" s="440" t="s">
        <v>410</v>
      </c>
      <c r="D8" s="440"/>
      <c r="E8" s="440"/>
      <c r="F8" s="440" t="s">
        <v>42</v>
      </c>
      <c r="G8" s="441" t="s">
        <v>3429</v>
      </c>
      <c r="H8" s="440" t="s">
        <v>3430</v>
      </c>
      <c r="I8" s="441"/>
      <c r="J8" s="450">
        <v>45323</v>
      </c>
      <c r="K8" s="429" t="s">
        <v>2493</v>
      </c>
      <c r="L8" s="444" t="s">
        <v>1167</v>
      </c>
      <c r="M8" s="444" t="s">
        <v>1167</v>
      </c>
      <c r="N8" s="441" t="s">
        <v>2572</v>
      </c>
      <c r="O8" s="445" t="s">
        <v>85</v>
      </c>
      <c r="P8" s="445"/>
      <c r="Q8" s="441">
        <v>377</v>
      </c>
      <c r="R8" s="445" t="s">
        <v>3431</v>
      </c>
      <c r="S8" s="446">
        <v>45345</v>
      </c>
      <c r="T8" s="446">
        <v>45336</v>
      </c>
      <c r="U8" s="446">
        <v>45337</v>
      </c>
      <c r="V8" s="446">
        <v>45338</v>
      </c>
      <c r="W8" s="447">
        <v>45338</v>
      </c>
      <c r="X8" s="447" t="s">
        <v>8044</v>
      </c>
      <c r="Y8" s="420"/>
      <c r="Z8" s="224" t="str">
        <f t="shared" si="0"/>
        <v>AG. MEDIÇÃO</v>
      </c>
      <c r="AA8" s="207" t="str">
        <f t="shared" si="1"/>
        <v>ENTREGUE</v>
      </c>
      <c r="AB8" s="207" t="str">
        <f t="shared" si="2"/>
        <v>AG. MEDIÇÃO</v>
      </c>
      <c r="AC8" s="156">
        <f t="shared" ca="1" si="3"/>
        <v>2</v>
      </c>
      <c r="AD8" s="156" t="str">
        <f t="shared" ca="1" si="4"/>
        <v>NO PRAZO</v>
      </c>
      <c r="AE8" s="156">
        <f t="shared" ca="1" si="5"/>
        <v>-1</v>
      </c>
    </row>
    <row r="9" spans="1:31" ht="36" hidden="1" customHeight="1">
      <c r="A9" s="414"/>
      <c r="B9" s="440" t="s">
        <v>3045</v>
      </c>
      <c r="C9" s="440" t="s">
        <v>353</v>
      </c>
      <c r="D9" s="440"/>
      <c r="E9" s="440"/>
      <c r="F9" s="440" t="s">
        <v>42</v>
      </c>
      <c r="G9" s="441" t="s">
        <v>3046</v>
      </c>
      <c r="H9" s="440" t="s">
        <v>3047</v>
      </c>
      <c r="I9" s="449"/>
      <c r="J9" s="450">
        <v>45170</v>
      </c>
      <c r="K9" s="429" t="s">
        <v>2493</v>
      </c>
      <c r="L9" s="444"/>
      <c r="M9" s="444" t="s">
        <v>3048</v>
      </c>
      <c r="N9" s="441" t="s">
        <v>2572</v>
      </c>
      <c r="O9" s="445" t="s">
        <v>85</v>
      </c>
      <c r="P9" s="441" t="s">
        <v>2494</v>
      </c>
      <c r="Q9" s="441" t="s">
        <v>2494</v>
      </c>
      <c r="R9" s="445" t="s">
        <v>3049</v>
      </c>
      <c r="S9" s="446">
        <v>45223</v>
      </c>
      <c r="T9" s="446">
        <v>45180</v>
      </c>
      <c r="U9" s="446"/>
      <c r="V9" s="446">
        <v>45205</v>
      </c>
      <c r="W9" s="447">
        <v>45205</v>
      </c>
      <c r="X9" s="447" t="s">
        <v>8044</v>
      </c>
      <c r="Y9" s="420"/>
      <c r="Z9" s="224" t="str">
        <f t="shared" si="0"/>
        <v>AG. MEDIÇÃO</v>
      </c>
      <c r="AA9" s="207" t="str">
        <f t="shared" si="1"/>
        <v>ENTREGUE</v>
      </c>
      <c r="AB9" s="207" t="str">
        <f t="shared" si="2"/>
        <v>AG. MEDIÇÃO</v>
      </c>
      <c r="AC9" s="156">
        <f t="shared" ca="1" si="3"/>
        <v>19</v>
      </c>
      <c r="AD9" s="156" t="str">
        <f t="shared" ca="1" si="4"/>
        <v>ATRASADO</v>
      </c>
      <c r="AE9" s="156">
        <f t="shared" ca="1" si="5"/>
        <v>16</v>
      </c>
    </row>
    <row r="10" spans="1:31" ht="36" hidden="1" customHeight="1">
      <c r="A10" s="414"/>
      <c r="B10" s="440" t="s">
        <v>3989</v>
      </c>
      <c r="C10" s="440" t="s">
        <v>79</v>
      </c>
      <c r="D10" s="440" t="s">
        <v>620</v>
      </c>
      <c r="E10" s="440" t="s">
        <v>619</v>
      </c>
      <c r="F10" s="440" t="s">
        <v>42</v>
      </c>
      <c r="G10" s="441" t="s">
        <v>3990</v>
      </c>
      <c r="H10" s="440" t="s">
        <v>3991</v>
      </c>
      <c r="I10" s="441" t="s">
        <v>3992</v>
      </c>
      <c r="J10" s="450">
        <v>45474</v>
      </c>
      <c r="K10" s="429" t="s">
        <v>2493</v>
      </c>
      <c r="L10" s="444" t="s">
        <v>124</v>
      </c>
      <c r="M10" s="444" t="s">
        <v>827</v>
      </c>
      <c r="N10" s="441" t="s">
        <v>2572</v>
      </c>
      <c r="O10" s="445" t="s">
        <v>85</v>
      </c>
      <c r="P10" s="445"/>
      <c r="Q10" s="445">
        <v>320</v>
      </c>
      <c r="R10" s="445" t="s">
        <v>3993</v>
      </c>
      <c r="S10" s="446">
        <v>45532</v>
      </c>
      <c r="T10" s="446">
        <v>45482</v>
      </c>
      <c r="U10" s="446">
        <v>45484</v>
      </c>
      <c r="V10" s="447">
        <v>45489</v>
      </c>
      <c r="W10" s="447">
        <v>45497</v>
      </c>
      <c r="X10" s="447" t="s">
        <v>8044</v>
      </c>
      <c r="Y10" s="420"/>
      <c r="Z10" s="224" t="str">
        <f t="shared" si="0"/>
        <v>AG. MEDIÇÃO</v>
      </c>
      <c r="AA10" s="207" t="str">
        <f t="shared" si="1"/>
        <v>ENTREGUE</v>
      </c>
      <c r="AB10" s="207" t="str">
        <f t="shared" si="2"/>
        <v>AG. MEDIÇÃO</v>
      </c>
      <c r="AC10" s="156">
        <f t="shared" ca="1" si="3"/>
        <v>11</v>
      </c>
      <c r="AD10" s="156" t="str">
        <f t="shared" ca="1" si="4"/>
        <v>ATRASADO</v>
      </c>
      <c r="AE10" s="156">
        <f t="shared" ca="1" si="5"/>
        <v>8</v>
      </c>
    </row>
    <row r="11" spans="1:31" ht="36" hidden="1" customHeight="1">
      <c r="A11" s="414"/>
      <c r="B11" s="429" t="s">
        <v>7568</v>
      </c>
      <c r="C11" s="430" t="s">
        <v>79</v>
      </c>
      <c r="D11" s="431"/>
      <c r="E11" s="432" t="s">
        <v>619</v>
      </c>
      <c r="F11" s="429" t="s">
        <v>42</v>
      </c>
      <c r="G11" s="434" t="s">
        <v>7532</v>
      </c>
      <c r="H11" s="636" t="s">
        <v>7533</v>
      </c>
      <c r="I11" s="433" t="s">
        <v>7534</v>
      </c>
      <c r="J11" s="432">
        <v>46143</v>
      </c>
      <c r="K11" s="429" t="s">
        <v>2493</v>
      </c>
      <c r="L11" s="436" t="s">
        <v>124</v>
      </c>
      <c r="M11" s="436" t="s">
        <v>62</v>
      </c>
      <c r="N11" s="433"/>
      <c r="O11" s="437" t="s">
        <v>85</v>
      </c>
      <c r="P11" s="433">
        <v>250</v>
      </c>
      <c r="Q11" s="437">
        <v>164</v>
      </c>
      <c r="R11" s="437" t="s">
        <v>8291</v>
      </c>
      <c r="S11" s="438">
        <v>46241</v>
      </c>
      <c r="T11" s="438">
        <v>46155</v>
      </c>
      <c r="U11" s="438"/>
      <c r="V11" s="439"/>
      <c r="W11" s="439">
        <v>46162</v>
      </c>
      <c r="X11" s="439">
        <v>46218</v>
      </c>
      <c r="Y11" s="420"/>
      <c r="Z11" s="224" t="str">
        <f t="shared" si="0"/>
        <v>AG. MEDIÇÃO</v>
      </c>
      <c r="AA11" s="207" t="str">
        <f t="shared" si="1"/>
        <v>ENTREGUE</v>
      </c>
      <c r="AB11" s="207" t="str">
        <f t="shared" si="2"/>
        <v>AG. MEDIÇÃO</v>
      </c>
      <c r="AC11" s="156">
        <f t="shared" ca="1" si="3"/>
        <v>5</v>
      </c>
      <c r="AD11" s="156" t="str">
        <f t="shared" ca="1" si="4"/>
        <v>ATRASADO</v>
      </c>
      <c r="AE11" s="156">
        <f t="shared" ca="1" si="5"/>
        <v>2</v>
      </c>
    </row>
    <row r="12" spans="1:31" ht="36" hidden="1" customHeight="1">
      <c r="A12" s="414"/>
      <c r="B12" s="440" t="s">
        <v>3028</v>
      </c>
      <c r="C12" s="440" t="s">
        <v>142</v>
      </c>
      <c r="D12" s="440"/>
      <c r="E12" s="440"/>
      <c r="F12" s="440" t="s">
        <v>42</v>
      </c>
      <c r="G12" s="441" t="s">
        <v>3029</v>
      </c>
      <c r="H12" s="440" t="s">
        <v>3030</v>
      </c>
      <c r="I12" s="449"/>
      <c r="J12" s="443">
        <v>45139</v>
      </c>
      <c r="K12" s="429" t="s">
        <v>2493</v>
      </c>
      <c r="L12" s="444"/>
      <c r="M12" s="444" t="s">
        <v>1155</v>
      </c>
      <c r="N12" s="441" t="s">
        <v>2572</v>
      </c>
      <c r="O12" s="445" t="s">
        <v>2573</v>
      </c>
      <c r="P12" s="441" t="s">
        <v>2494</v>
      </c>
      <c r="Q12" s="441" t="s">
        <v>2494</v>
      </c>
      <c r="R12" s="445" t="s">
        <v>3031</v>
      </c>
      <c r="S12" s="446">
        <v>45175</v>
      </c>
      <c r="T12" s="446">
        <v>45160</v>
      </c>
      <c r="U12" s="446">
        <v>45160</v>
      </c>
      <c r="V12" s="446">
        <v>45160</v>
      </c>
      <c r="W12" s="447">
        <v>45161</v>
      </c>
      <c r="X12" s="447" t="s">
        <v>8044</v>
      </c>
      <c r="Y12" s="420"/>
      <c r="Z12" s="224" t="str">
        <f t="shared" si="0"/>
        <v>AG. MEDIÇÃO</v>
      </c>
      <c r="AA12" s="207" t="str">
        <f t="shared" si="1"/>
        <v>ENTREGUE</v>
      </c>
      <c r="AB12" s="207" t="str">
        <f t="shared" si="2"/>
        <v>AG. MEDIÇÃO</v>
      </c>
      <c r="AC12" s="156">
        <f t="shared" ca="1" si="3"/>
        <v>1</v>
      </c>
      <c r="AD12" s="156" t="str">
        <f t="shared" ca="1" si="4"/>
        <v>NO PRAZO</v>
      </c>
      <c r="AE12" s="156">
        <f t="shared" ca="1" si="5"/>
        <v>-2</v>
      </c>
    </row>
    <row r="13" spans="1:31" ht="36" hidden="1" customHeight="1">
      <c r="A13" s="414"/>
      <c r="B13" s="440" t="s">
        <v>4362</v>
      </c>
      <c r="C13" s="440" t="s">
        <v>380</v>
      </c>
      <c r="D13" s="440"/>
      <c r="E13" s="440" t="s">
        <v>685</v>
      </c>
      <c r="F13" s="440" t="s">
        <v>42</v>
      </c>
      <c r="G13" s="441" t="s">
        <v>4363</v>
      </c>
      <c r="H13" s="440" t="s">
        <v>4364</v>
      </c>
      <c r="I13" s="441" t="s">
        <v>4365</v>
      </c>
      <c r="J13" s="450">
        <v>45536</v>
      </c>
      <c r="K13" s="429" t="s">
        <v>2493</v>
      </c>
      <c r="L13" s="444" t="s">
        <v>4366</v>
      </c>
      <c r="M13" s="444" t="s">
        <v>1122</v>
      </c>
      <c r="N13" s="441" t="s">
        <v>2572</v>
      </c>
      <c r="O13" s="445" t="s">
        <v>85</v>
      </c>
      <c r="P13" s="445">
        <v>1650</v>
      </c>
      <c r="Q13" s="445">
        <v>1351</v>
      </c>
      <c r="R13" s="445" t="s">
        <v>4367</v>
      </c>
      <c r="S13" s="446">
        <v>45555</v>
      </c>
      <c r="T13" s="446">
        <v>45541</v>
      </c>
      <c r="U13" s="446">
        <v>45544</v>
      </c>
      <c r="V13" s="447">
        <v>45547</v>
      </c>
      <c r="W13" s="447">
        <v>45553</v>
      </c>
      <c r="X13" s="447" t="s">
        <v>8044</v>
      </c>
      <c r="Y13" s="420"/>
      <c r="Z13" s="224" t="str">
        <f t="shared" si="0"/>
        <v>AG. MEDIÇÃO</v>
      </c>
      <c r="AA13" s="207" t="str">
        <f t="shared" si="1"/>
        <v>ENTREGUE</v>
      </c>
      <c r="AB13" s="207" t="str">
        <f t="shared" si="2"/>
        <v>AG. MEDIÇÃO</v>
      </c>
      <c r="AC13" s="156">
        <f t="shared" ca="1" si="3"/>
        <v>8</v>
      </c>
      <c r="AD13" s="156" t="str">
        <f t="shared" ca="1" si="4"/>
        <v>ATRASADO</v>
      </c>
      <c r="AE13" s="156">
        <f t="shared" ca="1" si="5"/>
        <v>5</v>
      </c>
    </row>
    <row r="14" spans="1:31" ht="36" hidden="1" customHeight="1">
      <c r="A14" s="414"/>
      <c r="B14" s="440" t="s">
        <v>2992</v>
      </c>
      <c r="C14" s="440" t="s">
        <v>2993</v>
      </c>
      <c r="D14" s="440"/>
      <c r="E14" s="440"/>
      <c r="F14" s="440" t="s">
        <v>42</v>
      </c>
      <c r="G14" s="441" t="s">
        <v>2994</v>
      </c>
      <c r="H14" s="440" t="s">
        <v>2995</v>
      </c>
      <c r="I14" s="449"/>
      <c r="J14" s="450">
        <v>45078</v>
      </c>
      <c r="K14" s="429" t="s">
        <v>2493</v>
      </c>
      <c r="L14" s="444" t="s">
        <v>2996</v>
      </c>
      <c r="M14" s="444" t="s">
        <v>1155</v>
      </c>
      <c r="N14" s="441" t="s">
        <v>2572</v>
      </c>
      <c r="O14" s="441" t="s">
        <v>85</v>
      </c>
      <c r="P14" s="441"/>
      <c r="Q14" s="441">
        <v>72</v>
      </c>
      <c r="R14" s="454" t="s">
        <v>2997</v>
      </c>
      <c r="S14" s="446">
        <v>45203</v>
      </c>
      <c r="T14" s="446">
        <v>45092</v>
      </c>
      <c r="U14" s="446">
        <v>45123</v>
      </c>
      <c r="V14" s="446">
        <v>45162</v>
      </c>
      <c r="W14" s="447">
        <v>45166</v>
      </c>
      <c r="X14" s="447" t="s">
        <v>8044</v>
      </c>
      <c r="Y14" s="420"/>
      <c r="Z14" s="224" t="str">
        <f t="shared" si="0"/>
        <v>AG. MEDIÇÃO</v>
      </c>
      <c r="AA14" s="207" t="str">
        <f t="shared" si="1"/>
        <v>ENTREGUE</v>
      </c>
      <c r="AB14" s="207" t="str">
        <f t="shared" si="2"/>
        <v>AG. MEDIÇÃO</v>
      </c>
      <c r="AC14" s="156">
        <f t="shared" ca="1" si="3"/>
        <v>52</v>
      </c>
      <c r="AD14" s="156" t="str">
        <f t="shared" ca="1" si="4"/>
        <v>ATRASADO</v>
      </c>
      <c r="AE14" s="156">
        <f t="shared" ca="1" si="5"/>
        <v>49</v>
      </c>
    </row>
    <row r="15" spans="1:31" ht="36" hidden="1" customHeight="1">
      <c r="A15" s="414"/>
      <c r="B15" s="440" t="s">
        <v>3002</v>
      </c>
      <c r="C15" s="440" t="s">
        <v>365</v>
      </c>
      <c r="D15" s="440"/>
      <c r="E15" s="440"/>
      <c r="F15" s="440" t="s">
        <v>42</v>
      </c>
      <c r="G15" s="441" t="s">
        <v>3003</v>
      </c>
      <c r="H15" s="440" t="s">
        <v>3004</v>
      </c>
      <c r="I15" s="449"/>
      <c r="J15" s="443">
        <v>45139</v>
      </c>
      <c r="K15" s="429" t="s">
        <v>2493</v>
      </c>
      <c r="L15" s="444" t="s">
        <v>3005</v>
      </c>
      <c r="M15" s="444" t="s">
        <v>1155</v>
      </c>
      <c r="N15" s="441" t="s">
        <v>2572</v>
      </c>
      <c r="O15" s="445" t="s">
        <v>2573</v>
      </c>
      <c r="P15" s="445"/>
      <c r="Q15" s="441">
        <v>329</v>
      </c>
      <c r="R15" s="445" t="s">
        <v>3006</v>
      </c>
      <c r="S15" s="446">
        <v>45203</v>
      </c>
      <c r="T15" s="446">
        <v>45155</v>
      </c>
      <c r="U15" s="446">
        <v>45187</v>
      </c>
      <c r="V15" s="446">
        <v>45194</v>
      </c>
      <c r="W15" s="447">
        <v>45194</v>
      </c>
      <c r="X15" s="447" t="s">
        <v>8044</v>
      </c>
      <c r="Y15" s="420"/>
      <c r="Z15" s="224" t="str">
        <f t="shared" si="0"/>
        <v>AG. MEDIÇÃO</v>
      </c>
      <c r="AA15" s="207" t="str">
        <f t="shared" si="1"/>
        <v>ENTREGUE</v>
      </c>
      <c r="AB15" s="207" t="str">
        <f t="shared" si="2"/>
        <v>AG. MEDIÇÃO</v>
      </c>
      <c r="AC15" s="156">
        <f t="shared" ca="1" si="3"/>
        <v>27</v>
      </c>
      <c r="AD15" s="156" t="str">
        <f t="shared" ca="1" si="4"/>
        <v>ATRASADO</v>
      </c>
      <c r="AE15" s="156">
        <f t="shared" ca="1" si="5"/>
        <v>24</v>
      </c>
    </row>
    <row r="16" spans="1:31" ht="36" hidden="1" customHeight="1">
      <c r="A16" s="414"/>
      <c r="B16" s="440" t="s">
        <v>3067</v>
      </c>
      <c r="C16" s="440" t="s">
        <v>111</v>
      </c>
      <c r="D16" s="440"/>
      <c r="E16" s="440"/>
      <c r="F16" s="440" t="s">
        <v>42</v>
      </c>
      <c r="G16" s="441" t="s">
        <v>3068</v>
      </c>
      <c r="H16" s="440" t="s">
        <v>3069</v>
      </c>
      <c r="I16" s="449"/>
      <c r="J16" s="450">
        <v>45170</v>
      </c>
      <c r="K16" s="429" t="s">
        <v>2493</v>
      </c>
      <c r="L16" s="444" t="s">
        <v>864</v>
      </c>
      <c r="M16" s="444" t="s">
        <v>864</v>
      </c>
      <c r="N16" s="441" t="s">
        <v>2572</v>
      </c>
      <c r="O16" s="445" t="s">
        <v>85</v>
      </c>
      <c r="P16" s="445"/>
      <c r="Q16" s="441">
        <v>360</v>
      </c>
      <c r="R16" s="445" t="s">
        <v>3070</v>
      </c>
      <c r="S16" s="446">
        <v>45203</v>
      </c>
      <c r="T16" s="446">
        <v>45180</v>
      </c>
      <c r="U16" s="446">
        <v>45197</v>
      </c>
      <c r="V16" s="446">
        <v>45198</v>
      </c>
      <c r="W16" s="447">
        <v>45199</v>
      </c>
      <c r="X16" s="447" t="s">
        <v>8044</v>
      </c>
      <c r="Y16" s="420"/>
      <c r="Z16" s="224" t="str">
        <f t="shared" si="0"/>
        <v>AG. MEDIÇÃO</v>
      </c>
      <c r="AA16" s="207" t="str">
        <f t="shared" si="1"/>
        <v>ENTREGUE</v>
      </c>
      <c r="AB16" s="207" t="str">
        <f t="shared" si="2"/>
        <v>AG. MEDIÇÃO</v>
      </c>
      <c r="AC16" s="156">
        <f t="shared" ca="1" si="3"/>
        <v>14</v>
      </c>
      <c r="AD16" s="156" t="str">
        <f t="shared" ca="1" si="4"/>
        <v>ATRASADO</v>
      </c>
      <c r="AE16" s="156">
        <f t="shared" ca="1" si="5"/>
        <v>11</v>
      </c>
    </row>
    <row r="17" spans="1:31" ht="36" hidden="1" customHeight="1">
      <c r="A17" s="414"/>
      <c r="B17" s="440" t="s">
        <v>3681</v>
      </c>
      <c r="C17" s="440" t="s">
        <v>117</v>
      </c>
      <c r="D17" s="440" t="s">
        <v>504</v>
      </c>
      <c r="E17" s="440" t="s">
        <v>3677</v>
      </c>
      <c r="F17" s="440" t="s">
        <v>42</v>
      </c>
      <c r="G17" s="441" t="s">
        <v>3348</v>
      </c>
      <c r="H17" s="440" t="s">
        <v>3682</v>
      </c>
      <c r="I17" s="441" t="s">
        <v>3683</v>
      </c>
      <c r="J17" s="450">
        <v>45383</v>
      </c>
      <c r="K17" s="429" t="s">
        <v>2493</v>
      </c>
      <c r="L17" s="444" t="s">
        <v>1208</v>
      </c>
      <c r="M17" s="444" t="s">
        <v>3654</v>
      </c>
      <c r="N17" s="441" t="s">
        <v>2572</v>
      </c>
      <c r="O17" s="445" t="s">
        <v>3350</v>
      </c>
      <c r="P17" s="445"/>
      <c r="Q17" s="441">
        <v>252</v>
      </c>
      <c r="R17" s="445" t="s">
        <v>3684</v>
      </c>
      <c r="S17" s="446">
        <v>45439</v>
      </c>
      <c r="T17" s="446">
        <v>45400</v>
      </c>
      <c r="U17" s="446"/>
      <c r="V17" s="447">
        <v>45407</v>
      </c>
      <c r="W17" s="447">
        <v>45407</v>
      </c>
      <c r="X17" s="447" t="s">
        <v>8044</v>
      </c>
      <c r="Y17" s="420"/>
      <c r="Z17" s="224" t="str">
        <f t="shared" si="0"/>
        <v>AG. MEDIÇÃO</v>
      </c>
      <c r="AA17" s="207" t="str">
        <f t="shared" si="1"/>
        <v>ENTREGUE</v>
      </c>
      <c r="AB17" s="207" t="str">
        <f t="shared" si="2"/>
        <v>AG. MEDIÇÃO</v>
      </c>
      <c r="AC17" s="156">
        <f t="shared" ca="1" si="3"/>
        <v>5</v>
      </c>
      <c r="AD17" s="156" t="str">
        <f t="shared" ca="1" si="4"/>
        <v>ATRASADO</v>
      </c>
      <c r="AE17" s="156">
        <f t="shared" ca="1" si="5"/>
        <v>2</v>
      </c>
    </row>
    <row r="18" spans="1:31" ht="36" hidden="1" customHeight="1">
      <c r="A18" s="414"/>
      <c r="B18" s="440" t="s">
        <v>3676</v>
      </c>
      <c r="C18" s="440" t="s">
        <v>117</v>
      </c>
      <c r="D18" s="440" t="s">
        <v>504</v>
      </c>
      <c r="E18" s="440" t="s">
        <v>3677</v>
      </c>
      <c r="F18" s="440" t="s">
        <v>42</v>
      </c>
      <c r="G18" s="441" t="s">
        <v>3348</v>
      </c>
      <c r="H18" s="440" t="s">
        <v>3678</v>
      </c>
      <c r="I18" s="441" t="s">
        <v>3679</v>
      </c>
      <c r="J18" s="450">
        <v>45383</v>
      </c>
      <c r="K18" s="429" t="s">
        <v>2493</v>
      </c>
      <c r="L18" s="444"/>
      <c r="M18" s="444" t="s">
        <v>3654</v>
      </c>
      <c r="N18" s="441" t="s">
        <v>2572</v>
      </c>
      <c r="O18" s="445" t="s">
        <v>3350</v>
      </c>
      <c r="P18" s="441" t="s">
        <v>2494</v>
      </c>
      <c r="Q18" s="441" t="s">
        <v>2494</v>
      </c>
      <c r="R18" s="445" t="s">
        <v>3680</v>
      </c>
      <c r="S18" s="446">
        <v>45439</v>
      </c>
      <c r="T18" s="446">
        <v>45400</v>
      </c>
      <c r="U18" s="446"/>
      <c r="V18" s="447">
        <v>45406</v>
      </c>
      <c r="W18" s="447">
        <v>45407</v>
      </c>
      <c r="X18" s="447" t="s">
        <v>8044</v>
      </c>
      <c r="Y18" s="420"/>
      <c r="Z18" s="224" t="str">
        <f t="shared" si="0"/>
        <v>AG. MEDIÇÃO</v>
      </c>
      <c r="AA18" s="207" t="str">
        <f t="shared" si="1"/>
        <v>ENTREGUE</v>
      </c>
      <c r="AB18" s="207" t="str">
        <f t="shared" si="2"/>
        <v>AG. MEDIÇÃO</v>
      </c>
      <c r="AC18" s="156">
        <f t="shared" ca="1" si="3"/>
        <v>5</v>
      </c>
      <c r="AD18" s="156" t="str">
        <f t="shared" ca="1" si="4"/>
        <v>ATRASADO</v>
      </c>
      <c r="AE18" s="156">
        <f t="shared" ca="1" si="5"/>
        <v>2</v>
      </c>
    </row>
    <row r="19" spans="1:31" ht="36" hidden="1" customHeight="1">
      <c r="A19" s="414"/>
      <c r="B19" s="440" t="s">
        <v>3718</v>
      </c>
      <c r="C19" s="440" t="s">
        <v>142</v>
      </c>
      <c r="D19" s="440" t="s">
        <v>144</v>
      </c>
      <c r="E19" s="440" t="s">
        <v>143</v>
      </c>
      <c r="F19" s="440" t="s">
        <v>42</v>
      </c>
      <c r="G19" s="441" t="s">
        <v>3348</v>
      </c>
      <c r="H19" s="440" t="s">
        <v>3719</v>
      </c>
      <c r="I19" s="441" t="s">
        <v>3720</v>
      </c>
      <c r="J19" s="450">
        <v>45383</v>
      </c>
      <c r="K19" s="429" t="s">
        <v>2493</v>
      </c>
      <c r="L19" s="444" t="s">
        <v>1130</v>
      </c>
      <c r="M19" s="444" t="s">
        <v>132</v>
      </c>
      <c r="N19" s="441" t="s">
        <v>2572</v>
      </c>
      <c r="O19" s="445" t="s">
        <v>3350</v>
      </c>
      <c r="P19" s="445"/>
      <c r="Q19" s="441">
        <v>300</v>
      </c>
      <c r="R19" s="445" t="s">
        <v>3721</v>
      </c>
      <c r="S19" s="446">
        <v>45469</v>
      </c>
      <c r="T19" s="446">
        <v>45405</v>
      </c>
      <c r="U19" s="446">
        <v>45432</v>
      </c>
      <c r="V19" s="447">
        <v>45453</v>
      </c>
      <c r="W19" s="447">
        <v>45453</v>
      </c>
      <c r="X19" s="447" t="s">
        <v>8044</v>
      </c>
      <c r="Y19" s="420"/>
      <c r="Z19" s="224" t="str">
        <f t="shared" si="0"/>
        <v>AG. MEDIÇÃO</v>
      </c>
      <c r="AA19" s="207" t="str">
        <f t="shared" si="1"/>
        <v>ENTREGUE</v>
      </c>
      <c r="AB19" s="207" t="str">
        <f t="shared" si="2"/>
        <v>AG. MEDIÇÃO</v>
      </c>
      <c r="AC19" s="156">
        <f t="shared" ca="1" si="3"/>
        <v>34</v>
      </c>
      <c r="AD19" s="156" t="str">
        <f t="shared" ca="1" si="4"/>
        <v>ATRASADO</v>
      </c>
      <c r="AE19" s="156">
        <f t="shared" ca="1" si="5"/>
        <v>31</v>
      </c>
    </row>
    <row r="20" spans="1:31" ht="36" hidden="1" customHeight="1">
      <c r="A20" s="414"/>
      <c r="B20" s="440" t="s">
        <v>3406</v>
      </c>
      <c r="C20" s="440" t="s">
        <v>731</v>
      </c>
      <c r="D20" s="440"/>
      <c r="E20" s="440"/>
      <c r="F20" s="440" t="s">
        <v>427</v>
      </c>
      <c r="G20" s="441" t="s">
        <v>3407</v>
      </c>
      <c r="H20" s="440" t="s">
        <v>3407</v>
      </c>
      <c r="I20" s="441"/>
      <c r="J20" s="450">
        <v>45292</v>
      </c>
      <c r="K20" s="429" t="s">
        <v>2493</v>
      </c>
      <c r="L20" s="444"/>
      <c r="M20" s="444" t="s">
        <v>774</v>
      </c>
      <c r="N20" s="441" t="s">
        <v>2572</v>
      </c>
      <c r="O20" s="459" t="s">
        <v>85</v>
      </c>
      <c r="P20" s="441" t="s">
        <v>2494</v>
      </c>
      <c r="Q20" s="441" t="s">
        <v>2494</v>
      </c>
      <c r="R20" s="445" t="s">
        <v>3408</v>
      </c>
      <c r="S20" s="446">
        <v>45345</v>
      </c>
      <c r="T20" s="446">
        <v>45315</v>
      </c>
      <c r="U20" s="446"/>
      <c r="V20" s="446">
        <v>45319</v>
      </c>
      <c r="W20" s="447">
        <v>45319</v>
      </c>
      <c r="X20" s="447" t="s">
        <v>8044</v>
      </c>
      <c r="Y20" s="420"/>
      <c r="Z20" s="224" t="str">
        <f t="shared" si="0"/>
        <v>AG. MEDIÇÃO</v>
      </c>
      <c r="AA20" s="207" t="str">
        <f t="shared" si="1"/>
        <v>ENTREGUE</v>
      </c>
      <c r="AB20" s="207" t="str">
        <f t="shared" si="2"/>
        <v>AG. MEDIÇÃO</v>
      </c>
      <c r="AC20" s="156">
        <f t="shared" ca="1" si="3"/>
        <v>2</v>
      </c>
      <c r="AD20" s="156" t="str">
        <f t="shared" ca="1" si="4"/>
        <v>NO PRAZO</v>
      </c>
      <c r="AE20" s="156">
        <f t="shared" ca="1" si="5"/>
        <v>-1</v>
      </c>
    </row>
    <row r="21" spans="1:31" ht="36" hidden="1" customHeight="1">
      <c r="A21" s="414"/>
      <c r="B21" s="440" t="s">
        <v>3802</v>
      </c>
      <c r="C21" s="440" t="s">
        <v>353</v>
      </c>
      <c r="D21" s="440" t="s">
        <v>355</v>
      </c>
      <c r="E21" s="440"/>
      <c r="F21" s="440" t="s">
        <v>42</v>
      </c>
      <c r="G21" s="441" t="s">
        <v>3348</v>
      </c>
      <c r="H21" s="440" t="s">
        <v>3803</v>
      </c>
      <c r="I21" s="441" t="s">
        <v>3804</v>
      </c>
      <c r="J21" s="450">
        <v>45383</v>
      </c>
      <c r="K21" s="429" t="s">
        <v>2493</v>
      </c>
      <c r="L21" s="444" t="s">
        <v>1319</v>
      </c>
      <c r="M21" s="444" t="s">
        <v>132</v>
      </c>
      <c r="N21" s="441" t="s">
        <v>2572</v>
      </c>
      <c r="O21" s="445" t="s">
        <v>3350</v>
      </c>
      <c r="P21" s="445"/>
      <c r="Q21" s="441">
        <v>278</v>
      </c>
      <c r="R21" s="445" t="s">
        <v>3805</v>
      </c>
      <c r="S21" s="446">
        <v>45469</v>
      </c>
      <c r="T21" s="446">
        <v>45412</v>
      </c>
      <c r="U21" s="446">
        <v>45450</v>
      </c>
      <c r="V21" s="447">
        <v>45457</v>
      </c>
      <c r="W21" s="447">
        <v>45457</v>
      </c>
      <c r="X21" s="447" t="s">
        <v>8044</v>
      </c>
      <c r="Y21" s="420"/>
      <c r="Z21" s="224" t="str">
        <f t="shared" si="0"/>
        <v>AG. MEDIÇÃO</v>
      </c>
      <c r="AA21" s="207" t="str">
        <f t="shared" si="1"/>
        <v>ENTREGUE</v>
      </c>
      <c r="AB21" s="207" t="str">
        <f t="shared" si="2"/>
        <v>AG. MEDIÇÃO</v>
      </c>
      <c r="AC21" s="156">
        <f t="shared" ca="1" si="3"/>
        <v>33</v>
      </c>
      <c r="AD21" s="156" t="str">
        <f t="shared" ca="1" si="4"/>
        <v>ATRASADO</v>
      </c>
      <c r="AE21" s="156">
        <f t="shared" ca="1" si="5"/>
        <v>30</v>
      </c>
    </row>
    <row r="22" spans="1:31" ht="36" hidden="1" customHeight="1">
      <c r="A22" s="414"/>
      <c r="B22" s="440" t="s">
        <v>3642</v>
      </c>
      <c r="C22" s="440" t="s">
        <v>241</v>
      </c>
      <c r="D22" s="440"/>
      <c r="E22" s="440"/>
      <c r="F22" s="440" t="s">
        <v>42</v>
      </c>
      <c r="G22" s="441" t="s">
        <v>3348</v>
      </c>
      <c r="H22" s="440" t="s">
        <v>3643</v>
      </c>
      <c r="I22" s="441"/>
      <c r="J22" s="450">
        <v>45383</v>
      </c>
      <c r="K22" s="429" t="s">
        <v>2493</v>
      </c>
      <c r="L22" s="444" t="s">
        <v>3561</v>
      </c>
      <c r="M22" s="444" t="s">
        <v>132</v>
      </c>
      <c r="N22" s="441" t="s">
        <v>2572</v>
      </c>
      <c r="O22" s="445" t="s">
        <v>85</v>
      </c>
      <c r="P22" s="445"/>
      <c r="Q22" s="441">
        <v>105</v>
      </c>
      <c r="R22" s="445" t="s">
        <v>3644</v>
      </c>
      <c r="S22" s="446">
        <v>45439</v>
      </c>
      <c r="T22" s="446">
        <v>45399</v>
      </c>
      <c r="U22" s="446">
        <v>45399</v>
      </c>
      <c r="V22" s="447">
        <v>45405</v>
      </c>
      <c r="W22" s="447">
        <v>45411</v>
      </c>
      <c r="X22" s="447" t="s">
        <v>8044</v>
      </c>
      <c r="Y22" s="420"/>
      <c r="Z22" s="224" t="str">
        <f t="shared" si="0"/>
        <v>AG. MEDIÇÃO</v>
      </c>
      <c r="AA22" s="207" t="str">
        <f t="shared" si="1"/>
        <v>ENTREGUE</v>
      </c>
      <c r="AB22" s="207" t="str">
        <f t="shared" si="2"/>
        <v>AG. MEDIÇÃO</v>
      </c>
      <c r="AC22" s="156">
        <f t="shared" ca="1" si="3"/>
        <v>8</v>
      </c>
      <c r="AD22" s="156" t="str">
        <f t="shared" ca="1" si="4"/>
        <v>ATRASADO</v>
      </c>
      <c r="AE22" s="156">
        <f t="shared" ca="1" si="5"/>
        <v>5</v>
      </c>
    </row>
    <row r="23" spans="1:31" ht="36" hidden="1" customHeight="1">
      <c r="A23" s="414"/>
      <c r="B23" s="440" t="s">
        <v>3777</v>
      </c>
      <c r="C23" s="440" t="s">
        <v>241</v>
      </c>
      <c r="D23" s="440" t="s">
        <v>3778</v>
      </c>
      <c r="E23" s="440"/>
      <c r="F23" s="440" t="s">
        <v>42</v>
      </c>
      <c r="G23" s="441" t="s">
        <v>3348</v>
      </c>
      <c r="H23" s="440" t="s">
        <v>3779</v>
      </c>
      <c r="I23" s="441" t="s">
        <v>3780</v>
      </c>
      <c r="J23" s="450">
        <v>45383</v>
      </c>
      <c r="K23" s="429" t="s">
        <v>2493</v>
      </c>
      <c r="L23" s="444" t="s">
        <v>1319</v>
      </c>
      <c r="M23" s="444" t="s">
        <v>132</v>
      </c>
      <c r="N23" s="441" t="s">
        <v>2572</v>
      </c>
      <c r="O23" s="445" t="s">
        <v>85</v>
      </c>
      <c r="P23" s="445"/>
      <c r="Q23" s="441">
        <v>149</v>
      </c>
      <c r="R23" s="445" t="s">
        <v>3781</v>
      </c>
      <c r="S23" s="446">
        <v>45469</v>
      </c>
      <c r="T23" s="446">
        <v>45412</v>
      </c>
      <c r="U23" s="446">
        <v>45427</v>
      </c>
      <c r="V23" s="447">
        <v>45426</v>
      </c>
      <c r="W23" s="447">
        <v>45455</v>
      </c>
      <c r="X23" s="447" t="s">
        <v>8044</v>
      </c>
      <c r="Y23" s="420"/>
      <c r="Z23" s="224" t="str">
        <f t="shared" si="0"/>
        <v>AG. MEDIÇÃO</v>
      </c>
      <c r="AA23" s="207" t="str">
        <f t="shared" si="1"/>
        <v>ENTREGUE</v>
      </c>
      <c r="AB23" s="207" t="str">
        <f t="shared" si="2"/>
        <v>AG. MEDIÇÃO</v>
      </c>
      <c r="AC23" s="156">
        <f t="shared" ca="1" si="3"/>
        <v>31</v>
      </c>
      <c r="AD23" s="156" t="str">
        <f t="shared" ca="1" si="4"/>
        <v>ATRASADO</v>
      </c>
      <c r="AE23" s="156">
        <f t="shared" ca="1" si="5"/>
        <v>28</v>
      </c>
    </row>
    <row r="24" spans="1:31" ht="36" hidden="1" customHeight="1">
      <c r="A24" s="414"/>
      <c r="B24" s="440" t="s">
        <v>3490</v>
      </c>
      <c r="C24" s="440" t="s">
        <v>571</v>
      </c>
      <c r="D24" s="440"/>
      <c r="E24" s="440"/>
      <c r="F24" s="440" t="s">
        <v>42</v>
      </c>
      <c r="G24" s="441" t="s">
        <v>3491</v>
      </c>
      <c r="H24" s="440" t="s">
        <v>3491</v>
      </c>
      <c r="I24" s="441"/>
      <c r="J24" s="450">
        <v>45352</v>
      </c>
      <c r="K24" s="429" t="s">
        <v>2493</v>
      </c>
      <c r="L24" s="444" t="s">
        <v>1130</v>
      </c>
      <c r="M24" s="444" t="s">
        <v>714</v>
      </c>
      <c r="N24" s="441" t="s">
        <v>2572</v>
      </c>
      <c r="O24" s="445" t="s">
        <v>85</v>
      </c>
      <c r="P24" s="445"/>
      <c r="Q24" s="441">
        <v>590</v>
      </c>
      <c r="R24" s="445" t="s">
        <v>3492</v>
      </c>
      <c r="S24" s="446">
        <v>45377</v>
      </c>
      <c r="T24" s="446">
        <v>45366</v>
      </c>
      <c r="U24" s="446">
        <v>45367</v>
      </c>
      <c r="V24" s="446">
        <v>45367</v>
      </c>
      <c r="W24" s="447">
        <v>45367</v>
      </c>
      <c r="X24" s="447" t="s">
        <v>8044</v>
      </c>
      <c r="Y24" s="420"/>
      <c r="Z24" s="224" t="str">
        <f t="shared" si="0"/>
        <v>AG. MEDIÇÃO</v>
      </c>
      <c r="AA24" s="207" t="str">
        <f t="shared" si="1"/>
        <v>ENTREGUE</v>
      </c>
      <c r="AB24" s="207" t="str">
        <f t="shared" si="2"/>
        <v>AG. MEDIÇÃO</v>
      </c>
      <c r="AC24" s="156">
        <f t="shared" ca="1" si="3"/>
        <v>0</v>
      </c>
      <c r="AD24" s="156" t="str">
        <f t="shared" ca="1" si="4"/>
        <v>NO PRAZO</v>
      </c>
      <c r="AE24" s="156">
        <f t="shared" ca="1" si="5"/>
        <v>-3</v>
      </c>
    </row>
    <row r="25" spans="1:31" ht="36" hidden="1" customHeight="1">
      <c r="A25" s="414"/>
      <c r="B25" s="440" t="s">
        <v>3493</v>
      </c>
      <c r="C25" s="440" t="s">
        <v>989</v>
      </c>
      <c r="D25" s="440"/>
      <c r="E25" s="440"/>
      <c r="F25" s="440" t="s">
        <v>42</v>
      </c>
      <c r="G25" s="441" t="s">
        <v>3494</v>
      </c>
      <c r="H25" s="440" t="s">
        <v>3494</v>
      </c>
      <c r="I25" s="441"/>
      <c r="J25" s="450">
        <v>45352</v>
      </c>
      <c r="K25" s="429" t="s">
        <v>2493</v>
      </c>
      <c r="L25" s="444"/>
      <c r="M25" s="444" t="s">
        <v>51</v>
      </c>
      <c r="N25" s="441" t="s">
        <v>2572</v>
      </c>
      <c r="O25" s="445" t="s">
        <v>85</v>
      </c>
      <c r="P25" s="445"/>
      <c r="Q25" s="445">
        <v>18</v>
      </c>
      <c r="R25" s="445" t="s">
        <v>3495</v>
      </c>
      <c r="S25" s="446">
        <v>45377</v>
      </c>
      <c r="T25" s="446">
        <v>45369</v>
      </c>
      <c r="U25" s="446"/>
      <c r="V25" s="446">
        <v>45370</v>
      </c>
      <c r="W25" s="447">
        <v>45370</v>
      </c>
      <c r="X25" s="447" t="s">
        <v>8044</v>
      </c>
      <c r="Y25" s="420"/>
      <c r="Z25" s="224" t="str">
        <f t="shared" si="0"/>
        <v>AG. MEDIÇÃO</v>
      </c>
      <c r="AA25" s="207" t="str">
        <f t="shared" si="1"/>
        <v>ENTREGUE</v>
      </c>
      <c r="AB25" s="207" t="str">
        <f t="shared" si="2"/>
        <v>AG. MEDIÇÃO</v>
      </c>
      <c r="AC25" s="156">
        <f t="shared" ca="1" si="3"/>
        <v>1</v>
      </c>
      <c r="AD25" s="156" t="str">
        <f t="shared" ca="1" si="4"/>
        <v>NO PRAZO</v>
      </c>
      <c r="AE25" s="156">
        <f t="shared" ca="1" si="5"/>
        <v>-2</v>
      </c>
    </row>
    <row r="26" spans="1:31" ht="36" hidden="1" customHeight="1">
      <c r="A26" s="414"/>
      <c r="B26" s="440" t="s">
        <v>4056</v>
      </c>
      <c r="C26" s="440" t="s">
        <v>353</v>
      </c>
      <c r="D26" s="440" t="s">
        <v>355</v>
      </c>
      <c r="E26" s="440" t="s">
        <v>354</v>
      </c>
      <c r="F26" s="440" t="s">
        <v>42</v>
      </c>
      <c r="G26" s="441" t="s">
        <v>4057</v>
      </c>
      <c r="H26" s="440" t="s">
        <v>4058</v>
      </c>
      <c r="I26" s="441" t="s">
        <v>4059</v>
      </c>
      <c r="J26" s="450">
        <v>45474</v>
      </c>
      <c r="K26" s="429" t="s">
        <v>2493</v>
      </c>
      <c r="L26" s="444"/>
      <c r="M26" s="444" t="s">
        <v>827</v>
      </c>
      <c r="N26" s="441" t="s">
        <v>2572</v>
      </c>
      <c r="O26" s="445" t="s">
        <v>85</v>
      </c>
      <c r="P26" s="441" t="s">
        <v>2494</v>
      </c>
      <c r="Q26" s="441" t="s">
        <v>2494</v>
      </c>
      <c r="R26" s="445" t="s">
        <v>3538</v>
      </c>
      <c r="S26" s="446">
        <v>45532</v>
      </c>
      <c r="T26" s="446">
        <v>45497</v>
      </c>
      <c r="U26" s="446">
        <v>45503</v>
      </c>
      <c r="V26" s="447">
        <v>45503</v>
      </c>
      <c r="W26" s="447">
        <v>45503</v>
      </c>
      <c r="X26" s="447" t="s">
        <v>8044</v>
      </c>
      <c r="Y26" s="420"/>
      <c r="Z26" s="224" t="str">
        <f t="shared" si="0"/>
        <v>AG. MEDIÇÃO</v>
      </c>
      <c r="AA26" s="207" t="str">
        <f t="shared" si="1"/>
        <v>ENTREGUE</v>
      </c>
      <c r="AB26" s="207" t="str">
        <f t="shared" si="2"/>
        <v>AG. MEDIÇÃO</v>
      </c>
      <c r="AC26" s="156">
        <f t="shared" ca="1" si="3"/>
        <v>4</v>
      </c>
      <c r="AD26" s="156" t="str">
        <f t="shared" ca="1" si="4"/>
        <v>ATRASADO</v>
      </c>
      <c r="AE26" s="156">
        <f t="shared" ca="1" si="5"/>
        <v>1</v>
      </c>
    </row>
    <row r="27" spans="1:31" ht="36" hidden="1" customHeight="1">
      <c r="A27" s="414"/>
      <c r="B27" s="440" t="s">
        <v>3102</v>
      </c>
      <c r="C27" s="440" t="s">
        <v>571</v>
      </c>
      <c r="D27" s="440"/>
      <c r="E27" s="440"/>
      <c r="F27" s="440" t="s">
        <v>42</v>
      </c>
      <c r="G27" s="441" t="s">
        <v>3103</v>
      </c>
      <c r="H27" s="440" t="s">
        <v>3104</v>
      </c>
      <c r="I27" s="449"/>
      <c r="J27" s="450">
        <v>45200</v>
      </c>
      <c r="K27" s="429" t="s">
        <v>2493</v>
      </c>
      <c r="L27" s="444" t="s">
        <v>3105</v>
      </c>
      <c r="M27" s="444" t="s">
        <v>631</v>
      </c>
      <c r="N27" s="441" t="s">
        <v>2572</v>
      </c>
      <c r="O27" s="445" t="s">
        <v>85</v>
      </c>
      <c r="P27" s="445"/>
      <c r="Q27" s="441">
        <v>105</v>
      </c>
      <c r="R27" s="445" t="s">
        <v>3106</v>
      </c>
      <c r="S27" s="446">
        <v>45223</v>
      </c>
      <c r="T27" s="446">
        <v>45205</v>
      </c>
      <c r="U27" s="446">
        <v>45217</v>
      </c>
      <c r="V27" s="446">
        <v>45217</v>
      </c>
      <c r="W27" s="447">
        <v>45217</v>
      </c>
      <c r="X27" s="447" t="s">
        <v>8044</v>
      </c>
      <c r="Y27" s="420"/>
      <c r="Z27" s="224" t="str">
        <f t="shared" si="0"/>
        <v>AG. MEDIÇÃO</v>
      </c>
      <c r="AA27" s="207" t="str">
        <f t="shared" si="1"/>
        <v>ENTREGUE</v>
      </c>
      <c r="AB27" s="207" t="str">
        <f t="shared" si="2"/>
        <v>AG. MEDIÇÃO</v>
      </c>
      <c r="AC27" s="156">
        <f t="shared" ca="1" si="3"/>
        <v>8</v>
      </c>
      <c r="AD27" s="156" t="str">
        <f t="shared" ca="1" si="4"/>
        <v>ATRASADO</v>
      </c>
      <c r="AE27" s="156">
        <f t="shared" ca="1" si="5"/>
        <v>5</v>
      </c>
    </row>
    <row r="28" spans="1:31" ht="36" hidden="1" customHeight="1">
      <c r="A28" s="414"/>
      <c r="B28" s="440" t="s">
        <v>3211</v>
      </c>
      <c r="C28" s="440" t="s">
        <v>267</v>
      </c>
      <c r="D28" s="440"/>
      <c r="E28" s="440"/>
      <c r="F28" s="440" t="s">
        <v>42</v>
      </c>
      <c r="G28" s="441" t="s">
        <v>3212</v>
      </c>
      <c r="H28" s="440" t="s">
        <v>3213</v>
      </c>
      <c r="I28" s="449"/>
      <c r="J28" s="450">
        <v>45231</v>
      </c>
      <c r="K28" s="429" t="s">
        <v>2493</v>
      </c>
      <c r="L28" s="444" t="s">
        <v>3088</v>
      </c>
      <c r="M28" s="444" t="s">
        <v>774</v>
      </c>
      <c r="N28" s="441" t="s">
        <v>2572</v>
      </c>
      <c r="O28" s="445" t="s">
        <v>85</v>
      </c>
      <c r="P28" s="441" t="s">
        <v>2494</v>
      </c>
      <c r="Q28" s="441" t="s">
        <v>2494</v>
      </c>
      <c r="R28" s="445" t="s">
        <v>2861</v>
      </c>
      <c r="S28" s="446">
        <v>45250</v>
      </c>
      <c r="T28" s="446">
        <v>45238</v>
      </c>
      <c r="U28" s="446"/>
      <c r="V28" s="446">
        <v>45239</v>
      </c>
      <c r="W28" s="446">
        <v>45239</v>
      </c>
      <c r="X28" s="447" t="s">
        <v>8044</v>
      </c>
      <c r="Y28" s="420"/>
      <c r="Z28" s="224" t="str">
        <f t="shared" si="0"/>
        <v>AG. MEDIÇÃO</v>
      </c>
      <c r="AA28" s="207" t="str">
        <f t="shared" si="1"/>
        <v>ENTREGUE</v>
      </c>
      <c r="AB28" s="207" t="str">
        <f t="shared" si="2"/>
        <v>AG. MEDIÇÃO</v>
      </c>
      <c r="AC28" s="156">
        <f t="shared" ca="1" si="3"/>
        <v>1</v>
      </c>
      <c r="AD28" s="156" t="str">
        <f t="shared" ca="1" si="4"/>
        <v>NO PRAZO</v>
      </c>
      <c r="AE28" s="156">
        <f t="shared" ca="1" si="5"/>
        <v>-2</v>
      </c>
    </row>
    <row r="29" spans="1:31" ht="36" hidden="1" customHeight="1">
      <c r="A29" s="414"/>
      <c r="B29" s="440" t="s">
        <v>3340</v>
      </c>
      <c r="C29" s="440" t="s">
        <v>232</v>
      </c>
      <c r="D29" s="440"/>
      <c r="E29" s="440"/>
      <c r="F29" s="440" t="s">
        <v>42</v>
      </c>
      <c r="G29" s="441" t="s">
        <v>3341</v>
      </c>
      <c r="H29" s="440" t="s">
        <v>3342</v>
      </c>
      <c r="I29" s="449"/>
      <c r="J29" s="450">
        <v>45200</v>
      </c>
      <c r="K29" s="429" t="s">
        <v>2493</v>
      </c>
      <c r="L29" s="444"/>
      <c r="M29" s="444" t="s">
        <v>774</v>
      </c>
      <c r="N29" s="441" t="s">
        <v>2572</v>
      </c>
      <c r="O29" s="445" t="s">
        <v>85</v>
      </c>
      <c r="P29" s="441" t="s">
        <v>2494</v>
      </c>
      <c r="Q29" s="441" t="s">
        <v>2494</v>
      </c>
      <c r="R29" s="441" t="s">
        <v>3343</v>
      </c>
      <c r="S29" s="446">
        <v>45273</v>
      </c>
      <c r="T29" s="446">
        <v>45217</v>
      </c>
      <c r="U29" s="446"/>
      <c r="V29" s="446"/>
      <c r="W29" s="447"/>
      <c r="X29" s="447" t="s">
        <v>8044</v>
      </c>
      <c r="Y29" s="420"/>
      <c r="Z29" s="224" t="str">
        <f t="shared" si="0"/>
        <v>AG. MEDIÇÃO</v>
      </c>
      <c r="AA29" s="207" t="str">
        <f t="shared" si="1"/>
        <v>ENTREGUE</v>
      </c>
      <c r="AB29" s="207" t="str">
        <f t="shared" si="2"/>
        <v>AG. MEDIÇÃO</v>
      </c>
      <c r="AC29" s="156">
        <f t="shared" ca="1" si="3"/>
        <v>760</v>
      </c>
      <c r="AD29" s="156" t="str">
        <f t="shared" ca="1" si="4"/>
        <v>ATRASADO</v>
      </c>
      <c r="AE29" s="156">
        <f t="shared" ca="1" si="5"/>
        <v>757</v>
      </c>
    </row>
    <row r="30" spans="1:31" ht="36" hidden="1" customHeight="1">
      <c r="A30" s="414"/>
      <c r="B30" s="440" t="s">
        <v>2948</v>
      </c>
      <c r="C30" s="440" t="s">
        <v>2755</v>
      </c>
      <c r="D30" s="440"/>
      <c r="E30" s="440"/>
      <c r="F30" s="440" t="s">
        <v>42</v>
      </c>
      <c r="G30" s="441" t="s">
        <v>2949</v>
      </c>
      <c r="H30" s="440" t="s">
        <v>2949</v>
      </c>
      <c r="I30" s="663"/>
      <c r="J30" s="450">
        <v>45078</v>
      </c>
      <c r="K30" s="429" t="s">
        <v>2493</v>
      </c>
      <c r="L30" s="444" t="s">
        <v>2946</v>
      </c>
      <c r="M30" s="444" t="s">
        <v>864</v>
      </c>
      <c r="N30" s="441" t="s">
        <v>2572</v>
      </c>
      <c r="O30" s="441" t="s">
        <v>2573</v>
      </c>
      <c r="P30" s="441"/>
      <c r="Q30" s="441"/>
      <c r="R30" s="445" t="s">
        <v>2950</v>
      </c>
      <c r="S30" s="446">
        <v>45118</v>
      </c>
      <c r="T30" s="446">
        <v>45099</v>
      </c>
      <c r="U30" s="446">
        <v>45099</v>
      </c>
      <c r="V30" s="446">
        <v>45114</v>
      </c>
      <c r="W30" s="447">
        <v>45114</v>
      </c>
      <c r="X30" s="447" t="s">
        <v>8044</v>
      </c>
      <c r="Y30" s="420"/>
      <c r="Z30" s="224" t="str">
        <f t="shared" si="0"/>
        <v>AG. MEDIÇÃO</v>
      </c>
      <c r="AA30" s="207" t="str">
        <f t="shared" si="1"/>
        <v>ENTREGUE</v>
      </c>
      <c r="AB30" s="207" t="str">
        <f t="shared" si="2"/>
        <v>AG. MEDIÇÃO</v>
      </c>
      <c r="AC30" s="156">
        <f t="shared" ca="1" si="3"/>
        <v>11</v>
      </c>
      <c r="AD30" s="156" t="str">
        <f t="shared" ca="1" si="4"/>
        <v>ATRASADO</v>
      </c>
      <c r="AE30" s="156">
        <f t="shared" ca="1" si="5"/>
        <v>8</v>
      </c>
    </row>
    <row r="31" spans="1:31" ht="36" hidden="1" customHeight="1">
      <c r="A31" s="414"/>
      <c r="B31" s="440" t="s">
        <v>3376</v>
      </c>
      <c r="C31" s="440" t="s">
        <v>571</v>
      </c>
      <c r="D31" s="440"/>
      <c r="E31" s="440"/>
      <c r="F31" s="440" t="s">
        <v>42</v>
      </c>
      <c r="G31" s="441" t="s">
        <v>3377</v>
      </c>
      <c r="H31" s="440" t="s">
        <v>3378</v>
      </c>
      <c r="I31" s="441"/>
      <c r="J31" s="450">
        <v>45292</v>
      </c>
      <c r="K31" s="429" t="s">
        <v>2493</v>
      </c>
      <c r="L31" s="444"/>
      <c r="M31" s="444" t="s">
        <v>774</v>
      </c>
      <c r="N31" s="441" t="s">
        <v>2572</v>
      </c>
      <c r="O31" s="445" t="s">
        <v>85</v>
      </c>
      <c r="P31" s="441" t="s">
        <v>2494</v>
      </c>
      <c r="Q31" s="441" t="s">
        <v>2494</v>
      </c>
      <c r="R31" s="445" t="s">
        <v>3379</v>
      </c>
      <c r="S31" s="446">
        <v>45300</v>
      </c>
      <c r="T31" s="446">
        <v>45293</v>
      </c>
      <c r="U31" s="446"/>
      <c r="V31" s="446">
        <v>45293</v>
      </c>
      <c r="W31" s="446">
        <v>45295</v>
      </c>
      <c r="X31" s="447" t="s">
        <v>8044</v>
      </c>
      <c r="Y31" s="420"/>
      <c r="Z31" s="224" t="str">
        <f t="shared" si="0"/>
        <v>AG. MEDIÇÃO</v>
      </c>
      <c r="AA31" s="207" t="str">
        <f t="shared" si="1"/>
        <v>ENTREGUE</v>
      </c>
      <c r="AB31" s="207" t="str">
        <f t="shared" si="2"/>
        <v>AG. MEDIÇÃO</v>
      </c>
      <c r="AC31" s="156">
        <f t="shared" ca="1" si="3"/>
        <v>2</v>
      </c>
      <c r="AD31" s="156" t="str">
        <f t="shared" ca="1" si="4"/>
        <v>NO PRAZO</v>
      </c>
      <c r="AE31" s="156">
        <f t="shared" ca="1" si="5"/>
        <v>-1</v>
      </c>
    </row>
    <row r="32" spans="1:31" ht="36" hidden="1" customHeight="1">
      <c r="A32" s="414"/>
      <c r="B32" s="440" t="s">
        <v>2875</v>
      </c>
      <c r="C32" s="440" t="s">
        <v>152</v>
      </c>
      <c r="D32" s="440"/>
      <c r="E32" s="440"/>
      <c r="F32" s="440" t="s">
        <v>42</v>
      </c>
      <c r="G32" s="441" t="s">
        <v>2876</v>
      </c>
      <c r="H32" s="440" t="s">
        <v>2877</v>
      </c>
      <c r="I32" s="449"/>
      <c r="J32" s="443">
        <v>45047</v>
      </c>
      <c r="K32" s="429" t="s">
        <v>2493</v>
      </c>
      <c r="L32" s="444"/>
      <c r="M32" s="445" t="s">
        <v>624</v>
      </c>
      <c r="N32" s="441" t="s">
        <v>2572</v>
      </c>
      <c r="O32" s="445" t="s">
        <v>85</v>
      </c>
      <c r="P32" s="441" t="s">
        <v>2494</v>
      </c>
      <c r="Q32" s="441" t="s">
        <v>2494</v>
      </c>
      <c r="R32" s="445" t="s">
        <v>2861</v>
      </c>
      <c r="S32" s="446">
        <v>45096</v>
      </c>
      <c r="T32" s="451"/>
      <c r="U32" s="446"/>
      <c r="V32" s="446"/>
      <c r="W32" s="447">
        <v>45045</v>
      </c>
      <c r="X32" s="447" t="s">
        <v>8044</v>
      </c>
      <c r="Y32" s="420"/>
      <c r="Z32" s="224" t="str">
        <f t="shared" si="0"/>
        <v>AG. MEDIÇÃO</v>
      </c>
      <c r="AA32" s="207" t="str">
        <f t="shared" si="1"/>
        <v>ENTREGUE</v>
      </c>
      <c r="AB32" s="207" t="str">
        <f t="shared" si="2"/>
        <v>AG. MEDIÇÃO</v>
      </c>
      <c r="AC32" s="156" t="str">
        <f t="shared" ca="1" si="3"/>
        <v>DATA ENTRADA</v>
      </c>
      <c r="AD32" s="156" t="str">
        <f t="shared" ca="1" si="4"/>
        <v>ATRASADO</v>
      </c>
      <c r="AE32" s="156" t="str">
        <f t="shared" ca="1" si="5"/>
        <v>DATA ENTRADA</v>
      </c>
    </row>
    <row r="33" spans="1:31" ht="36" hidden="1" customHeight="1">
      <c r="A33" s="414"/>
      <c r="B33" s="429" t="s">
        <v>7415</v>
      </c>
      <c r="C33" s="429" t="s">
        <v>117</v>
      </c>
      <c r="D33" s="429" t="s">
        <v>504</v>
      </c>
      <c r="E33" s="429" t="s">
        <v>7411</v>
      </c>
      <c r="F33" s="429" t="s">
        <v>42</v>
      </c>
      <c r="G33" s="433" t="s">
        <v>7392</v>
      </c>
      <c r="H33" s="652" t="s">
        <v>7391</v>
      </c>
      <c r="I33" s="433" t="s">
        <v>7393</v>
      </c>
      <c r="J33" s="432">
        <v>46113</v>
      </c>
      <c r="K33" s="429" t="s">
        <v>2493</v>
      </c>
      <c r="L33" s="436"/>
      <c r="M33" s="436" t="s">
        <v>62</v>
      </c>
      <c r="N33" s="433"/>
      <c r="O33" s="437"/>
      <c r="P33" s="433" t="s">
        <v>2494</v>
      </c>
      <c r="Q33" s="437" t="s">
        <v>2494</v>
      </c>
      <c r="R33" s="437" t="s">
        <v>7412</v>
      </c>
      <c r="S33" s="438">
        <v>46147</v>
      </c>
      <c r="T33" s="438">
        <v>46140</v>
      </c>
      <c r="U33" s="438"/>
      <c r="V33" s="439"/>
      <c r="W33" s="439">
        <v>46142</v>
      </c>
      <c r="X33" s="439">
        <v>46147</v>
      </c>
      <c r="Y33" s="420"/>
      <c r="Z33" s="224" t="str">
        <f t="shared" si="0"/>
        <v>AG. MEDIÇÃO</v>
      </c>
      <c r="AA33" s="207" t="str">
        <f t="shared" si="1"/>
        <v>ENTREGUE</v>
      </c>
      <c r="AB33" s="207" t="str">
        <f t="shared" si="2"/>
        <v>AG. MEDIÇÃO</v>
      </c>
      <c r="AC33" s="156">
        <f t="shared" ca="1" si="3"/>
        <v>2</v>
      </c>
      <c r="AD33" s="156" t="str">
        <f t="shared" ca="1" si="4"/>
        <v>NO PRAZO</v>
      </c>
      <c r="AE33" s="156">
        <f t="shared" ca="1" si="5"/>
        <v>-1</v>
      </c>
    </row>
    <row r="34" spans="1:31" ht="36" hidden="1" customHeight="1">
      <c r="A34" s="414"/>
      <c r="B34" s="440" t="s">
        <v>4122</v>
      </c>
      <c r="C34" s="440" t="s">
        <v>241</v>
      </c>
      <c r="D34" s="440" t="s">
        <v>1177</v>
      </c>
      <c r="E34" s="440" t="s">
        <v>242</v>
      </c>
      <c r="F34" s="440" t="s">
        <v>42</v>
      </c>
      <c r="G34" s="441" t="s">
        <v>4123</v>
      </c>
      <c r="H34" s="440" t="s">
        <v>4124</v>
      </c>
      <c r="I34" s="441" t="s">
        <v>4125</v>
      </c>
      <c r="J34" s="450">
        <v>45505</v>
      </c>
      <c r="K34" s="429" t="s">
        <v>2493</v>
      </c>
      <c r="L34" s="444"/>
      <c r="M34" s="444" t="s">
        <v>714</v>
      </c>
      <c r="N34" s="441" t="s">
        <v>2572</v>
      </c>
      <c r="O34" s="445" t="s">
        <v>85</v>
      </c>
      <c r="P34" s="441" t="s">
        <v>2494</v>
      </c>
      <c r="Q34" s="441" t="s">
        <v>2494</v>
      </c>
      <c r="R34" s="445" t="s">
        <v>3227</v>
      </c>
      <c r="S34" s="446">
        <v>45532</v>
      </c>
      <c r="T34" s="446">
        <v>45505</v>
      </c>
      <c r="U34" s="446">
        <v>45511</v>
      </c>
      <c r="V34" s="446">
        <v>45511</v>
      </c>
      <c r="W34" s="446">
        <v>45511</v>
      </c>
      <c r="X34" s="447" t="s">
        <v>8044</v>
      </c>
      <c r="Y34" s="420"/>
      <c r="Z34" s="224" t="str">
        <f t="shared" si="0"/>
        <v>AG. MEDIÇÃO</v>
      </c>
      <c r="AA34" s="207" t="str">
        <f t="shared" si="1"/>
        <v>ENTREGUE</v>
      </c>
      <c r="AB34" s="207" t="str">
        <f t="shared" si="2"/>
        <v>AG. MEDIÇÃO</v>
      </c>
      <c r="AC34" s="156">
        <f t="shared" ca="1" si="3"/>
        <v>4</v>
      </c>
      <c r="AD34" s="156" t="str">
        <f t="shared" ca="1" si="4"/>
        <v>ATRASADO</v>
      </c>
      <c r="AE34" s="156">
        <f t="shared" ca="1" si="5"/>
        <v>1</v>
      </c>
    </row>
    <row r="35" spans="1:31" ht="36" hidden="1" customHeight="1">
      <c r="A35" s="414"/>
      <c r="B35" s="440" t="s">
        <v>4443</v>
      </c>
      <c r="C35" s="440" t="s">
        <v>425</v>
      </c>
      <c r="D35" s="440" t="s">
        <v>4422</v>
      </c>
      <c r="E35" s="440" t="s">
        <v>1551</v>
      </c>
      <c r="F35" s="440" t="s">
        <v>42</v>
      </c>
      <c r="G35" s="441"/>
      <c r="H35" s="440" t="s">
        <v>4444</v>
      </c>
      <c r="I35" s="441" t="s">
        <v>4445</v>
      </c>
      <c r="J35" s="450">
        <v>45536</v>
      </c>
      <c r="K35" s="429" t="s">
        <v>2493</v>
      </c>
      <c r="L35" s="444" t="s">
        <v>774</v>
      </c>
      <c r="M35" s="444" t="s">
        <v>774</v>
      </c>
      <c r="N35" s="441" t="s">
        <v>2572</v>
      </c>
      <c r="O35" s="445" t="s">
        <v>85</v>
      </c>
      <c r="P35" s="445">
        <v>100</v>
      </c>
      <c r="Q35" s="445">
        <v>102</v>
      </c>
      <c r="R35" s="445" t="s">
        <v>4446</v>
      </c>
      <c r="S35" s="446">
        <v>45555</v>
      </c>
      <c r="T35" s="446">
        <v>45547</v>
      </c>
      <c r="U35" s="446">
        <v>45548</v>
      </c>
      <c r="V35" s="447">
        <v>45553</v>
      </c>
      <c r="W35" s="447">
        <v>45550</v>
      </c>
      <c r="X35" s="447" t="s">
        <v>8044</v>
      </c>
      <c r="Y35" s="420"/>
      <c r="Z35" s="224" t="str">
        <f t="shared" si="0"/>
        <v>AG. MEDIÇÃO</v>
      </c>
      <c r="AA35" s="207" t="str">
        <f t="shared" si="1"/>
        <v>ENTREGUE</v>
      </c>
      <c r="AB35" s="207" t="str">
        <f t="shared" si="2"/>
        <v>AG. MEDIÇÃO</v>
      </c>
      <c r="AC35" s="156">
        <f t="shared" ca="1" si="3"/>
        <v>1</v>
      </c>
      <c r="AD35" s="156" t="str">
        <f t="shared" ca="1" si="4"/>
        <v>NO PRAZO</v>
      </c>
      <c r="AE35" s="156">
        <f t="shared" ca="1" si="5"/>
        <v>-2</v>
      </c>
    </row>
    <row r="36" spans="1:31" ht="36" hidden="1" customHeight="1">
      <c r="A36" s="414"/>
      <c r="B36" s="440" t="s">
        <v>3464</v>
      </c>
      <c r="C36" s="440" t="s">
        <v>571</v>
      </c>
      <c r="D36" s="440"/>
      <c r="E36" s="440"/>
      <c r="F36" s="440" t="s">
        <v>42</v>
      </c>
      <c r="G36" s="441" t="s">
        <v>3465</v>
      </c>
      <c r="H36" s="440" t="s">
        <v>3466</v>
      </c>
      <c r="I36" s="441"/>
      <c r="J36" s="450">
        <v>45352</v>
      </c>
      <c r="K36" s="429" t="s">
        <v>2493</v>
      </c>
      <c r="L36" s="444" t="s">
        <v>1121</v>
      </c>
      <c r="M36" s="444" t="s">
        <v>714</v>
      </c>
      <c r="N36" s="441" t="s">
        <v>2572</v>
      </c>
      <c r="O36" s="445" t="s">
        <v>85</v>
      </c>
      <c r="P36" s="445"/>
      <c r="Q36" s="441">
        <v>332</v>
      </c>
      <c r="R36" s="445" t="s">
        <v>3467</v>
      </c>
      <c r="S36" s="446">
        <v>45377</v>
      </c>
      <c r="T36" s="446">
        <v>45364</v>
      </c>
      <c r="U36" s="446">
        <v>45365</v>
      </c>
      <c r="V36" s="446">
        <v>45366</v>
      </c>
      <c r="W36" s="447">
        <v>45366</v>
      </c>
      <c r="X36" s="447" t="s">
        <v>8044</v>
      </c>
      <c r="Y36" s="420"/>
      <c r="Z36" s="224" t="str">
        <f t="shared" si="0"/>
        <v>AG. MEDIÇÃO</v>
      </c>
      <c r="AA36" s="207" t="str">
        <f t="shared" si="1"/>
        <v>ENTREGUE</v>
      </c>
      <c r="AB36" s="207" t="str">
        <f t="shared" si="2"/>
        <v>AG. MEDIÇÃO</v>
      </c>
      <c r="AC36" s="156">
        <f t="shared" ca="1" si="3"/>
        <v>2</v>
      </c>
      <c r="AD36" s="156" t="str">
        <f t="shared" ca="1" si="4"/>
        <v>NO PRAZO</v>
      </c>
      <c r="AE36" s="156">
        <f t="shared" ca="1" si="5"/>
        <v>-1</v>
      </c>
    </row>
    <row r="37" spans="1:31" ht="36" hidden="1" customHeight="1">
      <c r="A37" s="414"/>
      <c r="B37" s="440" t="s">
        <v>4346</v>
      </c>
      <c r="C37" s="440" t="s">
        <v>150</v>
      </c>
      <c r="D37" s="440" t="s">
        <v>261</v>
      </c>
      <c r="E37" s="440" t="s">
        <v>151</v>
      </c>
      <c r="F37" s="440" t="s">
        <v>42</v>
      </c>
      <c r="G37" s="441" t="s">
        <v>4347</v>
      </c>
      <c r="H37" s="440" t="s">
        <v>4348</v>
      </c>
      <c r="I37" s="441" t="s">
        <v>4349</v>
      </c>
      <c r="J37" s="450">
        <v>45536</v>
      </c>
      <c r="K37" s="429" t="s">
        <v>2493</v>
      </c>
      <c r="L37" s="444"/>
      <c r="M37" s="444" t="s">
        <v>51</v>
      </c>
      <c r="N37" s="441" t="s">
        <v>2572</v>
      </c>
      <c r="O37" s="445" t="s">
        <v>85</v>
      </c>
      <c r="P37" s="441" t="s">
        <v>2494</v>
      </c>
      <c r="Q37" s="441" t="s">
        <v>2494</v>
      </c>
      <c r="R37" s="445" t="s">
        <v>4350</v>
      </c>
      <c r="S37" s="446">
        <v>45549</v>
      </c>
      <c r="T37" s="446">
        <v>45541</v>
      </c>
      <c r="U37" s="446">
        <v>45544</v>
      </c>
      <c r="V37" s="447">
        <v>45547</v>
      </c>
      <c r="W37" s="447">
        <v>45546</v>
      </c>
      <c r="X37" s="447" t="s">
        <v>8044</v>
      </c>
      <c r="Y37" s="420"/>
      <c r="Z37" s="224" t="str">
        <f t="shared" si="0"/>
        <v>AG. MEDIÇÃO</v>
      </c>
      <c r="AA37" s="207" t="str">
        <f t="shared" si="1"/>
        <v>ENTREGUE</v>
      </c>
      <c r="AB37" s="207" t="str">
        <f t="shared" si="2"/>
        <v>AG. MEDIÇÃO</v>
      </c>
      <c r="AC37" s="156">
        <f t="shared" ca="1" si="3"/>
        <v>3</v>
      </c>
      <c r="AD37" s="156" t="str">
        <f t="shared" ca="1" si="4"/>
        <v>NO PRAZO</v>
      </c>
      <c r="AE37" s="156">
        <f t="shared" ca="1" si="5"/>
        <v>0</v>
      </c>
    </row>
    <row r="38" spans="1:31" ht="36" hidden="1" customHeight="1">
      <c r="A38" s="463"/>
      <c r="B38" s="440" t="s">
        <v>4287</v>
      </c>
      <c r="C38" s="440" t="s">
        <v>111</v>
      </c>
      <c r="D38" s="440" t="s">
        <v>348</v>
      </c>
      <c r="E38" s="440" t="s">
        <v>2504</v>
      </c>
      <c r="F38" s="440" t="s">
        <v>42</v>
      </c>
      <c r="G38" s="441" t="s">
        <v>4288</v>
      </c>
      <c r="H38" s="440" t="s">
        <v>4289</v>
      </c>
      <c r="I38" s="440" t="s">
        <v>4290</v>
      </c>
      <c r="J38" s="450">
        <v>45505</v>
      </c>
      <c r="K38" s="429" t="s">
        <v>2493</v>
      </c>
      <c r="L38" s="444" t="s">
        <v>4291</v>
      </c>
      <c r="M38" s="444" t="s">
        <v>1122</v>
      </c>
      <c r="N38" s="441" t="s">
        <v>2572</v>
      </c>
      <c r="O38" s="445" t="s">
        <v>85</v>
      </c>
      <c r="P38" s="445">
        <v>450</v>
      </c>
      <c r="Q38" s="445">
        <v>469</v>
      </c>
      <c r="R38" s="444" t="s">
        <v>4292</v>
      </c>
      <c r="S38" s="446">
        <v>45555</v>
      </c>
      <c r="T38" s="446">
        <v>45533</v>
      </c>
      <c r="U38" s="446">
        <v>45538</v>
      </c>
      <c r="V38" s="447">
        <v>45546</v>
      </c>
      <c r="W38" s="447">
        <v>45546</v>
      </c>
      <c r="X38" s="447" t="s">
        <v>8044</v>
      </c>
      <c r="Y38" s="420"/>
      <c r="Z38" s="224" t="str">
        <f t="shared" si="0"/>
        <v>AG. MEDIÇÃO</v>
      </c>
      <c r="AA38" s="207" t="str">
        <f t="shared" si="1"/>
        <v>ENTREGUE</v>
      </c>
      <c r="AB38" s="207" t="str">
        <f t="shared" si="2"/>
        <v>AG. MEDIÇÃO</v>
      </c>
      <c r="AC38" s="156">
        <f t="shared" ca="1" si="3"/>
        <v>9</v>
      </c>
      <c r="AD38" s="156" t="str">
        <f t="shared" ca="1" si="4"/>
        <v>ATRASADO</v>
      </c>
      <c r="AE38" s="156">
        <f t="shared" ca="1" si="5"/>
        <v>6</v>
      </c>
    </row>
    <row r="39" spans="1:31" ht="36" hidden="1" customHeight="1">
      <c r="A39" s="414"/>
      <c r="B39" s="440" t="s">
        <v>3398</v>
      </c>
      <c r="C39" s="440" t="s">
        <v>298</v>
      </c>
      <c r="D39" s="440"/>
      <c r="E39" s="440"/>
      <c r="F39" s="440" t="s">
        <v>42</v>
      </c>
      <c r="G39" s="441" t="s">
        <v>3399</v>
      </c>
      <c r="H39" s="440" t="s">
        <v>3400</v>
      </c>
      <c r="I39" s="441"/>
      <c r="J39" s="450">
        <v>45292</v>
      </c>
      <c r="K39" s="429" t="s">
        <v>2493</v>
      </c>
      <c r="L39" s="444" t="s">
        <v>1130</v>
      </c>
      <c r="M39" s="444" t="s">
        <v>774</v>
      </c>
      <c r="N39" s="441" t="s">
        <v>2572</v>
      </c>
      <c r="O39" s="445" t="s">
        <v>85</v>
      </c>
      <c r="P39" s="445"/>
      <c r="Q39" s="441">
        <v>390</v>
      </c>
      <c r="R39" s="445" t="s">
        <v>3401</v>
      </c>
      <c r="S39" s="446">
        <v>45345</v>
      </c>
      <c r="T39" s="446">
        <v>45307</v>
      </c>
      <c r="U39" s="446">
        <v>45307</v>
      </c>
      <c r="V39" s="446">
        <v>45313</v>
      </c>
      <c r="W39" s="447">
        <v>45313</v>
      </c>
      <c r="X39" s="447" t="s">
        <v>8044</v>
      </c>
      <c r="Y39" s="420"/>
      <c r="Z39" s="224" t="str">
        <f t="shared" si="0"/>
        <v>AG. MEDIÇÃO</v>
      </c>
      <c r="AA39" s="207" t="str">
        <f t="shared" si="1"/>
        <v>ENTREGUE</v>
      </c>
      <c r="AB39" s="207" t="str">
        <f t="shared" si="2"/>
        <v>AG. MEDIÇÃO</v>
      </c>
      <c r="AC39" s="156">
        <f t="shared" ca="1" si="3"/>
        <v>4</v>
      </c>
      <c r="AD39" s="156" t="str">
        <f t="shared" ca="1" si="4"/>
        <v>ATRASADO</v>
      </c>
      <c r="AE39" s="156">
        <f t="shared" ca="1" si="5"/>
        <v>1</v>
      </c>
    </row>
    <row r="40" spans="1:31" ht="36" hidden="1" customHeight="1">
      <c r="A40" s="414"/>
      <c r="B40" s="440" t="s">
        <v>3752</v>
      </c>
      <c r="C40" s="440" t="s">
        <v>479</v>
      </c>
      <c r="D40" s="440" t="s">
        <v>479</v>
      </c>
      <c r="E40" s="440"/>
      <c r="F40" s="440" t="s">
        <v>42</v>
      </c>
      <c r="G40" s="441" t="s">
        <v>3348</v>
      </c>
      <c r="H40" s="440" t="s">
        <v>3753</v>
      </c>
      <c r="I40" s="441" t="s">
        <v>3754</v>
      </c>
      <c r="J40" s="450">
        <v>45383</v>
      </c>
      <c r="K40" s="429" t="s">
        <v>2493</v>
      </c>
      <c r="L40" s="444" t="s">
        <v>2293</v>
      </c>
      <c r="M40" s="444" t="s">
        <v>132</v>
      </c>
      <c r="N40" s="441" t="s">
        <v>2572</v>
      </c>
      <c r="O40" s="445" t="s">
        <v>85</v>
      </c>
      <c r="P40" s="445"/>
      <c r="Q40" s="441">
        <v>771</v>
      </c>
      <c r="R40" s="445" t="s">
        <v>3755</v>
      </c>
      <c r="S40" s="446">
        <v>45439</v>
      </c>
      <c r="T40" s="446">
        <v>45408</v>
      </c>
      <c r="U40" s="446">
        <v>45408</v>
      </c>
      <c r="V40" s="447">
        <v>45434</v>
      </c>
      <c r="W40" s="447">
        <v>45434</v>
      </c>
      <c r="X40" s="447" t="s">
        <v>8044</v>
      </c>
      <c r="Y40" s="420"/>
      <c r="Z40" s="224" t="str">
        <f t="shared" si="0"/>
        <v>AG. MEDIÇÃO</v>
      </c>
      <c r="AA40" s="207" t="str">
        <f t="shared" si="1"/>
        <v>ENTREGUE</v>
      </c>
      <c r="AB40" s="207" t="str">
        <f t="shared" si="2"/>
        <v>AG. MEDIÇÃO</v>
      </c>
      <c r="AC40" s="156">
        <f t="shared" ca="1" si="3"/>
        <v>18</v>
      </c>
      <c r="AD40" s="156" t="str">
        <f t="shared" ca="1" si="4"/>
        <v>ATRASADO</v>
      </c>
      <c r="AE40" s="156">
        <f t="shared" ca="1" si="5"/>
        <v>15</v>
      </c>
    </row>
    <row r="41" spans="1:31" ht="36" hidden="1" customHeight="1">
      <c r="A41" s="414"/>
      <c r="B41" s="440" t="s">
        <v>3685</v>
      </c>
      <c r="C41" s="440" t="s">
        <v>328</v>
      </c>
      <c r="D41" s="440" t="s">
        <v>111</v>
      </c>
      <c r="E41" s="440"/>
      <c r="F41" s="440" t="s">
        <v>42</v>
      </c>
      <c r="G41" s="441" t="s">
        <v>3348</v>
      </c>
      <c r="H41" s="440" t="s">
        <v>3686</v>
      </c>
      <c r="I41" s="441" t="s">
        <v>3687</v>
      </c>
      <c r="J41" s="450">
        <v>45383</v>
      </c>
      <c r="K41" s="429" t="s">
        <v>2493</v>
      </c>
      <c r="L41" s="444" t="s">
        <v>1130</v>
      </c>
      <c r="M41" s="444" t="s">
        <v>109</v>
      </c>
      <c r="N41" s="441" t="s">
        <v>2572</v>
      </c>
      <c r="O41" s="445" t="s">
        <v>85</v>
      </c>
      <c r="P41" s="445"/>
      <c r="Q41" s="441">
        <v>240</v>
      </c>
      <c r="R41" s="445" t="s">
        <v>3688</v>
      </c>
      <c r="S41" s="446">
        <v>45469</v>
      </c>
      <c r="T41" s="446">
        <v>45400</v>
      </c>
      <c r="U41" s="446">
        <v>45447</v>
      </c>
      <c r="V41" s="447">
        <v>45449</v>
      </c>
      <c r="W41" s="447">
        <v>45449</v>
      </c>
      <c r="X41" s="447" t="s">
        <v>8044</v>
      </c>
      <c r="Y41" s="420"/>
      <c r="Z41" s="224" t="str">
        <f t="shared" si="0"/>
        <v>AG. MEDIÇÃO</v>
      </c>
      <c r="AA41" s="207" t="str">
        <f t="shared" si="1"/>
        <v>ENTREGUE</v>
      </c>
      <c r="AB41" s="207" t="str">
        <f t="shared" si="2"/>
        <v>AG. MEDIÇÃO</v>
      </c>
      <c r="AC41" s="156">
        <f t="shared" ca="1" si="3"/>
        <v>35</v>
      </c>
      <c r="AD41" s="156" t="str">
        <f t="shared" ca="1" si="4"/>
        <v>ATRASADO</v>
      </c>
      <c r="AE41" s="156">
        <f t="shared" ca="1" si="5"/>
        <v>32</v>
      </c>
    </row>
    <row r="42" spans="1:31" ht="36" hidden="1" customHeight="1">
      <c r="A42" s="414"/>
      <c r="B42" s="440" t="s">
        <v>2955</v>
      </c>
      <c r="C42" s="440" t="s">
        <v>891</v>
      </c>
      <c r="D42" s="440"/>
      <c r="E42" s="440"/>
      <c r="F42" s="440" t="s">
        <v>2559</v>
      </c>
      <c r="G42" s="441" t="s">
        <v>2956</v>
      </c>
      <c r="H42" s="440" t="s">
        <v>2957</v>
      </c>
      <c r="I42" s="449"/>
      <c r="J42" s="450">
        <v>45078</v>
      </c>
      <c r="K42" s="429" t="s">
        <v>2493</v>
      </c>
      <c r="L42" s="444" t="s">
        <v>2958</v>
      </c>
      <c r="M42" s="444" t="s">
        <v>864</v>
      </c>
      <c r="N42" s="441" t="s">
        <v>2572</v>
      </c>
      <c r="O42" s="445" t="s">
        <v>2573</v>
      </c>
      <c r="P42" s="445"/>
      <c r="Q42" s="441">
        <v>1072</v>
      </c>
      <c r="R42" s="445" t="s">
        <v>2959</v>
      </c>
      <c r="S42" s="446">
        <v>45118</v>
      </c>
      <c r="T42" s="446">
        <v>45107</v>
      </c>
      <c r="U42" s="446">
        <v>45114</v>
      </c>
      <c r="V42" s="446">
        <v>45116</v>
      </c>
      <c r="W42" s="447">
        <v>45116</v>
      </c>
      <c r="X42" s="447" t="s">
        <v>8044</v>
      </c>
      <c r="Y42" s="420"/>
      <c r="Z42" s="224" t="str">
        <f t="shared" si="0"/>
        <v>AG. MEDIÇÃO</v>
      </c>
      <c r="AA42" s="207" t="str">
        <f t="shared" si="1"/>
        <v>ENTREGUE</v>
      </c>
      <c r="AB42" s="207" t="str">
        <f t="shared" si="2"/>
        <v>AG. MEDIÇÃO</v>
      </c>
      <c r="AC42" s="156">
        <f t="shared" ca="1" si="3"/>
        <v>5</v>
      </c>
      <c r="AD42" s="156" t="str">
        <f t="shared" ca="1" si="4"/>
        <v>ATRASADO</v>
      </c>
      <c r="AE42" s="156">
        <f t="shared" ca="1" si="5"/>
        <v>2</v>
      </c>
    </row>
    <row r="43" spans="1:31" ht="36" hidden="1" customHeight="1">
      <c r="A43" s="414"/>
      <c r="B43" s="440" t="s">
        <v>3693</v>
      </c>
      <c r="C43" s="440" t="s">
        <v>232</v>
      </c>
      <c r="D43" s="440" t="s">
        <v>893</v>
      </c>
      <c r="E43" s="440" t="s">
        <v>2235</v>
      </c>
      <c r="F43" s="440" t="s">
        <v>42</v>
      </c>
      <c r="G43" s="441" t="s">
        <v>3348</v>
      </c>
      <c r="H43" s="440" t="s">
        <v>3694</v>
      </c>
      <c r="I43" s="441" t="s">
        <v>3695</v>
      </c>
      <c r="J43" s="450">
        <v>45383</v>
      </c>
      <c r="K43" s="429" t="s">
        <v>2493</v>
      </c>
      <c r="L43" s="444" t="s">
        <v>3696</v>
      </c>
      <c r="M43" s="444" t="s">
        <v>827</v>
      </c>
      <c r="N43" s="441" t="s">
        <v>2572</v>
      </c>
      <c r="O43" s="445" t="s">
        <v>85</v>
      </c>
      <c r="P43" s="445"/>
      <c r="Q43" s="441">
        <v>353</v>
      </c>
      <c r="R43" s="445" t="s">
        <v>3697</v>
      </c>
      <c r="S43" s="446">
        <v>45469</v>
      </c>
      <c r="T43" s="446">
        <v>45400</v>
      </c>
      <c r="U43" s="446">
        <v>45448</v>
      </c>
      <c r="V43" s="447">
        <v>45450</v>
      </c>
      <c r="W43" s="447">
        <v>45450</v>
      </c>
      <c r="X43" s="447" t="s">
        <v>8044</v>
      </c>
      <c r="Y43" s="420"/>
      <c r="Z43" s="224" t="str">
        <f t="shared" si="0"/>
        <v>AG. MEDIÇÃO</v>
      </c>
      <c r="AA43" s="207" t="str">
        <f t="shared" si="1"/>
        <v>ENTREGUE</v>
      </c>
      <c r="AB43" s="207" t="str">
        <f t="shared" si="2"/>
        <v>AG. MEDIÇÃO</v>
      </c>
      <c r="AC43" s="156">
        <f t="shared" ca="1" si="3"/>
        <v>36</v>
      </c>
      <c r="AD43" s="156" t="str">
        <f t="shared" ca="1" si="4"/>
        <v>ATRASADO</v>
      </c>
      <c r="AE43" s="156">
        <f t="shared" ca="1" si="5"/>
        <v>33</v>
      </c>
    </row>
    <row r="44" spans="1:31" ht="36" hidden="1" customHeight="1">
      <c r="A44" s="414"/>
      <c r="B44" s="440" t="s">
        <v>3924</v>
      </c>
      <c r="C44" s="440" t="s">
        <v>479</v>
      </c>
      <c r="D44" s="440" t="s">
        <v>490</v>
      </c>
      <c r="E44" s="440" t="s">
        <v>480</v>
      </c>
      <c r="F44" s="440" t="s">
        <v>42</v>
      </c>
      <c r="G44" s="441" t="s">
        <v>3925</v>
      </c>
      <c r="H44" s="440" t="s">
        <v>3926</v>
      </c>
      <c r="I44" s="441" t="s">
        <v>3927</v>
      </c>
      <c r="J44" s="450">
        <v>45444</v>
      </c>
      <c r="K44" s="429" t="s">
        <v>2493</v>
      </c>
      <c r="L44" s="444"/>
      <c r="M44" s="444" t="s">
        <v>51</v>
      </c>
      <c r="N44" s="441" t="s">
        <v>2572</v>
      </c>
      <c r="O44" s="445" t="s">
        <v>85</v>
      </c>
      <c r="P44" s="441" t="s">
        <v>2494</v>
      </c>
      <c r="Q44" s="441" t="s">
        <v>2494</v>
      </c>
      <c r="R44" s="445" t="s">
        <v>3928</v>
      </c>
      <c r="S44" s="446">
        <v>45497</v>
      </c>
      <c r="T44" s="446">
        <v>45471</v>
      </c>
      <c r="U44" s="446">
        <v>45474</v>
      </c>
      <c r="V44" s="446">
        <v>45474</v>
      </c>
      <c r="W44" s="447">
        <v>45474</v>
      </c>
      <c r="X44" s="447" t="s">
        <v>8044</v>
      </c>
      <c r="Y44" s="420"/>
      <c r="Z44" s="224" t="str">
        <f t="shared" si="0"/>
        <v>AG. MEDIÇÃO</v>
      </c>
      <c r="AA44" s="207" t="str">
        <f t="shared" si="1"/>
        <v>ENTREGUE</v>
      </c>
      <c r="AB44" s="207" t="str">
        <f t="shared" si="2"/>
        <v>AG. MEDIÇÃO</v>
      </c>
      <c r="AC44" s="156">
        <f t="shared" ca="1" si="3"/>
        <v>1</v>
      </c>
      <c r="AD44" s="156" t="str">
        <f t="shared" ca="1" si="4"/>
        <v>NO PRAZO</v>
      </c>
      <c r="AE44" s="156">
        <f t="shared" ca="1" si="5"/>
        <v>-2</v>
      </c>
    </row>
    <row r="45" spans="1:31" ht="36" hidden="1" customHeight="1">
      <c r="A45" s="414"/>
      <c r="B45" s="440" t="s">
        <v>3828</v>
      </c>
      <c r="C45" s="440" t="s">
        <v>232</v>
      </c>
      <c r="D45" s="440"/>
      <c r="E45" s="440"/>
      <c r="F45" s="440" t="s">
        <v>42</v>
      </c>
      <c r="G45" s="441" t="s">
        <v>3348</v>
      </c>
      <c r="H45" s="440" t="s">
        <v>3829</v>
      </c>
      <c r="I45" s="441"/>
      <c r="J45" s="450">
        <v>45413</v>
      </c>
      <c r="K45" s="429" t="s">
        <v>2493</v>
      </c>
      <c r="L45" s="444"/>
      <c r="M45" s="444" t="s">
        <v>132</v>
      </c>
      <c r="N45" s="441" t="s">
        <v>2572</v>
      </c>
      <c r="O45" s="445" t="s">
        <v>85</v>
      </c>
      <c r="P45" s="441" t="s">
        <v>2494</v>
      </c>
      <c r="Q45" s="441" t="s">
        <v>2494</v>
      </c>
      <c r="R45" s="445" t="s">
        <v>3217</v>
      </c>
      <c r="S45" s="446">
        <v>45439</v>
      </c>
      <c r="T45" s="446">
        <v>45415</v>
      </c>
      <c r="U45" s="446">
        <v>45427</v>
      </c>
      <c r="V45" s="447">
        <v>45427</v>
      </c>
      <c r="W45" s="447">
        <v>45427</v>
      </c>
      <c r="X45" s="447" t="s">
        <v>8044</v>
      </c>
      <c r="Y45" s="420"/>
      <c r="Z45" s="224" t="str">
        <f t="shared" si="0"/>
        <v>AG. MEDIÇÃO</v>
      </c>
      <c r="AA45" s="207" t="str">
        <f t="shared" si="1"/>
        <v>ENTREGUE</v>
      </c>
      <c r="AB45" s="207" t="str">
        <f t="shared" si="2"/>
        <v>AG. MEDIÇÃO</v>
      </c>
      <c r="AC45" s="156">
        <f t="shared" ca="1" si="3"/>
        <v>8</v>
      </c>
      <c r="AD45" s="156" t="str">
        <f t="shared" ca="1" si="4"/>
        <v>ATRASADO</v>
      </c>
      <c r="AE45" s="156">
        <f t="shared" ca="1" si="5"/>
        <v>5</v>
      </c>
    </row>
    <row r="46" spans="1:31" ht="36" hidden="1" customHeight="1">
      <c r="A46" s="414"/>
      <c r="B46" s="429" t="s">
        <v>7545</v>
      </c>
      <c r="C46" s="430" t="s">
        <v>88</v>
      </c>
      <c r="D46" s="431"/>
      <c r="E46" s="432"/>
      <c r="F46" s="429" t="s">
        <v>42</v>
      </c>
      <c r="G46" s="434" t="s">
        <v>7527</v>
      </c>
      <c r="H46" s="636" t="s">
        <v>7528</v>
      </c>
      <c r="I46" s="433" t="s">
        <v>7314</v>
      </c>
      <c r="J46" s="432">
        <v>46143</v>
      </c>
      <c r="K46" s="429" t="s">
        <v>2493</v>
      </c>
      <c r="L46" s="487"/>
      <c r="M46" s="436" t="s">
        <v>62</v>
      </c>
      <c r="N46" s="433"/>
      <c r="O46" s="437"/>
      <c r="P46" s="433" t="s">
        <v>2494</v>
      </c>
      <c r="Q46" s="437" t="s">
        <v>2494</v>
      </c>
      <c r="R46" s="437" t="s">
        <v>2548</v>
      </c>
      <c r="S46" s="438">
        <v>46162</v>
      </c>
      <c r="T46" s="438">
        <v>46155</v>
      </c>
      <c r="U46" s="438"/>
      <c r="V46" s="439"/>
      <c r="W46" s="439">
        <v>46156</v>
      </c>
      <c r="X46" s="439">
        <v>46162</v>
      </c>
      <c r="Y46" s="420"/>
      <c r="Z46" s="224" t="str">
        <f t="shared" si="0"/>
        <v>AG. MEDIÇÃO</v>
      </c>
      <c r="AA46" s="207" t="str">
        <f t="shared" si="1"/>
        <v>ENTREGUE</v>
      </c>
      <c r="AB46" s="207" t="str">
        <f t="shared" si="2"/>
        <v>AG. MEDIÇÃO</v>
      </c>
      <c r="AC46" s="156">
        <f t="shared" ca="1" si="3"/>
        <v>1</v>
      </c>
      <c r="AD46" s="156" t="str">
        <f t="shared" ca="1" si="4"/>
        <v>NO PRAZO</v>
      </c>
      <c r="AE46" s="156">
        <f t="shared" ca="1" si="5"/>
        <v>-2</v>
      </c>
    </row>
    <row r="47" spans="1:31" ht="36" hidden="1" customHeight="1">
      <c r="A47" s="414"/>
      <c r="B47" s="440" t="s">
        <v>3585</v>
      </c>
      <c r="C47" s="440" t="s">
        <v>311</v>
      </c>
      <c r="D47" s="440" t="s">
        <v>630</v>
      </c>
      <c r="E47" s="440" t="s">
        <v>312</v>
      </c>
      <c r="F47" s="440" t="s">
        <v>42</v>
      </c>
      <c r="G47" s="441" t="s">
        <v>3586</v>
      </c>
      <c r="H47" s="440" t="s">
        <v>3587</v>
      </c>
      <c r="I47" s="441" t="s">
        <v>3588</v>
      </c>
      <c r="J47" s="450">
        <v>45383</v>
      </c>
      <c r="K47" s="429" t="s">
        <v>2493</v>
      </c>
      <c r="L47" s="444" t="s">
        <v>1130</v>
      </c>
      <c r="M47" s="444" t="s">
        <v>3589</v>
      </c>
      <c r="N47" s="441" t="s">
        <v>2572</v>
      </c>
      <c r="O47" s="445" t="s">
        <v>3350</v>
      </c>
      <c r="P47" s="445"/>
      <c r="Q47" s="441">
        <v>800</v>
      </c>
      <c r="R47" s="445" t="s">
        <v>3590</v>
      </c>
      <c r="S47" s="446">
        <v>45405</v>
      </c>
      <c r="T47" s="446">
        <v>45391</v>
      </c>
      <c r="U47" s="446">
        <v>45392</v>
      </c>
      <c r="V47" s="446">
        <v>45394</v>
      </c>
      <c r="W47" s="447">
        <v>45402</v>
      </c>
      <c r="X47" s="447" t="s">
        <v>8044</v>
      </c>
      <c r="Y47" s="420"/>
      <c r="Z47" s="224" t="str">
        <f t="shared" si="0"/>
        <v>AG. MEDIÇÃO</v>
      </c>
      <c r="AA47" s="207" t="str">
        <f t="shared" si="1"/>
        <v>ENTREGUE</v>
      </c>
      <c r="AB47" s="207" t="str">
        <f t="shared" si="2"/>
        <v>AG. MEDIÇÃO</v>
      </c>
      <c r="AC47" s="156">
        <f t="shared" ca="1" si="3"/>
        <v>8</v>
      </c>
      <c r="AD47" s="156" t="str">
        <f t="shared" ca="1" si="4"/>
        <v>ATRASADO</v>
      </c>
      <c r="AE47" s="156">
        <f t="shared" ca="1" si="5"/>
        <v>5</v>
      </c>
    </row>
    <row r="48" spans="1:31" ht="36" hidden="1" customHeight="1">
      <c r="A48" s="414"/>
      <c r="B48" s="440" t="s">
        <v>3132</v>
      </c>
      <c r="C48" s="440" t="s">
        <v>555</v>
      </c>
      <c r="D48" s="440"/>
      <c r="E48" s="440"/>
      <c r="F48" s="440" t="s">
        <v>42</v>
      </c>
      <c r="G48" s="441" t="s">
        <v>3133</v>
      </c>
      <c r="H48" s="440" t="s">
        <v>3134</v>
      </c>
      <c r="I48" s="449"/>
      <c r="J48" s="450">
        <v>45200</v>
      </c>
      <c r="K48" s="429" t="s">
        <v>2493</v>
      </c>
      <c r="L48" s="444" t="s">
        <v>774</v>
      </c>
      <c r="M48" s="444" t="s">
        <v>774</v>
      </c>
      <c r="N48" s="441" t="s">
        <v>2572</v>
      </c>
      <c r="O48" s="445" t="s">
        <v>85</v>
      </c>
      <c r="P48" s="445"/>
      <c r="Q48" s="441">
        <v>50</v>
      </c>
      <c r="R48" s="445" t="s">
        <v>3135</v>
      </c>
      <c r="S48" s="446">
        <v>45223</v>
      </c>
      <c r="T48" s="446">
        <v>45217</v>
      </c>
      <c r="U48" s="446">
        <v>45217</v>
      </c>
      <c r="V48" s="446">
        <v>45217</v>
      </c>
      <c r="W48" s="447">
        <v>45222</v>
      </c>
      <c r="X48" s="447" t="s">
        <v>8044</v>
      </c>
      <c r="Y48" s="420"/>
      <c r="Z48" s="224" t="str">
        <f t="shared" si="0"/>
        <v>AG. MEDIÇÃO</v>
      </c>
      <c r="AA48" s="207" t="str">
        <f t="shared" si="1"/>
        <v>ENTREGUE</v>
      </c>
      <c r="AB48" s="207" t="str">
        <f t="shared" si="2"/>
        <v>AG. MEDIÇÃO</v>
      </c>
      <c r="AC48" s="156">
        <f t="shared" ca="1" si="3"/>
        <v>3</v>
      </c>
      <c r="AD48" s="156" t="str">
        <f t="shared" ca="1" si="4"/>
        <v>NO PRAZO</v>
      </c>
      <c r="AE48" s="156">
        <f t="shared" ca="1" si="5"/>
        <v>0</v>
      </c>
    </row>
    <row r="49" spans="1:31" ht="36" hidden="1" customHeight="1">
      <c r="A49" s="414"/>
      <c r="B49" s="440" t="s">
        <v>4076</v>
      </c>
      <c r="C49" s="440" t="s">
        <v>410</v>
      </c>
      <c r="D49" s="440" t="s">
        <v>472</v>
      </c>
      <c r="E49" s="440" t="s">
        <v>411</v>
      </c>
      <c r="F49" s="440" t="s">
        <v>42</v>
      </c>
      <c r="G49" s="441" t="s">
        <v>4077</v>
      </c>
      <c r="H49" s="440" t="s">
        <v>4078</v>
      </c>
      <c r="I49" s="441" t="s">
        <v>4079</v>
      </c>
      <c r="J49" s="450">
        <v>45499</v>
      </c>
      <c r="K49" s="429" t="s">
        <v>2493</v>
      </c>
      <c r="L49" s="444"/>
      <c r="M49" s="444" t="s">
        <v>51</v>
      </c>
      <c r="N49" s="441" t="s">
        <v>2572</v>
      </c>
      <c r="O49" s="445" t="s">
        <v>85</v>
      </c>
      <c r="P49" s="445"/>
      <c r="Q49" s="441">
        <v>50</v>
      </c>
      <c r="R49" s="445" t="s">
        <v>4080</v>
      </c>
      <c r="S49" s="446">
        <v>45532</v>
      </c>
      <c r="T49" s="446">
        <v>45499</v>
      </c>
      <c r="U49" s="446">
        <v>45507</v>
      </c>
      <c r="V49" s="447">
        <v>45507</v>
      </c>
      <c r="W49" s="446">
        <v>45507</v>
      </c>
      <c r="X49" s="447" t="s">
        <v>8044</v>
      </c>
      <c r="Y49" s="420"/>
      <c r="Z49" s="224" t="str">
        <f t="shared" si="0"/>
        <v>AG. MEDIÇÃO</v>
      </c>
      <c r="AA49" s="207" t="str">
        <f t="shared" si="1"/>
        <v>ENTREGUE</v>
      </c>
      <c r="AB49" s="207" t="str">
        <f t="shared" si="2"/>
        <v>AG. MEDIÇÃO</v>
      </c>
      <c r="AC49" s="156">
        <f t="shared" ca="1" si="3"/>
        <v>5</v>
      </c>
      <c r="AD49" s="156" t="str">
        <f t="shared" ca="1" si="4"/>
        <v>ATRASADO</v>
      </c>
      <c r="AE49" s="156">
        <f t="shared" ca="1" si="5"/>
        <v>2</v>
      </c>
    </row>
    <row r="50" spans="1:31" ht="36" hidden="1" customHeight="1">
      <c r="A50" s="414"/>
      <c r="B50" s="440" t="s">
        <v>3480</v>
      </c>
      <c r="C50" s="440" t="s">
        <v>606</v>
      </c>
      <c r="D50" s="440"/>
      <c r="E50" s="440"/>
      <c r="F50" s="440" t="s">
        <v>42</v>
      </c>
      <c r="G50" s="441" t="s">
        <v>3481</v>
      </c>
      <c r="H50" s="440" t="s">
        <v>3482</v>
      </c>
      <c r="I50" s="441"/>
      <c r="J50" s="450">
        <v>45352</v>
      </c>
      <c r="K50" s="429" t="s">
        <v>2493</v>
      </c>
      <c r="L50" s="444"/>
      <c r="M50" s="444" t="s">
        <v>714</v>
      </c>
      <c r="N50" s="441" t="s">
        <v>2572</v>
      </c>
      <c r="O50" s="445" t="s">
        <v>85</v>
      </c>
      <c r="P50" s="441" t="s">
        <v>2494</v>
      </c>
      <c r="Q50" s="441" t="s">
        <v>2494</v>
      </c>
      <c r="R50" s="445" t="s">
        <v>3483</v>
      </c>
      <c r="S50" s="446">
        <v>45377</v>
      </c>
      <c r="T50" s="446">
        <v>45364</v>
      </c>
      <c r="U50" s="446"/>
      <c r="V50" s="446">
        <v>45365</v>
      </c>
      <c r="W50" s="447">
        <v>45369</v>
      </c>
      <c r="X50" s="447" t="s">
        <v>8044</v>
      </c>
      <c r="Y50" s="420"/>
      <c r="Z50" s="224" t="str">
        <f t="shared" si="0"/>
        <v>AG. MEDIÇÃO</v>
      </c>
      <c r="AA50" s="207" t="str">
        <f t="shared" si="1"/>
        <v>ENTREGUE</v>
      </c>
      <c r="AB50" s="207" t="str">
        <f t="shared" si="2"/>
        <v>AG. MEDIÇÃO</v>
      </c>
      <c r="AC50" s="156">
        <f t="shared" ca="1" si="3"/>
        <v>3</v>
      </c>
      <c r="AD50" s="156" t="str">
        <f t="shared" ca="1" si="4"/>
        <v>NO PRAZO</v>
      </c>
      <c r="AE50" s="156">
        <f t="shared" ca="1" si="5"/>
        <v>0</v>
      </c>
    </row>
    <row r="51" spans="1:31" ht="36" hidden="1" customHeight="1">
      <c r="A51" s="414"/>
      <c r="B51" s="440" t="s">
        <v>3604</v>
      </c>
      <c r="C51" s="440" t="s">
        <v>104</v>
      </c>
      <c r="D51" s="440"/>
      <c r="E51" s="440"/>
      <c r="F51" s="440" t="s">
        <v>42</v>
      </c>
      <c r="G51" s="441" t="s">
        <v>3605</v>
      </c>
      <c r="H51" s="440" t="s">
        <v>3606</v>
      </c>
      <c r="I51" s="441"/>
      <c r="J51" s="450">
        <v>45383</v>
      </c>
      <c r="K51" s="429" t="s">
        <v>2493</v>
      </c>
      <c r="L51" s="444"/>
      <c r="M51" s="444" t="s">
        <v>827</v>
      </c>
      <c r="N51" s="441" t="s">
        <v>2572</v>
      </c>
      <c r="O51" s="445" t="s">
        <v>85</v>
      </c>
      <c r="P51" s="441" t="s">
        <v>2494</v>
      </c>
      <c r="Q51" s="441" t="s">
        <v>2494</v>
      </c>
      <c r="R51" s="445" t="s">
        <v>3127</v>
      </c>
      <c r="S51" s="446">
        <v>45405</v>
      </c>
      <c r="T51" s="446">
        <v>45392</v>
      </c>
      <c r="U51" s="446"/>
      <c r="V51" s="446">
        <v>45397</v>
      </c>
      <c r="W51" s="447">
        <v>45397</v>
      </c>
      <c r="X51" s="447" t="s">
        <v>8044</v>
      </c>
      <c r="Y51" s="420"/>
      <c r="Z51" s="224" t="str">
        <f t="shared" si="0"/>
        <v>AG. MEDIÇÃO</v>
      </c>
      <c r="AA51" s="207" t="str">
        <f t="shared" si="1"/>
        <v>ENTREGUE</v>
      </c>
      <c r="AB51" s="207" t="str">
        <f t="shared" si="2"/>
        <v>AG. MEDIÇÃO</v>
      </c>
      <c r="AC51" s="156">
        <f t="shared" ca="1" si="3"/>
        <v>3</v>
      </c>
      <c r="AD51" s="156" t="str">
        <f t="shared" ca="1" si="4"/>
        <v>NO PRAZO</v>
      </c>
      <c r="AE51" s="156">
        <f t="shared" ca="1" si="5"/>
        <v>0</v>
      </c>
    </row>
    <row r="52" spans="1:31" ht="36" hidden="1" customHeight="1">
      <c r="A52" s="414"/>
      <c r="B52" s="440" t="s">
        <v>3054</v>
      </c>
      <c r="C52" s="440" t="s">
        <v>989</v>
      </c>
      <c r="D52" s="440"/>
      <c r="E52" s="440"/>
      <c r="F52" s="440" t="s">
        <v>42</v>
      </c>
      <c r="G52" s="441" t="s">
        <v>3055</v>
      </c>
      <c r="H52" s="440" t="s">
        <v>3056</v>
      </c>
      <c r="I52" s="449"/>
      <c r="J52" s="450">
        <v>45170</v>
      </c>
      <c r="K52" s="429" t="s">
        <v>2493</v>
      </c>
      <c r="L52" s="444" t="s">
        <v>3057</v>
      </c>
      <c r="M52" s="444" t="s">
        <v>864</v>
      </c>
      <c r="N52" s="441" t="s">
        <v>2572</v>
      </c>
      <c r="O52" s="445" t="s">
        <v>85</v>
      </c>
      <c r="P52" s="445"/>
      <c r="Q52" s="441">
        <v>284</v>
      </c>
      <c r="R52" s="445" t="s">
        <v>3058</v>
      </c>
      <c r="S52" s="446">
        <v>45203</v>
      </c>
      <c r="T52" s="446">
        <v>45175</v>
      </c>
      <c r="U52" s="446">
        <v>45198</v>
      </c>
      <c r="V52" s="446">
        <v>45198</v>
      </c>
      <c r="W52" s="447">
        <v>45198</v>
      </c>
      <c r="X52" s="447" t="s">
        <v>8044</v>
      </c>
      <c r="Y52" s="420"/>
      <c r="Z52" s="224" t="str">
        <f t="shared" si="0"/>
        <v>AG. MEDIÇÃO</v>
      </c>
      <c r="AA52" s="207" t="str">
        <f t="shared" si="1"/>
        <v>ENTREGUE</v>
      </c>
      <c r="AB52" s="207" t="str">
        <f t="shared" si="2"/>
        <v>AG. MEDIÇÃO</v>
      </c>
      <c r="AC52" s="156">
        <f t="shared" ca="1" si="3"/>
        <v>17</v>
      </c>
      <c r="AD52" s="156" t="str">
        <f t="shared" ca="1" si="4"/>
        <v>ATRASADO</v>
      </c>
      <c r="AE52" s="156">
        <f t="shared" ca="1" si="5"/>
        <v>14</v>
      </c>
    </row>
    <row r="53" spans="1:31" ht="36" hidden="1" customHeight="1">
      <c r="A53" s="414"/>
      <c r="B53" s="440" t="s">
        <v>3316</v>
      </c>
      <c r="C53" s="440" t="s">
        <v>203</v>
      </c>
      <c r="D53" s="440"/>
      <c r="E53" s="440"/>
      <c r="F53" s="440" t="s">
        <v>42</v>
      </c>
      <c r="G53" s="441" t="s">
        <v>3317</v>
      </c>
      <c r="H53" s="440" t="s">
        <v>3318</v>
      </c>
      <c r="I53" s="449"/>
      <c r="J53" s="450">
        <v>45261</v>
      </c>
      <c r="K53" s="429" t="s">
        <v>2493</v>
      </c>
      <c r="L53" s="444"/>
      <c r="M53" s="444" t="s">
        <v>3298</v>
      </c>
      <c r="N53" s="441" t="s">
        <v>2572</v>
      </c>
      <c r="O53" s="445" t="s">
        <v>85</v>
      </c>
      <c r="P53" s="441" t="s">
        <v>2494</v>
      </c>
      <c r="Q53" s="441" t="s">
        <v>2494</v>
      </c>
      <c r="R53" s="445" t="s">
        <v>3319</v>
      </c>
      <c r="S53" s="446">
        <v>45300</v>
      </c>
      <c r="T53" s="446">
        <v>45274</v>
      </c>
      <c r="U53" s="446"/>
      <c r="V53" s="446">
        <v>45275</v>
      </c>
      <c r="W53" s="446">
        <v>45275</v>
      </c>
      <c r="X53" s="447" t="s">
        <v>8044</v>
      </c>
      <c r="Y53" s="420"/>
      <c r="Z53" s="224" t="str">
        <f t="shared" si="0"/>
        <v>AG. MEDIÇÃO</v>
      </c>
      <c r="AA53" s="207" t="str">
        <f t="shared" si="1"/>
        <v>ENTREGUE</v>
      </c>
      <c r="AB53" s="207" t="str">
        <f t="shared" si="2"/>
        <v>AG. MEDIÇÃO</v>
      </c>
      <c r="AC53" s="156">
        <f t="shared" ca="1" si="3"/>
        <v>1</v>
      </c>
      <c r="AD53" s="156" t="str">
        <f t="shared" ca="1" si="4"/>
        <v>NO PRAZO</v>
      </c>
      <c r="AE53" s="156">
        <f t="shared" ca="1" si="5"/>
        <v>-2</v>
      </c>
    </row>
    <row r="54" spans="1:31" ht="36" hidden="1" customHeight="1">
      <c r="A54" s="414"/>
      <c r="B54" s="440" t="s">
        <v>2897</v>
      </c>
      <c r="C54" s="440" t="s">
        <v>665</v>
      </c>
      <c r="D54" s="440"/>
      <c r="E54" s="440"/>
      <c r="F54" s="440" t="s">
        <v>42</v>
      </c>
      <c r="G54" s="441" t="s">
        <v>2898</v>
      </c>
      <c r="H54" s="440" t="s">
        <v>2899</v>
      </c>
      <c r="I54" s="449"/>
      <c r="J54" s="450">
        <v>45078</v>
      </c>
      <c r="K54" s="429" t="s">
        <v>2493</v>
      </c>
      <c r="L54" s="444" t="s">
        <v>864</v>
      </c>
      <c r="M54" s="444" t="s">
        <v>864</v>
      </c>
      <c r="N54" s="441" t="s">
        <v>2572</v>
      </c>
      <c r="O54" s="445" t="s">
        <v>2573</v>
      </c>
      <c r="P54" s="445"/>
      <c r="Q54" s="441">
        <v>225</v>
      </c>
      <c r="R54" s="445" t="s">
        <v>2900</v>
      </c>
      <c r="S54" s="446">
        <v>45100</v>
      </c>
      <c r="T54" s="446">
        <v>45098</v>
      </c>
      <c r="U54" s="446">
        <v>45098</v>
      </c>
      <c r="V54" s="446">
        <v>45099</v>
      </c>
      <c r="W54" s="446">
        <v>45099</v>
      </c>
      <c r="X54" s="447" t="s">
        <v>8044</v>
      </c>
      <c r="Y54" s="420"/>
      <c r="Z54" s="224" t="str">
        <f t="shared" si="0"/>
        <v>AG. MEDIÇÃO</v>
      </c>
      <c r="AA54" s="207" t="str">
        <f t="shared" si="1"/>
        <v>ENTREGUE</v>
      </c>
      <c r="AB54" s="207" t="str">
        <f t="shared" si="2"/>
        <v>AG. MEDIÇÃO</v>
      </c>
      <c r="AC54" s="156">
        <f t="shared" ca="1" si="3"/>
        <v>1</v>
      </c>
      <c r="AD54" s="156" t="str">
        <f t="shared" ca="1" si="4"/>
        <v>NO PRAZO</v>
      </c>
      <c r="AE54" s="156">
        <f t="shared" ca="1" si="5"/>
        <v>-2</v>
      </c>
    </row>
    <row r="55" spans="1:31" ht="36" hidden="1" customHeight="1">
      <c r="A55" s="414"/>
      <c r="B55" s="440" t="s">
        <v>2980</v>
      </c>
      <c r="C55" s="440" t="s">
        <v>1364</v>
      </c>
      <c r="D55" s="440"/>
      <c r="E55" s="440"/>
      <c r="F55" s="440" t="s">
        <v>42</v>
      </c>
      <c r="G55" s="441" t="s">
        <v>2981</v>
      </c>
      <c r="H55" s="440" t="s">
        <v>2982</v>
      </c>
      <c r="I55" s="449"/>
      <c r="J55" s="450">
        <v>45078</v>
      </c>
      <c r="K55" s="429" t="s">
        <v>2493</v>
      </c>
      <c r="L55" s="444" t="s">
        <v>896</v>
      </c>
      <c r="M55" s="444" t="s">
        <v>1155</v>
      </c>
      <c r="N55" s="441" t="s">
        <v>2572</v>
      </c>
      <c r="O55" s="445" t="s">
        <v>2573</v>
      </c>
      <c r="P55" s="445"/>
      <c r="Q55" s="441">
        <v>534</v>
      </c>
      <c r="R55" s="445" t="s">
        <v>2983</v>
      </c>
      <c r="S55" s="446">
        <v>45168</v>
      </c>
      <c r="T55" s="446">
        <v>45091</v>
      </c>
      <c r="U55" s="446">
        <v>45103</v>
      </c>
      <c r="V55" s="446">
        <v>45104</v>
      </c>
      <c r="W55" s="447">
        <v>45104</v>
      </c>
      <c r="X55" s="447" t="s">
        <v>8044</v>
      </c>
      <c r="Y55" s="420"/>
      <c r="Z55" s="224" t="str">
        <f t="shared" si="0"/>
        <v>AG. MEDIÇÃO</v>
      </c>
      <c r="AA55" s="207" t="str">
        <f t="shared" si="1"/>
        <v>ENTREGUE</v>
      </c>
      <c r="AB55" s="207" t="str">
        <f t="shared" si="2"/>
        <v>AG. MEDIÇÃO</v>
      </c>
      <c r="AC55" s="156">
        <f t="shared" ca="1" si="3"/>
        <v>9</v>
      </c>
      <c r="AD55" s="156" t="str">
        <f t="shared" ca="1" si="4"/>
        <v>ATRASADO</v>
      </c>
      <c r="AE55" s="156">
        <f t="shared" ca="1" si="5"/>
        <v>6</v>
      </c>
    </row>
    <row r="56" spans="1:31" ht="36" hidden="1" customHeight="1">
      <c r="A56" s="414"/>
      <c r="B56" s="440" t="s">
        <v>3564</v>
      </c>
      <c r="C56" s="440" t="s">
        <v>425</v>
      </c>
      <c r="D56" s="440"/>
      <c r="E56" s="440"/>
      <c r="F56" s="440" t="s">
        <v>427</v>
      </c>
      <c r="G56" s="441" t="s">
        <v>3565</v>
      </c>
      <c r="H56" s="440" t="s">
        <v>3566</v>
      </c>
      <c r="I56" s="441" t="s">
        <v>3565</v>
      </c>
      <c r="J56" s="450">
        <v>45383</v>
      </c>
      <c r="K56" s="429" t="s">
        <v>2493</v>
      </c>
      <c r="L56" s="444"/>
      <c r="M56" s="444" t="s">
        <v>3555</v>
      </c>
      <c r="N56" s="441" t="s">
        <v>2572</v>
      </c>
      <c r="O56" s="445" t="s">
        <v>85</v>
      </c>
      <c r="P56" s="441" t="s">
        <v>2494</v>
      </c>
      <c r="Q56" s="441" t="s">
        <v>2494</v>
      </c>
      <c r="R56" s="445" t="s">
        <v>3217</v>
      </c>
      <c r="S56" s="446">
        <v>45405</v>
      </c>
      <c r="T56" s="446">
        <v>45384</v>
      </c>
      <c r="U56" s="446"/>
      <c r="V56" s="446">
        <v>45386</v>
      </c>
      <c r="W56" s="447">
        <v>45386</v>
      </c>
      <c r="X56" s="447" t="s">
        <v>8044</v>
      </c>
      <c r="Y56" s="420"/>
      <c r="Z56" s="224" t="str">
        <f t="shared" si="0"/>
        <v>AG. MEDIÇÃO</v>
      </c>
      <c r="AA56" s="207" t="str">
        <f t="shared" si="1"/>
        <v>ENTREGUE</v>
      </c>
      <c r="AB56" s="207" t="str">
        <f t="shared" si="2"/>
        <v>AG. MEDIÇÃO</v>
      </c>
      <c r="AC56" s="156">
        <f t="shared" ca="1" si="3"/>
        <v>2</v>
      </c>
      <c r="AD56" s="156" t="str">
        <f t="shared" ca="1" si="4"/>
        <v>NO PRAZO</v>
      </c>
      <c r="AE56" s="156">
        <f t="shared" ca="1" si="5"/>
        <v>-1</v>
      </c>
    </row>
    <row r="57" spans="1:31" ht="36" hidden="1" customHeight="1">
      <c r="A57" s="414"/>
      <c r="B57" s="440" t="s">
        <v>2901</v>
      </c>
      <c r="C57" s="440" t="s">
        <v>2902</v>
      </c>
      <c r="D57" s="440"/>
      <c r="E57" s="440"/>
      <c r="F57" s="440" t="s">
        <v>42</v>
      </c>
      <c r="G57" s="441" t="s">
        <v>2903</v>
      </c>
      <c r="H57" s="440" t="s">
        <v>2904</v>
      </c>
      <c r="I57" s="449"/>
      <c r="J57" s="450">
        <v>45078</v>
      </c>
      <c r="K57" s="429" t="s">
        <v>2493</v>
      </c>
      <c r="L57" s="444" t="s">
        <v>863</v>
      </c>
      <c r="M57" s="444" t="s">
        <v>863</v>
      </c>
      <c r="N57" s="441" t="s">
        <v>2572</v>
      </c>
      <c r="O57" s="445" t="s">
        <v>2573</v>
      </c>
      <c r="P57" s="445"/>
      <c r="Q57" s="441">
        <v>2</v>
      </c>
      <c r="R57" s="445" t="s">
        <v>2905</v>
      </c>
      <c r="S57" s="446">
        <v>45100</v>
      </c>
      <c r="T57" s="446">
        <v>45084</v>
      </c>
      <c r="U57" s="446">
        <v>45084</v>
      </c>
      <c r="V57" s="446">
        <v>45087</v>
      </c>
      <c r="W57" s="447">
        <v>45089</v>
      </c>
      <c r="X57" s="447" t="s">
        <v>8044</v>
      </c>
      <c r="Y57" s="420"/>
      <c r="Z57" s="224" t="str">
        <f t="shared" si="0"/>
        <v>AG. MEDIÇÃO</v>
      </c>
      <c r="AA57" s="207" t="str">
        <f t="shared" si="1"/>
        <v>ENTREGUE</v>
      </c>
      <c r="AB57" s="207" t="str">
        <f t="shared" si="2"/>
        <v>AG. MEDIÇÃO</v>
      </c>
      <c r="AC57" s="156">
        <f t="shared" ca="1" si="3"/>
        <v>3</v>
      </c>
      <c r="AD57" s="156" t="str">
        <f t="shared" ca="1" si="4"/>
        <v>NO PRAZO</v>
      </c>
      <c r="AE57" s="156">
        <f t="shared" ca="1" si="5"/>
        <v>0</v>
      </c>
    </row>
    <row r="58" spans="1:31" ht="36" hidden="1" customHeight="1">
      <c r="A58" s="414"/>
      <c r="B58" s="440" t="s">
        <v>2906</v>
      </c>
      <c r="C58" s="440" t="s">
        <v>2902</v>
      </c>
      <c r="D58" s="440"/>
      <c r="E58" s="440"/>
      <c r="F58" s="440" t="s">
        <v>42</v>
      </c>
      <c r="G58" s="441" t="s">
        <v>2907</v>
      </c>
      <c r="H58" s="440" t="s">
        <v>2908</v>
      </c>
      <c r="I58" s="449"/>
      <c r="J58" s="450">
        <v>45078</v>
      </c>
      <c r="K58" s="429" t="s">
        <v>2493</v>
      </c>
      <c r="L58" s="444" t="s">
        <v>863</v>
      </c>
      <c r="M58" s="444" t="s">
        <v>863</v>
      </c>
      <c r="N58" s="441" t="s">
        <v>2572</v>
      </c>
      <c r="O58" s="441" t="s">
        <v>2573</v>
      </c>
      <c r="P58" s="441"/>
      <c r="Q58" s="441">
        <v>190</v>
      </c>
      <c r="R58" s="445" t="s">
        <v>2909</v>
      </c>
      <c r="S58" s="446">
        <v>45100</v>
      </c>
      <c r="T58" s="446">
        <v>45084</v>
      </c>
      <c r="U58" s="446">
        <v>45084</v>
      </c>
      <c r="V58" s="446">
        <v>45087</v>
      </c>
      <c r="W58" s="447">
        <v>45089</v>
      </c>
      <c r="X58" s="447" t="s">
        <v>8044</v>
      </c>
      <c r="Y58" s="420"/>
      <c r="Z58" s="224" t="str">
        <f t="shared" si="0"/>
        <v>AG. MEDIÇÃO</v>
      </c>
      <c r="AA58" s="207" t="str">
        <f t="shared" si="1"/>
        <v>ENTREGUE</v>
      </c>
      <c r="AB58" s="207" t="str">
        <f t="shared" si="2"/>
        <v>AG. MEDIÇÃO</v>
      </c>
      <c r="AC58" s="156">
        <f t="shared" ca="1" si="3"/>
        <v>3</v>
      </c>
      <c r="AD58" s="156" t="str">
        <f t="shared" ca="1" si="4"/>
        <v>NO PRAZO</v>
      </c>
      <c r="AE58" s="156">
        <f t="shared" ca="1" si="5"/>
        <v>0</v>
      </c>
    </row>
    <row r="59" spans="1:31" ht="36" hidden="1" customHeight="1">
      <c r="A59" s="414"/>
      <c r="B59" s="440" t="s">
        <v>3037</v>
      </c>
      <c r="C59" s="440" t="s">
        <v>425</v>
      </c>
      <c r="D59" s="440"/>
      <c r="E59" s="440"/>
      <c r="F59" s="440" t="s">
        <v>427</v>
      </c>
      <c r="G59" s="441" t="s">
        <v>3038</v>
      </c>
      <c r="H59" s="440" t="s">
        <v>3039</v>
      </c>
      <c r="I59" s="449"/>
      <c r="J59" s="450">
        <v>45139</v>
      </c>
      <c r="K59" s="429" t="s">
        <v>2493</v>
      </c>
      <c r="L59" s="444"/>
      <c r="M59" s="444" t="s">
        <v>1155</v>
      </c>
      <c r="N59" s="441" t="s">
        <v>2572</v>
      </c>
      <c r="O59" s="445" t="s">
        <v>2573</v>
      </c>
      <c r="P59" s="441" t="s">
        <v>2494</v>
      </c>
      <c r="Q59" s="441" t="s">
        <v>2494</v>
      </c>
      <c r="R59" s="445" t="s">
        <v>3040</v>
      </c>
      <c r="S59" s="446">
        <v>45175</v>
      </c>
      <c r="T59" s="446">
        <v>45160</v>
      </c>
      <c r="U59" s="446">
        <v>45160</v>
      </c>
      <c r="V59" s="446">
        <v>45160</v>
      </c>
      <c r="W59" s="447">
        <v>45160</v>
      </c>
      <c r="X59" s="447" t="s">
        <v>8044</v>
      </c>
      <c r="Y59" s="420"/>
      <c r="Z59" s="224" t="str">
        <f t="shared" si="0"/>
        <v>AG. MEDIÇÃO</v>
      </c>
      <c r="AA59" s="207" t="str">
        <f t="shared" si="1"/>
        <v>ENTREGUE</v>
      </c>
      <c r="AB59" s="207" t="str">
        <f t="shared" si="2"/>
        <v>AG. MEDIÇÃO</v>
      </c>
      <c r="AC59" s="156">
        <f t="shared" ca="1" si="3"/>
        <v>0</v>
      </c>
      <c r="AD59" s="156" t="str">
        <f t="shared" ca="1" si="4"/>
        <v>NO PRAZO</v>
      </c>
      <c r="AE59" s="156">
        <f t="shared" ca="1" si="5"/>
        <v>-3</v>
      </c>
    </row>
    <row r="60" spans="1:31" ht="36" hidden="1" customHeight="1">
      <c r="A60" s="414"/>
      <c r="B60" s="440" t="s">
        <v>3059</v>
      </c>
      <c r="C60" s="440" t="s">
        <v>298</v>
      </c>
      <c r="D60" s="440"/>
      <c r="E60" s="440"/>
      <c r="F60" s="440" t="s">
        <v>42</v>
      </c>
      <c r="G60" s="441" t="s">
        <v>3060</v>
      </c>
      <c r="H60" s="440" t="s">
        <v>8539</v>
      </c>
      <c r="I60" s="449"/>
      <c r="J60" s="450">
        <v>45170</v>
      </c>
      <c r="K60" s="429" t="s">
        <v>2493</v>
      </c>
      <c r="L60" s="444" t="s">
        <v>3061</v>
      </c>
      <c r="M60" s="444" t="s">
        <v>1155</v>
      </c>
      <c r="N60" s="441" t="s">
        <v>2572</v>
      </c>
      <c r="O60" s="445" t="s">
        <v>2573</v>
      </c>
      <c r="P60" s="445"/>
      <c r="Q60" s="445">
        <v>513</v>
      </c>
      <c r="R60" s="445" t="s">
        <v>3062</v>
      </c>
      <c r="S60" s="446">
        <v>45198</v>
      </c>
      <c r="T60" s="446">
        <v>45183</v>
      </c>
      <c r="U60" s="446">
        <v>45184</v>
      </c>
      <c r="V60" s="446">
        <v>45187</v>
      </c>
      <c r="W60" s="446">
        <v>45187</v>
      </c>
      <c r="X60" s="447" t="s">
        <v>8044</v>
      </c>
      <c r="Y60" s="420"/>
      <c r="Z60" s="224" t="str">
        <f t="shared" si="0"/>
        <v>AG. MEDIÇÃO</v>
      </c>
      <c r="AA60" s="207" t="str">
        <f t="shared" si="1"/>
        <v>ENTREGUE</v>
      </c>
      <c r="AB60" s="207" t="str">
        <f t="shared" si="2"/>
        <v>AG. MEDIÇÃO</v>
      </c>
      <c r="AC60" s="156">
        <f t="shared" ca="1" si="3"/>
        <v>2</v>
      </c>
      <c r="AD60" s="156" t="str">
        <f t="shared" ca="1" si="4"/>
        <v>NO PRAZO</v>
      </c>
      <c r="AE60" s="156">
        <f t="shared" ca="1" si="5"/>
        <v>-1</v>
      </c>
    </row>
    <row r="61" spans="1:31" ht="36" hidden="1" customHeight="1">
      <c r="A61" s="414"/>
      <c r="B61" s="440" t="s">
        <v>2934</v>
      </c>
      <c r="C61" s="440" t="s">
        <v>548</v>
      </c>
      <c r="D61" s="440"/>
      <c r="E61" s="440"/>
      <c r="F61" s="440" t="s">
        <v>42</v>
      </c>
      <c r="G61" s="441" t="s">
        <v>2935</v>
      </c>
      <c r="H61" s="440" t="s">
        <v>2936</v>
      </c>
      <c r="I61" s="449"/>
      <c r="J61" s="450">
        <v>45078</v>
      </c>
      <c r="K61" s="429" t="s">
        <v>2493</v>
      </c>
      <c r="L61" s="444" t="s">
        <v>689</v>
      </c>
      <c r="M61" s="444" t="s">
        <v>714</v>
      </c>
      <c r="N61" s="441" t="s">
        <v>2572</v>
      </c>
      <c r="O61" s="445" t="s">
        <v>2573</v>
      </c>
      <c r="P61" s="445"/>
      <c r="Q61" s="441">
        <v>710</v>
      </c>
      <c r="R61" s="445" t="s">
        <v>2937</v>
      </c>
      <c r="S61" s="446">
        <v>45118</v>
      </c>
      <c r="T61" s="446">
        <v>45091</v>
      </c>
      <c r="U61" s="446">
        <v>45103</v>
      </c>
      <c r="V61" s="446">
        <v>45106</v>
      </c>
      <c r="W61" s="447">
        <v>45110</v>
      </c>
      <c r="X61" s="447" t="s">
        <v>8044</v>
      </c>
      <c r="Y61" s="420"/>
      <c r="Z61" s="224" t="str">
        <f t="shared" si="0"/>
        <v>AG. MEDIÇÃO</v>
      </c>
      <c r="AA61" s="207" t="str">
        <f t="shared" si="1"/>
        <v>ENTREGUE</v>
      </c>
      <c r="AB61" s="207" t="str">
        <f t="shared" si="2"/>
        <v>AG. MEDIÇÃO</v>
      </c>
      <c r="AC61" s="156">
        <f t="shared" ca="1" si="3"/>
        <v>13</v>
      </c>
      <c r="AD61" s="156" t="str">
        <f t="shared" ca="1" si="4"/>
        <v>ATRASADO</v>
      </c>
      <c r="AE61" s="156">
        <f t="shared" ca="1" si="5"/>
        <v>10</v>
      </c>
    </row>
    <row r="62" spans="1:31" ht="36" hidden="1" customHeight="1">
      <c r="A62" s="414"/>
      <c r="B62" s="440" t="s">
        <v>2976</v>
      </c>
      <c r="C62" s="440" t="s">
        <v>2000</v>
      </c>
      <c r="D62" s="440"/>
      <c r="E62" s="440"/>
      <c r="F62" s="440" t="s">
        <v>42</v>
      </c>
      <c r="G62" s="441" t="s">
        <v>2977</v>
      </c>
      <c r="H62" s="440" t="s">
        <v>2978</v>
      </c>
      <c r="I62" s="449"/>
      <c r="J62" s="443">
        <v>45139</v>
      </c>
      <c r="K62" s="429" t="s">
        <v>2493</v>
      </c>
      <c r="L62" s="444" t="s">
        <v>864</v>
      </c>
      <c r="M62" s="444" t="s">
        <v>864</v>
      </c>
      <c r="N62" s="441" t="s">
        <v>2572</v>
      </c>
      <c r="O62" s="445" t="s">
        <v>2573</v>
      </c>
      <c r="P62" s="445"/>
      <c r="Q62" s="441">
        <v>340</v>
      </c>
      <c r="R62" s="445" t="s">
        <v>2979</v>
      </c>
      <c r="S62" s="446">
        <v>45175</v>
      </c>
      <c r="T62" s="446">
        <v>45154</v>
      </c>
      <c r="U62" s="446">
        <v>45154</v>
      </c>
      <c r="V62" s="446">
        <v>45155</v>
      </c>
      <c r="W62" s="447">
        <v>45155</v>
      </c>
      <c r="X62" s="447" t="s">
        <v>8044</v>
      </c>
      <c r="Y62" s="420"/>
      <c r="Z62" s="224" t="str">
        <f t="shared" si="0"/>
        <v>AG. MEDIÇÃO</v>
      </c>
      <c r="AA62" s="207" t="str">
        <f t="shared" si="1"/>
        <v>ENTREGUE</v>
      </c>
      <c r="AB62" s="207" t="str">
        <f t="shared" si="2"/>
        <v>AG. MEDIÇÃO</v>
      </c>
      <c r="AC62" s="156">
        <f t="shared" ca="1" si="3"/>
        <v>1</v>
      </c>
      <c r="AD62" s="156" t="str">
        <f t="shared" ca="1" si="4"/>
        <v>NO PRAZO</v>
      </c>
      <c r="AE62" s="156">
        <f t="shared" ca="1" si="5"/>
        <v>-2</v>
      </c>
    </row>
    <row r="63" spans="1:31" ht="36" hidden="1" customHeight="1">
      <c r="A63" s="414"/>
      <c r="B63" s="440" t="s">
        <v>3355</v>
      </c>
      <c r="C63" s="440" t="s">
        <v>248</v>
      </c>
      <c r="D63" s="440"/>
      <c r="E63" s="440"/>
      <c r="F63" s="440" t="s">
        <v>519</v>
      </c>
      <c r="G63" s="441" t="s">
        <v>3356</v>
      </c>
      <c r="H63" s="440" t="s">
        <v>3357</v>
      </c>
      <c r="I63" s="441"/>
      <c r="J63" s="450">
        <v>45261</v>
      </c>
      <c r="K63" s="429" t="s">
        <v>2493</v>
      </c>
      <c r="L63" s="444"/>
      <c r="M63" s="444" t="s">
        <v>51</v>
      </c>
      <c r="N63" s="441" t="s">
        <v>2572</v>
      </c>
      <c r="O63" s="445" t="s">
        <v>85</v>
      </c>
      <c r="P63" s="441" t="s">
        <v>2494</v>
      </c>
      <c r="Q63" s="441" t="s">
        <v>2494</v>
      </c>
      <c r="R63" s="445" t="s">
        <v>3358</v>
      </c>
      <c r="S63" s="446">
        <v>45300</v>
      </c>
      <c r="T63" s="446">
        <v>45288</v>
      </c>
      <c r="U63" s="446"/>
      <c r="V63" s="446">
        <v>45296</v>
      </c>
      <c r="W63" s="446">
        <v>45296</v>
      </c>
      <c r="X63" s="447" t="s">
        <v>8044</v>
      </c>
      <c r="Y63" s="420"/>
      <c r="Z63" s="224" t="str">
        <f t="shared" si="0"/>
        <v>AG. MEDIÇÃO</v>
      </c>
      <c r="AA63" s="207" t="str">
        <f t="shared" si="1"/>
        <v>ENTREGUE</v>
      </c>
      <c r="AB63" s="207" t="str">
        <f t="shared" si="2"/>
        <v>AG. MEDIÇÃO</v>
      </c>
      <c r="AC63" s="156">
        <f t="shared" ca="1" si="3"/>
        <v>6</v>
      </c>
      <c r="AD63" s="156" t="str">
        <f t="shared" ca="1" si="4"/>
        <v>ATRASADO</v>
      </c>
      <c r="AE63" s="156">
        <f t="shared" ca="1" si="5"/>
        <v>3</v>
      </c>
    </row>
    <row r="64" spans="1:31" ht="36" hidden="1" customHeight="1">
      <c r="A64" s="414"/>
      <c r="B64" s="440" t="s">
        <v>3419</v>
      </c>
      <c r="C64" s="440" t="s">
        <v>305</v>
      </c>
      <c r="D64" s="440"/>
      <c r="E64" s="440"/>
      <c r="F64" s="440" t="s">
        <v>42</v>
      </c>
      <c r="G64" s="441" t="s">
        <v>3420</v>
      </c>
      <c r="H64" s="440" t="s">
        <v>3421</v>
      </c>
      <c r="I64" s="441"/>
      <c r="J64" s="450">
        <v>45292</v>
      </c>
      <c r="K64" s="429" t="s">
        <v>2493</v>
      </c>
      <c r="L64" s="444" t="s">
        <v>3422</v>
      </c>
      <c r="M64" s="444" t="s">
        <v>3422</v>
      </c>
      <c r="N64" s="441" t="s">
        <v>2572</v>
      </c>
      <c r="O64" s="445" t="s">
        <v>85</v>
      </c>
      <c r="P64" s="445"/>
      <c r="Q64" s="441">
        <v>250</v>
      </c>
      <c r="R64" s="445" t="s">
        <v>3423</v>
      </c>
      <c r="S64" s="446">
        <v>45345</v>
      </c>
      <c r="T64" s="446">
        <v>45321</v>
      </c>
      <c r="U64" s="446">
        <v>45331</v>
      </c>
      <c r="V64" s="446">
        <v>45337</v>
      </c>
      <c r="W64" s="447">
        <v>45337</v>
      </c>
      <c r="X64" s="447" t="s">
        <v>8044</v>
      </c>
      <c r="Y64" s="420"/>
      <c r="Z64" s="224" t="str">
        <f t="shared" si="0"/>
        <v>AG. MEDIÇÃO</v>
      </c>
      <c r="AA64" s="207" t="str">
        <f t="shared" si="1"/>
        <v>ENTREGUE</v>
      </c>
      <c r="AB64" s="207" t="str">
        <f t="shared" si="2"/>
        <v>AG. MEDIÇÃO</v>
      </c>
      <c r="AC64" s="156">
        <f t="shared" ca="1" si="3"/>
        <v>12</v>
      </c>
      <c r="AD64" s="156" t="str">
        <f t="shared" ca="1" si="4"/>
        <v>ATRASADO</v>
      </c>
      <c r="AE64" s="156">
        <f t="shared" ca="1" si="5"/>
        <v>9</v>
      </c>
    </row>
    <row r="65" spans="1:31" ht="36" hidden="1" customHeight="1">
      <c r="A65" s="414"/>
      <c r="B65" s="440" t="s">
        <v>3756</v>
      </c>
      <c r="C65" s="440" t="s">
        <v>3757</v>
      </c>
      <c r="D65" s="440" t="s">
        <v>3757</v>
      </c>
      <c r="E65" s="440"/>
      <c r="F65" s="440" t="s">
        <v>3758</v>
      </c>
      <c r="G65" s="441" t="s">
        <v>3348</v>
      </c>
      <c r="H65" s="440" t="s">
        <v>3759</v>
      </c>
      <c r="I65" s="441" t="s">
        <v>3760</v>
      </c>
      <c r="J65" s="450">
        <v>45383</v>
      </c>
      <c r="K65" s="429" t="s">
        <v>2493</v>
      </c>
      <c r="L65" s="444" t="s">
        <v>1208</v>
      </c>
      <c r="M65" s="444" t="s">
        <v>3761</v>
      </c>
      <c r="N65" s="441" t="s">
        <v>2572</v>
      </c>
      <c r="O65" s="445"/>
      <c r="P65" s="445"/>
      <c r="Q65" s="441">
        <v>800</v>
      </c>
      <c r="R65" s="445" t="s">
        <v>3762</v>
      </c>
      <c r="S65" s="446">
        <v>45439</v>
      </c>
      <c r="T65" s="446">
        <v>45408</v>
      </c>
      <c r="U65" s="446">
        <v>45409</v>
      </c>
      <c r="V65" s="447">
        <v>45419</v>
      </c>
      <c r="W65" s="447">
        <v>45419</v>
      </c>
      <c r="X65" s="447" t="s">
        <v>8044</v>
      </c>
      <c r="Y65" s="420"/>
      <c r="Z65" s="224" t="str">
        <f t="shared" si="0"/>
        <v>AG. MEDIÇÃO</v>
      </c>
      <c r="AA65" s="207" t="str">
        <f t="shared" si="1"/>
        <v>ENTREGUE</v>
      </c>
      <c r="AB65" s="207" t="str">
        <f t="shared" si="2"/>
        <v>AG. MEDIÇÃO</v>
      </c>
      <c r="AC65" s="156">
        <f t="shared" ca="1" si="3"/>
        <v>7</v>
      </c>
      <c r="AD65" s="156" t="str">
        <f t="shared" ca="1" si="4"/>
        <v>ATRASADO</v>
      </c>
      <c r="AE65" s="156">
        <f t="shared" ca="1" si="5"/>
        <v>4</v>
      </c>
    </row>
    <row r="66" spans="1:31" ht="36" hidden="1" customHeight="1">
      <c r="A66" s="414"/>
      <c r="B66" s="429" t="s">
        <v>7376</v>
      </c>
      <c r="C66" s="429" t="s">
        <v>668</v>
      </c>
      <c r="D66" s="429"/>
      <c r="E66" s="429" t="s">
        <v>671</v>
      </c>
      <c r="F66" s="429" t="s">
        <v>42</v>
      </c>
      <c r="G66" s="433" t="s">
        <v>7384</v>
      </c>
      <c r="H66" s="652" t="s">
        <v>7383</v>
      </c>
      <c r="I66" s="433" t="s">
        <v>7385</v>
      </c>
      <c r="J66" s="432">
        <v>46113</v>
      </c>
      <c r="K66" s="429" t="s">
        <v>2493</v>
      </c>
      <c r="L66" s="436"/>
      <c r="M66" s="436" t="s">
        <v>62</v>
      </c>
      <c r="N66" s="433"/>
      <c r="O66" s="437"/>
      <c r="P66" s="433" t="s">
        <v>2494</v>
      </c>
      <c r="Q66" s="437" t="s">
        <v>2494</v>
      </c>
      <c r="R66" s="437" t="s">
        <v>7580</v>
      </c>
      <c r="S66" s="438">
        <v>46163</v>
      </c>
      <c r="T66" s="438">
        <v>46129</v>
      </c>
      <c r="U66" s="438"/>
      <c r="V66" s="439"/>
      <c r="W66" s="439">
        <v>46134</v>
      </c>
      <c r="X66" s="439">
        <v>46163</v>
      </c>
      <c r="Y66" s="420"/>
      <c r="Z66" s="224" t="str">
        <f t="shared" si="0"/>
        <v>AG. MEDIÇÃO</v>
      </c>
      <c r="AA66" s="207" t="str">
        <f t="shared" si="1"/>
        <v>ENTREGUE</v>
      </c>
      <c r="AB66" s="207" t="str">
        <f t="shared" si="2"/>
        <v>AG. MEDIÇÃO</v>
      </c>
      <c r="AC66" s="156">
        <f t="shared" ca="1" si="3"/>
        <v>3</v>
      </c>
      <c r="AD66" s="156" t="str">
        <f t="shared" ca="1" si="4"/>
        <v>NO PRAZO</v>
      </c>
      <c r="AE66" s="156">
        <f t="shared" ca="1" si="5"/>
        <v>0</v>
      </c>
    </row>
    <row r="67" spans="1:31" ht="36" hidden="1" customHeight="1">
      <c r="A67" s="414"/>
      <c r="B67" s="440" t="s">
        <v>4575</v>
      </c>
      <c r="C67" s="440" t="s">
        <v>606</v>
      </c>
      <c r="D67" s="440"/>
      <c r="E67" s="440" t="s">
        <v>607</v>
      </c>
      <c r="F67" s="440" t="s">
        <v>42</v>
      </c>
      <c r="G67" s="441" t="s">
        <v>4576</v>
      </c>
      <c r="H67" s="440" t="s">
        <v>4577</v>
      </c>
      <c r="I67" s="441" t="s">
        <v>4578</v>
      </c>
      <c r="J67" s="450">
        <v>45597</v>
      </c>
      <c r="K67" s="429" t="s">
        <v>2493</v>
      </c>
      <c r="L67" s="444"/>
      <c r="M67" s="444" t="s">
        <v>132</v>
      </c>
      <c r="N67" s="441" t="s">
        <v>2572</v>
      </c>
      <c r="O67" s="445" t="s">
        <v>85</v>
      </c>
      <c r="P67" s="441" t="s">
        <v>2494</v>
      </c>
      <c r="Q67" s="441" t="s">
        <v>2494</v>
      </c>
      <c r="R67" s="445" t="s">
        <v>3933</v>
      </c>
      <c r="S67" s="446">
        <v>45632</v>
      </c>
      <c r="T67" s="446">
        <v>45604</v>
      </c>
      <c r="U67" s="446">
        <v>45607</v>
      </c>
      <c r="V67" s="447">
        <v>45608</v>
      </c>
      <c r="W67" s="447">
        <v>45607</v>
      </c>
      <c r="X67" s="447" t="s">
        <v>8044</v>
      </c>
      <c r="Y67" s="420"/>
      <c r="Z67" s="224" t="str">
        <f t="shared" si="0"/>
        <v>AG. MEDIÇÃO</v>
      </c>
      <c r="AA67" s="207" t="str">
        <f t="shared" si="1"/>
        <v>ENTREGUE</v>
      </c>
      <c r="AB67" s="207" t="str">
        <f t="shared" si="2"/>
        <v>AG. MEDIÇÃO</v>
      </c>
      <c r="AC67" s="156">
        <f t="shared" ca="1" si="3"/>
        <v>1</v>
      </c>
      <c r="AD67" s="156" t="str">
        <f t="shared" ca="1" si="4"/>
        <v>NO PRAZO</v>
      </c>
      <c r="AE67" s="156">
        <f t="shared" ca="1" si="5"/>
        <v>-2</v>
      </c>
    </row>
    <row r="68" spans="1:31" ht="36" hidden="1" customHeight="1">
      <c r="A68" s="414"/>
      <c r="B68" s="440" t="s">
        <v>5776</v>
      </c>
      <c r="C68" s="440" t="s">
        <v>2076</v>
      </c>
      <c r="D68" s="484" t="s">
        <v>641</v>
      </c>
      <c r="E68" s="440" t="s">
        <v>642</v>
      </c>
      <c r="F68" s="440" t="s">
        <v>42</v>
      </c>
      <c r="G68" s="441" t="s">
        <v>5777</v>
      </c>
      <c r="H68" s="440" t="s">
        <v>5778</v>
      </c>
      <c r="I68" s="441" t="s">
        <v>5779</v>
      </c>
      <c r="J68" s="450">
        <v>45931</v>
      </c>
      <c r="K68" s="429" t="s">
        <v>2493</v>
      </c>
      <c r="L68" s="444" t="s">
        <v>200</v>
      </c>
      <c r="M68" s="444" t="s">
        <v>200</v>
      </c>
      <c r="N68" s="441"/>
      <c r="O68" s="445"/>
      <c r="P68" s="441">
        <v>120</v>
      </c>
      <c r="Q68" s="445">
        <v>99</v>
      </c>
      <c r="R68" s="445" t="s">
        <v>5780</v>
      </c>
      <c r="S68" s="446">
        <v>45950</v>
      </c>
      <c r="T68" s="446">
        <v>45947</v>
      </c>
      <c r="U68" s="446"/>
      <c r="V68" s="447"/>
      <c r="W68" s="447">
        <v>45947</v>
      </c>
      <c r="X68" s="447">
        <v>45950</v>
      </c>
      <c r="Y68" s="420"/>
      <c r="Z68" s="224" t="str">
        <f t="shared" si="0"/>
        <v>AG. MEDIÇÃO</v>
      </c>
      <c r="AA68" s="207" t="str">
        <f t="shared" si="1"/>
        <v>ENTREGUE</v>
      </c>
      <c r="AB68" s="207" t="str">
        <f t="shared" si="2"/>
        <v>AG. MEDIÇÃO</v>
      </c>
      <c r="AC68" s="156">
        <f t="shared" ca="1" si="3"/>
        <v>0</v>
      </c>
      <c r="AD68" s="156" t="str">
        <f t="shared" ca="1" si="4"/>
        <v>NO PRAZO</v>
      </c>
      <c r="AE68" s="156">
        <f t="shared" ca="1" si="5"/>
        <v>-3</v>
      </c>
    </row>
    <row r="69" spans="1:31" ht="36" hidden="1" customHeight="1">
      <c r="A69" s="568"/>
      <c r="B69" s="429" t="s">
        <v>8269</v>
      </c>
      <c r="C69" s="429" t="s">
        <v>606</v>
      </c>
      <c r="D69" s="429" t="s">
        <v>8457</v>
      </c>
      <c r="E69" s="429" t="s">
        <v>8271</v>
      </c>
      <c r="F69" s="429" t="s">
        <v>42</v>
      </c>
      <c r="G69" s="562" t="s">
        <v>8266</v>
      </c>
      <c r="H69" s="562" t="s">
        <v>8267</v>
      </c>
      <c r="I69" s="562" t="s">
        <v>8268</v>
      </c>
      <c r="J69" s="432">
        <v>46235</v>
      </c>
      <c r="K69" s="429" t="s">
        <v>2493</v>
      </c>
      <c r="L69" s="436" t="s">
        <v>124</v>
      </c>
      <c r="M69" s="436" t="s">
        <v>62</v>
      </c>
      <c r="N69" s="437"/>
      <c r="O69" s="437" t="s">
        <v>85</v>
      </c>
      <c r="P69" s="437">
        <v>704</v>
      </c>
      <c r="Q69" s="437">
        <v>842</v>
      </c>
      <c r="R69" s="499" t="s">
        <v>8456</v>
      </c>
      <c r="S69" s="438">
        <v>46254</v>
      </c>
      <c r="T69" s="438">
        <v>46239</v>
      </c>
      <c r="U69" s="438"/>
      <c r="V69" s="438"/>
      <c r="W69" s="439">
        <v>46245</v>
      </c>
      <c r="X69" s="439">
        <v>46254</v>
      </c>
      <c r="Y69" s="420"/>
      <c r="Z69" s="224" t="str">
        <f t="shared" ref="Z69:Z132" si="6">IF(K69="CANCELADO","CANCELADO",IF(AA69="PENDENTE","AG. RELATÓRIO",IF(S69="SIM","AG. MEDIÇÃO",IF(S69&gt;0,"AG. MEDIÇÃO","PENDENTE"))))</f>
        <v>AG. MEDIÇÃO</v>
      </c>
      <c r="AA69" s="207" t="str">
        <f t="shared" ref="AA69:AA132" si="7">IF(K69="CANCELADO","CANCELADO",IF(X69="","PENDENTE","ENTREGUE"))</f>
        <v>ENTREGUE</v>
      </c>
      <c r="AB69" s="207" t="str">
        <f t="shared" ref="AB69:AB132" si="8">IF(K69="SEM SINAL","SEM SINAL",IF(K69="PARALISADO","PARALISADO",IF(Z69="PENDENTE","AG. MEDIÇÃO",IF(K69="CANCELADO","CANCELADO",Z69))))</f>
        <v>AG. MEDIÇÃO</v>
      </c>
      <c r="AC69" s="156">
        <f t="shared" ref="AC69:AC132" ca="1" si="9">IFERROR(IF(K69="CANCELADO","CANCELADO",IF(T69="","DATA ENTRADA",IF(AND(T69&gt;0,W69=""),NETWORKDAYS(T69,TODAY())-1,NETWORKDAYS(T69,W69)-1))),"CHECAR DATA")</f>
        <v>4</v>
      </c>
      <c r="AD69" s="156" t="str">
        <f t="shared" ref="AD69:AD132" ca="1" si="10">IF(AC69&lt;=3,"NO PRAZO","ATRASADO")</f>
        <v>ATRASADO</v>
      </c>
      <c r="AE69" s="156">
        <f t="shared" ref="AE69:AE132" ca="1" si="11">IFERROR(AC69-3,AC69)</f>
        <v>1</v>
      </c>
    </row>
    <row r="70" spans="1:31" ht="36" hidden="1" customHeight="1">
      <c r="A70" s="414"/>
      <c r="B70" s="429" t="s">
        <v>7199</v>
      </c>
      <c r="C70" s="430" t="s">
        <v>126</v>
      </c>
      <c r="D70" s="430" t="s">
        <v>600</v>
      </c>
      <c r="E70" s="432" t="s">
        <v>127</v>
      </c>
      <c r="F70" s="429" t="s">
        <v>42</v>
      </c>
      <c r="G70" s="434"/>
      <c r="H70" s="636" t="s">
        <v>7132</v>
      </c>
      <c r="I70" s="433" t="s">
        <v>7134</v>
      </c>
      <c r="J70" s="432">
        <v>46082</v>
      </c>
      <c r="K70" s="429" t="s">
        <v>2493</v>
      </c>
      <c r="L70" s="487"/>
      <c r="M70" s="436" t="s">
        <v>62</v>
      </c>
      <c r="N70" s="433"/>
      <c r="O70" s="437"/>
      <c r="P70" s="661" t="s">
        <v>2494</v>
      </c>
      <c r="Q70" s="666" t="s">
        <v>2494</v>
      </c>
      <c r="R70" s="666" t="s">
        <v>7137</v>
      </c>
      <c r="S70" s="438">
        <v>46101</v>
      </c>
      <c r="T70" s="438">
        <v>46100</v>
      </c>
      <c r="U70" s="438">
        <v>46100</v>
      </c>
      <c r="V70" s="439">
        <v>46100</v>
      </c>
      <c r="W70" s="439">
        <v>46100</v>
      </c>
      <c r="X70" s="439">
        <v>46101</v>
      </c>
      <c r="Y70" s="420"/>
      <c r="Z70" s="224" t="str">
        <f t="shared" si="6"/>
        <v>AG. MEDIÇÃO</v>
      </c>
      <c r="AA70" s="207" t="str">
        <f t="shared" si="7"/>
        <v>ENTREGUE</v>
      </c>
      <c r="AB70" s="207" t="str">
        <f t="shared" si="8"/>
        <v>AG. MEDIÇÃO</v>
      </c>
      <c r="AC70" s="156">
        <f t="shared" ca="1" si="9"/>
        <v>0</v>
      </c>
      <c r="AD70" s="156" t="str">
        <f t="shared" ca="1" si="10"/>
        <v>NO PRAZO</v>
      </c>
      <c r="AE70" s="156">
        <f t="shared" ca="1" si="11"/>
        <v>-3</v>
      </c>
    </row>
    <row r="71" spans="1:31" ht="36" hidden="1" customHeight="1">
      <c r="A71" s="414"/>
      <c r="B71" s="429" t="s">
        <v>7200</v>
      </c>
      <c r="C71" s="430" t="s">
        <v>126</v>
      </c>
      <c r="D71" s="430" t="s">
        <v>600</v>
      </c>
      <c r="E71" s="432" t="s">
        <v>127</v>
      </c>
      <c r="F71" s="429" t="s">
        <v>42</v>
      </c>
      <c r="G71" s="434" t="s">
        <v>7135</v>
      </c>
      <c r="H71" s="636" t="s">
        <v>7133</v>
      </c>
      <c r="I71" s="433" t="s">
        <v>7134</v>
      </c>
      <c r="J71" s="432">
        <v>46082</v>
      </c>
      <c r="K71" s="429" t="s">
        <v>2493</v>
      </c>
      <c r="L71" s="487"/>
      <c r="M71" s="436" t="s">
        <v>62</v>
      </c>
      <c r="N71" s="433"/>
      <c r="O71" s="437"/>
      <c r="P71" s="433" t="s">
        <v>2494</v>
      </c>
      <c r="Q71" s="437" t="s">
        <v>2494</v>
      </c>
      <c r="R71" s="437" t="s">
        <v>7136</v>
      </c>
      <c r="S71" s="438">
        <v>46100</v>
      </c>
      <c r="T71" s="438">
        <v>46100</v>
      </c>
      <c r="U71" s="438">
        <v>46100</v>
      </c>
      <c r="V71" s="439">
        <v>46100</v>
      </c>
      <c r="W71" s="439">
        <v>46100</v>
      </c>
      <c r="X71" s="439">
        <v>46100</v>
      </c>
      <c r="Y71" s="420"/>
      <c r="Z71" s="224" t="str">
        <f t="shared" si="6"/>
        <v>AG. MEDIÇÃO</v>
      </c>
      <c r="AA71" s="207" t="str">
        <f t="shared" si="7"/>
        <v>ENTREGUE</v>
      </c>
      <c r="AB71" s="207" t="str">
        <f t="shared" si="8"/>
        <v>AG. MEDIÇÃO</v>
      </c>
      <c r="AC71" s="156">
        <f t="shared" ca="1" si="9"/>
        <v>0</v>
      </c>
      <c r="AD71" s="156" t="str">
        <f t="shared" ca="1" si="10"/>
        <v>NO PRAZO</v>
      </c>
      <c r="AE71" s="156">
        <f t="shared" ca="1" si="11"/>
        <v>-3</v>
      </c>
    </row>
    <row r="72" spans="1:31" ht="36" hidden="1" customHeight="1">
      <c r="A72" s="414"/>
      <c r="B72" s="429" t="s">
        <v>7792</v>
      </c>
      <c r="C72" s="430" t="s">
        <v>79</v>
      </c>
      <c r="D72" s="430" t="s">
        <v>79</v>
      </c>
      <c r="E72" s="432" t="s">
        <v>619</v>
      </c>
      <c r="F72" s="429" t="s">
        <v>42</v>
      </c>
      <c r="G72" s="434"/>
      <c r="H72" s="636" t="s">
        <v>7805</v>
      </c>
      <c r="I72" s="433" t="s">
        <v>7806</v>
      </c>
      <c r="J72" s="432">
        <v>46174</v>
      </c>
      <c r="K72" s="429" t="s">
        <v>2493</v>
      </c>
      <c r="L72" s="436"/>
      <c r="M72" s="436" t="s">
        <v>62</v>
      </c>
      <c r="N72" s="433"/>
      <c r="O72" s="437" t="s">
        <v>85</v>
      </c>
      <c r="P72" s="433" t="s">
        <v>2494</v>
      </c>
      <c r="Q72" s="437" t="s">
        <v>2494</v>
      </c>
      <c r="R72" s="437" t="s">
        <v>7965</v>
      </c>
      <c r="S72" s="438">
        <v>46210</v>
      </c>
      <c r="T72" s="438">
        <v>46188</v>
      </c>
      <c r="U72" s="438"/>
      <c r="V72" s="439"/>
      <c r="W72" s="439">
        <v>46189</v>
      </c>
      <c r="X72" s="439">
        <v>46210</v>
      </c>
      <c r="Y72" s="420"/>
      <c r="Z72" s="224" t="str">
        <f t="shared" si="6"/>
        <v>AG. MEDIÇÃO</v>
      </c>
      <c r="AA72" s="207" t="str">
        <f t="shared" si="7"/>
        <v>ENTREGUE</v>
      </c>
      <c r="AB72" s="207" t="str">
        <f t="shared" si="8"/>
        <v>AG. MEDIÇÃO</v>
      </c>
      <c r="AC72" s="156">
        <f t="shared" ca="1" si="9"/>
        <v>1</v>
      </c>
      <c r="AD72" s="156" t="str">
        <f t="shared" ca="1" si="10"/>
        <v>NO PRAZO</v>
      </c>
      <c r="AE72" s="156">
        <f t="shared" ca="1" si="11"/>
        <v>-2</v>
      </c>
    </row>
    <row r="73" spans="1:31" ht="36" hidden="1" customHeight="1">
      <c r="A73" s="414"/>
      <c r="B73" s="429" t="s">
        <v>7772</v>
      </c>
      <c r="C73" s="430" t="s">
        <v>479</v>
      </c>
      <c r="D73" s="431" t="s">
        <v>791</v>
      </c>
      <c r="E73" s="432" t="s">
        <v>480</v>
      </c>
      <c r="F73" s="429" t="s">
        <v>42</v>
      </c>
      <c r="G73" s="434"/>
      <c r="H73" s="636" t="s">
        <v>7732</v>
      </c>
      <c r="I73" s="433" t="s">
        <v>7733</v>
      </c>
      <c r="J73" s="432">
        <v>46174</v>
      </c>
      <c r="K73" s="429" t="s">
        <v>2493</v>
      </c>
      <c r="L73" s="436"/>
      <c r="M73" s="436" t="s">
        <v>77</v>
      </c>
      <c r="N73" s="433"/>
      <c r="O73" s="437" t="s">
        <v>85</v>
      </c>
      <c r="P73" s="433" t="s">
        <v>2494</v>
      </c>
      <c r="Q73" s="437" t="s">
        <v>2494</v>
      </c>
      <c r="R73" s="437" t="s">
        <v>7003</v>
      </c>
      <c r="S73" s="438">
        <v>46210</v>
      </c>
      <c r="T73" s="438">
        <v>46181</v>
      </c>
      <c r="U73" s="438"/>
      <c r="V73" s="439"/>
      <c r="W73" s="439">
        <v>46182</v>
      </c>
      <c r="X73" s="439">
        <v>46210</v>
      </c>
      <c r="Y73" s="420"/>
      <c r="Z73" s="224" t="str">
        <f t="shared" si="6"/>
        <v>AG. MEDIÇÃO</v>
      </c>
      <c r="AA73" s="207" t="str">
        <f t="shared" si="7"/>
        <v>ENTREGUE</v>
      </c>
      <c r="AB73" s="207" t="str">
        <f t="shared" si="8"/>
        <v>AG. MEDIÇÃO</v>
      </c>
      <c r="AC73" s="156">
        <f t="shared" ca="1" si="9"/>
        <v>1</v>
      </c>
      <c r="AD73" s="156" t="str">
        <f t="shared" ca="1" si="10"/>
        <v>NO PRAZO</v>
      </c>
      <c r="AE73" s="156">
        <f t="shared" ca="1" si="11"/>
        <v>-2</v>
      </c>
    </row>
    <row r="74" spans="1:31" ht="36" hidden="1" customHeight="1">
      <c r="A74" s="414"/>
      <c r="B74" s="429" t="s">
        <v>7883</v>
      </c>
      <c r="C74" s="429" t="s">
        <v>2359</v>
      </c>
      <c r="D74" s="429" t="s">
        <v>2231</v>
      </c>
      <c r="E74" s="429" t="s">
        <v>2360</v>
      </c>
      <c r="F74" s="429" t="s">
        <v>427</v>
      </c>
      <c r="G74" s="433"/>
      <c r="H74" s="429" t="s">
        <v>7871</v>
      </c>
      <c r="I74" s="433" t="s">
        <v>7894</v>
      </c>
      <c r="J74" s="432">
        <v>46174</v>
      </c>
      <c r="K74" s="429" t="s">
        <v>2493</v>
      </c>
      <c r="L74" s="436"/>
      <c r="M74" s="436" t="s">
        <v>62</v>
      </c>
      <c r="N74" s="437"/>
      <c r="O74" s="437" t="s">
        <v>85</v>
      </c>
      <c r="P74" s="433" t="s">
        <v>2494</v>
      </c>
      <c r="Q74" s="437" t="s">
        <v>2494</v>
      </c>
      <c r="R74" s="499" t="s">
        <v>8057</v>
      </c>
      <c r="S74" s="438">
        <v>46211</v>
      </c>
      <c r="T74" s="438">
        <v>46191</v>
      </c>
      <c r="U74" s="438"/>
      <c r="V74" s="438"/>
      <c r="W74" s="439">
        <v>46199</v>
      </c>
      <c r="X74" s="439">
        <v>46211</v>
      </c>
      <c r="Y74" s="420"/>
      <c r="Z74" s="224" t="str">
        <f t="shared" si="6"/>
        <v>AG. MEDIÇÃO</v>
      </c>
      <c r="AA74" s="207" t="str">
        <f t="shared" si="7"/>
        <v>ENTREGUE</v>
      </c>
      <c r="AB74" s="207" t="str">
        <f t="shared" si="8"/>
        <v>AG. MEDIÇÃO</v>
      </c>
      <c r="AC74" s="156">
        <f t="shared" ca="1" si="9"/>
        <v>6</v>
      </c>
      <c r="AD74" s="156" t="str">
        <f t="shared" ca="1" si="10"/>
        <v>ATRASADO</v>
      </c>
      <c r="AE74" s="156">
        <f t="shared" ca="1" si="11"/>
        <v>3</v>
      </c>
    </row>
    <row r="75" spans="1:31" ht="36" hidden="1" customHeight="1">
      <c r="A75" s="414"/>
      <c r="B75" s="440" t="s">
        <v>5094</v>
      </c>
      <c r="C75" s="440" t="s">
        <v>4873</v>
      </c>
      <c r="D75" s="440"/>
      <c r="E75" s="440"/>
      <c r="F75" s="440" t="s">
        <v>4875</v>
      </c>
      <c r="G75" s="441"/>
      <c r="H75" s="440" t="s">
        <v>5095</v>
      </c>
      <c r="I75" s="441" t="s">
        <v>5096</v>
      </c>
      <c r="J75" s="450">
        <v>45748</v>
      </c>
      <c r="K75" s="429" t="s">
        <v>2493</v>
      </c>
      <c r="L75" s="444"/>
      <c r="M75" s="444" t="s">
        <v>827</v>
      </c>
      <c r="N75" s="441"/>
      <c r="O75" s="445"/>
      <c r="P75" s="441"/>
      <c r="Q75" s="445"/>
      <c r="R75" s="445" t="s">
        <v>5097</v>
      </c>
      <c r="S75" s="446">
        <v>45785</v>
      </c>
      <c r="T75" s="446">
        <v>45751</v>
      </c>
      <c r="U75" s="446">
        <v>45755</v>
      </c>
      <c r="V75" s="447">
        <v>45756</v>
      </c>
      <c r="W75" s="447">
        <v>45757</v>
      </c>
      <c r="X75" s="447" t="s">
        <v>8044</v>
      </c>
      <c r="Y75" s="420"/>
      <c r="Z75" s="224" t="str">
        <f t="shared" si="6"/>
        <v>AG. MEDIÇÃO</v>
      </c>
      <c r="AA75" s="207" t="str">
        <f t="shared" si="7"/>
        <v>ENTREGUE</v>
      </c>
      <c r="AB75" s="207" t="str">
        <f t="shared" si="8"/>
        <v>AG. MEDIÇÃO</v>
      </c>
      <c r="AC75" s="156">
        <f t="shared" ca="1" si="9"/>
        <v>4</v>
      </c>
      <c r="AD75" s="156" t="str">
        <f t="shared" ca="1" si="10"/>
        <v>ATRASADO</v>
      </c>
      <c r="AE75" s="156">
        <f t="shared" ca="1" si="11"/>
        <v>1</v>
      </c>
    </row>
    <row r="76" spans="1:31" ht="36" hidden="1" customHeight="1">
      <c r="A76" s="414"/>
      <c r="B76" s="429" t="s">
        <v>7882</v>
      </c>
      <c r="C76" s="429" t="s">
        <v>104</v>
      </c>
      <c r="D76" s="429" t="s">
        <v>7229</v>
      </c>
      <c r="E76" s="429" t="s">
        <v>105</v>
      </c>
      <c r="F76" s="429" t="s">
        <v>42</v>
      </c>
      <c r="G76" s="433"/>
      <c r="H76" s="429" t="s">
        <v>7870</v>
      </c>
      <c r="I76" s="433" t="s">
        <v>8033</v>
      </c>
      <c r="J76" s="432">
        <v>46174</v>
      </c>
      <c r="K76" s="429" t="s">
        <v>2493</v>
      </c>
      <c r="L76" s="436"/>
      <c r="M76" s="436" t="s">
        <v>62</v>
      </c>
      <c r="N76" s="437"/>
      <c r="O76" s="437" t="s">
        <v>85</v>
      </c>
      <c r="P76" s="433" t="s">
        <v>2494</v>
      </c>
      <c r="Q76" s="437" t="s">
        <v>2494</v>
      </c>
      <c r="R76" s="499" t="s">
        <v>8034</v>
      </c>
      <c r="S76" s="438">
        <v>46211</v>
      </c>
      <c r="T76" s="438">
        <v>46191</v>
      </c>
      <c r="U76" s="438"/>
      <c r="V76" s="438"/>
      <c r="W76" s="439">
        <v>46193</v>
      </c>
      <c r="X76" s="439">
        <v>46211</v>
      </c>
      <c r="Y76" s="420"/>
      <c r="Z76" s="224" t="str">
        <f t="shared" si="6"/>
        <v>AG. MEDIÇÃO</v>
      </c>
      <c r="AA76" s="207" t="str">
        <f t="shared" si="7"/>
        <v>ENTREGUE</v>
      </c>
      <c r="AB76" s="207" t="str">
        <f t="shared" si="8"/>
        <v>AG. MEDIÇÃO</v>
      </c>
      <c r="AC76" s="156">
        <f t="shared" ca="1" si="9"/>
        <v>1</v>
      </c>
      <c r="AD76" s="156" t="str">
        <f t="shared" ca="1" si="10"/>
        <v>NO PRAZO</v>
      </c>
      <c r="AE76" s="156">
        <f t="shared" ca="1" si="11"/>
        <v>-2</v>
      </c>
    </row>
    <row r="77" spans="1:31" ht="36" hidden="1" customHeight="1">
      <c r="A77" s="414"/>
      <c r="B77" s="440" t="s">
        <v>5455</v>
      </c>
      <c r="C77" s="440" t="s">
        <v>117</v>
      </c>
      <c r="D77" s="440" t="s">
        <v>399</v>
      </c>
      <c r="E77" s="440" t="s">
        <v>398</v>
      </c>
      <c r="F77" s="440" t="s">
        <v>42</v>
      </c>
      <c r="G77" s="441"/>
      <c r="H77" s="440" t="s">
        <v>5456</v>
      </c>
      <c r="I77" s="441" t="s">
        <v>5457</v>
      </c>
      <c r="J77" s="450">
        <v>45809</v>
      </c>
      <c r="K77" s="429" t="s">
        <v>2493</v>
      </c>
      <c r="L77" s="444"/>
      <c r="M77" s="444" t="s">
        <v>200</v>
      </c>
      <c r="N77" s="441"/>
      <c r="O77" s="445"/>
      <c r="P77" s="441" t="s">
        <v>2494</v>
      </c>
      <c r="Q77" s="445" t="s">
        <v>2494</v>
      </c>
      <c r="R77" s="445" t="s">
        <v>5458</v>
      </c>
      <c r="S77" s="446">
        <v>45852</v>
      </c>
      <c r="T77" s="446">
        <v>45838</v>
      </c>
      <c r="U77" s="446">
        <v>45845</v>
      </c>
      <c r="V77" s="447">
        <v>45847</v>
      </c>
      <c r="W77" s="447">
        <v>45849</v>
      </c>
      <c r="X77" s="447">
        <v>45876</v>
      </c>
      <c r="Y77" s="420"/>
      <c r="Z77" s="224" t="str">
        <f t="shared" si="6"/>
        <v>AG. MEDIÇÃO</v>
      </c>
      <c r="AA77" s="207" t="str">
        <f t="shared" si="7"/>
        <v>ENTREGUE</v>
      </c>
      <c r="AB77" s="207" t="str">
        <f t="shared" si="8"/>
        <v>AG. MEDIÇÃO</v>
      </c>
      <c r="AC77" s="156">
        <f t="shared" ca="1" si="9"/>
        <v>9</v>
      </c>
      <c r="AD77" s="156" t="str">
        <f t="shared" ca="1" si="10"/>
        <v>ATRASADO</v>
      </c>
      <c r="AE77" s="156">
        <f t="shared" ca="1" si="11"/>
        <v>6</v>
      </c>
    </row>
    <row r="78" spans="1:31" ht="36" hidden="1" customHeight="1">
      <c r="A78" s="414"/>
      <c r="B78" s="440" t="s">
        <v>5228</v>
      </c>
      <c r="C78" s="440" t="s">
        <v>4873</v>
      </c>
      <c r="D78" s="440"/>
      <c r="E78" s="440"/>
      <c r="F78" s="440" t="s">
        <v>4875</v>
      </c>
      <c r="G78" s="441"/>
      <c r="H78" s="440" t="s">
        <v>5229</v>
      </c>
      <c r="I78" s="441" t="s">
        <v>5230</v>
      </c>
      <c r="J78" s="450">
        <v>45778</v>
      </c>
      <c r="K78" s="429" t="s">
        <v>2493</v>
      </c>
      <c r="L78" s="444"/>
      <c r="M78" s="444" t="s">
        <v>1764</v>
      </c>
      <c r="N78" s="441"/>
      <c r="O78" s="445"/>
      <c r="P78" s="441" t="s">
        <v>2494</v>
      </c>
      <c r="Q78" s="445" t="s">
        <v>2494</v>
      </c>
      <c r="R78" s="445" t="s">
        <v>5058</v>
      </c>
      <c r="S78" s="446">
        <v>45826</v>
      </c>
      <c r="T78" s="446">
        <v>45800</v>
      </c>
      <c r="U78" s="446"/>
      <c r="V78" s="447"/>
      <c r="W78" s="447">
        <v>45807</v>
      </c>
      <c r="X78" s="447" t="s">
        <v>8044</v>
      </c>
      <c r="Y78" s="420"/>
      <c r="Z78" s="224" t="str">
        <f t="shared" si="6"/>
        <v>AG. MEDIÇÃO</v>
      </c>
      <c r="AA78" s="207" t="str">
        <f t="shared" si="7"/>
        <v>ENTREGUE</v>
      </c>
      <c r="AB78" s="207" t="str">
        <f t="shared" si="8"/>
        <v>AG. MEDIÇÃO</v>
      </c>
      <c r="AC78" s="156">
        <f t="shared" ca="1" si="9"/>
        <v>5</v>
      </c>
      <c r="AD78" s="156" t="str">
        <f t="shared" ca="1" si="10"/>
        <v>ATRASADO</v>
      </c>
      <c r="AE78" s="156">
        <f t="shared" ca="1" si="11"/>
        <v>2</v>
      </c>
    </row>
    <row r="79" spans="1:31" ht="36" hidden="1" customHeight="1">
      <c r="A79" s="414"/>
      <c r="B79" s="440" t="s">
        <v>4579</v>
      </c>
      <c r="C79" s="440" t="s">
        <v>606</v>
      </c>
      <c r="D79" s="440"/>
      <c r="E79" s="440" t="s">
        <v>607</v>
      </c>
      <c r="F79" s="440" t="s">
        <v>42</v>
      </c>
      <c r="G79" s="441" t="s">
        <v>4580</v>
      </c>
      <c r="H79" s="440" t="s">
        <v>4581</v>
      </c>
      <c r="I79" s="441" t="s">
        <v>4582</v>
      </c>
      <c r="J79" s="450">
        <v>45597</v>
      </c>
      <c r="K79" s="429" t="s">
        <v>2493</v>
      </c>
      <c r="L79" s="444" t="s">
        <v>714</v>
      </c>
      <c r="M79" s="444" t="s">
        <v>714</v>
      </c>
      <c r="N79" s="441" t="s">
        <v>2572</v>
      </c>
      <c r="O79" s="445" t="s">
        <v>3350</v>
      </c>
      <c r="P79" s="445"/>
      <c r="Q79" s="445">
        <v>20</v>
      </c>
      <c r="R79" s="445" t="s">
        <v>4583</v>
      </c>
      <c r="S79" s="446">
        <v>45621</v>
      </c>
      <c r="T79" s="446">
        <v>45607</v>
      </c>
      <c r="U79" s="446">
        <v>45608</v>
      </c>
      <c r="V79" s="447">
        <v>45609</v>
      </c>
      <c r="W79" s="447">
        <v>45609</v>
      </c>
      <c r="X79" s="447" t="s">
        <v>8044</v>
      </c>
      <c r="Y79" s="420"/>
      <c r="Z79" s="224" t="str">
        <f t="shared" si="6"/>
        <v>AG. MEDIÇÃO</v>
      </c>
      <c r="AA79" s="207" t="str">
        <f t="shared" si="7"/>
        <v>ENTREGUE</v>
      </c>
      <c r="AB79" s="207" t="str">
        <f t="shared" si="8"/>
        <v>AG. MEDIÇÃO</v>
      </c>
      <c r="AC79" s="156">
        <f t="shared" ca="1" si="9"/>
        <v>2</v>
      </c>
      <c r="AD79" s="156" t="str">
        <f t="shared" ca="1" si="10"/>
        <v>NO PRAZO</v>
      </c>
      <c r="AE79" s="156">
        <f t="shared" ca="1" si="11"/>
        <v>-1</v>
      </c>
    </row>
    <row r="80" spans="1:31" ht="36" hidden="1" customHeight="1">
      <c r="A80" s="414"/>
      <c r="B80" s="440" t="s">
        <v>4695</v>
      </c>
      <c r="C80" s="440" t="s">
        <v>315</v>
      </c>
      <c r="D80" s="440" t="s">
        <v>1527</v>
      </c>
      <c r="E80" s="440" t="s">
        <v>316</v>
      </c>
      <c r="F80" s="440" t="s">
        <v>42</v>
      </c>
      <c r="G80" s="441"/>
      <c r="H80" s="440" t="s">
        <v>4696</v>
      </c>
      <c r="I80" s="441" t="s">
        <v>4697</v>
      </c>
      <c r="J80" s="450">
        <v>45658</v>
      </c>
      <c r="K80" s="450" t="s">
        <v>2493</v>
      </c>
      <c r="L80" s="444" t="s">
        <v>669</v>
      </c>
      <c r="M80" s="444" t="s">
        <v>62</v>
      </c>
      <c r="N80" s="441" t="s">
        <v>2572</v>
      </c>
      <c r="O80" s="445"/>
      <c r="P80" s="445"/>
      <c r="Q80" s="445"/>
      <c r="R80" s="445" t="s">
        <v>4694</v>
      </c>
      <c r="S80" s="446">
        <v>45698</v>
      </c>
      <c r="T80" s="446">
        <v>45665</v>
      </c>
      <c r="U80" s="446">
        <v>45678</v>
      </c>
      <c r="V80" s="447">
        <v>45691</v>
      </c>
      <c r="W80" s="447">
        <v>45693</v>
      </c>
      <c r="X80" s="447" t="s">
        <v>8044</v>
      </c>
      <c r="Y80" s="420"/>
      <c r="Z80" s="224" t="str">
        <f t="shared" si="6"/>
        <v>AG. MEDIÇÃO</v>
      </c>
      <c r="AA80" s="207" t="str">
        <f t="shared" si="7"/>
        <v>ENTREGUE</v>
      </c>
      <c r="AB80" s="207" t="str">
        <f t="shared" si="8"/>
        <v>AG. MEDIÇÃO</v>
      </c>
      <c r="AC80" s="156">
        <f t="shared" ca="1" si="9"/>
        <v>20</v>
      </c>
      <c r="AD80" s="156" t="str">
        <f t="shared" ca="1" si="10"/>
        <v>ATRASADO</v>
      </c>
      <c r="AE80" s="156">
        <f t="shared" ca="1" si="11"/>
        <v>17</v>
      </c>
    </row>
    <row r="81" spans="1:31" ht="36" hidden="1" customHeight="1">
      <c r="A81" s="414"/>
      <c r="B81" s="440" t="s">
        <v>4691</v>
      </c>
      <c r="C81" s="440" t="s">
        <v>315</v>
      </c>
      <c r="D81" s="440" t="s">
        <v>1527</v>
      </c>
      <c r="E81" s="440" t="s">
        <v>316</v>
      </c>
      <c r="F81" s="440" t="s">
        <v>42</v>
      </c>
      <c r="G81" s="441"/>
      <c r="H81" s="440" t="s">
        <v>4692</v>
      </c>
      <c r="I81" s="441" t="s">
        <v>4693</v>
      </c>
      <c r="J81" s="450">
        <v>45658</v>
      </c>
      <c r="K81" s="450" t="s">
        <v>2493</v>
      </c>
      <c r="L81" s="444" t="s">
        <v>669</v>
      </c>
      <c r="M81" s="444" t="s">
        <v>62</v>
      </c>
      <c r="N81" s="441" t="s">
        <v>2572</v>
      </c>
      <c r="O81" s="445"/>
      <c r="P81" s="445"/>
      <c r="Q81" s="445"/>
      <c r="R81" s="445" t="s">
        <v>4694</v>
      </c>
      <c r="S81" s="446">
        <v>45698</v>
      </c>
      <c r="T81" s="446">
        <v>45665</v>
      </c>
      <c r="U81" s="446">
        <v>45678</v>
      </c>
      <c r="V81" s="447">
        <v>45691</v>
      </c>
      <c r="W81" s="447">
        <v>45693</v>
      </c>
      <c r="X81" s="447" t="s">
        <v>8044</v>
      </c>
      <c r="Y81" s="420"/>
      <c r="Z81" s="224" t="str">
        <f t="shared" si="6"/>
        <v>AG. MEDIÇÃO</v>
      </c>
      <c r="AA81" s="207" t="str">
        <f t="shared" si="7"/>
        <v>ENTREGUE</v>
      </c>
      <c r="AB81" s="207" t="str">
        <f t="shared" si="8"/>
        <v>AG. MEDIÇÃO</v>
      </c>
      <c r="AC81" s="156">
        <f t="shared" ca="1" si="9"/>
        <v>20</v>
      </c>
      <c r="AD81" s="156" t="str">
        <f t="shared" ca="1" si="10"/>
        <v>ATRASADO</v>
      </c>
      <c r="AE81" s="156">
        <f t="shared" ca="1" si="11"/>
        <v>17</v>
      </c>
    </row>
    <row r="82" spans="1:31" ht="36" hidden="1" customHeight="1">
      <c r="A82" s="414"/>
      <c r="B82" s="440" t="s">
        <v>5171</v>
      </c>
      <c r="C82" s="440" t="s">
        <v>203</v>
      </c>
      <c r="D82" s="440" t="s">
        <v>1756</v>
      </c>
      <c r="E82" s="440" t="s">
        <v>204</v>
      </c>
      <c r="F82" s="440" t="s">
        <v>42</v>
      </c>
      <c r="G82" s="441"/>
      <c r="H82" s="440" t="s">
        <v>5172</v>
      </c>
      <c r="I82" s="441" t="s">
        <v>5173</v>
      </c>
      <c r="J82" s="450">
        <v>45778</v>
      </c>
      <c r="K82" s="429" t="s">
        <v>2493</v>
      </c>
      <c r="L82" s="444"/>
      <c r="M82" s="444" t="s">
        <v>1478</v>
      </c>
      <c r="N82" s="441"/>
      <c r="O82" s="445"/>
      <c r="P82" s="441"/>
      <c r="Q82" s="445"/>
      <c r="R82" s="445" t="s">
        <v>5174</v>
      </c>
      <c r="S82" s="446" t="s">
        <v>5175</v>
      </c>
      <c r="T82" s="446">
        <v>45784</v>
      </c>
      <c r="U82" s="446"/>
      <c r="V82" s="447"/>
      <c r="W82" s="447">
        <v>45796</v>
      </c>
      <c r="X82" s="447" t="s">
        <v>8044</v>
      </c>
      <c r="Y82" s="420"/>
      <c r="Z82" s="224" t="str">
        <f t="shared" si="6"/>
        <v>AG. MEDIÇÃO</v>
      </c>
      <c r="AA82" s="207" t="str">
        <f t="shared" si="7"/>
        <v>ENTREGUE</v>
      </c>
      <c r="AB82" s="207" t="str">
        <f t="shared" si="8"/>
        <v>AG. MEDIÇÃO</v>
      </c>
      <c r="AC82" s="156">
        <f t="shared" ca="1" si="9"/>
        <v>8</v>
      </c>
      <c r="AD82" s="156" t="str">
        <f t="shared" ca="1" si="10"/>
        <v>ATRASADO</v>
      </c>
      <c r="AE82" s="156">
        <f t="shared" ca="1" si="11"/>
        <v>5</v>
      </c>
    </row>
    <row r="83" spans="1:31" ht="36" hidden="1" customHeight="1">
      <c r="A83" s="414"/>
      <c r="B83" s="440" t="s">
        <v>5029</v>
      </c>
      <c r="C83" s="440" t="s">
        <v>54</v>
      </c>
      <c r="D83" s="440" t="s">
        <v>592</v>
      </c>
      <c r="E83" s="440" t="s">
        <v>55</v>
      </c>
      <c r="F83" s="440" t="s">
        <v>42</v>
      </c>
      <c r="G83" s="441"/>
      <c r="H83" s="440" t="s">
        <v>5030</v>
      </c>
      <c r="I83" s="441" t="s">
        <v>5031</v>
      </c>
      <c r="J83" s="450">
        <v>45717</v>
      </c>
      <c r="K83" s="429" t="s">
        <v>2493</v>
      </c>
      <c r="L83" s="444" t="s">
        <v>124</v>
      </c>
      <c r="M83" s="444" t="s">
        <v>132</v>
      </c>
      <c r="N83" s="441"/>
      <c r="O83" s="445"/>
      <c r="P83" s="441">
        <v>675</v>
      </c>
      <c r="Q83" s="445">
        <v>846</v>
      </c>
      <c r="R83" s="445" t="s">
        <v>5032</v>
      </c>
      <c r="S83" s="446">
        <v>45785</v>
      </c>
      <c r="T83" s="446">
        <v>45741</v>
      </c>
      <c r="U83" s="446">
        <v>45743</v>
      </c>
      <c r="V83" s="447">
        <v>45744</v>
      </c>
      <c r="W83" s="447">
        <v>45785</v>
      </c>
      <c r="X83" s="447" t="s">
        <v>8044</v>
      </c>
      <c r="Y83" s="420"/>
      <c r="Z83" s="224" t="str">
        <f t="shared" si="6"/>
        <v>AG. MEDIÇÃO</v>
      </c>
      <c r="AA83" s="207" t="str">
        <f t="shared" si="7"/>
        <v>ENTREGUE</v>
      </c>
      <c r="AB83" s="207" t="str">
        <f t="shared" si="8"/>
        <v>AG. MEDIÇÃO</v>
      </c>
      <c r="AC83" s="156">
        <f t="shared" ca="1" si="9"/>
        <v>32</v>
      </c>
      <c r="AD83" s="156" t="str">
        <f t="shared" ca="1" si="10"/>
        <v>ATRASADO</v>
      </c>
      <c r="AE83" s="156">
        <f t="shared" ca="1" si="11"/>
        <v>29</v>
      </c>
    </row>
    <row r="84" spans="1:31" ht="36" hidden="1" customHeight="1">
      <c r="A84" s="414"/>
      <c r="B84" s="429" t="s">
        <v>7198</v>
      </c>
      <c r="C84" s="430" t="s">
        <v>853</v>
      </c>
      <c r="D84" s="430" t="s">
        <v>7125</v>
      </c>
      <c r="E84" s="432" t="s">
        <v>854</v>
      </c>
      <c r="F84" s="429" t="s">
        <v>427</v>
      </c>
      <c r="G84" s="434"/>
      <c r="H84" s="636" t="s">
        <v>7123</v>
      </c>
      <c r="I84" s="433" t="s">
        <v>7124</v>
      </c>
      <c r="J84" s="432">
        <v>46082</v>
      </c>
      <c r="K84" s="429" t="s">
        <v>2493</v>
      </c>
      <c r="L84" s="436" t="s">
        <v>200</v>
      </c>
      <c r="M84" s="436" t="s">
        <v>200</v>
      </c>
      <c r="N84" s="433"/>
      <c r="O84" s="437"/>
      <c r="P84" s="433">
        <v>500</v>
      </c>
      <c r="Q84" s="437">
        <v>947</v>
      </c>
      <c r="R84" s="437" t="s">
        <v>7535</v>
      </c>
      <c r="S84" s="438">
        <v>46099</v>
      </c>
      <c r="T84" s="438">
        <v>46097</v>
      </c>
      <c r="U84" s="438">
        <v>46098</v>
      </c>
      <c r="V84" s="439"/>
      <c r="W84" s="439">
        <v>46099</v>
      </c>
      <c r="X84" s="439">
        <v>46099</v>
      </c>
      <c r="Y84" s="420"/>
      <c r="Z84" s="224" t="str">
        <f t="shared" si="6"/>
        <v>AG. MEDIÇÃO</v>
      </c>
      <c r="AA84" s="207" t="str">
        <f t="shared" si="7"/>
        <v>ENTREGUE</v>
      </c>
      <c r="AB84" s="207" t="str">
        <f t="shared" si="8"/>
        <v>AG. MEDIÇÃO</v>
      </c>
      <c r="AC84" s="156">
        <f t="shared" ca="1" si="9"/>
        <v>2</v>
      </c>
      <c r="AD84" s="156" t="str">
        <f t="shared" ca="1" si="10"/>
        <v>NO PRAZO</v>
      </c>
      <c r="AE84" s="156">
        <f t="shared" ca="1" si="11"/>
        <v>-1</v>
      </c>
    </row>
    <row r="85" spans="1:31" ht="36" hidden="1" customHeight="1">
      <c r="A85" s="414"/>
      <c r="B85" s="440" t="s">
        <v>5048</v>
      </c>
      <c r="C85" s="440" t="s">
        <v>571</v>
      </c>
      <c r="D85" s="440" t="s">
        <v>5049</v>
      </c>
      <c r="E85" s="440" t="s">
        <v>572</v>
      </c>
      <c r="F85" s="440" t="s">
        <v>42</v>
      </c>
      <c r="G85" s="441" t="s">
        <v>5050</v>
      </c>
      <c r="H85" s="440" t="s">
        <v>5051</v>
      </c>
      <c r="I85" s="441" t="s">
        <v>5052</v>
      </c>
      <c r="J85" s="450">
        <v>45717</v>
      </c>
      <c r="K85" s="429" t="s">
        <v>2493</v>
      </c>
      <c r="L85" s="444"/>
      <c r="M85" s="444" t="s">
        <v>200</v>
      </c>
      <c r="N85" s="441" t="s">
        <v>2572</v>
      </c>
      <c r="O85" s="445" t="s">
        <v>3350</v>
      </c>
      <c r="P85" s="441" t="s">
        <v>2494</v>
      </c>
      <c r="Q85" s="445" t="s">
        <v>2494</v>
      </c>
      <c r="R85" s="445" t="s">
        <v>5053</v>
      </c>
      <c r="S85" s="446">
        <v>45785</v>
      </c>
      <c r="T85" s="446">
        <v>45743</v>
      </c>
      <c r="U85" s="446">
        <v>45743</v>
      </c>
      <c r="V85" s="447">
        <v>45744</v>
      </c>
      <c r="W85" s="447">
        <v>45743</v>
      </c>
      <c r="X85" s="447" t="s">
        <v>8044</v>
      </c>
      <c r="Y85" s="420"/>
      <c r="Z85" s="224" t="str">
        <f t="shared" si="6"/>
        <v>AG. MEDIÇÃO</v>
      </c>
      <c r="AA85" s="207" t="str">
        <f t="shared" si="7"/>
        <v>ENTREGUE</v>
      </c>
      <c r="AB85" s="207" t="str">
        <f t="shared" si="8"/>
        <v>AG. MEDIÇÃO</v>
      </c>
      <c r="AC85" s="156">
        <f t="shared" ca="1" si="9"/>
        <v>0</v>
      </c>
      <c r="AD85" s="156" t="str">
        <f t="shared" ca="1" si="10"/>
        <v>NO PRAZO</v>
      </c>
      <c r="AE85" s="156">
        <f t="shared" ca="1" si="11"/>
        <v>-3</v>
      </c>
    </row>
    <row r="86" spans="1:31" ht="36" hidden="1" customHeight="1">
      <c r="A86" s="414"/>
      <c r="B86" s="440" t="s">
        <v>4509</v>
      </c>
      <c r="C86" s="440" t="s">
        <v>571</v>
      </c>
      <c r="D86" s="440" t="s">
        <v>3773</v>
      </c>
      <c r="E86" s="440" t="s">
        <v>572</v>
      </c>
      <c r="F86" s="440" t="s">
        <v>42</v>
      </c>
      <c r="G86" s="441"/>
      <c r="H86" s="440" t="s">
        <v>4510</v>
      </c>
      <c r="I86" s="441" t="s">
        <v>4511</v>
      </c>
      <c r="J86" s="450">
        <v>45566</v>
      </c>
      <c r="K86" s="429" t="s">
        <v>2493</v>
      </c>
      <c r="L86" s="444"/>
      <c r="M86" s="444" t="s">
        <v>51</v>
      </c>
      <c r="N86" s="441" t="s">
        <v>2572</v>
      </c>
      <c r="O86" s="445" t="s">
        <v>3350</v>
      </c>
      <c r="P86" s="441" t="s">
        <v>2494</v>
      </c>
      <c r="Q86" s="441" t="s">
        <v>2494</v>
      </c>
      <c r="R86" s="445" t="s">
        <v>4512</v>
      </c>
      <c r="S86" s="446">
        <v>45588</v>
      </c>
      <c r="T86" s="446">
        <v>45582</v>
      </c>
      <c r="U86" s="446">
        <v>45583</v>
      </c>
      <c r="V86" s="447">
        <v>45586</v>
      </c>
      <c r="W86" s="447">
        <v>45584</v>
      </c>
      <c r="X86" s="447" t="s">
        <v>8044</v>
      </c>
      <c r="Y86" s="420"/>
      <c r="Z86" s="224" t="str">
        <f t="shared" si="6"/>
        <v>AG. MEDIÇÃO</v>
      </c>
      <c r="AA86" s="207" t="str">
        <f t="shared" si="7"/>
        <v>ENTREGUE</v>
      </c>
      <c r="AB86" s="207" t="str">
        <f t="shared" si="8"/>
        <v>AG. MEDIÇÃO</v>
      </c>
      <c r="AC86" s="156">
        <f t="shared" ca="1" si="9"/>
        <v>1</v>
      </c>
      <c r="AD86" s="156" t="str">
        <f t="shared" ca="1" si="10"/>
        <v>NO PRAZO</v>
      </c>
      <c r="AE86" s="156">
        <f t="shared" ca="1" si="11"/>
        <v>-2</v>
      </c>
    </row>
    <row r="87" spans="1:31" ht="36" hidden="1" customHeight="1">
      <c r="A87" s="414"/>
      <c r="B87" s="440" t="s">
        <v>5091</v>
      </c>
      <c r="C87" s="440" t="s">
        <v>4873</v>
      </c>
      <c r="D87" s="440"/>
      <c r="E87" s="440"/>
      <c r="F87" s="440" t="s">
        <v>4875</v>
      </c>
      <c r="G87" s="441"/>
      <c r="H87" s="440" t="s">
        <v>5092</v>
      </c>
      <c r="I87" s="441" t="s">
        <v>5093</v>
      </c>
      <c r="J87" s="450">
        <v>45748</v>
      </c>
      <c r="K87" s="429" t="s">
        <v>2493</v>
      </c>
      <c r="L87" s="444"/>
      <c r="M87" s="444" t="s">
        <v>827</v>
      </c>
      <c r="N87" s="441"/>
      <c r="O87" s="445"/>
      <c r="P87" s="441" t="s">
        <v>2494</v>
      </c>
      <c r="Q87" s="445" t="s">
        <v>2494</v>
      </c>
      <c r="R87" s="445" t="s">
        <v>4662</v>
      </c>
      <c r="S87" s="446">
        <v>45785</v>
      </c>
      <c r="T87" s="446">
        <v>45749</v>
      </c>
      <c r="U87" s="446"/>
      <c r="V87" s="447"/>
      <c r="W87" s="447">
        <v>45768</v>
      </c>
      <c r="X87" s="447" t="s">
        <v>8044</v>
      </c>
      <c r="Y87" s="420"/>
      <c r="Z87" s="224" t="str">
        <f t="shared" si="6"/>
        <v>AG. MEDIÇÃO</v>
      </c>
      <c r="AA87" s="207" t="str">
        <f t="shared" si="7"/>
        <v>ENTREGUE</v>
      </c>
      <c r="AB87" s="207" t="str">
        <f t="shared" si="8"/>
        <v>AG. MEDIÇÃO</v>
      </c>
      <c r="AC87" s="156">
        <f t="shared" ca="1" si="9"/>
        <v>13</v>
      </c>
      <c r="AD87" s="156" t="str">
        <f t="shared" ca="1" si="10"/>
        <v>ATRASADO</v>
      </c>
      <c r="AE87" s="156">
        <f t="shared" ca="1" si="11"/>
        <v>10</v>
      </c>
    </row>
    <row r="88" spans="1:31" ht="36" hidden="1" customHeight="1">
      <c r="A88" s="414"/>
      <c r="B88" s="440" t="s">
        <v>3745</v>
      </c>
      <c r="C88" s="440" t="s">
        <v>111</v>
      </c>
      <c r="D88" s="440"/>
      <c r="E88" s="440"/>
      <c r="F88" s="440" t="s">
        <v>42</v>
      </c>
      <c r="G88" s="441" t="s">
        <v>3746</v>
      </c>
      <c r="H88" s="440" t="s">
        <v>3747</v>
      </c>
      <c r="I88" s="441"/>
      <c r="J88" s="450">
        <v>45383</v>
      </c>
      <c r="K88" s="429" t="s">
        <v>2493</v>
      </c>
      <c r="L88" s="444"/>
      <c r="M88" s="444" t="s">
        <v>3637</v>
      </c>
      <c r="N88" s="441" t="s">
        <v>2572</v>
      </c>
      <c r="O88" s="445" t="s">
        <v>85</v>
      </c>
      <c r="P88" s="441" t="s">
        <v>2494</v>
      </c>
      <c r="Q88" s="441" t="s">
        <v>2494</v>
      </c>
      <c r="R88" s="445" t="s">
        <v>3195</v>
      </c>
      <c r="S88" s="446">
        <v>45439</v>
      </c>
      <c r="T88" s="446">
        <v>45406</v>
      </c>
      <c r="U88" s="446"/>
      <c r="V88" s="447">
        <v>45406</v>
      </c>
      <c r="W88" s="447">
        <v>45406</v>
      </c>
      <c r="X88" s="447" t="s">
        <v>8044</v>
      </c>
      <c r="Y88" s="420"/>
      <c r="Z88" s="224" t="str">
        <f t="shared" si="6"/>
        <v>AG. MEDIÇÃO</v>
      </c>
      <c r="AA88" s="207" t="str">
        <f t="shared" si="7"/>
        <v>ENTREGUE</v>
      </c>
      <c r="AB88" s="207" t="str">
        <f t="shared" si="8"/>
        <v>AG. MEDIÇÃO</v>
      </c>
      <c r="AC88" s="156">
        <f t="shared" ca="1" si="9"/>
        <v>0</v>
      </c>
      <c r="AD88" s="156" t="str">
        <f t="shared" ca="1" si="10"/>
        <v>NO PRAZO</v>
      </c>
      <c r="AE88" s="156">
        <f t="shared" ca="1" si="11"/>
        <v>-3</v>
      </c>
    </row>
    <row r="89" spans="1:31" ht="36" hidden="1" customHeight="1">
      <c r="A89" s="414"/>
      <c r="B89" s="440" t="s">
        <v>3726</v>
      </c>
      <c r="C89" s="440" t="s">
        <v>606</v>
      </c>
      <c r="D89" s="440" t="s">
        <v>608</v>
      </c>
      <c r="E89" s="440"/>
      <c r="F89" s="440" t="s">
        <v>42</v>
      </c>
      <c r="G89" s="441" t="s">
        <v>3348</v>
      </c>
      <c r="H89" s="440" t="s">
        <v>3727</v>
      </c>
      <c r="I89" s="441" t="s">
        <v>3728</v>
      </c>
      <c r="J89" s="450">
        <v>45383</v>
      </c>
      <c r="K89" s="429" t="s">
        <v>2493</v>
      </c>
      <c r="L89" s="444" t="s">
        <v>3729</v>
      </c>
      <c r="M89" s="444" t="s">
        <v>827</v>
      </c>
      <c r="N89" s="441" t="s">
        <v>2572</v>
      </c>
      <c r="O89" s="445" t="s">
        <v>3350</v>
      </c>
      <c r="P89" s="445"/>
      <c r="Q89" s="441">
        <v>937</v>
      </c>
      <c r="R89" s="445" t="s">
        <v>3730</v>
      </c>
      <c r="S89" s="446">
        <v>45469</v>
      </c>
      <c r="T89" s="446">
        <v>45405</v>
      </c>
      <c r="U89" s="446">
        <v>45447</v>
      </c>
      <c r="V89" s="447" t="s">
        <v>3731</v>
      </c>
      <c r="W89" s="447">
        <v>45460</v>
      </c>
      <c r="X89" s="447" t="s">
        <v>8044</v>
      </c>
      <c r="Y89" s="420"/>
      <c r="Z89" s="224" t="str">
        <f t="shared" si="6"/>
        <v>AG. MEDIÇÃO</v>
      </c>
      <c r="AA89" s="207" t="str">
        <f t="shared" si="7"/>
        <v>ENTREGUE</v>
      </c>
      <c r="AB89" s="207" t="str">
        <f t="shared" si="8"/>
        <v>AG. MEDIÇÃO</v>
      </c>
      <c r="AC89" s="156">
        <f t="shared" ca="1" si="9"/>
        <v>39</v>
      </c>
      <c r="AD89" s="156" t="str">
        <f t="shared" ca="1" si="10"/>
        <v>ATRASADO</v>
      </c>
      <c r="AE89" s="156">
        <f t="shared" ca="1" si="11"/>
        <v>36</v>
      </c>
    </row>
    <row r="90" spans="1:31" ht="36" hidden="1" customHeight="1">
      <c r="A90" s="414"/>
      <c r="B90" s="440" t="s">
        <v>3732</v>
      </c>
      <c r="C90" s="440" t="s">
        <v>606</v>
      </c>
      <c r="D90" s="440" t="s">
        <v>608</v>
      </c>
      <c r="E90" s="440"/>
      <c r="F90" s="440" t="s">
        <v>42</v>
      </c>
      <c r="G90" s="441" t="s">
        <v>3348</v>
      </c>
      <c r="H90" s="440" t="s">
        <v>3733</v>
      </c>
      <c r="I90" s="441" t="s">
        <v>3734</v>
      </c>
      <c r="J90" s="450">
        <v>45383</v>
      </c>
      <c r="K90" s="429" t="s">
        <v>2493</v>
      </c>
      <c r="L90" s="444"/>
      <c r="M90" s="444" t="s">
        <v>827</v>
      </c>
      <c r="N90" s="441" t="s">
        <v>2572</v>
      </c>
      <c r="O90" s="445" t="s">
        <v>3350</v>
      </c>
      <c r="P90" s="445"/>
      <c r="Q90" s="441"/>
      <c r="R90" s="452" t="s">
        <v>3735</v>
      </c>
      <c r="S90" s="446">
        <v>45497</v>
      </c>
      <c r="T90" s="446">
        <v>45405</v>
      </c>
      <c r="U90" s="446"/>
      <c r="V90" s="447" t="s">
        <v>3736</v>
      </c>
      <c r="W90" s="447">
        <v>45461</v>
      </c>
      <c r="X90" s="447" t="s">
        <v>8044</v>
      </c>
      <c r="Y90" s="420"/>
      <c r="Z90" s="224" t="str">
        <f t="shared" si="6"/>
        <v>AG. MEDIÇÃO</v>
      </c>
      <c r="AA90" s="207" t="str">
        <f t="shared" si="7"/>
        <v>ENTREGUE</v>
      </c>
      <c r="AB90" s="207" t="str">
        <f t="shared" si="8"/>
        <v>AG. MEDIÇÃO</v>
      </c>
      <c r="AC90" s="156">
        <f t="shared" ca="1" si="9"/>
        <v>40</v>
      </c>
      <c r="AD90" s="156" t="str">
        <f t="shared" ca="1" si="10"/>
        <v>ATRASADO</v>
      </c>
      <c r="AE90" s="156">
        <f t="shared" ca="1" si="11"/>
        <v>37</v>
      </c>
    </row>
    <row r="91" spans="1:31" ht="36" hidden="1" customHeight="1">
      <c r="A91" s="414"/>
      <c r="B91" s="440" t="s">
        <v>5708</v>
      </c>
      <c r="C91" s="440" t="s">
        <v>2503</v>
      </c>
      <c r="D91" s="440" t="s">
        <v>1766</v>
      </c>
      <c r="E91" s="440" t="s">
        <v>2504</v>
      </c>
      <c r="F91" s="440" t="s">
        <v>42</v>
      </c>
      <c r="G91" s="441"/>
      <c r="H91" s="440" t="s">
        <v>5709</v>
      </c>
      <c r="I91" s="441" t="s">
        <v>5710</v>
      </c>
      <c r="J91" s="450">
        <v>45901</v>
      </c>
      <c r="K91" s="429" t="s">
        <v>2493</v>
      </c>
      <c r="L91" s="444" t="s">
        <v>147</v>
      </c>
      <c r="M91" s="444" t="s">
        <v>1155</v>
      </c>
      <c r="N91" s="441"/>
      <c r="O91" s="445"/>
      <c r="P91" s="441"/>
      <c r="Q91" s="445"/>
      <c r="R91" s="445" t="s">
        <v>5711</v>
      </c>
      <c r="S91" s="446" t="s">
        <v>1766</v>
      </c>
      <c r="T91" s="446"/>
      <c r="U91" s="446"/>
      <c r="V91" s="447"/>
      <c r="W91" s="447">
        <v>45917</v>
      </c>
      <c r="X91" s="447" t="s">
        <v>8044</v>
      </c>
      <c r="Y91" s="420"/>
      <c r="Z91" s="224" t="str">
        <f t="shared" si="6"/>
        <v>AG. MEDIÇÃO</v>
      </c>
      <c r="AA91" s="207" t="str">
        <f t="shared" si="7"/>
        <v>ENTREGUE</v>
      </c>
      <c r="AB91" s="207" t="str">
        <f t="shared" si="8"/>
        <v>AG. MEDIÇÃO</v>
      </c>
      <c r="AC91" s="156" t="str">
        <f t="shared" ca="1" si="9"/>
        <v>DATA ENTRADA</v>
      </c>
      <c r="AD91" s="156" t="str">
        <f t="shared" ca="1" si="10"/>
        <v>ATRASADO</v>
      </c>
      <c r="AE91" s="156" t="str">
        <f t="shared" ca="1" si="11"/>
        <v>DATA ENTRADA</v>
      </c>
    </row>
    <row r="92" spans="1:31" ht="36" hidden="1" customHeight="1">
      <c r="A92" s="460"/>
      <c r="B92" s="440" t="s">
        <v>3722</v>
      </c>
      <c r="C92" s="440" t="s">
        <v>111</v>
      </c>
      <c r="D92" s="440" t="s">
        <v>1053</v>
      </c>
      <c r="E92" s="440"/>
      <c r="F92" s="440" t="s">
        <v>42</v>
      </c>
      <c r="G92" s="441" t="s">
        <v>3348</v>
      </c>
      <c r="H92" s="440" t="s">
        <v>3723</v>
      </c>
      <c r="I92" s="441" t="s">
        <v>3724</v>
      </c>
      <c r="J92" s="450">
        <v>45383</v>
      </c>
      <c r="K92" s="429" t="s">
        <v>2493</v>
      </c>
      <c r="L92" s="444" t="s">
        <v>1130</v>
      </c>
      <c r="M92" s="444" t="s">
        <v>827</v>
      </c>
      <c r="N92" s="441" t="s">
        <v>2572</v>
      </c>
      <c r="O92" s="445" t="s">
        <v>3350</v>
      </c>
      <c r="P92" s="445"/>
      <c r="Q92" s="441">
        <v>150</v>
      </c>
      <c r="R92" s="445" t="s">
        <v>3725</v>
      </c>
      <c r="S92" s="446">
        <v>45469</v>
      </c>
      <c r="T92" s="446">
        <v>45405</v>
      </c>
      <c r="U92" s="446">
        <v>45442</v>
      </c>
      <c r="V92" s="447">
        <v>45444</v>
      </c>
      <c r="W92" s="447">
        <v>45444</v>
      </c>
      <c r="X92" s="447" t="s">
        <v>8044</v>
      </c>
      <c r="Y92" s="420"/>
      <c r="Z92" s="224" t="str">
        <f t="shared" si="6"/>
        <v>AG. MEDIÇÃO</v>
      </c>
      <c r="AA92" s="207" t="str">
        <f t="shared" si="7"/>
        <v>ENTREGUE</v>
      </c>
      <c r="AB92" s="207" t="str">
        <f t="shared" si="8"/>
        <v>AG. MEDIÇÃO</v>
      </c>
      <c r="AC92" s="156">
        <f t="shared" ca="1" si="9"/>
        <v>28</v>
      </c>
      <c r="AD92" s="156" t="str">
        <f t="shared" ca="1" si="10"/>
        <v>ATRASADO</v>
      </c>
      <c r="AE92" s="156">
        <f t="shared" ca="1" si="11"/>
        <v>25</v>
      </c>
    </row>
    <row r="93" spans="1:31" ht="36" hidden="1" customHeight="1">
      <c r="A93" s="414"/>
      <c r="B93" s="502" t="s">
        <v>5825</v>
      </c>
      <c r="C93" s="502" t="s">
        <v>5826</v>
      </c>
      <c r="D93" s="502"/>
      <c r="E93" s="502"/>
      <c r="F93" s="502" t="s">
        <v>4638</v>
      </c>
      <c r="G93" s="503"/>
      <c r="H93" s="646" t="s">
        <v>5160</v>
      </c>
      <c r="I93" s="503"/>
      <c r="J93" s="504">
        <v>45962</v>
      </c>
      <c r="K93" s="429" t="s">
        <v>2493</v>
      </c>
      <c r="L93" s="470" t="s">
        <v>94</v>
      </c>
      <c r="M93" s="470" t="s">
        <v>5827</v>
      </c>
      <c r="N93" s="503"/>
      <c r="O93" s="505"/>
      <c r="P93" s="503"/>
      <c r="Q93" s="505">
        <v>2303</v>
      </c>
      <c r="R93" s="472" t="s">
        <v>8548</v>
      </c>
      <c r="S93" s="474">
        <v>46182</v>
      </c>
      <c r="T93" s="506">
        <v>45953</v>
      </c>
      <c r="U93" s="506"/>
      <c r="V93" s="507"/>
      <c r="W93" s="474">
        <v>46182</v>
      </c>
      <c r="X93" s="507"/>
      <c r="Y93" s="525"/>
      <c r="Z93" s="224" t="str">
        <f t="shared" si="6"/>
        <v>AG. RELATÓRIO</v>
      </c>
      <c r="AA93" s="207" t="str">
        <f t="shared" si="7"/>
        <v>PENDENTE</v>
      </c>
      <c r="AB93" s="207" t="str">
        <f t="shared" si="8"/>
        <v>AG. RELATÓRIO</v>
      </c>
      <c r="AC93" s="156">
        <f t="shared" ca="1" si="9"/>
        <v>163</v>
      </c>
      <c r="AD93" s="156" t="str">
        <f t="shared" ca="1" si="10"/>
        <v>ATRASADO</v>
      </c>
      <c r="AE93" s="156">
        <f t="shared" ca="1" si="11"/>
        <v>160</v>
      </c>
    </row>
    <row r="94" spans="1:31" ht="36" hidden="1" customHeight="1">
      <c r="A94" s="414"/>
      <c r="B94" s="483" t="s">
        <v>5828</v>
      </c>
      <c r="C94" s="483" t="s">
        <v>5829</v>
      </c>
      <c r="D94" s="483"/>
      <c r="E94" s="483"/>
      <c r="F94" s="483" t="s">
        <v>4638</v>
      </c>
      <c r="G94" s="467"/>
      <c r="H94" s="646" t="s">
        <v>5160</v>
      </c>
      <c r="I94" s="467"/>
      <c r="J94" s="469">
        <v>45962</v>
      </c>
      <c r="K94" s="429" t="s">
        <v>2493</v>
      </c>
      <c r="L94" s="470" t="s">
        <v>5827</v>
      </c>
      <c r="M94" s="470" t="s">
        <v>5827</v>
      </c>
      <c r="N94" s="467"/>
      <c r="O94" s="472"/>
      <c r="P94" s="467"/>
      <c r="Q94" s="472">
        <v>80</v>
      </c>
      <c r="R94" s="472" t="s">
        <v>7182</v>
      </c>
      <c r="S94" s="474">
        <v>46182</v>
      </c>
      <c r="T94" s="506">
        <v>45953</v>
      </c>
      <c r="U94" s="473"/>
      <c r="V94" s="474"/>
      <c r="W94" s="474">
        <v>46182</v>
      </c>
      <c r="X94" s="474"/>
      <c r="Y94" s="420"/>
      <c r="Z94" s="224" t="str">
        <f t="shared" si="6"/>
        <v>AG. RELATÓRIO</v>
      </c>
      <c r="AA94" s="207" t="str">
        <f t="shared" si="7"/>
        <v>PENDENTE</v>
      </c>
      <c r="AB94" s="207" t="str">
        <f t="shared" si="8"/>
        <v>AG. RELATÓRIO</v>
      </c>
      <c r="AC94" s="156">
        <f t="shared" ca="1" si="9"/>
        <v>163</v>
      </c>
      <c r="AD94" s="156" t="str">
        <f t="shared" ca="1" si="10"/>
        <v>ATRASADO</v>
      </c>
      <c r="AE94" s="156">
        <f t="shared" ca="1" si="11"/>
        <v>160</v>
      </c>
    </row>
    <row r="95" spans="1:31" ht="36" hidden="1" customHeight="1">
      <c r="A95" s="414"/>
      <c r="B95" s="483" t="s">
        <v>5830</v>
      </c>
      <c r="C95" s="483" t="s">
        <v>2531</v>
      </c>
      <c r="D95" s="483"/>
      <c r="E95" s="483"/>
      <c r="F95" s="483" t="s">
        <v>4638</v>
      </c>
      <c r="G95" s="467"/>
      <c r="H95" s="646" t="s">
        <v>5160</v>
      </c>
      <c r="I95" s="467"/>
      <c r="J95" s="469">
        <v>45963</v>
      </c>
      <c r="K95" s="429" t="s">
        <v>2493</v>
      </c>
      <c r="L95" s="471" t="s">
        <v>7076</v>
      </c>
      <c r="M95" s="470" t="s">
        <v>62</v>
      </c>
      <c r="N95" s="467"/>
      <c r="O95" s="472"/>
      <c r="P95" s="467"/>
      <c r="Q95" s="472">
        <v>2665</v>
      </c>
      <c r="R95" s="472" t="s">
        <v>7177</v>
      </c>
      <c r="S95" s="474">
        <v>46182</v>
      </c>
      <c r="T95" s="506">
        <v>45953</v>
      </c>
      <c r="U95" s="473"/>
      <c r="V95" s="474"/>
      <c r="W95" s="474">
        <v>46182</v>
      </c>
      <c r="X95" s="474"/>
      <c r="Y95" s="420"/>
      <c r="Z95" s="224" t="str">
        <f t="shared" si="6"/>
        <v>AG. RELATÓRIO</v>
      </c>
      <c r="AA95" s="207" t="str">
        <f t="shared" si="7"/>
        <v>PENDENTE</v>
      </c>
      <c r="AB95" s="207" t="str">
        <f t="shared" si="8"/>
        <v>AG. RELATÓRIO</v>
      </c>
      <c r="AC95" s="156">
        <f t="shared" ca="1" si="9"/>
        <v>163</v>
      </c>
      <c r="AD95" s="156" t="str">
        <f t="shared" ca="1" si="10"/>
        <v>ATRASADO</v>
      </c>
      <c r="AE95" s="156">
        <f t="shared" ca="1" si="11"/>
        <v>160</v>
      </c>
    </row>
    <row r="96" spans="1:31" ht="36" hidden="1" customHeight="1">
      <c r="A96" s="414"/>
      <c r="B96" s="483" t="s">
        <v>5845</v>
      </c>
      <c r="C96" s="483" t="s">
        <v>2531</v>
      </c>
      <c r="D96" s="483"/>
      <c r="E96" s="483" t="s">
        <v>5846</v>
      </c>
      <c r="F96" s="483" t="s">
        <v>3411</v>
      </c>
      <c r="G96" s="467"/>
      <c r="H96" s="646" t="s">
        <v>5160</v>
      </c>
      <c r="I96" s="467"/>
      <c r="J96" s="469">
        <v>45992</v>
      </c>
      <c r="K96" s="429" t="s">
        <v>2493</v>
      </c>
      <c r="L96" s="470" t="s">
        <v>1380</v>
      </c>
      <c r="M96" s="470" t="s">
        <v>77</v>
      </c>
      <c r="N96" s="467"/>
      <c r="O96" s="472"/>
      <c r="P96" s="467">
        <v>5880</v>
      </c>
      <c r="Q96" s="472">
        <v>5774</v>
      </c>
      <c r="R96" s="472" t="s">
        <v>7625</v>
      </c>
      <c r="S96" s="474">
        <v>46182</v>
      </c>
      <c r="T96" s="506">
        <v>45988</v>
      </c>
      <c r="U96" s="473"/>
      <c r="V96" s="474"/>
      <c r="W96" s="474">
        <v>46182</v>
      </c>
      <c r="X96" s="474"/>
      <c r="Y96" s="420"/>
      <c r="Z96" s="224" t="str">
        <f t="shared" si="6"/>
        <v>AG. RELATÓRIO</v>
      </c>
      <c r="AA96" s="207" t="str">
        <f t="shared" si="7"/>
        <v>PENDENTE</v>
      </c>
      <c r="AB96" s="207" t="str">
        <f t="shared" si="8"/>
        <v>AG. RELATÓRIO</v>
      </c>
      <c r="AC96" s="156">
        <f t="shared" ca="1" si="9"/>
        <v>138</v>
      </c>
      <c r="AD96" s="156" t="str">
        <f t="shared" ca="1" si="10"/>
        <v>ATRASADO</v>
      </c>
      <c r="AE96" s="156">
        <f t="shared" ca="1" si="11"/>
        <v>135</v>
      </c>
    </row>
    <row r="97" spans="1:31" ht="36" hidden="1" customHeight="1">
      <c r="A97" s="414"/>
      <c r="B97" s="466" t="s">
        <v>5858</v>
      </c>
      <c r="C97" s="466" t="s">
        <v>2531</v>
      </c>
      <c r="D97" s="466"/>
      <c r="E97" s="466"/>
      <c r="F97" s="466" t="s">
        <v>5859</v>
      </c>
      <c r="G97" s="475"/>
      <c r="H97" s="477" t="s">
        <v>5860</v>
      </c>
      <c r="I97" s="475"/>
      <c r="J97" s="476">
        <v>45992</v>
      </c>
      <c r="K97" s="429" t="s">
        <v>2493</v>
      </c>
      <c r="L97" s="465"/>
      <c r="M97" s="465" t="s">
        <v>62</v>
      </c>
      <c r="N97" s="475"/>
      <c r="O97" s="478">
        <v>46044</v>
      </c>
      <c r="P97" s="475"/>
      <c r="Q97" s="479"/>
      <c r="R97" s="479" t="s">
        <v>6780</v>
      </c>
      <c r="S97" s="480">
        <v>46044</v>
      </c>
      <c r="T97" s="480">
        <v>45989</v>
      </c>
      <c r="U97" s="480"/>
      <c r="V97" s="481"/>
      <c r="W97" s="481">
        <v>46008</v>
      </c>
      <c r="X97" s="481">
        <v>46044</v>
      </c>
      <c r="Y97" s="420"/>
      <c r="Z97" s="224" t="str">
        <f t="shared" si="6"/>
        <v>AG. MEDIÇÃO</v>
      </c>
      <c r="AA97" s="207" t="str">
        <f t="shared" si="7"/>
        <v>ENTREGUE</v>
      </c>
      <c r="AB97" s="207" t="str">
        <f t="shared" si="8"/>
        <v>AG. MEDIÇÃO</v>
      </c>
      <c r="AC97" s="156">
        <f t="shared" ca="1" si="9"/>
        <v>13</v>
      </c>
      <c r="AD97" s="156" t="str">
        <f t="shared" ca="1" si="10"/>
        <v>ATRASADO</v>
      </c>
      <c r="AE97" s="156">
        <f t="shared" ca="1" si="11"/>
        <v>10</v>
      </c>
    </row>
    <row r="98" spans="1:31" ht="36" hidden="1" customHeight="1">
      <c r="A98" s="414"/>
      <c r="B98" s="440" t="s">
        <v>3794</v>
      </c>
      <c r="C98" s="440" t="s">
        <v>328</v>
      </c>
      <c r="D98" s="440" t="s">
        <v>449</v>
      </c>
      <c r="E98" s="440"/>
      <c r="F98" s="440" t="s">
        <v>42</v>
      </c>
      <c r="G98" s="441" t="s">
        <v>3348</v>
      </c>
      <c r="H98" s="440" t="s">
        <v>3795</v>
      </c>
      <c r="I98" s="441" t="s">
        <v>3796</v>
      </c>
      <c r="J98" s="450">
        <v>45383</v>
      </c>
      <c r="K98" s="429" t="s">
        <v>2493</v>
      </c>
      <c r="L98" s="444" t="s">
        <v>1319</v>
      </c>
      <c r="M98" s="444" t="s">
        <v>109</v>
      </c>
      <c r="N98" s="441" t="s">
        <v>2572</v>
      </c>
      <c r="O98" s="445" t="s">
        <v>3350</v>
      </c>
      <c r="P98" s="445"/>
      <c r="Q98" s="441">
        <v>530</v>
      </c>
      <c r="R98" s="445" t="s">
        <v>3797</v>
      </c>
      <c r="S98" s="446">
        <v>45469</v>
      </c>
      <c r="T98" s="446">
        <v>45412</v>
      </c>
      <c r="U98" s="446">
        <v>45455</v>
      </c>
      <c r="V98" s="447">
        <v>45463</v>
      </c>
      <c r="W98" s="447">
        <v>45463</v>
      </c>
      <c r="X98" s="447" t="s">
        <v>8044</v>
      </c>
      <c r="Y98" s="420"/>
      <c r="Z98" s="224" t="str">
        <f t="shared" si="6"/>
        <v>AG. MEDIÇÃO</v>
      </c>
      <c r="AA98" s="207" t="str">
        <f t="shared" si="7"/>
        <v>ENTREGUE</v>
      </c>
      <c r="AB98" s="207" t="str">
        <f t="shared" si="8"/>
        <v>AG. MEDIÇÃO</v>
      </c>
      <c r="AC98" s="156">
        <f t="shared" ca="1" si="9"/>
        <v>37</v>
      </c>
      <c r="AD98" s="156" t="str">
        <f t="shared" ca="1" si="10"/>
        <v>ATRASADO</v>
      </c>
      <c r="AE98" s="156">
        <f t="shared" ca="1" si="11"/>
        <v>34</v>
      </c>
    </row>
    <row r="99" spans="1:31" ht="36" hidden="1" customHeight="1">
      <c r="A99" s="414"/>
      <c r="B99" s="429" t="s">
        <v>8103</v>
      </c>
      <c r="C99" s="429" t="s">
        <v>600</v>
      </c>
      <c r="D99" s="429"/>
      <c r="E99" s="429" t="s">
        <v>601</v>
      </c>
      <c r="F99" s="429" t="s">
        <v>42</v>
      </c>
      <c r="G99" s="433" t="s">
        <v>8137</v>
      </c>
      <c r="H99" s="429" t="s">
        <v>8138</v>
      </c>
      <c r="I99" s="433" t="s">
        <v>8139</v>
      </c>
      <c r="J99" s="432">
        <v>46204</v>
      </c>
      <c r="K99" s="429" t="s">
        <v>2493</v>
      </c>
      <c r="L99" s="436"/>
      <c r="M99" s="436" t="s">
        <v>62</v>
      </c>
      <c r="N99" s="437"/>
      <c r="O99" s="437" t="s">
        <v>85</v>
      </c>
      <c r="P99" s="437" t="s">
        <v>2494</v>
      </c>
      <c r="Q99" s="433" t="s">
        <v>2494</v>
      </c>
      <c r="R99" s="499" t="s">
        <v>8425</v>
      </c>
      <c r="S99" s="438">
        <v>46253</v>
      </c>
      <c r="T99" s="438">
        <v>46223</v>
      </c>
      <c r="U99" s="438"/>
      <c r="V99" s="438">
        <v>46227</v>
      </c>
      <c r="W99" s="438">
        <v>46227</v>
      </c>
      <c r="X99" s="439">
        <v>46253</v>
      </c>
      <c r="Y99" s="420"/>
      <c r="Z99" s="224" t="str">
        <f t="shared" si="6"/>
        <v>AG. MEDIÇÃO</v>
      </c>
      <c r="AA99" s="207" t="str">
        <f t="shared" si="7"/>
        <v>ENTREGUE</v>
      </c>
      <c r="AB99" s="207" t="str">
        <f t="shared" si="8"/>
        <v>AG. MEDIÇÃO</v>
      </c>
      <c r="AC99" s="156">
        <f t="shared" ca="1" si="9"/>
        <v>4</v>
      </c>
      <c r="AD99" s="156" t="str">
        <f t="shared" ca="1" si="10"/>
        <v>ATRASADO</v>
      </c>
      <c r="AE99" s="156">
        <f t="shared" ca="1" si="11"/>
        <v>1</v>
      </c>
    </row>
    <row r="100" spans="1:31" ht="36" hidden="1" customHeight="1">
      <c r="A100" s="414"/>
      <c r="B100" s="440" t="s">
        <v>5586</v>
      </c>
      <c r="C100" s="440" t="s">
        <v>600</v>
      </c>
      <c r="D100" s="440" t="s">
        <v>1933</v>
      </c>
      <c r="E100" s="440" t="s">
        <v>601</v>
      </c>
      <c r="F100" s="440" t="s">
        <v>42</v>
      </c>
      <c r="G100" s="441"/>
      <c r="H100" s="440" t="s">
        <v>5587</v>
      </c>
      <c r="I100" s="441" t="s">
        <v>5588</v>
      </c>
      <c r="J100" s="450">
        <v>45839</v>
      </c>
      <c r="K100" s="429" t="s">
        <v>2493</v>
      </c>
      <c r="L100" s="444"/>
      <c r="M100" s="444" t="s">
        <v>94</v>
      </c>
      <c r="N100" s="441"/>
      <c r="O100" s="445"/>
      <c r="P100" s="441"/>
      <c r="Q100" s="445"/>
      <c r="R100" s="445" t="s">
        <v>5589</v>
      </c>
      <c r="S100" s="446" t="s">
        <v>1933</v>
      </c>
      <c r="T100" s="446">
        <v>45868</v>
      </c>
      <c r="U100" s="446"/>
      <c r="V100" s="447"/>
      <c r="W100" s="447">
        <v>45868</v>
      </c>
      <c r="X100" s="447" t="s">
        <v>8044</v>
      </c>
      <c r="Y100" s="420"/>
      <c r="Z100" s="224" t="str">
        <f t="shared" si="6"/>
        <v>AG. MEDIÇÃO</v>
      </c>
      <c r="AA100" s="207" t="str">
        <f t="shared" si="7"/>
        <v>ENTREGUE</v>
      </c>
      <c r="AB100" s="207" t="str">
        <f t="shared" si="8"/>
        <v>AG. MEDIÇÃO</v>
      </c>
      <c r="AC100" s="156">
        <f t="shared" ca="1" si="9"/>
        <v>0</v>
      </c>
      <c r="AD100" s="156" t="str">
        <f t="shared" ca="1" si="10"/>
        <v>NO PRAZO</v>
      </c>
      <c r="AE100" s="156">
        <f t="shared" ca="1" si="11"/>
        <v>-3</v>
      </c>
    </row>
    <row r="101" spans="1:31" ht="36" hidden="1" customHeight="1">
      <c r="A101" s="414"/>
      <c r="B101" s="466" t="s">
        <v>2512</v>
      </c>
      <c r="C101" s="466" t="s">
        <v>2496</v>
      </c>
      <c r="D101" s="466"/>
      <c r="E101" s="466" t="s">
        <v>2497</v>
      </c>
      <c r="F101" s="466" t="s">
        <v>2513</v>
      </c>
      <c r="G101" s="475"/>
      <c r="H101" s="644" t="s">
        <v>2514</v>
      </c>
      <c r="I101" s="475" t="s">
        <v>2515</v>
      </c>
      <c r="J101" s="476">
        <v>45986</v>
      </c>
      <c r="K101" s="429" t="s">
        <v>2493</v>
      </c>
      <c r="L101" s="477"/>
      <c r="M101" s="477" t="s">
        <v>2501</v>
      </c>
      <c r="N101" s="475"/>
      <c r="O101" s="479"/>
      <c r="P101" s="475"/>
      <c r="Q101" s="479"/>
      <c r="R101" s="479" t="s">
        <v>2516</v>
      </c>
      <c r="S101" s="480" t="s">
        <v>60</v>
      </c>
      <c r="T101" s="480"/>
      <c r="U101" s="480"/>
      <c r="V101" s="481"/>
      <c r="W101" s="481">
        <v>45973</v>
      </c>
      <c r="X101" s="481">
        <v>45994</v>
      </c>
      <c r="Y101" s="420"/>
      <c r="Z101" s="224" t="str">
        <f t="shared" si="6"/>
        <v>AG. MEDIÇÃO</v>
      </c>
      <c r="AA101" s="207" t="str">
        <f t="shared" si="7"/>
        <v>ENTREGUE</v>
      </c>
      <c r="AB101" s="207" t="str">
        <f t="shared" si="8"/>
        <v>AG. MEDIÇÃO</v>
      </c>
      <c r="AC101" s="156" t="str">
        <f t="shared" ca="1" si="9"/>
        <v>DATA ENTRADA</v>
      </c>
      <c r="AD101" s="156" t="str">
        <f t="shared" ca="1" si="10"/>
        <v>ATRASADO</v>
      </c>
      <c r="AE101" s="156" t="str">
        <f t="shared" ca="1" si="11"/>
        <v>DATA ENTRADA</v>
      </c>
    </row>
    <row r="102" spans="1:31" ht="36" hidden="1" customHeight="1">
      <c r="A102" s="414"/>
      <c r="B102" s="440" t="s">
        <v>3250</v>
      </c>
      <c r="C102" s="440" t="s">
        <v>88</v>
      </c>
      <c r="D102" s="440"/>
      <c r="E102" s="440"/>
      <c r="F102" s="440" t="s">
        <v>42</v>
      </c>
      <c r="G102" s="441" t="s">
        <v>3251</v>
      </c>
      <c r="H102" s="440" t="s">
        <v>3252</v>
      </c>
      <c r="I102" s="449"/>
      <c r="J102" s="450">
        <v>45231</v>
      </c>
      <c r="K102" s="429" t="s">
        <v>2493</v>
      </c>
      <c r="L102" s="444" t="s">
        <v>3221</v>
      </c>
      <c r="M102" s="444" t="s">
        <v>3253</v>
      </c>
      <c r="N102" s="441" t="s">
        <v>2572</v>
      </c>
      <c r="O102" s="445" t="s">
        <v>85</v>
      </c>
      <c r="P102" s="445"/>
      <c r="Q102" s="441">
        <v>185</v>
      </c>
      <c r="R102" s="445" t="s">
        <v>3254</v>
      </c>
      <c r="S102" s="446">
        <v>45273</v>
      </c>
      <c r="T102" s="446">
        <v>45254</v>
      </c>
      <c r="U102" s="446">
        <v>45257</v>
      </c>
      <c r="V102" s="446">
        <v>45258</v>
      </c>
      <c r="W102" s="446">
        <v>45260</v>
      </c>
      <c r="X102" s="447" t="s">
        <v>8044</v>
      </c>
      <c r="Y102" s="420"/>
      <c r="Z102" s="224" t="str">
        <f t="shared" si="6"/>
        <v>AG. MEDIÇÃO</v>
      </c>
      <c r="AA102" s="207" t="str">
        <f t="shared" si="7"/>
        <v>ENTREGUE</v>
      </c>
      <c r="AB102" s="207" t="str">
        <f t="shared" si="8"/>
        <v>AG. MEDIÇÃO</v>
      </c>
      <c r="AC102" s="156">
        <f t="shared" ca="1" si="9"/>
        <v>4</v>
      </c>
      <c r="AD102" s="156" t="str">
        <f t="shared" ca="1" si="10"/>
        <v>ATRASADO</v>
      </c>
      <c r="AE102" s="156">
        <f t="shared" ca="1" si="11"/>
        <v>1</v>
      </c>
    </row>
    <row r="103" spans="1:31" ht="36" hidden="1" customHeight="1">
      <c r="A103" s="414"/>
      <c r="B103" s="440" t="s">
        <v>3180</v>
      </c>
      <c r="C103" s="440" t="s">
        <v>989</v>
      </c>
      <c r="D103" s="440"/>
      <c r="E103" s="440"/>
      <c r="F103" s="440" t="s">
        <v>42</v>
      </c>
      <c r="G103" s="441" t="s">
        <v>3181</v>
      </c>
      <c r="H103" s="440" t="s">
        <v>3182</v>
      </c>
      <c r="I103" s="449"/>
      <c r="J103" s="450">
        <v>45200</v>
      </c>
      <c r="K103" s="429" t="s">
        <v>2493</v>
      </c>
      <c r="L103" s="444" t="s">
        <v>3088</v>
      </c>
      <c r="M103" s="444" t="s">
        <v>3183</v>
      </c>
      <c r="N103" s="441" t="s">
        <v>2572</v>
      </c>
      <c r="O103" s="445" t="s">
        <v>2573</v>
      </c>
      <c r="P103" s="445"/>
      <c r="Q103" s="441">
        <v>420</v>
      </c>
      <c r="R103" s="445" t="s">
        <v>3184</v>
      </c>
      <c r="S103" s="446">
        <v>45250</v>
      </c>
      <c r="T103" s="446">
        <v>45229</v>
      </c>
      <c r="U103" s="446">
        <v>45230</v>
      </c>
      <c r="V103" s="446">
        <v>45242</v>
      </c>
      <c r="W103" s="446">
        <v>45242</v>
      </c>
      <c r="X103" s="447" t="s">
        <v>8044</v>
      </c>
      <c r="Y103" s="420"/>
      <c r="Z103" s="224" t="str">
        <f t="shared" si="6"/>
        <v>AG. MEDIÇÃO</v>
      </c>
      <c r="AA103" s="207" t="str">
        <f t="shared" si="7"/>
        <v>ENTREGUE</v>
      </c>
      <c r="AB103" s="207" t="str">
        <f t="shared" si="8"/>
        <v>AG. MEDIÇÃO</v>
      </c>
      <c r="AC103" s="156">
        <f t="shared" ca="1" si="9"/>
        <v>9</v>
      </c>
      <c r="AD103" s="156" t="str">
        <f t="shared" ca="1" si="10"/>
        <v>ATRASADO</v>
      </c>
      <c r="AE103" s="156">
        <f t="shared" ca="1" si="11"/>
        <v>6</v>
      </c>
    </row>
    <row r="104" spans="1:31" ht="36" hidden="1" customHeight="1">
      <c r="A104" s="414"/>
      <c r="B104" s="440" t="s">
        <v>5594</v>
      </c>
      <c r="C104" s="440" t="s">
        <v>600</v>
      </c>
      <c r="D104" s="440" t="s">
        <v>1964</v>
      </c>
      <c r="E104" s="440" t="s">
        <v>601</v>
      </c>
      <c r="F104" s="440" t="s">
        <v>42</v>
      </c>
      <c r="G104" s="441"/>
      <c r="H104" s="440" t="s">
        <v>5595</v>
      </c>
      <c r="I104" s="441" t="s">
        <v>5596</v>
      </c>
      <c r="J104" s="450">
        <v>45839</v>
      </c>
      <c r="K104" s="429" t="s">
        <v>2493</v>
      </c>
      <c r="L104" s="444"/>
      <c r="M104" s="444" t="s">
        <v>77</v>
      </c>
      <c r="N104" s="441"/>
      <c r="O104" s="445"/>
      <c r="P104" s="441"/>
      <c r="Q104" s="445"/>
      <c r="R104" s="445" t="s">
        <v>5597</v>
      </c>
      <c r="S104" s="446" t="s">
        <v>1964</v>
      </c>
      <c r="T104" s="446">
        <v>45868</v>
      </c>
      <c r="U104" s="446"/>
      <c r="V104" s="447">
        <v>45876</v>
      </c>
      <c r="W104" s="447"/>
      <c r="X104" s="447" t="s">
        <v>8044</v>
      </c>
      <c r="Y104" s="420"/>
      <c r="Z104" s="224" t="str">
        <f t="shared" si="6"/>
        <v>AG. MEDIÇÃO</v>
      </c>
      <c r="AA104" s="207" t="str">
        <f t="shared" si="7"/>
        <v>ENTREGUE</v>
      </c>
      <c r="AB104" s="207" t="str">
        <f t="shared" si="8"/>
        <v>AG. MEDIÇÃO</v>
      </c>
      <c r="AC104" s="156">
        <f t="shared" ca="1" si="9"/>
        <v>295</v>
      </c>
      <c r="AD104" s="156" t="str">
        <f t="shared" ca="1" si="10"/>
        <v>ATRASADO</v>
      </c>
      <c r="AE104" s="156">
        <f t="shared" ca="1" si="11"/>
        <v>292</v>
      </c>
    </row>
    <row r="105" spans="1:31" ht="36" hidden="1" customHeight="1">
      <c r="A105" s="414"/>
      <c r="B105" s="440" t="s">
        <v>5598</v>
      </c>
      <c r="C105" s="440" t="s">
        <v>600</v>
      </c>
      <c r="D105" s="440" t="s">
        <v>1964</v>
      </c>
      <c r="E105" s="440" t="s">
        <v>601</v>
      </c>
      <c r="F105" s="440" t="s">
        <v>42</v>
      </c>
      <c r="G105" s="441"/>
      <c r="H105" s="440" t="s">
        <v>5599</v>
      </c>
      <c r="I105" s="441" t="s">
        <v>5600</v>
      </c>
      <c r="J105" s="450">
        <v>45839</v>
      </c>
      <c r="K105" s="429" t="s">
        <v>2493</v>
      </c>
      <c r="L105" s="444"/>
      <c r="M105" s="444" t="s">
        <v>77</v>
      </c>
      <c r="N105" s="441"/>
      <c r="O105" s="445"/>
      <c r="P105" s="441"/>
      <c r="Q105" s="445"/>
      <c r="R105" s="445" t="s">
        <v>5597</v>
      </c>
      <c r="S105" s="446" t="s">
        <v>1964</v>
      </c>
      <c r="T105" s="446">
        <v>45868</v>
      </c>
      <c r="U105" s="446"/>
      <c r="V105" s="447"/>
      <c r="W105" s="447">
        <v>45874</v>
      </c>
      <c r="X105" s="447" t="s">
        <v>8044</v>
      </c>
      <c r="Y105" s="420"/>
      <c r="Z105" s="224" t="str">
        <f t="shared" si="6"/>
        <v>AG. MEDIÇÃO</v>
      </c>
      <c r="AA105" s="207" t="str">
        <f t="shared" si="7"/>
        <v>ENTREGUE</v>
      </c>
      <c r="AB105" s="207" t="str">
        <f t="shared" si="8"/>
        <v>AG. MEDIÇÃO</v>
      </c>
      <c r="AC105" s="156">
        <f t="shared" ca="1" si="9"/>
        <v>4</v>
      </c>
      <c r="AD105" s="156" t="str">
        <f t="shared" ca="1" si="10"/>
        <v>ATRASADO</v>
      </c>
      <c r="AE105" s="156">
        <f t="shared" ca="1" si="11"/>
        <v>1</v>
      </c>
    </row>
    <row r="106" spans="1:31" ht="36" hidden="1" customHeight="1">
      <c r="A106" s="414"/>
      <c r="B106" s="440" t="s">
        <v>4589</v>
      </c>
      <c r="C106" s="440"/>
      <c r="D106" s="440"/>
      <c r="E106" s="440"/>
      <c r="F106" s="440" t="s">
        <v>42</v>
      </c>
      <c r="G106" s="441"/>
      <c r="H106" s="440" t="s">
        <v>4590</v>
      </c>
      <c r="I106" s="441"/>
      <c r="J106" s="450">
        <v>45597</v>
      </c>
      <c r="K106" s="429" t="s">
        <v>2493</v>
      </c>
      <c r="L106" s="444" t="s">
        <v>3561</v>
      </c>
      <c r="M106" s="501" t="s">
        <v>4591</v>
      </c>
      <c r="N106" s="441"/>
      <c r="O106" s="445"/>
      <c r="P106" s="445"/>
      <c r="Q106" s="445"/>
      <c r="R106" s="445"/>
      <c r="S106" s="446"/>
      <c r="T106" s="446"/>
      <c r="U106" s="446"/>
      <c r="V106" s="447"/>
      <c r="W106" s="447"/>
      <c r="X106" s="447" t="s">
        <v>8044</v>
      </c>
      <c r="Y106" s="420"/>
      <c r="Z106" s="224" t="str">
        <f t="shared" si="6"/>
        <v>PENDENTE</v>
      </c>
      <c r="AA106" s="207" t="str">
        <f t="shared" si="7"/>
        <v>ENTREGUE</v>
      </c>
      <c r="AB106" s="207" t="str">
        <f t="shared" si="8"/>
        <v>AG. MEDIÇÃO</v>
      </c>
      <c r="AC106" s="156" t="str">
        <f t="shared" ca="1" si="9"/>
        <v>DATA ENTRADA</v>
      </c>
      <c r="AD106" s="156" t="str">
        <f t="shared" ca="1" si="10"/>
        <v>ATRASADO</v>
      </c>
      <c r="AE106" s="156" t="str">
        <f t="shared" ca="1" si="11"/>
        <v>DATA ENTRADA</v>
      </c>
    </row>
    <row r="107" spans="1:31" ht="36" hidden="1" customHeight="1">
      <c r="A107" s="414"/>
      <c r="B107" s="440" t="s">
        <v>5601</v>
      </c>
      <c r="C107" s="440" t="s">
        <v>600</v>
      </c>
      <c r="D107" s="440" t="s">
        <v>1964</v>
      </c>
      <c r="E107" s="440" t="s">
        <v>601</v>
      </c>
      <c r="F107" s="440" t="s">
        <v>42</v>
      </c>
      <c r="G107" s="441"/>
      <c r="H107" s="440" t="s">
        <v>5602</v>
      </c>
      <c r="I107" s="441" t="s">
        <v>5603</v>
      </c>
      <c r="J107" s="450">
        <v>45839</v>
      </c>
      <c r="K107" s="429" t="s">
        <v>2493</v>
      </c>
      <c r="L107" s="444"/>
      <c r="M107" s="444" t="s">
        <v>77</v>
      </c>
      <c r="N107" s="441"/>
      <c r="O107" s="445"/>
      <c r="P107" s="441"/>
      <c r="Q107" s="445"/>
      <c r="R107" s="445" t="s">
        <v>5597</v>
      </c>
      <c r="S107" s="446" t="s">
        <v>1964</v>
      </c>
      <c r="T107" s="446">
        <v>45868</v>
      </c>
      <c r="U107" s="446"/>
      <c r="V107" s="447"/>
      <c r="W107" s="447">
        <v>45874</v>
      </c>
      <c r="X107" s="447" t="s">
        <v>8044</v>
      </c>
      <c r="Y107" s="420"/>
      <c r="Z107" s="224" t="str">
        <f t="shared" si="6"/>
        <v>AG. MEDIÇÃO</v>
      </c>
      <c r="AA107" s="207" t="str">
        <f t="shared" si="7"/>
        <v>ENTREGUE</v>
      </c>
      <c r="AB107" s="207" t="str">
        <f t="shared" si="8"/>
        <v>AG. MEDIÇÃO</v>
      </c>
      <c r="AC107" s="156">
        <f t="shared" ca="1" si="9"/>
        <v>4</v>
      </c>
      <c r="AD107" s="156" t="str">
        <f t="shared" ca="1" si="10"/>
        <v>ATRASADO</v>
      </c>
      <c r="AE107" s="156">
        <f t="shared" ca="1" si="11"/>
        <v>1</v>
      </c>
    </row>
    <row r="108" spans="1:31" ht="36" hidden="1" customHeight="1">
      <c r="A108" s="414"/>
      <c r="B108" s="440" t="s">
        <v>5582</v>
      </c>
      <c r="C108" s="440" t="s">
        <v>600</v>
      </c>
      <c r="D108" s="440" t="s">
        <v>1936</v>
      </c>
      <c r="E108" s="440" t="s">
        <v>601</v>
      </c>
      <c r="F108" s="440" t="s">
        <v>42</v>
      </c>
      <c r="G108" s="441"/>
      <c r="H108" s="440" t="s">
        <v>5583</v>
      </c>
      <c r="I108" s="441" t="s">
        <v>5584</v>
      </c>
      <c r="J108" s="450">
        <v>45839</v>
      </c>
      <c r="K108" s="429" t="s">
        <v>2493</v>
      </c>
      <c r="L108" s="444"/>
      <c r="M108" s="444" t="s">
        <v>200</v>
      </c>
      <c r="N108" s="441"/>
      <c r="O108" s="445"/>
      <c r="P108" s="441"/>
      <c r="Q108" s="445"/>
      <c r="R108" s="445" t="s">
        <v>5585</v>
      </c>
      <c r="S108" s="446" t="s">
        <v>1936</v>
      </c>
      <c r="T108" s="446">
        <v>45868</v>
      </c>
      <c r="U108" s="446"/>
      <c r="V108" s="447"/>
      <c r="W108" s="447">
        <v>45868</v>
      </c>
      <c r="X108" s="447" t="s">
        <v>8044</v>
      </c>
      <c r="Y108" s="420"/>
      <c r="Z108" s="224" t="str">
        <f t="shared" si="6"/>
        <v>AG. MEDIÇÃO</v>
      </c>
      <c r="AA108" s="207" t="str">
        <f t="shared" si="7"/>
        <v>ENTREGUE</v>
      </c>
      <c r="AB108" s="207" t="str">
        <f t="shared" si="8"/>
        <v>AG. MEDIÇÃO</v>
      </c>
      <c r="AC108" s="156">
        <f t="shared" ca="1" si="9"/>
        <v>0</v>
      </c>
      <c r="AD108" s="156" t="str">
        <f t="shared" ca="1" si="10"/>
        <v>NO PRAZO</v>
      </c>
      <c r="AE108" s="156">
        <f t="shared" ca="1" si="11"/>
        <v>-3</v>
      </c>
    </row>
    <row r="109" spans="1:31" ht="36" hidden="1" customHeight="1">
      <c r="A109" s="414"/>
      <c r="B109" s="429" t="s">
        <v>7281</v>
      </c>
      <c r="C109" s="429" t="s">
        <v>315</v>
      </c>
      <c r="D109" s="429" t="s">
        <v>1193</v>
      </c>
      <c r="E109" s="429" t="s">
        <v>316</v>
      </c>
      <c r="F109" s="429" t="s">
        <v>42</v>
      </c>
      <c r="G109" s="433"/>
      <c r="H109" s="652" t="s">
        <v>7247</v>
      </c>
      <c r="I109" s="433" t="s">
        <v>7248</v>
      </c>
      <c r="J109" s="432">
        <v>46113</v>
      </c>
      <c r="K109" s="429" t="s">
        <v>2493</v>
      </c>
      <c r="L109" s="436"/>
      <c r="M109" s="436" t="s">
        <v>62</v>
      </c>
      <c r="N109" s="433"/>
      <c r="O109" s="437"/>
      <c r="P109" s="433" t="s">
        <v>2494</v>
      </c>
      <c r="Q109" s="437" t="s">
        <v>2494</v>
      </c>
      <c r="R109" s="437" t="s">
        <v>7357</v>
      </c>
      <c r="S109" s="438">
        <v>46156</v>
      </c>
      <c r="T109" s="438">
        <v>46119</v>
      </c>
      <c r="U109" s="438"/>
      <c r="V109" s="439"/>
      <c r="W109" s="439">
        <v>46134</v>
      </c>
      <c r="X109" s="439">
        <v>46156</v>
      </c>
      <c r="Y109" s="420"/>
      <c r="Z109" s="224" t="str">
        <f t="shared" si="6"/>
        <v>AG. MEDIÇÃO</v>
      </c>
      <c r="AA109" s="207" t="str">
        <f t="shared" si="7"/>
        <v>ENTREGUE</v>
      </c>
      <c r="AB109" s="207" t="str">
        <f t="shared" si="8"/>
        <v>AG. MEDIÇÃO</v>
      </c>
      <c r="AC109" s="156">
        <f t="shared" ca="1" si="9"/>
        <v>11</v>
      </c>
      <c r="AD109" s="156" t="str">
        <f t="shared" ca="1" si="10"/>
        <v>ATRASADO</v>
      </c>
      <c r="AE109" s="156">
        <f t="shared" ca="1" si="11"/>
        <v>8</v>
      </c>
    </row>
    <row r="110" spans="1:31" ht="36" hidden="1" customHeight="1">
      <c r="A110" s="414"/>
      <c r="B110" s="440" t="s">
        <v>5231</v>
      </c>
      <c r="C110" s="440" t="s">
        <v>410</v>
      </c>
      <c r="D110" s="440"/>
      <c r="E110" s="440"/>
      <c r="F110" s="440" t="s">
        <v>42</v>
      </c>
      <c r="G110" s="441"/>
      <c r="H110" s="440" t="s">
        <v>5232</v>
      </c>
      <c r="I110" s="441" t="s">
        <v>5233</v>
      </c>
      <c r="J110" s="450">
        <v>45778</v>
      </c>
      <c r="K110" s="429" t="s">
        <v>2493</v>
      </c>
      <c r="L110" s="444" t="s">
        <v>1208</v>
      </c>
      <c r="M110" s="444" t="s">
        <v>170</v>
      </c>
      <c r="N110" s="441"/>
      <c r="O110" s="445"/>
      <c r="P110" s="441">
        <v>984</v>
      </c>
      <c r="Q110" s="445">
        <v>836</v>
      </c>
      <c r="R110" s="445" t="s">
        <v>5234</v>
      </c>
      <c r="S110" s="446">
        <v>45826</v>
      </c>
      <c r="T110" s="446">
        <v>45799</v>
      </c>
      <c r="U110" s="446"/>
      <c r="V110" s="447"/>
      <c r="W110" s="447">
        <v>45801</v>
      </c>
      <c r="X110" s="447" t="s">
        <v>8044</v>
      </c>
      <c r="Y110" s="420"/>
      <c r="Z110" s="224" t="str">
        <f t="shared" si="6"/>
        <v>AG. MEDIÇÃO</v>
      </c>
      <c r="AA110" s="207" t="str">
        <f t="shared" si="7"/>
        <v>ENTREGUE</v>
      </c>
      <c r="AB110" s="207" t="str">
        <f t="shared" si="8"/>
        <v>AG. MEDIÇÃO</v>
      </c>
      <c r="AC110" s="156">
        <f t="shared" ca="1" si="9"/>
        <v>1</v>
      </c>
      <c r="AD110" s="156" t="str">
        <f t="shared" ca="1" si="10"/>
        <v>NO PRAZO</v>
      </c>
      <c r="AE110" s="156">
        <f t="shared" ca="1" si="11"/>
        <v>-2</v>
      </c>
    </row>
    <row r="111" spans="1:31" ht="36" hidden="1" customHeight="1">
      <c r="A111" s="414"/>
      <c r="B111" s="429" t="s">
        <v>7284</v>
      </c>
      <c r="C111" s="429" t="s">
        <v>232</v>
      </c>
      <c r="D111" s="429" t="s">
        <v>419</v>
      </c>
      <c r="E111" s="429" t="s">
        <v>389</v>
      </c>
      <c r="F111" s="429" t="s">
        <v>42</v>
      </c>
      <c r="G111" s="433" t="s">
        <v>7295</v>
      </c>
      <c r="H111" s="652" t="s">
        <v>7293</v>
      </c>
      <c r="I111" s="433" t="s">
        <v>7294</v>
      </c>
      <c r="J111" s="432">
        <v>46113</v>
      </c>
      <c r="K111" s="429" t="s">
        <v>2493</v>
      </c>
      <c r="L111" s="436"/>
      <c r="M111" s="436" t="s">
        <v>62</v>
      </c>
      <c r="N111" s="433"/>
      <c r="O111" s="437"/>
      <c r="P111" s="433" t="s">
        <v>2494</v>
      </c>
      <c r="Q111" s="437" t="s">
        <v>2494</v>
      </c>
      <c r="R111" s="437" t="s">
        <v>7526</v>
      </c>
      <c r="S111" s="438">
        <v>46155</v>
      </c>
      <c r="T111" s="438">
        <v>46130</v>
      </c>
      <c r="U111" s="438"/>
      <c r="V111" s="439"/>
      <c r="W111" s="439">
        <v>46141</v>
      </c>
      <c r="X111" s="439">
        <v>46155</v>
      </c>
      <c r="Y111" s="420"/>
      <c r="Z111" s="224" t="str">
        <f t="shared" si="6"/>
        <v>AG. MEDIÇÃO</v>
      </c>
      <c r="AA111" s="207" t="str">
        <f t="shared" si="7"/>
        <v>ENTREGUE</v>
      </c>
      <c r="AB111" s="207" t="str">
        <f t="shared" si="8"/>
        <v>AG. MEDIÇÃO</v>
      </c>
      <c r="AC111" s="156">
        <f t="shared" ca="1" si="9"/>
        <v>7</v>
      </c>
      <c r="AD111" s="156" t="str">
        <f t="shared" ca="1" si="10"/>
        <v>ATRASADO</v>
      </c>
      <c r="AE111" s="156">
        <f t="shared" ca="1" si="11"/>
        <v>4</v>
      </c>
    </row>
    <row r="112" spans="1:31" ht="36" hidden="1" customHeight="1">
      <c r="A112" s="414"/>
      <c r="B112" s="440" t="s">
        <v>5098</v>
      </c>
      <c r="C112" s="440" t="s">
        <v>643</v>
      </c>
      <c r="D112" s="440"/>
      <c r="E112" s="440" t="s">
        <v>642</v>
      </c>
      <c r="F112" s="440" t="s">
        <v>42</v>
      </c>
      <c r="G112" s="441" t="s">
        <v>5099</v>
      </c>
      <c r="H112" s="440" t="s">
        <v>5100</v>
      </c>
      <c r="I112" s="441" t="s">
        <v>5101</v>
      </c>
      <c r="J112" s="450">
        <v>45566</v>
      </c>
      <c r="K112" s="429" t="s">
        <v>2493</v>
      </c>
      <c r="L112" s="444" t="s">
        <v>5102</v>
      </c>
      <c r="M112" s="444" t="s">
        <v>132</v>
      </c>
      <c r="N112" s="441" t="s">
        <v>2572</v>
      </c>
      <c r="O112" s="445"/>
      <c r="P112" s="445">
        <v>800</v>
      </c>
      <c r="Q112" s="445">
        <v>1900</v>
      </c>
      <c r="R112" s="445" t="s">
        <v>5103</v>
      </c>
      <c r="S112" s="446">
        <v>45608</v>
      </c>
      <c r="T112" s="446">
        <v>45568</v>
      </c>
      <c r="U112" s="446"/>
      <c r="V112" s="447"/>
      <c r="W112" s="447"/>
      <c r="X112" s="447" t="s">
        <v>8044</v>
      </c>
      <c r="Y112" s="420"/>
      <c r="Z112" s="224" t="str">
        <f t="shared" si="6"/>
        <v>AG. MEDIÇÃO</v>
      </c>
      <c r="AA112" s="207" t="str">
        <f t="shared" si="7"/>
        <v>ENTREGUE</v>
      </c>
      <c r="AB112" s="207" t="str">
        <f t="shared" si="8"/>
        <v>AG. MEDIÇÃO</v>
      </c>
      <c r="AC112" s="156">
        <f t="shared" ca="1" si="9"/>
        <v>509</v>
      </c>
      <c r="AD112" s="156" t="str">
        <f t="shared" ca="1" si="10"/>
        <v>ATRASADO</v>
      </c>
      <c r="AE112" s="156">
        <f t="shared" ca="1" si="11"/>
        <v>506</v>
      </c>
    </row>
    <row r="113" spans="1:31" ht="36" hidden="1" customHeight="1">
      <c r="A113" s="414"/>
      <c r="B113" s="429" t="s">
        <v>7375</v>
      </c>
      <c r="C113" s="429" t="s">
        <v>6948</v>
      </c>
      <c r="D113" s="429"/>
      <c r="E113" s="429" t="s">
        <v>7382</v>
      </c>
      <c r="F113" s="429" t="s">
        <v>6949</v>
      </c>
      <c r="G113" s="433" t="s">
        <v>7380</v>
      </c>
      <c r="H113" s="652" t="s">
        <v>8064</v>
      </c>
      <c r="I113" s="433" t="s">
        <v>7381</v>
      </c>
      <c r="J113" s="432">
        <v>46113</v>
      </c>
      <c r="K113" s="429" t="s">
        <v>2493</v>
      </c>
      <c r="L113" s="436"/>
      <c r="M113" s="436" t="s">
        <v>7387</v>
      </c>
      <c r="N113" s="433"/>
      <c r="O113" s="437" t="s">
        <v>85</v>
      </c>
      <c r="P113" s="433">
        <v>350</v>
      </c>
      <c r="Q113" s="437">
        <v>171</v>
      </c>
      <c r="R113" s="437" t="s">
        <v>8296</v>
      </c>
      <c r="S113" s="438">
        <v>46241</v>
      </c>
      <c r="T113" s="438">
        <v>46136</v>
      </c>
      <c r="U113" s="438"/>
      <c r="V113" s="439"/>
      <c r="W113" s="439">
        <v>46139</v>
      </c>
      <c r="X113" s="439">
        <v>46241</v>
      </c>
      <c r="Y113" s="420"/>
      <c r="Z113" s="224" t="str">
        <f t="shared" si="6"/>
        <v>AG. MEDIÇÃO</v>
      </c>
      <c r="AA113" s="207" t="str">
        <f t="shared" si="7"/>
        <v>ENTREGUE</v>
      </c>
      <c r="AB113" s="207" t="str">
        <f t="shared" si="8"/>
        <v>AG. MEDIÇÃO</v>
      </c>
      <c r="AC113" s="156">
        <f t="shared" ca="1" si="9"/>
        <v>1</v>
      </c>
      <c r="AD113" s="156" t="str">
        <f t="shared" ca="1" si="10"/>
        <v>NO PRAZO</v>
      </c>
      <c r="AE113" s="156">
        <f t="shared" ca="1" si="11"/>
        <v>-2</v>
      </c>
    </row>
    <row r="114" spans="1:31" ht="36" hidden="1" customHeight="1">
      <c r="A114" s="414"/>
      <c r="B114" s="429" t="s">
        <v>7936</v>
      </c>
      <c r="C114" s="429" t="s">
        <v>248</v>
      </c>
      <c r="D114" s="429" t="s">
        <v>2231</v>
      </c>
      <c r="E114" s="429" t="s">
        <v>249</v>
      </c>
      <c r="F114" s="429" t="s">
        <v>42</v>
      </c>
      <c r="G114" s="433" t="s">
        <v>7953</v>
      </c>
      <c r="H114" s="429" t="s">
        <v>7954</v>
      </c>
      <c r="I114" s="433" t="s">
        <v>7955</v>
      </c>
      <c r="J114" s="432">
        <v>46143</v>
      </c>
      <c r="K114" s="429" t="s">
        <v>2493</v>
      </c>
      <c r="L114" s="436"/>
      <c r="M114" s="436" t="s">
        <v>62</v>
      </c>
      <c r="N114" s="437"/>
      <c r="O114" s="437" t="s">
        <v>85</v>
      </c>
      <c r="P114" s="437" t="s">
        <v>2494</v>
      </c>
      <c r="Q114" s="433" t="s">
        <v>2494</v>
      </c>
      <c r="R114" s="499" t="s">
        <v>7952</v>
      </c>
      <c r="S114" s="438">
        <v>46206</v>
      </c>
      <c r="T114" s="438"/>
      <c r="U114" s="438"/>
      <c r="V114" s="438"/>
      <c r="W114" s="439">
        <v>46174</v>
      </c>
      <c r="X114" s="439">
        <v>46206</v>
      </c>
      <c r="Y114" s="420"/>
      <c r="Z114" s="224" t="str">
        <f t="shared" si="6"/>
        <v>AG. MEDIÇÃO</v>
      </c>
      <c r="AA114" s="207" t="str">
        <f t="shared" si="7"/>
        <v>ENTREGUE</v>
      </c>
      <c r="AB114" s="207" t="str">
        <f t="shared" si="8"/>
        <v>AG. MEDIÇÃO</v>
      </c>
      <c r="AC114" s="156" t="str">
        <f t="shared" ca="1" si="9"/>
        <v>DATA ENTRADA</v>
      </c>
      <c r="AD114" s="156" t="str">
        <f t="shared" ca="1" si="10"/>
        <v>ATRASADO</v>
      </c>
      <c r="AE114" s="156" t="str">
        <f t="shared" ca="1" si="11"/>
        <v>DATA ENTRADA</v>
      </c>
    </row>
    <row r="115" spans="1:31" ht="36" hidden="1" customHeight="1">
      <c r="A115" s="414"/>
      <c r="B115" s="440" t="s">
        <v>5700</v>
      </c>
      <c r="C115" s="440" t="s">
        <v>2496</v>
      </c>
      <c r="D115" s="440"/>
      <c r="E115" s="440" t="s">
        <v>2497</v>
      </c>
      <c r="F115" s="440" t="s">
        <v>2498</v>
      </c>
      <c r="G115" s="441"/>
      <c r="H115" s="440" t="s">
        <v>5701</v>
      </c>
      <c r="I115" s="441" t="s">
        <v>5702</v>
      </c>
      <c r="J115" s="450">
        <v>45901</v>
      </c>
      <c r="K115" s="429" t="s">
        <v>2493</v>
      </c>
      <c r="L115" s="444"/>
      <c r="M115" s="444" t="s">
        <v>2141</v>
      </c>
      <c r="N115" s="441"/>
      <c r="O115" s="464">
        <v>46045</v>
      </c>
      <c r="P115" s="441" t="s">
        <v>2494</v>
      </c>
      <c r="Q115" s="445" t="s">
        <v>2494</v>
      </c>
      <c r="R115" s="445" t="s">
        <v>5703</v>
      </c>
      <c r="S115" s="446">
        <v>46045</v>
      </c>
      <c r="T115" s="446">
        <v>45902</v>
      </c>
      <c r="U115" s="446"/>
      <c r="V115" s="447"/>
      <c r="W115" s="447">
        <v>45913</v>
      </c>
      <c r="X115" s="447" t="s">
        <v>8044</v>
      </c>
      <c r="Y115" s="420"/>
      <c r="Z115" s="224" t="str">
        <f t="shared" si="6"/>
        <v>AG. MEDIÇÃO</v>
      </c>
      <c r="AA115" s="207" t="str">
        <f t="shared" si="7"/>
        <v>ENTREGUE</v>
      </c>
      <c r="AB115" s="207" t="str">
        <f t="shared" si="8"/>
        <v>AG. MEDIÇÃO</v>
      </c>
      <c r="AC115" s="156">
        <f t="shared" ca="1" si="9"/>
        <v>8</v>
      </c>
      <c r="AD115" s="156" t="str">
        <f t="shared" ca="1" si="10"/>
        <v>ATRASADO</v>
      </c>
      <c r="AE115" s="156">
        <f t="shared" ca="1" si="11"/>
        <v>5</v>
      </c>
    </row>
    <row r="116" spans="1:31" ht="36" hidden="1" customHeight="1">
      <c r="A116" s="414"/>
      <c r="B116" s="440" t="s">
        <v>5104</v>
      </c>
      <c r="C116" s="440" t="s">
        <v>449</v>
      </c>
      <c r="D116" s="440" t="s">
        <v>5105</v>
      </c>
      <c r="E116" s="440" t="s">
        <v>4925</v>
      </c>
      <c r="F116" s="440" t="s">
        <v>42</v>
      </c>
      <c r="G116" s="441" t="s">
        <v>5106</v>
      </c>
      <c r="H116" s="440" t="s">
        <v>5107</v>
      </c>
      <c r="I116" s="441" t="s">
        <v>5108</v>
      </c>
      <c r="J116" s="450">
        <v>45748</v>
      </c>
      <c r="K116" s="429" t="s">
        <v>2493</v>
      </c>
      <c r="L116" s="444"/>
      <c r="M116" s="465" t="s">
        <v>259</v>
      </c>
      <c r="N116" s="441"/>
      <c r="O116" s="445"/>
      <c r="P116" s="441" t="s">
        <v>2494</v>
      </c>
      <c r="Q116" s="445" t="s">
        <v>2494</v>
      </c>
      <c r="R116" s="445" t="s">
        <v>4662</v>
      </c>
      <c r="S116" s="446">
        <v>45785</v>
      </c>
      <c r="T116" s="446">
        <v>45756</v>
      </c>
      <c r="U116" s="446">
        <v>45758</v>
      </c>
      <c r="V116" s="447"/>
      <c r="W116" s="447">
        <v>45761</v>
      </c>
      <c r="X116" s="447" t="s">
        <v>8044</v>
      </c>
      <c r="Y116" s="420"/>
      <c r="Z116" s="224" t="str">
        <f t="shared" si="6"/>
        <v>AG. MEDIÇÃO</v>
      </c>
      <c r="AA116" s="207" t="str">
        <f t="shared" si="7"/>
        <v>ENTREGUE</v>
      </c>
      <c r="AB116" s="207" t="str">
        <f t="shared" si="8"/>
        <v>AG. MEDIÇÃO</v>
      </c>
      <c r="AC116" s="156">
        <f t="shared" ca="1" si="9"/>
        <v>3</v>
      </c>
      <c r="AD116" s="156" t="str">
        <f t="shared" ca="1" si="10"/>
        <v>NO PRAZO</v>
      </c>
      <c r="AE116" s="156">
        <f t="shared" ca="1" si="11"/>
        <v>0</v>
      </c>
    </row>
    <row r="117" spans="1:31" ht="36" hidden="1" customHeight="1">
      <c r="A117" s="414"/>
      <c r="B117" s="440" t="s">
        <v>3107</v>
      </c>
      <c r="C117" s="440" t="s">
        <v>449</v>
      </c>
      <c r="D117" s="440"/>
      <c r="E117" s="440"/>
      <c r="F117" s="440" t="s">
        <v>42</v>
      </c>
      <c r="G117" s="441" t="s">
        <v>3108</v>
      </c>
      <c r="H117" s="440" t="s">
        <v>3109</v>
      </c>
      <c r="I117" s="449"/>
      <c r="J117" s="450">
        <v>45200</v>
      </c>
      <c r="K117" s="429" t="s">
        <v>2493</v>
      </c>
      <c r="L117" s="444" t="s">
        <v>1121</v>
      </c>
      <c r="M117" s="444" t="s">
        <v>51</v>
      </c>
      <c r="N117" s="441" t="s">
        <v>2572</v>
      </c>
      <c r="O117" s="445" t="s">
        <v>85</v>
      </c>
      <c r="P117" s="441" t="s">
        <v>2494</v>
      </c>
      <c r="Q117" s="441" t="s">
        <v>2494</v>
      </c>
      <c r="R117" s="445" t="s">
        <v>3110</v>
      </c>
      <c r="S117" s="446">
        <v>45229</v>
      </c>
      <c r="T117" s="446">
        <v>45205</v>
      </c>
      <c r="U117" s="446">
        <v>45205</v>
      </c>
      <c r="V117" s="446">
        <v>45209</v>
      </c>
      <c r="W117" s="447">
        <v>45230</v>
      </c>
      <c r="X117" s="447" t="s">
        <v>8044</v>
      </c>
      <c r="Y117" s="420"/>
      <c r="Z117" s="224" t="str">
        <f t="shared" si="6"/>
        <v>AG. MEDIÇÃO</v>
      </c>
      <c r="AA117" s="207" t="str">
        <f t="shared" si="7"/>
        <v>ENTREGUE</v>
      </c>
      <c r="AB117" s="207" t="str">
        <f t="shared" si="8"/>
        <v>AG. MEDIÇÃO</v>
      </c>
      <c r="AC117" s="156">
        <f t="shared" ca="1" si="9"/>
        <v>17</v>
      </c>
      <c r="AD117" s="156" t="str">
        <f t="shared" ca="1" si="10"/>
        <v>ATRASADO</v>
      </c>
      <c r="AE117" s="156">
        <f t="shared" ca="1" si="11"/>
        <v>14</v>
      </c>
    </row>
    <row r="118" spans="1:31" ht="36" hidden="1" customHeight="1">
      <c r="A118" s="414"/>
      <c r="B118" s="440" t="s">
        <v>3120</v>
      </c>
      <c r="C118" s="440" t="s">
        <v>449</v>
      </c>
      <c r="D118" s="440"/>
      <c r="E118" s="440"/>
      <c r="F118" s="440" t="s">
        <v>42</v>
      </c>
      <c r="G118" s="441" t="s">
        <v>3121</v>
      </c>
      <c r="H118" s="440" t="s">
        <v>3122</v>
      </c>
      <c r="I118" s="449"/>
      <c r="J118" s="450">
        <v>45200</v>
      </c>
      <c r="K118" s="429" t="s">
        <v>2493</v>
      </c>
      <c r="L118" s="444" t="s">
        <v>1121</v>
      </c>
      <c r="M118" s="444" t="s">
        <v>51</v>
      </c>
      <c r="N118" s="441" t="s">
        <v>2572</v>
      </c>
      <c r="O118" s="445" t="s">
        <v>85</v>
      </c>
      <c r="P118" s="441" t="s">
        <v>2494</v>
      </c>
      <c r="Q118" s="441" t="s">
        <v>2494</v>
      </c>
      <c r="R118" s="445" t="s">
        <v>3123</v>
      </c>
      <c r="S118" s="446">
        <v>45229</v>
      </c>
      <c r="T118" s="446">
        <v>45205</v>
      </c>
      <c r="U118" s="446">
        <v>45205</v>
      </c>
      <c r="V118" s="446">
        <v>45209</v>
      </c>
      <c r="W118" s="447">
        <v>45230</v>
      </c>
      <c r="X118" s="447" t="s">
        <v>8044</v>
      </c>
      <c r="Y118" s="420"/>
      <c r="Z118" s="224" t="str">
        <f t="shared" si="6"/>
        <v>AG. MEDIÇÃO</v>
      </c>
      <c r="AA118" s="207" t="str">
        <f t="shared" si="7"/>
        <v>ENTREGUE</v>
      </c>
      <c r="AB118" s="207" t="str">
        <f t="shared" si="8"/>
        <v>AG. MEDIÇÃO</v>
      </c>
      <c r="AC118" s="156">
        <f t="shared" ca="1" si="9"/>
        <v>17</v>
      </c>
      <c r="AD118" s="156" t="str">
        <f t="shared" ca="1" si="10"/>
        <v>ATRASADO</v>
      </c>
      <c r="AE118" s="156">
        <f t="shared" ca="1" si="11"/>
        <v>14</v>
      </c>
    </row>
    <row r="119" spans="1:31" ht="36" hidden="1" customHeight="1">
      <c r="A119" s="414"/>
      <c r="B119" s="466" t="s">
        <v>6735</v>
      </c>
      <c r="C119" s="483" t="s">
        <v>2531</v>
      </c>
      <c r="D119" s="483"/>
      <c r="E119" s="483"/>
      <c r="F119" s="483" t="s">
        <v>2498</v>
      </c>
      <c r="G119" s="467"/>
      <c r="H119" s="646" t="s">
        <v>6741</v>
      </c>
      <c r="I119" s="467" t="s">
        <v>6742</v>
      </c>
      <c r="J119" s="469">
        <v>45992</v>
      </c>
      <c r="K119" s="429" t="s">
        <v>2493</v>
      </c>
      <c r="L119" s="470"/>
      <c r="M119" s="471" t="s">
        <v>2501</v>
      </c>
      <c r="N119" s="467"/>
      <c r="O119" s="472"/>
      <c r="P119" s="472" t="s">
        <v>2494</v>
      </c>
      <c r="Q119" s="472" t="s">
        <v>2494</v>
      </c>
      <c r="R119" s="472" t="s">
        <v>6924</v>
      </c>
      <c r="S119" s="473">
        <v>46062</v>
      </c>
      <c r="T119" s="473">
        <v>46010</v>
      </c>
      <c r="U119" s="473"/>
      <c r="V119" s="474"/>
      <c r="W119" s="474">
        <v>46042</v>
      </c>
      <c r="X119" s="474">
        <v>46062</v>
      </c>
      <c r="Y119" s="420"/>
      <c r="Z119" s="224" t="str">
        <f t="shared" si="6"/>
        <v>AG. MEDIÇÃO</v>
      </c>
      <c r="AA119" s="207" t="str">
        <f t="shared" si="7"/>
        <v>ENTREGUE</v>
      </c>
      <c r="AB119" s="207" t="str">
        <f t="shared" si="8"/>
        <v>AG. MEDIÇÃO</v>
      </c>
      <c r="AC119" s="156">
        <f t="shared" ca="1" si="9"/>
        <v>22</v>
      </c>
      <c r="AD119" s="156" t="str">
        <f t="shared" ca="1" si="10"/>
        <v>ATRASADO</v>
      </c>
      <c r="AE119" s="156">
        <f t="shared" ca="1" si="11"/>
        <v>19</v>
      </c>
    </row>
    <row r="120" spans="1:31" ht="36" hidden="1" customHeight="1">
      <c r="A120" s="414"/>
      <c r="B120" s="440" t="s">
        <v>4221</v>
      </c>
      <c r="C120" s="440" t="s">
        <v>111</v>
      </c>
      <c r="D120" s="440" t="s">
        <v>1697</v>
      </c>
      <c r="E120" s="440" t="s">
        <v>2504</v>
      </c>
      <c r="F120" s="440" t="s">
        <v>42</v>
      </c>
      <c r="G120" s="441" t="s">
        <v>4222</v>
      </c>
      <c r="H120" s="440" t="s">
        <v>4223</v>
      </c>
      <c r="I120" s="441" t="s">
        <v>4224</v>
      </c>
      <c r="J120" s="450">
        <v>45505</v>
      </c>
      <c r="K120" s="429" t="s">
        <v>2493</v>
      </c>
      <c r="L120" s="444" t="s">
        <v>827</v>
      </c>
      <c r="M120" s="444" t="s">
        <v>827</v>
      </c>
      <c r="N120" s="441" t="s">
        <v>2572</v>
      </c>
      <c r="O120" s="445" t="s">
        <v>3350</v>
      </c>
      <c r="P120" s="445"/>
      <c r="Q120" s="445">
        <v>70</v>
      </c>
      <c r="R120" s="445" t="s">
        <v>4225</v>
      </c>
      <c r="S120" s="446">
        <v>45549</v>
      </c>
      <c r="T120" s="446">
        <v>45524</v>
      </c>
      <c r="U120" s="446">
        <v>45526</v>
      </c>
      <c r="V120" s="447">
        <v>45538</v>
      </c>
      <c r="W120" s="447">
        <v>45546</v>
      </c>
      <c r="X120" s="447" t="s">
        <v>8044</v>
      </c>
      <c r="Y120" s="420"/>
      <c r="Z120" s="224" t="str">
        <f t="shared" si="6"/>
        <v>AG. MEDIÇÃO</v>
      </c>
      <c r="AA120" s="207" t="str">
        <f t="shared" si="7"/>
        <v>ENTREGUE</v>
      </c>
      <c r="AB120" s="207" t="str">
        <f t="shared" si="8"/>
        <v>AG. MEDIÇÃO</v>
      </c>
      <c r="AC120" s="156">
        <f t="shared" ca="1" si="9"/>
        <v>16</v>
      </c>
      <c r="AD120" s="156" t="str">
        <f t="shared" ca="1" si="10"/>
        <v>ATRASADO</v>
      </c>
      <c r="AE120" s="156">
        <f t="shared" ca="1" si="11"/>
        <v>13</v>
      </c>
    </row>
    <row r="121" spans="1:31" ht="36" hidden="1" customHeight="1">
      <c r="A121" s="414"/>
      <c r="B121" s="429" t="s">
        <v>7196</v>
      </c>
      <c r="C121" s="430" t="s">
        <v>79</v>
      </c>
      <c r="D121" s="431"/>
      <c r="E121" s="432" t="s">
        <v>619</v>
      </c>
      <c r="F121" s="429" t="s">
        <v>42</v>
      </c>
      <c r="G121" s="434"/>
      <c r="H121" s="636" t="s">
        <v>7100</v>
      </c>
      <c r="I121" s="433" t="s">
        <v>7099</v>
      </c>
      <c r="J121" s="432" t="s">
        <v>7098</v>
      </c>
      <c r="K121" s="429" t="s">
        <v>2493</v>
      </c>
      <c r="L121" s="436" t="s">
        <v>147</v>
      </c>
      <c r="M121" s="436"/>
      <c r="N121" s="433"/>
      <c r="O121" s="437"/>
      <c r="P121" s="433"/>
      <c r="Q121" s="437">
        <v>556</v>
      </c>
      <c r="R121" s="437" t="s">
        <v>7097</v>
      </c>
      <c r="S121" s="438">
        <v>46093</v>
      </c>
      <c r="T121" s="438">
        <v>46086</v>
      </c>
      <c r="U121" s="438"/>
      <c r="V121" s="439"/>
      <c r="W121" s="439">
        <v>46088</v>
      </c>
      <c r="X121" s="439">
        <v>46093</v>
      </c>
      <c r="Y121" s="420"/>
      <c r="Z121" s="224" t="str">
        <f t="shared" si="6"/>
        <v>AG. MEDIÇÃO</v>
      </c>
      <c r="AA121" s="207" t="str">
        <f t="shared" si="7"/>
        <v>ENTREGUE</v>
      </c>
      <c r="AB121" s="207" t="str">
        <f t="shared" si="8"/>
        <v>AG. MEDIÇÃO</v>
      </c>
      <c r="AC121" s="156">
        <f t="shared" ca="1" si="9"/>
        <v>1</v>
      </c>
      <c r="AD121" s="156" t="str">
        <f t="shared" ca="1" si="10"/>
        <v>NO PRAZO</v>
      </c>
      <c r="AE121" s="156">
        <f t="shared" ca="1" si="11"/>
        <v>-2</v>
      </c>
    </row>
    <row r="122" spans="1:31" ht="36" hidden="1" customHeight="1">
      <c r="A122" s="414"/>
      <c r="B122" s="440" t="s">
        <v>4868</v>
      </c>
      <c r="C122" s="440" t="s">
        <v>380</v>
      </c>
      <c r="D122" s="440" t="s">
        <v>381</v>
      </c>
      <c r="E122" s="440" t="s">
        <v>685</v>
      </c>
      <c r="F122" s="440" t="s">
        <v>42</v>
      </c>
      <c r="G122" s="441" t="s">
        <v>4869</v>
      </c>
      <c r="H122" s="440" t="s">
        <v>4870</v>
      </c>
      <c r="I122" s="441" t="s">
        <v>4871</v>
      </c>
      <c r="J122" s="450">
        <v>45689</v>
      </c>
      <c r="K122" s="429" t="s">
        <v>2493</v>
      </c>
      <c r="L122" s="444"/>
      <c r="M122" s="444" t="s">
        <v>200</v>
      </c>
      <c r="N122" s="441"/>
      <c r="O122" s="445"/>
      <c r="P122" s="441" t="s">
        <v>2494</v>
      </c>
      <c r="Q122" s="445" t="s">
        <v>2494</v>
      </c>
      <c r="R122" s="445" t="s">
        <v>4727</v>
      </c>
      <c r="S122" s="446">
        <v>45734</v>
      </c>
      <c r="T122" s="446">
        <v>45714</v>
      </c>
      <c r="U122" s="446">
        <v>45715</v>
      </c>
      <c r="V122" s="447"/>
      <c r="W122" s="447"/>
      <c r="X122" s="447" t="s">
        <v>8044</v>
      </c>
      <c r="Y122" s="420"/>
      <c r="Z122" s="224" t="str">
        <f t="shared" si="6"/>
        <v>AG. MEDIÇÃO</v>
      </c>
      <c r="AA122" s="207" t="str">
        <f t="shared" si="7"/>
        <v>ENTREGUE</v>
      </c>
      <c r="AB122" s="207" t="str">
        <f t="shared" si="8"/>
        <v>AG. MEDIÇÃO</v>
      </c>
      <c r="AC122" s="156">
        <f t="shared" ca="1" si="9"/>
        <v>405</v>
      </c>
      <c r="AD122" s="156" t="str">
        <f t="shared" ca="1" si="10"/>
        <v>ATRASADO</v>
      </c>
      <c r="AE122" s="156">
        <f t="shared" ca="1" si="11"/>
        <v>402</v>
      </c>
    </row>
    <row r="123" spans="1:31" ht="36" hidden="1" customHeight="1">
      <c r="A123" s="414"/>
      <c r="B123" s="440" t="s">
        <v>3865</v>
      </c>
      <c r="C123" s="440" t="s">
        <v>1030</v>
      </c>
      <c r="D123" s="440" t="s">
        <v>1148</v>
      </c>
      <c r="E123" s="440"/>
      <c r="F123" s="440" t="s">
        <v>42</v>
      </c>
      <c r="G123" s="441"/>
      <c r="H123" s="440" t="s">
        <v>3866</v>
      </c>
      <c r="I123" s="441" t="s">
        <v>3867</v>
      </c>
      <c r="J123" s="450">
        <v>45413</v>
      </c>
      <c r="K123" s="429" t="s">
        <v>2493</v>
      </c>
      <c r="L123" s="444" t="s">
        <v>3624</v>
      </c>
      <c r="M123" s="444"/>
      <c r="N123" s="447"/>
      <c r="O123" s="445"/>
      <c r="P123" s="445"/>
      <c r="Q123" s="441">
        <v>130</v>
      </c>
      <c r="R123" s="445" t="s">
        <v>3868</v>
      </c>
      <c r="S123" s="446">
        <v>45469</v>
      </c>
      <c r="T123" s="446">
        <v>45429</v>
      </c>
      <c r="U123" s="446">
        <v>45429</v>
      </c>
      <c r="V123" s="446">
        <v>45429</v>
      </c>
      <c r="W123" s="447">
        <v>45429</v>
      </c>
      <c r="X123" s="447" t="s">
        <v>8044</v>
      </c>
      <c r="Y123" s="420"/>
      <c r="Z123" s="224" t="str">
        <f t="shared" si="6"/>
        <v>AG. MEDIÇÃO</v>
      </c>
      <c r="AA123" s="207" t="str">
        <f t="shared" si="7"/>
        <v>ENTREGUE</v>
      </c>
      <c r="AB123" s="207" t="str">
        <f t="shared" si="8"/>
        <v>AG. MEDIÇÃO</v>
      </c>
      <c r="AC123" s="156">
        <f t="shared" ca="1" si="9"/>
        <v>0</v>
      </c>
      <c r="AD123" s="156" t="str">
        <f t="shared" ca="1" si="10"/>
        <v>NO PRAZO</v>
      </c>
      <c r="AE123" s="156">
        <f t="shared" ca="1" si="11"/>
        <v>-3</v>
      </c>
    </row>
    <row r="124" spans="1:31" ht="36" hidden="1" customHeight="1">
      <c r="A124" s="414"/>
      <c r="B124" s="440" t="s">
        <v>2887</v>
      </c>
      <c r="C124" s="440" t="s">
        <v>2888</v>
      </c>
      <c r="D124" s="440"/>
      <c r="E124" s="440"/>
      <c r="F124" s="440" t="s">
        <v>42</v>
      </c>
      <c r="G124" s="441" t="s">
        <v>2889</v>
      </c>
      <c r="H124" s="440" t="s">
        <v>2890</v>
      </c>
      <c r="I124" s="449"/>
      <c r="J124" s="450">
        <v>45078</v>
      </c>
      <c r="K124" s="429" t="s">
        <v>2493</v>
      </c>
      <c r="L124" s="444" t="s">
        <v>863</v>
      </c>
      <c r="M124" s="444" t="s">
        <v>863</v>
      </c>
      <c r="N124" s="441" t="s">
        <v>2572</v>
      </c>
      <c r="O124" s="445" t="s">
        <v>2573</v>
      </c>
      <c r="P124" s="445"/>
      <c r="Q124" s="441">
        <v>510</v>
      </c>
      <c r="R124" s="445" t="s">
        <v>2891</v>
      </c>
      <c r="S124" s="446">
        <v>45118</v>
      </c>
      <c r="T124" s="446">
        <v>45084</v>
      </c>
      <c r="U124" s="446">
        <v>45084</v>
      </c>
      <c r="V124" s="446">
        <v>45087</v>
      </c>
      <c r="W124" s="447">
        <v>45089</v>
      </c>
      <c r="X124" s="447" t="s">
        <v>8044</v>
      </c>
      <c r="Y124" s="420"/>
      <c r="Z124" s="224" t="str">
        <f t="shared" si="6"/>
        <v>AG. MEDIÇÃO</v>
      </c>
      <c r="AA124" s="207" t="str">
        <f t="shared" si="7"/>
        <v>ENTREGUE</v>
      </c>
      <c r="AB124" s="207" t="str">
        <f t="shared" si="8"/>
        <v>AG. MEDIÇÃO</v>
      </c>
      <c r="AC124" s="156">
        <f t="shared" ca="1" si="9"/>
        <v>3</v>
      </c>
      <c r="AD124" s="156" t="str">
        <f t="shared" ca="1" si="10"/>
        <v>NO PRAZO</v>
      </c>
      <c r="AE124" s="156">
        <f t="shared" ca="1" si="11"/>
        <v>0</v>
      </c>
    </row>
    <row r="125" spans="1:31" ht="36" hidden="1" customHeight="1">
      <c r="A125" s="414"/>
      <c r="B125" s="440" t="s">
        <v>4138</v>
      </c>
      <c r="C125" s="440" t="s">
        <v>425</v>
      </c>
      <c r="D125" s="440" t="s">
        <v>475</v>
      </c>
      <c r="E125" s="440" t="s">
        <v>474</v>
      </c>
      <c r="F125" s="440" t="s">
        <v>1408</v>
      </c>
      <c r="G125" s="441"/>
      <c r="H125" s="440" t="s">
        <v>4139</v>
      </c>
      <c r="I125" s="441" t="s">
        <v>4140</v>
      </c>
      <c r="J125" s="450">
        <v>45505</v>
      </c>
      <c r="K125" s="429" t="s">
        <v>2493</v>
      </c>
      <c r="L125" s="444" t="s">
        <v>1380</v>
      </c>
      <c r="M125" s="444" t="s">
        <v>132</v>
      </c>
      <c r="N125" s="441" t="s">
        <v>2572</v>
      </c>
      <c r="O125" s="445" t="s">
        <v>85</v>
      </c>
      <c r="P125" s="445"/>
      <c r="Q125" s="445">
        <v>795</v>
      </c>
      <c r="R125" s="445" t="s">
        <v>4141</v>
      </c>
      <c r="S125" s="447">
        <v>45545</v>
      </c>
      <c r="T125" s="446">
        <v>45512</v>
      </c>
      <c r="U125" s="446">
        <v>45524</v>
      </c>
      <c r="V125" s="447">
        <v>45525</v>
      </c>
      <c r="W125" s="447">
        <v>45530</v>
      </c>
      <c r="X125" s="447" t="s">
        <v>8044</v>
      </c>
      <c r="Y125" s="420"/>
      <c r="Z125" s="224" t="str">
        <f t="shared" si="6"/>
        <v>AG. MEDIÇÃO</v>
      </c>
      <c r="AA125" s="207" t="str">
        <f t="shared" si="7"/>
        <v>ENTREGUE</v>
      </c>
      <c r="AB125" s="207" t="str">
        <f t="shared" si="8"/>
        <v>AG. MEDIÇÃO</v>
      </c>
      <c r="AC125" s="156">
        <f t="shared" ca="1" si="9"/>
        <v>12</v>
      </c>
      <c r="AD125" s="156" t="str">
        <f t="shared" ca="1" si="10"/>
        <v>ATRASADO</v>
      </c>
      <c r="AE125" s="156">
        <f t="shared" ca="1" si="11"/>
        <v>9</v>
      </c>
    </row>
    <row r="126" spans="1:31" ht="36" hidden="1" customHeight="1">
      <c r="A126" s="414"/>
      <c r="B126" s="440" t="s">
        <v>3460</v>
      </c>
      <c r="C126" s="440" t="s">
        <v>571</v>
      </c>
      <c r="D126" s="440"/>
      <c r="E126" s="440"/>
      <c r="F126" s="440" t="s">
        <v>42</v>
      </c>
      <c r="G126" s="441" t="s">
        <v>3461</v>
      </c>
      <c r="H126" s="440" t="s">
        <v>3461</v>
      </c>
      <c r="I126" s="441" t="s">
        <v>3462</v>
      </c>
      <c r="J126" s="450">
        <v>45352</v>
      </c>
      <c r="K126" s="429" t="s">
        <v>2493</v>
      </c>
      <c r="L126" s="444" t="s">
        <v>1380</v>
      </c>
      <c r="M126" s="444" t="s">
        <v>51</v>
      </c>
      <c r="N126" s="441" t="s">
        <v>2572</v>
      </c>
      <c r="O126" s="445" t="s">
        <v>85</v>
      </c>
      <c r="P126" s="445"/>
      <c r="Q126" s="441">
        <v>722</v>
      </c>
      <c r="R126" s="445" t="s">
        <v>3463</v>
      </c>
      <c r="S126" s="446">
        <v>45377</v>
      </c>
      <c r="T126" s="446">
        <v>45362</v>
      </c>
      <c r="U126" s="446">
        <v>45363</v>
      </c>
      <c r="V126" s="446">
        <v>45363</v>
      </c>
      <c r="W126" s="447">
        <v>45363</v>
      </c>
      <c r="X126" s="447" t="s">
        <v>8044</v>
      </c>
      <c r="Y126" s="420"/>
      <c r="Z126" s="224" t="str">
        <f t="shared" si="6"/>
        <v>AG. MEDIÇÃO</v>
      </c>
      <c r="AA126" s="207" t="str">
        <f t="shared" si="7"/>
        <v>ENTREGUE</v>
      </c>
      <c r="AB126" s="207" t="str">
        <f t="shared" si="8"/>
        <v>AG. MEDIÇÃO</v>
      </c>
      <c r="AC126" s="156">
        <f t="shared" ca="1" si="9"/>
        <v>1</v>
      </c>
      <c r="AD126" s="156" t="str">
        <f t="shared" ca="1" si="10"/>
        <v>NO PRAZO</v>
      </c>
      <c r="AE126" s="156">
        <f t="shared" ca="1" si="11"/>
        <v>-2</v>
      </c>
    </row>
    <row r="127" spans="1:31" ht="36" hidden="1" customHeight="1">
      <c r="A127" s="414"/>
      <c r="B127" s="440" t="s">
        <v>3824</v>
      </c>
      <c r="C127" s="440" t="s">
        <v>111</v>
      </c>
      <c r="D127" s="440" t="s">
        <v>360</v>
      </c>
      <c r="E127" s="440"/>
      <c r="F127" s="440" t="s">
        <v>42</v>
      </c>
      <c r="G127" s="441" t="s">
        <v>3348</v>
      </c>
      <c r="H127" s="440" t="s">
        <v>3825</v>
      </c>
      <c r="I127" s="441" t="s">
        <v>3826</v>
      </c>
      <c r="J127" s="450">
        <v>45413</v>
      </c>
      <c r="K127" s="429" t="s">
        <v>2493</v>
      </c>
      <c r="L127" s="444"/>
      <c r="M127" s="444" t="s">
        <v>132</v>
      </c>
      <c r="N127" s="441" t="s">
        <v>2572</v>
      </c>
      <c r="O127" s="445" t="s">
        <v>3350</v>
      </c>
      <c r="P127" s="441" t="s">
        <v>2494</v>
      </c>
      <c r="Q127" s="441" t="s">
        <v>2494</v>
      </c>
      <c r="R127" s="445" t="s">
        <v>3827</v>
      </c>
      <c r="S127" s="446">
        <v>45439</v>
      </c>
      <c r="T127" s="446">
        <v>45415</v>
      </c>
      <c r="U127" s="447">
        <v>45426</v>
      </c>
      <c r="V127" s="447">
        <v>45426</v>
      </c>
      <c r="W127" s="447">
        <v>45426</v>
      </c>
      <c r="X127" s="447" t="s">
        <v>8044</v>
      </c>
      <c r="Y127" s="420"/>
      <c r="Z127" s="224" t="str">
        <f t="shared" si="6"/>
        <v>AG. MEDIÇÃO</v>
      </c>
      <c r="AA127" s="207" t="str">
        <f t="shared" si="7"/>
        <v>ENTREGUE</v>
      </c>
      <c r="AB127" s="207" t="str">
        <f t="shared" si="8"/>
        <v>AG. MEDIÇÃO</v>
      </c>
      <c r="AC127" s="156">
        <f t="shared" ca="1" si="9"/>
        <v>7</v>
      </c>
      <c r="AD127" s="156" t="str">
        <f t="shared" ca="1" si="10"/>
        <v>ATRASADO</v>
      </c>
      <c r="AE127" s="156">
        <f t="shared" ca="1" si="11"/>
        <v>4</v>
      </c>
    </row>
    <row r="128" spans="1:31" ht="36" hidden="1" customHeight="1">
      <c r="A128" s="414"/>
      <c r="B128" s="440" t="s">
        <v>5769</v>
      </c>
      <c r="C128" s="440" t="s">
        <v>293</v>
      </c>
      <c r="D128" s="440" t="s">
        <v>295</v>
      </c>
      <c r="E128" s="440" t="s">
        <v>842</v>
      </c>
      <c r="F128" s="440" t="s">
        <v>42</v>
      </c>
      <c r="G128" s="441"/>
      <c r="H128" s="639" t="s">
        <v>5770</v>
      </c>
      <c r="I128" s="441" t="s">
        <v>5771</v>
      </c>
      <c r="J128" s="450">
        <v>45931</v>
      </c>
      <c r="K128" s="429" t="s">
        <v>2493</v>
      </c>
      <c r="L128" s="444" t="s">
        <v>94</v>
      </c>
      <c r="M128" s="444" t="s">
        <v>1155</v>
      </c>
      <c r="N128" s="441"/>
      <c r="O128" s="445"/>
      <c r="P128" s="441">
        <v>109</v>
      </c>
      <c r="Q128" s="445">
        <v>138</v>
      </c>
      <c r="R128" s="445" t="s">
        <v>5772</v>
      </c>
      <c r="S128" s="446">
        <v>45951</v>
      </c>
      <c r="T128" s="446">
        <v>45937</v>
      </c>
      <c r="U128" s="446"/>
      <c r="V128" s="447"/>
      <c r="W128" s="447">
        <v>45938</v>
      </c>
      <c r="X128" s="447">
        <v>45951</v>
      </c>
      <c r="Y128" s="420"/>
      <c r="Z128" s="224" t="str">
        <f t="shared" si="6"/>
        <v>AG. MEDIÇÃO</v>
      </c>
      <c r="AA128" s="207" t="str">
        <f t="shared" si="7"/>
        <v>ENTREGUE</v>
      </c>
      <c r="AB128" s="207" t="str">
        <f t="shared" si="8"/>
        <v>AG. MEDIÇÃO</v>
      </c>
      <c r="AC128" s="156">
        <f t="shared" ca="1" si="9"/>
        <v>1</v>
      </c>
      <c r="AD128" s="156" t="str">
        <f t="shared" ca="1" si="10"/>
        <v>NO PRAZO</v>
      </c>
      <c r="AE128" s="156">
        <f t="shared" ca="1" si="11"/>
        <v>-2</v>
      </c>
    </row>
    <row r="129" spans="1:31" ht="36" hidden="1" customHeight="1">
      <c r="A129" s="414"/>
      <c r="B129" s="429" t="s">
        <v>7414</v>
      </c>
      <c r="C129" s="429" t="s">
        <v>293</v>
      </c>
      <c r="D129" s="429"/>
      <c r="E129" s="429"/>
      <c r="F129" s="429" t="s">
        <v>42</v>
      </c>
      <c r="G129" s="433"/>
      <c r="H129" s="652" t="s">
        <v>7389</v>
      </c>
      <c r="I129" s="433" t="s">
        <v>7390</v>
      </c>
      <c r="J129" s="432">
        <v>46113</v>
      </c>
      <c r="K129" s="429" t="s">
        <v>2493</v>
      </c>
      <c r="L129" s="436"/>
      <c r="M129" s="436" t="s">
        <v>77</v>
      </c>
      <c r="N129" s="433"/>
      <c r="O129" s="437"/>
      <c r="P129" s="433" t="s">
        <v>2494</v>
      </c>
      <c r="Q129" s="437" t="s">
        <v>2494</v>
      </c>
      <c r="R129" s="437" t="s">
        <v>7551</v>
      </c>
      <c r="S129" s="438">
        <v>46161</v>
      </c>
      <c r="T129" s="438">
        <v>46140</v>
      </c>
      <c r="U129" s="438"/>
      <c r="V129" s="439"/>
      <c r="W129" s="439">
        <v>46140</v>
      </c>
      <c r="X129" s="439">
        <v>46161</v>
      </c>
      <c r="Y129" s="420"/>
      <c r="Z129" s="224" t="str">
        <f t="shared" si="6"/>
        <v>AG. MEDIÇÃO</v>
      </c>
      <c r="AA129" s="207" t="str">
        <f t="shared" si="7"/>
        <v>ENTREGUE</v>
      </c>
      <c r="AB129" s="207" t="str">
        <f t="shared" si="8"/>
        <v>AG. MEDIÇÃO</v>
      </c>
      <c r="AC129" s="156">
        <f t="shared" ca="1" si="9"/>
        <v>0</v>
      </c>
      <c r="AD129" s="156" t="str">
        <f t="shared" ca="1" si="10"/>
        <v>NO PRAZO</v>
      </c>
      <c r="AE129" s="156">
        <f t="shared" ca="1" si="11"/>
        <v>-3</v>
      </c>
    </row>
    <row r="130" spans="1:31" ht="36" hidden="1" customHeight="1">
      <c r="A130" s="414"/>
      <c r="B130" s="429" t="s">
        <v>8172</v>
      </c>
      <c r="C130" s="429" t="s">
        <v>79</v>
      </c>
      <c r="D130" s="429" t="s">
        <v>8412</v>
      </c>
      <c r="E130" s="429" t="s">
        <v>619</v>
      </c>
      <c r="F130" s="429" t="s">
        <v>42</v>
      </c>
      <c r="G130" s="433"/>
      <c r="H130" s="429" t="s">
        <v>8183</v>
      </c>
      <c r="I130" s="433" t="s">
        <v>8025</v>
      </c>
      <c r="J130" s="432">
        <v>46204</v>
      </c>
      <c r="K130" s="429" t="s">
        <v>2493</v>
      </c>
      <c r="L130" s="436"/>
      <c r="M130" s="436" t="s">
        <v>62</v>
      </c>
      <c r="N130" s="437"/>
      <c r="O130" s="437" t="s">
        <v>85</v>
      </c>
      <c r="P130" s="437" t="s">
        <v>2494</v>
      </c>
      <c r="Q130" s="433" t="s">
        <v>2494</v>
      </c>
      <c r="R130" s="499" t="s">
        <v>8193</v>
      </c>
      <c r="S130" s="438">
        <v>46252</v>
      </c>
      <c r="T130" s="438">
        <v>46224</v>
      </c>
      <c r="U130" s="438"/>
      <c r="V130" s="438"/>
      <c r="W130" s="439">
        <v>46227</v>
      </c>
      <c r="X130" s="439">
        <v>46252</v>
      </c>
      <c r="Y130" s="420"/>
      <c r="Z130" s="224" t="str">
        <f t="shared" si="6"/>
        <v>AG. MEDIÇÃO</v>
      </c>
      <c r="AA130" s="207" t="str">
        <f t="shared" si="7"/>
        <v>ENTREGUE</v>
      </c>
      <c r="AB130" s="207" t="str">
        <f t="shared" si="8"/>
        <v>AG. MEDIÇÃO</v>
      </c>
      <c r="AC130" s="156">
        <f t="shared" ca="1" si="9"/>
        <v>3</v>
      </c>
      <c r="AD130" s="156" t="str">
        <f t="shared" ca="1" si="10"/>
        <v>NO PRAZO</v>
      </c>
      <c r="AE130" s="156">
        <f t="shared" ca="1" si="11"/>
        <v>0</v>
      </c>
    </row>
    <row r="131" spans="1:31" ht="36" hidden="1" customHeight="1">
      <c r="A131" s="414"/>
      <c r="B131" s="429" t="s">
        <v>8280</v>
      </c>
      <c r="C131" s="429" t="s">
        <v>293</v>
      </c>
      <c r="D131" s="429" t="s">
        <v>383</v>
      </c>
      <c r="E131" s="429" t="s">
        <v>842</v>
      </c>
      <c r="F131" s="429" t="s">
        <v>42</v>
      </c>
      <c r="G131" s="562" t="s">
        <v>8303</v>
      </c>
      <c r="H131" s="562" t="s">
        <v>8304</v>
      </c>
      <c r="I131" s="585" t="s">
        <v>8184</v>
      </c>
      <c r="J131" s="432">
        <v>46235</v>
      </c>
      <c r="K131" s="429" t="s">
        <v>2493</v>
      </c>
      <c r="L131" s="436"/>
      <c r="M131" s="436" t="s">
        <v>62</v>
      </c>
      <c r="N131" s="437"/>
      <c r="O131" s="437" t="s">
        <v>85</v>
      </c>
      <c r="P131" s="436" t="s">
        <v>2494</v>
      </c>
      <c r="Q131" s="436" t="s">
        <v>2494</v>
      </c>
      <c r="R131" s="499" t="s">
        <v>8529</v>
      </c>
      <c r="S131" s="438">
        <v>46261</v>
      </c>
      <c r="T131" s="438">
        <v>46254</v>
      </c>
      <c r="U131" s="438"/>
      <c r="V131" s="438"/>
      <c r="W131" s="438">
        <v>46258</v>
      </c>
      <c r="X131" s="439">
        <v>46261</v>
      </c>
      <c r="Y131" s="420"/>
      <c r="Z131" s="224" t="str">
        <f t="shared" si="6"/>
        <v>AG. MEDIÇÃO</v>
      </c>
      <c r="AA131" s="207" t="str">
        <f t="shared" si="7"/>
        <v>ENTREGUE</v>
      </c>
      <c r="AB131" s="207" t="str">
        <f t="shared" si="8"/>
        <v>AG. MEDIÇÃO</v>
      </c>
      <c r="AC131" s="156">
        <f t="shared" ca="1" si="9"/>
        <v>2</v>
      </c>
      <c r="AD131" s="156" t="str">
        <f t="shared" ca="1" si="10"/>
        <v>NO PRAZO</v>
      </c>
      <c r="AE131" s="156">
        <f t="shared" ca="1" si="11"/>
        <v>-1</v>
      </c>
    </row>
    <row r="132" spans="1:31" ht="36" hidden="1" customHeight="1">
      <c r="A132" s="414"/>
      <c r="B132" s="429" t="s">
        <v>7993</v>
      </c>
      <c r="C132" s="429" t="s">
        <v>79</v>
      </c>
      <c r="D132" s="429"/>
      <c r="E132" s="429" t="s">
        <v>619</v>
      </c>
      <c r="F132" s="429" t="s">
        <v>42</v>
      </c>
      <c r="G132" s="433" t="s">
        <v>8023</v>
      </c>
      <c r="H132" s="429" t="s">
        <v>8024</v>
      </c>
      <c r="I132" s="433" t="s">
        <v>8025</v>
      </c>
      <c r="J132" s="432">
        <v>46204</v>
      </c>
      <c r="K132" s="429" t="s">
        <v>2493</v>
      </c>
      <c r="L132" s="436" t="s">
        <v>94</v>
      </c>
      <c r="M132" s="436" t="s">
        <v>62</v>
      </c>
      <c r="N132" s="437"/>
      <c r="O132" s="437" t="s">
        <v>85</v>
      </c>
      <c r="P132" s="437">
        <v>820</v>
      </c>
      <c r="Q132" s="433">
        <v>928</v>
      </c>
      <c r="R132" s="499" t="s">
        <v>8152</v>
      </c>
      <c r="S132" s="438">
        <v>46253</v>
      </c>
      <c r="T132" s="438">
        <v>46209</v>
      </c>
      <c r="U132" s="438"/>
      <c r="V132" s="438"/>
      <c r="W132" s="439">
        <v>46213</v>
      </c>
      <c r="X132" s="439">
        <v>46253</v>
      </c>
      <c r="Y132" s="420"/>
      <c r="Z132" s="224" t="str">
        <f t="shared" si="6"/>
        <v>AG. MEDIÇÃO</v>
      </c>
      <c r="AA132" s="207" t="str">
        <f t="shared" si="7"/>
        <v>ENTREGUE</v>
      </c>
      <c r="AB132" s="207" t="str">
        <f t="shared" si="8"/>
        <v>AG. MEDIÇÃO</v>
      </c>
      <c r="AC132" s="156">
        <f t="shared" ca="1" si="9"/>
        <v>4</v>
      </c>
      <c r="AD132" s="156" t="str">
        <f t="shared" ca="1" si="10"/>
        <v>ATRASADO</v>
      </c>
      <c r="AE132" s="156">
        <f t="shared" ca="1" si="11"/>
        <v>1</v>
      </c>
    </row>
    <row r="133" spans="1:31" ht="34.5" hidden="1" customHeight="1">
      <c r="A133" s="414"/>
      <c r="B133" s="429" t="s">
        <v>8173</v>
      </c>
      <c r="C133" s="429" t="s">
        <v>293</v>
      </c>
      <c r="D133" s="429" t="s">
        <v>383</v>
      </c>
      <c r="E133" s="429" t="s">
        <v>842</v>
      </c>
      <c r="F133" s="429" t="s">
        <v>42</v>
      </c>
      <c r="G133" s="433" t="s">
        <v>8023</v>
      </c>
      <c r="H133" s="429" t="s">
        <v>8024</v>
      </c>
      <c r="I133" s="433" t="s">
        <v>8184</v>
      </c>
      <c r="J133" s="432">
        <v>46204</v>
      </c>
      <c r="K133" s="429" t="s">
        <v>2493</v>
      </c>
      <c r="L133" s="436" t="s">
        <v>124</v>
      </c>
      <c r="M133" s="436" t="s">
        <v>62</v>
      </c>
      <c r="N133" s="437"/>
      <c r="O133" s="437" t="s">
        <v>85</v>
      </c>
      <c r="P133" s="437">
        <v>385</v>
      </c>
      <c r="Q133" s="433">
        <v>408</v>
      </c>
      <c r="R133" s="499" t="s">
        <v>8330</v>
      </c>
      <c r="S133" s="438">
        <v>46245</v>
      </c>
      <c r="T133" s="438">
        <v>46226</v>
      </c>
      <c r="U133" s="438"/>
      <c r="V133" s="438">
        <v>46230</v>
      </c>
      <c r="W133" s="439">
        <v>46230</v>
      </c>
      <c r="X133" s="439">
        <v>46245</v>
      </c>
      <c r="Y133" s="420"/>
      <c r="Z133" s="224" t="str">
        <f t="shared" ref="Z133:Z196" si="12">IF(K133="CANCELADO","CANCELADO",IF(AA133="PENDENTE","AG. RELATÓRIO",IF(S133="SIM","AG. MEDIÇÃO",IF(S133&gt;0,"AG. MEDIÇÃO","PENDENTE"))))</f>
        <v>AG. MEDIÇÃO</v>
      </c>
      <c r="AA133" s="207" t="str">
        <f t="shared" ref="AA133:AA196" si="13">IF(K133="CANCELADO","CANCELADO",IF(X133="","PENDENTE","ENTREGUE"))</f>
        <v>ENTREGUE</v>
      </c>
      <c r="AB133" s="207" t="str">
        <f t="shared" ref="AB133:AB196" si="14">IF(K133="SEM SINAL","SEM SINAL",IF(K133="PARALISADO","PARALISADO",IF(Z133="PENDENTE","AG. MEDIÇÃO",IF(K133="CANCELADO","CANCELADO",Z133))))</f>
        <v>AG. MEDIÇÃO</v>
      </c>
      <c r="AC133" s="156">
        <f t="shared" ref="AC133:AC196" ca="1" si="15">IFERROR(IF(K133="CANCELADO","CANCELADO",IF(T133="","DATA ENTRADA",IF(AND(T133&gt;0,W133=""),NETWORKDAYS(T133,TODAY())-1,NETWORKDAYS(T133,W133)-1))),"CHECAR DATA")</f>
        <v>2</v>
      </c>
      <c r="AD133" s="156" t="str">
        <f t="shared" ref="AD133:AD196" ca="1" si="16">IF(AC133&lt;=3,"NO PRAZO","ATRASADO")</f>
        <v>NO PRAZO</v>
      </c>
      <c r="AE133" s="156">
        <f t="shared" ref="AE133:AE196" ca="1" si="17">IFERROR(AC133-3,AC133)</f>
        <v>-1</v>
      </c>
    </row>
    <row r="134" spans="1:31" ht="34.5" hidden="1" customHeight="1">
      <c r="A134" s="414"/>
      <c r="B134" s="440" t="s">
        <v>5682</v>
      </c>
      <c r="C134" s="440" t="s">
        <v>380</v>
      </c>
      <c r="D134" s="440" t="s">
        <v>686</v>
      </c>
      <c r="E134" s="440" t="s">
        <v>685</v>
      </c>
      <c r="F134" s="440" t="s">
        <v>42</v>
      </c>
      <c r="G134" s="441"/>
      <c r="H134" s="440" t="s">
        <v>5683</v>
      </c>
      <c r="I134" s="441" t="s">
        <v>5684</v>
      </c>
      <c r="J134" s="450">
        <v>45870</v>
      </c>
      <c r="K134" s="429" t="s">
        <v>2493</v>
      </c>
      <c r="L134" s="444" t="s">
        <v>147</v>
      </c>
      <c r="M134" s="444" t="s">
        <v>1155</v>
      </c>
      <c r="N134" s="441" t="s">
        <v>2572</v>
      </c>
      <c r="O134" s="445"/>
      <c r="P134" s="441"/>
      <c r="Q134" s="445">
        <v>899</v>
      </c>
      <c r="R134" s="445" t="s">
        <v>7024</v>
      </c>
      <c r="S134" s="446">
        <v>46064</v>
      </c>
      <c r="T134" s="446">
        <v>45891</v>
      </c>
      <c r="U134" s="446"/>
      <c r="V134" s="447"/>
      <c r="W134" s="447">
        <v>45897</v>
      </c>
      <c r="X134" s="447">
        <v>46064</v>
      </c>
      <c r="Y134" s="420"/>
      <c r="Z134" s="224" t="str">
        <f t="shared" si="12"/>
        <v>AG. MEDIÇÃO</v>
      </c>
      <c r="AA134" s="207" t="str">
        <f t="shared" si="13"/>
        <v>ENTREGUE</v>
      </c>
      <c r="AB134" s="207" t="str">
        <f t="shared" si="14"/>
        <v>AG. MEDIÇÃO</v>
      </c>
      <c r="AC134" s="156">
        <f t="shared" ca="1" si="15"/>
        <v>4</v>
      </c>
      <c r="AD134" s="156" t="str">
        <f t="shared" ca="1" si="16"/>
        <v>ATRASADO</v>
      </c>
      <c r="AE134" s="156">
        <f t="shared" ca="1" si="17"/>
        <v>1</v>
      </c>
    </row>
    <row r="135" spans="1:31" ht="34.5" hidden="1" customHeight="1">
      <c r="A135" s="414"/>
      <c r="B135" s="466" t="s">
        <v>5850</v>
      </c>
      <c r="C135" s="466" t="s">
        <v>4873</v>
      </c>
      <c r="D135" s="466"/>
      <c r="E135" s="466"/>
      <c r="F135" s="466" t="s">
        <v>4875</v>
      </c>
      <c r="G135" s="475"/>
      <c r="H135" s="649" t="s">
        <v>5851</v>
      </c>
      <c r="I135" s="475" t="s">
        <v>5852</v>
      </c>
      <c r="J135" s="476">
        <v>45992</v>
      </c>
      <c r="K135" s="429" t="s">
        <v>2493</v>
      </c>
      <c r="L135" s="465"/>
      <c r="M135" s="477" t="s">
        <v>259</v>
      </c>
      <c r="N135" s="475"/>
      <c r="O135" s="478">
        <v>46045</v>
      </c>
      <c r="P135" s="441" t="s">
        <v>2494</v>
      </c>
      <c r="Q135" s="445" t="s">
        <v>2494</v>
      </c>
      <c r="R135" s="479" t="s">
        <v>5188</v>
      </c>
      <c r="S135" s="480">
        <v>46045</v>
      </c>
      <c r="T135" s="480">
        <v>46002</v>
      </c>
      <c r="U135" s="480"/>
      <c r="V135" s="481"/>
      <c r="W135" s="481">
        <v>46009</v>
      </c>
      <c r="X135" s="481">
        <v>46045</v>
      </c>
      <c r="Y135" s="420"/>
      <c r="Z135" s="224" t="str">
        <f t="shared" si="12"/>
        <v>AG. MEDIÇÃO</v>
      </c>
      <c r="AA135" s="207" t="str">
        <f t="shared" si="13"/>
        <v>ENTREGUE</v>
      </c>
      <c r="AB135" s="207" t="str">
        <f t="shared" si="14"/>
        <v>AG. MEDIÇÃO</v>
      </c>
      <c r="AC135" s="156">
        <f t="shared" ca="1" si="15"/>
        <v>5</v>
      </c>
      <c r="AD135" s="156" t="str">
        <f t="shared" ca="1" si="16"/>
        <v>ATRASADO</v>
      </c>
      <c r="AE135" s="156">
        <f t="shared" ca="1" si="17"/>
        <v>2</v>
      </c>
    </row>
    <row r="136" spans="1:31" ht="34.5" hidden="1" customHeight="1">
      <c r="A136" s="414"/>
      <c r="B136" s="429" t="s">
        <v>7542</v>
      </c>
      <c r="C136" s="430" t="s">
        <v>425</v>
      </c>
      <c r="D136" s="431"/>
      <c r="E136" s="432"/>
      <c r="F136" s="429" t="s">
        <v>42</v>
      </c>
      <c r="G136" s="434" t="s">
        <v>7443</v>
      </c>
      <c r="H136" s="636" t="s">
        <v>7444</v>
      </c>
      <c r="I136" s="433" t="s">
        <v>7445</v>
      </c>
      <c r="J136" s="432">
        <v>46143</v>
      </c>
      <c r="K136" s="429" t="s">
        <v>2493</v>
      </c>
      <c r="L136" s="487"/>
      <c r="M136" s="436" t="s">
        <v>62</v>
      </c>
      <c r="N136" s="433"/>
      <c r="O136" s="437"/>
      <c r="P136" s="433" t="s">
        <v>2494</v>
      </c>
      <c r="Q136" s="437" t="s">
        <v>2494</v>
      </c>
      <c r="R136" s="437" t="s">
        <v>7547</v>
      </c>
      <c r="S136" s="438">
        <v>46160</v>
      </c>
      <c r="T136" s="438">
        <v>46150</v>
      </c>
      <c r="U136" s="438"/>
      <c r="V136" s="439"/>
      <c r="W136" s="439">
        <v>46151</v>
      </c>
      <c r="X136" s="439">
        <v>46160</v>
      </c>
      <c r="Y136" s="420"/>
      <c r="Z136" s="224" t="str">
        <f t="shared" si="12"/>
        <v>AG. MEDIÇÃO</v>
      </c>
      <c r="AA136" s="207" t="str">
        <f t="shared" si="13"/>
        <v>ENTREGUE</v>
      </c>
      <c r="AB136" s="207" t="str">
        <f t="shared" si="14"/>
        <v>AG. MEDIÇÃO</v>
      </c>
      <c r="AC136" s="156">
        <f t="shared" ca="1" si="15"/>
        <v>0</v>
      </c>
      <c r="AD136" s="156" t="str">
        <f t="shared" ca="1" si="16"/>
        <v>NO PRAZO</v>
      </c>
      <c r="AE136" s="156">
        <f t="shared" ca="1" si="17"/>
        <v>-3</v>
      </c>
    </row>
    <row r="137" spans="1:31" ht="34.5" hidden="1" customHeight="1">
      <c r="A137" s="414"/>
      <c r="B137" s="429" t="s">
        <v>7434</v>
      </c>
      <c r="C137" s="430" t="s">
        <v>425</v>
      </c>
      <c r="D137" s="431"/>
      <c r="E137" s="432"/>
      <c r="F137" s="429" t="s">
        <v>42</v>
      </c>
      <c r="G137" s="434" t="s">
        <v>7428</v>
      </c>
      <c r="H137" s="636" t="s">
        <v>7436</v>
      </c>
      <c r="I137" s="433" t="s">
        <v>7437</v>
      </c>
      <c r="J137" s="432">
        <v>46143</v>
      </c>
      <c r="K137" s="429" t="s">
        <v>2493</v>
      </c>
      <c r="L137" s="487"/>
      <c r="M137" s="436" t="s">
        <v>62</v>
      </c>
      <c r="N137" s="433"/>
      <c r="O137" s="437"/>
      <c r="P137" s="433" t="s">
        <v>2494</v>
      </c>
      <c r="Q137" s="437" t="s">
        <v>2494</v>
      </c>
      <c r="R137" s="437" t="s">
        <v>7547</v>
      </c>
      <c r="S137" s="438">
        <v>46163</v>
      </c>
      <c r="T137" s="438">
        <v>46150</v>
      </c>
      <c r="U137" s="438"/>
      <c r="V137" s="439"/>
      <c r="W137" s="439">
        <v>46151</v>
      </c>
      <c r="X137" s="439">
        <v>46163</v>
      </c>
      <c r="Y137" s="420"/>
      <c r="Z137" s="224" t="str">
        <f t="shared" si="12"/>
        <v>AG. MEDIÇÃO</v>
      </c>
      <c r="AA137" s="207" t="str">
        <f t="shared" si="13"/>
        <v>ENTREGUE</v>
      </c>
      <c r="AB137" s="207" t="str">
        <f t="shared" si="14"/>
        <v>AG. MEDIÇÃO</v>
      </c>
      <c r="AC137" s="156">
        <f t="shared" ca="1" si="15"/>
        <v>0</v>
      </c>
      <c r="AD137" s="156" t="str">
        <f t="shared" ca="1" si="16"/>
        <v>NO PRAZO</v>
      </c>
      <c r="AE137" s="156">
        <f t="shared" ca="1" si="17"/>
        <v>-3</v>
      </c>
    </row>
    <row r="138" spans="1:31" ht="34.5" hidden="1" customHeight="1">
      <c r="A138" s="414"/>
      <c r="B138" s="440" t="s">
        <v>5087</v>
      </c>
      <c r="C138" s="440" t="s">
        <v>2531</v>
      </c>
      <c r="D138" s="440"/>
      <c r="E138" s="440" t="s">
        <v>4755</v>
      </c>
      <c r="F138" s="440" t="s">
        <v>2498</v>
      </c>
      <c r="G138" s="441"/>
      <c r="H138" s="440" t="s">
        <v>5088</v>
      </c>
      <c r="I138" s="441" t="s">
        <v>5089</v>
      </c>
      <c r="J138" s="450">
        <v>45717</v>
      </c>
      <c r="K138" s="429" t="s">
        <v>2493</v>
      </c>
      <c r="L138" s="444" t="s">
        <v>2501</v>
      </c>
      <c r="M138" s="444" t="s">
        <v>2501</v>
      </c>
      <c r="N138" s="441"/>
      <c r="O138" s="445"/>
      <c r="P138" s="441">
        <v>110</v>
      </c>
      <c r="Q138" s="445">
        <v>115</v>
      </c>
      <c r="R138" s="445" t="s">
        <v>5090</v>
      </c>
      <c r="S138" s="446">
        <v>45785</v>
      </c>
      <c r="T138" s="446">
        <v>45744</v>
      </c>
      <c r="U138" s="446">
        <v>45747</v>
      </c>
      <c r="V138" s="447">
        <v>45749</v>
      </c>
      <c r="W138" s="447">
        <v>45767</v>
      </c>
      <c r="X138" s="447" t="s">
        <v>8044</v>
      </c>
      <c r="Y138" s="420"/>
      <c r="Z138" s="224" t="str">
        <f t="shared" si="12"/>
        <v>AG. MEDIÇÃO</v>
      </c>
      <c r="AA138" s="207" t="str">
        <f t="shared" si="13"/>
        <v>ENTREGUE</v>
      </c>
      <c r="AB138" s="207" t="str">
        <f t="shared" si="14"/>
        <v>AG. MEDIÇÃO</v>
      </c>
      <c r="AC138" s="156">
        <f t="shared" ca="1" si="15"/>
        <v>15</v>
      </c>
      <c r="AD138" s="156" t="str">
        <f t="shared" ca="1" si="16"/>
        <v>ATRASADO</v>
      </c>
      <c r="AE138" s="156">
        <f t="shared" ca="1" si="17"/>
        <v>12</v>
      </c>
    </row>
    <row r="139" spans="1:31" ht="34.5" hidden="1" customHeight="1">
      <c r="A139" s="414"/>
      <c r="B139" s="440" t="s">
        <v>5752</v>
      </c>
      <c r="C139" s="440" t="s">
        <v>267</v>
      </c>
      <c r="D139" s="440" t="s">
        <v>4682</v>
      </c>
      <c r="E139" s="440" t="s">
        <v>268</v>
      </c>
      <c r="F139" s="440" t="s">
        <v>42</v>
      </c>
      <c r="G139" s="441"/>
      <c r="H139" s="484" t="s">
        <v>5753</v>
      </c>
      <c r="I139" s="441" t="s">
        <v>5754</v>
      </c>
      <c r="J139" s="450">
        <v>45901</v>
      </c>
      <c r="K139" s="429" t="s">
        <v>2493</v>
      </c>
      <c r="L139" s="444"/>
      <c r="M139" s="444" t="s">
        <v>68</v>
      </c>
      <c r="N139" s="441"/>
      <c r="O139" s="445"/>
      <c r="P139" s="441"/>
      <c r="Q139" s="445"/>
      <c r="R139" s="445" t="s">
        <v>5715</v>
      </c>
      <c r="S139" s="446" t="s">
        <v>4682</v>
      </c>
      <c r="T139" s="446">
        <v>45925</v>
      </c>
      <c r="U139" s="446"/>
      <c r="V139" s="447"/>
      <c r="W139" s="447">
        <v>45926</v>
      </c>
      <c r="X139" s="447" t="s">
        <v>8044</v>
      </c>
      <c r="Y139" s="420"/>
      <c r="Z139" s="224" t="str">
        <f t="shared" si="12"/>
        <v>AG. MEDIÇÃO</v>
      </c>
      <c r="AA139" s="207" t="str">
        <f t="shared" si="13"/>
        <v>ENTREGUE</v>
      </c>
      <c r="AB139" s="207" t="str">
        <f t="shared" si="14"/>
        <v>AG. MEDIÇÃO</v>
      </c>
      <c r="AC139" s="156">
        <f t="shared" ca="1" si="15"/>
        <v>1</v>
      </c>
      <c r="AD139" s="156" t="str">
        <f t="shared" ca="1" si="16"/>
        <v>NO PRAZO</v>
      </c>
      <c r="AE139" s="156">
        <f t="shared" ca="1" si="17"/>
        <v>-2</v>
      </c>
    </row>
    <row r="140" spans="1:31" ht="34.5" hidden="1" customHeight="1">
      <c r="A140" s="414"/>
      <c r="B140" s="440" t="s">
        <v>3869</v>
      </c>
      <c r="C140" s="440" t="s">
        <v>248</v>
      </c>
      <c r="D140" s="440" t="s">
        <v>3870</v>
      </c>
      <c r="E140" s="440"/>
      <c r="F140" s="440" t="s">
        <v>2559</v>
      </c>
      <c r="G140" s="441" t="s">
        <v>3871</v>
      </c>
      <c r="H140" s="440" t="s">
        <v>3872</v>
      </c>
      <c r="I140" s="441" t="s">
        <v>3873</v>
      </c>
      <c r="J140" s="450">
        <v>45444</v>
      </c>
      <c r="K140" s="429" t="s">
        <v>2493</v>
      </c>
      <c r="L140" s="444" t="s">
        <v>1380</v>
      </c>
      <c r="M140" s="444" t="s">
        <v>132</v>
      </c>
      <c r="N140" s="441" t="s">
        <v>2572</v>
      </c>
      <c r="O140" s="445" t="s">
        <v>85</v>
      </c>
      <c r="P140" s="445"/>
      <c r="Q140" s="441">
        <v>494</v>
      </c>
      <c r="R140" s="445" t="s">
        <v>3874</v>
      </c>
      <c r="S140" s="446">
        <v>45469</v>
      </c>
      <c r="T140" s="446">
        <v>45448</v>
      </c>
      <c r="U140" s="446">
        <v>45449</v>
      </c>
      <c r="V140" s="447">
        <v>45450</v>
      </c>
      <c r="W140" s="447">
        <v>45450</v>
      </c>
      <c r="X140" s="447" t="s">
        <v>8044</v>
      </c>
      <c r="Y140" s="420"/>
      <c r="Z140" s="224" t="str">
        <f t="shared" si="12"/>
        <v>AG. MEDIÇÃO</v>
      </c>
      <c r="AA140" s="207" t="str">
        <f t="shared" si="13"/>
        <v>ENTREGUE</v>
      </c>
      <c r="AB140" s="207" t="str">
        <f t="shared" si="14"/>
        <v>AG. MEDIÇÃO</v>
      </c>
      <c r="AC140" s="156">
        <f t="shared" ca="1" si="15"/>
        <v>2</v>
      </c>
      <c r="AD140" s="156" t="str">
        <f t="shared" ca="1" si="16"/>
        <v>NO PRAZO</v>
      </c>
      <c r="AE140" s="156">
        <f t="shared" ca="1" si="17"/>
        <v>-1</v>
      </c>
    </row>
    <row r="141" spans="1:31" ht="34.5" hidden="1" customHeight="1">
      <c r="A141" s="414"/>
      <c r="B141" s="440" t="s">
        <v>5590</v>
      </c>
      <c r="C141" s="440" t="s">
        <v>600</v>
      </c>
      <c r="D141" s="440" t="s">
        <v>1960</v>
      </c>
      <c r="E141" s="440" t="s">
        <v>601</v>
      </c>
      <c r="F141" s="440" t="s">
        <v>42</v>
      </c>
      <c r="G141" s="441"/>
      <c r="H141" s="440" t="s">
        <v>5591</v>
      </c>
      <c r="I141" s="441" t="s">
        <v>5592</v>
      </c>
      <c r="J141" s="450">
        <v>45839</v>
      </c>
      <c r="K141" s="429" t="s">
        <v>2493</v>
      </c>
      <c r="L141" s="444"/>
      <c r="M141" s="444" t="s">
        <v>94</v>
      </c>
      <c r="N141" s="441"/>
      <c r="O141" s="445"/>
      <c r="P141" s="441"/>
      <c r="Q141" s="445"/>
      <c r="R141" s="445" t="s">
        <v>5593</v>
      </c>
      <c r="S141" s="446" t="s">
        <v>1960</v>
      </c>
      <c r="T141" s="446">
        <v>45868</v>
      </c>
      <c r="U141" s="446"/>
      <c r="V141" s="447">
        <v>45877</v>
      </c>
      <c r="W141" s="447"/>
      <c r="X141" s="447" t="s">
        <v>8044</v>
      </c>
      <c r="Y141" s="420"/>
      <c r="Z141" s="224" t="str">
        <f t="shared" si="12"/>
        <v>AG. MEDIÇÃO</v>
      </c>
      <c r="AA141" s="207" t="str">
        <f t="shared" si="13"/>
        <v>ENTREGUE</v>
      </c>
      <c r="AB141" s="207" t="str">
        <f t="shared" si="14"/>
        <v>AG. MEDIÇÃO</v>
      </c>
      <c r="AC141" s="156">
        <f t="shared" ca="1" si="15"/>
        <v>295</v>
      </c>
      <c r="AD141" s="156" t="str">
        <f t="shared" ca="1" si="16"/>
        <v>ATRASADO</v>
      </c>
      <c r="AE141" s="156">
        <f t="shared" ca="1" si="17"/>
        <v>292</v>
      </c>
    </row>
    <row r="142" spans="1:31" ht="34.5" hidden="1" customHeight="1">
      <c r="A142" s="414"/>
      <c r="B142" s="440" t="s">
        <v>2984</v>
      </c>
      <c r="C142" s="440" t="s">
        <v>498</v>
      </c>
      <c r="D142" s="440"/>
      <c r="E142" s="440"/>
      <c r="F142" s="440" t="s">
        <v>2559</v>
      </c>
      <c r="G142" s="441" t="s">
        <v>2985</v>
      </c>
      <c r="H142" s="440" t="s">
        <v>2986</v>
      </c>
      <c r="I142" s="449"/>
      <c r="J142" s="443">
        <v>45108</v>
      </c>
      <c r="K142" s="429" t="s">
        <v>2493</v>
      </c>
      <c r="L142" s="444" t="s">
        <v>1380</v>
      </c>
      <c r="M142" s="444" t="s">
        <v>1380</v>
      </c>
      <c r="N142" s="441" t="s">
        <v>2572</v>
      </c>
      <c r="O142" s="445" t="s">
        <v>85</v>
      </c>
      <c r="P142" s="445"/>
      <c r="Q142" s="445">
        <v>728</v>
      </c>
      <c r="R142" s="445" t="s">
        <v>2987</v>
      </c>
      <c r="S142" s="446">
        <v>45175</v>
      </c>
      <c r="T142" s="446">
        <v>45127</v>
      </c>
      <c r="U142" s="446">
        <v>45148</v>
      </c>
      <c r="V142" s="446">
        <v>45148</v>
      </c>
      <c r="W142" s="447">
        <v>45160</v>
      </c>
      <c r="X142" s="447" t="s">
        <v>8044</v>
      </c>
      <c r="Y142" s="420"/>
      <c r="Z142" s="224" t="str">
        <f t="shared" si="12"/>
        <v>AG. MEDIÇÃO</v>
      </c>
      <c r="AA142" s="207" t="str">
        <f t="shared" si="13"/>
        <v>ENTREGUE</v>
      </c>
      <c r="AB142" s="207" t="str">
        <f t="shared" si="14"/>
        <v>AG. MEDIÇÃO</v>
      </c>
      <c r="AC142" s="156">
        <f t="shared" ca="1" si="15"/>
        <v>23</v>
      </c>
      <c r="AD142" s="156" t="str">
        <f t="shared" ca="1" si="16"/>
        <v>ATRASADO</v>
      </c>
      <c r="AE142" s="156">
        <f t="shared" ca="1" si="17"/>
        <v>20</v>
      </c>
    </row>
    <row r="143" spans="1:31" ht="34.5" hidden="1" customHeight="1">
      <c r="A143" s="414"/>
      <c r="B143" s="440" t="s">
        <v>4788</v>
      </c>
      <c r="C143" s="440" t="s">
        <v>267</v>
      </c>
      <c r="D143" s="440" t="s">
        <v>1080</v>
      </c>
      <c r="E143" s="440" t="s">
        <v>268</v>
      </c>
      <c r="F143" s="440" t="s">
        <v>42</v>
      </c>
      <c r="G143" s="441" t="s">
        <v>4789</v>
      </c>
      <c r="H143" s="440" t="s">
        <v>4790</v>
      </c>
      <c r="I143" s="441" t="s">
        <v>4791</v>
      </c>
      <c r="J143" s="450">
        <v>45689</v>
      </c>
      <c r="K143" s="429" t="s">
        <v>2493</v>
      </c>
      <c r="L143" s="444" t="s">
        <v>200</v>
      </c>
      <c r="M143" s="444" t="s">
        <v>200</v>
      </c>
      <c r="N143" s="441" t="s">
        <v>2572</v>
      </c>
      <c r="O143" s="445" t="s">
        <v>3350</v>
      </c>
      <c r="P143" s="441">
        <v>178</v>
      </c>
      <c r="Q143" s="445">
        <v>193</v>
      </c>
      <c r="R143" s="445" t="s">
        <v>4792</v>
      </c>
      <c r="S143" s="446">
        <v>45734</v>
      </c>
      <c r="T143" s="446">
        <v>45694</v>
      </c>
      <c r="U143" s="446">
        <v>45701</v>
      </c>
      <c r="V143" s="447">
        <v>45703</v>
      </c>
      <c r="W143" s="447">
        <v>45703</v>
      </c>
      <c r="X143" s="447" t="s">
        <v>8044</v>
      </c>
      <c r="Y143" s="420"/>
      <c r="Z143" s="224" t="str">
        <f t="shared" si="12"/>
        <v>AG. MEDIÇÃO</v>
      </c>
      <c r="AA143" s="207" t="str">
        <f t="shared" si="13"/>
        <v>ENTREGUE</v>
      </c>
      <c r="AB143" s="207" t="str">
        <f t="shared" si="14"/>
        <v>AG. MEDIÇÃO</v>
      </c>
      <c r="AC143" s="156">
        <f t="shared" ca="1" si="15"/>
        <v>6</v>
      </c>
      <c r="AD143" s="156" t="str">
        <f t="shared" ca="1" si="16"/>
        <v>ATRASADO</v>
      </c>
      <c r="AE143" s="156">
        <f t="shared" ca="1" si="17"/>
        <v>3</v>
      </c>
    </row>
    <row r="144" spans="1:31" ht="34.5" hidden="1" customHeight="1">
      <c r="A144" s="414"/>
      <c r="B144" s="440" t="s">
        <v>4427</v>
      </c>
      <c r="C144" s="440" t="s">
        <v>117</v>
      </c>
      <c r="D144" s="440" t="s">
        <v>539</v>
      </c>
      <c r="E144" s="440" t="s">
        <v>3677</v>
      </c>
      <c r="F144" s="440" t="s">
        <v>42</v>
      </c>
      <c r="G144" s="441"/>
      <c r="H144" s="440" t="s">
        <v>4428</v>
      </c>
      <c r="I144" s="441" t="s">
        <v>4429</v>
      </c>
      <c r="J144" s="450">
        <v>45536</v>
      </c>
      <c r="K144" s="429" t="s">
        <v>2493</v>
      </c>
      <c r="L144" s="444" t="s">
        <v>1208</v>
      </c>
      <c r="M144" s="444" t="s">
        <v>132</v>
      </c>
      <c r="N144" s="441" t="s">
        <v>2572</v>
      </c>
      <c r="O144" s="445" t="s">
        <v>3350</v>
      </c>
      <c r="P144" s="445">
        <v>150</v>
      </c>
      <c r="Q144" s="445">
        <v>252</v>
      </c>
      <c r="R144" s="445" t="s">
        <v>4430</v>
      </c>
      <c r="S144" s="446">
        <v>45575</v>
      </c>
      <c r="T144" s="446">
        <v>45547</v>
      </c>
      <c r="U144" s="446">
        <v>45548</v>
      </c>
      <c r="V144" s="447">
        <v>45553</v>
      </c>
      <c r="W144" s="447">
        <v>45558</v>
      </c>
      <c r="X144" s="447" t="s">
        <v>8044</v>
      </c>
      <c r="Y144" s="420"/>
      <c r="Z144" s="224" t="str">
        <f t="shared" si="12"/>
        <v>AG. MEDIÇÃO</v>
      </c>
      <c r="AA144" s="207" t="str">
        <f t="shared" si="13"/>
        <v>ENTREGUE</v>
      </c>
      <c r="AB144" s="207" t="str">
        <f t="shared" si="14"/>
        <v>AG. MEDIÇÃO</v>
      </c>
      <c r="AC144" s="156">
        <f t="shared" ca="1" si="15"/>
        <v>7</v>
      </c>
      <c r="AD144" s="156" t="str">
        <f t="shared" ca="1" si="16"/>
        <v>ATRASADO</v>
      </c>
      <c r="AE144" s="156">
        <f t="shared" ca="1" si="17"/>
        <v>4</v>
      </c>
    </row>
    <row r="145" spans="1:31" ht="34.5" hidden="1" customHeight="1">
      <c r="A145" s="414"/>
      <c r="B145" s="440" t="s">
        <v>3291</v>
      </c>
      <c r="C145" s="440" t="s">
        <v>668</v>
      </c>
      <c r="D145" s="440"/>
      <c r="E145" s="440"/>
      <c r="F145" s="440" t="s">
        <v>42</v>
      </c>
      <c r="G145" s="441" t="s">
        <v>3292</v>
      </c>
      <c r="H145" s="440" t="s">
        <v>3293</v>
      </c>
      <c r="I145" s="449"/>
      <c r="J145" s="450">
        <v>45261</v>
      </c>
      <c r="K145" s="429" t="s">
        <v>2493</v>
      </c>
      <c r="L145" s="444" t="s">
        <v>1130</v>
      </c>
      <c r="M145" s="444" t="s">
        <v>774</v>
      </c>
      <c r="N145" s="441" t="s">
        <v>2572</v>
      </c>
      <c r="O145" s="445" t="s">
        <v>85</v>
      </c>
      <c r="P145" s="445"/>
      <c r="Q145" s="441">
        <v>403</v>
      </c>
      <c r="R145" s="445" t="s">
        <v>3294</v>
      </c>
      <c r="S145" s="446">
        <v>45300</v>
      </c>
      <c r="T145" s="446">
        <v>45271</v>
      </c>
      <c r="U145" s="446">
        <v>45274</v>
      </c>
      <c r="V145" s="446">
        <v>45274</v>
      </c>
      <c r="W145" s="446">
        <v>45275</v>
      </c>
      <c r="X145" s="447" t="s">
        <v>8044</v>
      </c>
      <c r="Y145" s="420"/>
      <c r="Z145" s="224" t="str">
        <f t="shared" si="12"/>
        <v>AG. MEDIÇÃO</v>
      </c>
      <c r="AA145" s="207" t="str">
        <f t="shared" si="13"/>
        <v>ENTREGUE</v>
      </c>
      <c r="AB145" s="207" t="str">
        <f t="shared" si="14"/>
        <v>AG. MEDIÇÃO</v>
      </c>
      <c r="AC145" s="156">
        <f t="shared" ca="1" si="15"/>
        <v>4</v>
      </c>
      <c r="AD145" s="156" t="str">
        <f t="shared" ca="1" si="16"/>
        <v>ATRASADO</v>
      </c>
      <c r="AE145" s="156">
        <f t="shared" ca="1" si="17"/>
        <v>1</v>
      </c>
    </row>
    <row r="146" spans="1:31" ht="34.5" hidden="1" customHeight="1">
      <c r="A146" s="414"/>
      <c r="B146" s="429" t="s">
        <v>8409</v>
      </c>
      <c r="C146" s="429" t="s">
        <v>79</v>
      </c>
      <c r="D146" s="429" t="s">
        <v>293</v>
      </c>
      <c r="E146" s="429" t="s">
        <v>619</v>
      </c>
      <c r="F146" s="429" t="s">
        <v>42</v>
      </c>
      <c r="G146" s="433" t="s">
        <v>8440</v>
      </c>
      <c r="H146" s="429" t="s">
        <v>8441</v>
      </c>
      <c r="I146" s="433" t="s">
        <v>8442</v>
      </c>
      <c r="J146" s="599">
        <v>46235</v>
      </c>
      <c r="K146" s="429" t="s">
        <v>2493</v>
      </c>
      <c r="L146" s="436"/>
      <c r="M146" s="436" t="s">
        <v>62</v>
      </c>
      <c r="N146" s="433"/>
      <c r="O146" s="433" t="s">
        <v>85</v>
      </c>
      <c r="P146" s="429" t="s">
        <v>2494</v>
      </c>
      <c r="Q146" s="429" t="s">
        <v>2494</v>
      </c>
      <c r="R146" s="437" t="s">
        <v>8481</v>
      </c>
      <c r="S146" s="438">
        <v>46260</v>
      </c>
      <c r="T146" s="438">
        <v>46253</v>
      </c>
      <c r="U146" s="438"/>
      <c r="V146" s="438"/>
      <c r="W146" s="439">
        <v>46254</v>
      </c>
      <c r="X146" s="439">
        <v>46260</v>
      </c>
      <c r="Y146" s="420"/>
      <c r="Z146" s="224" t="str">
        <f t="shared" si="12"/>
        <v>AG. MEDIÇÃO</v>
      </c>
      <c r="AA146" s="207" t="str">
        <f t="shared" si="13"/>
        <v>ENTREGUE</v>
      </c>
      <c r="AB146" s="207" t="str">
        <f t="shared" si="14"/>
        <v>AG. MEDIÇÃO</v>
      </c>
      <c r="AC146" s="156">
        <f t="shared" ca="1" si="15"/>
        <v>1</v>
      </c>
      <c r="AD146" s="156" t="str">
        <f t="shared" ca="1" si="16"/>
        <v>NO PRAZO</v>
      </c>
      <c r="AE146" s="156">
        <f t="shared" ca="1" si="17"/>
        <v>-2</v>
      </c>
    </row>
    <row r="147" spans="1:31" ht="34.5" hidden="1" customHeight="1">
      <c r="A147" s="414"/>
      <c r="B147" s="440" t="s">
        <v>5495</v>
      </c>
      <c r="C147" s="440" t="s">
        <v>4873</v>
      </c>
      <c r="D147" s="440"/>
      <c r="E147" s="440" t="s">
        <v>4874</v>
      </c>
      <c r="F147" s="440" t="s">
        <v>4875</v>
      </c>
      <c r="G147" s="441"/>
      <c r="H147" s="662" t="s">
        <v>5496</v>
      </c>
      <c r="I147" s="441" t="s">
        <v>5497</v>
      </c>
      <c r="J147" s="450">
        <v>45839</v>
      </c>
      <c r="K147" s="429" t="s">
        <v>2493</v>
      </c>
      <c r="L147" s="444" t="s">
        <v>67</v>
      </c>
      <c r="M147" s="444" t="s">
        <v>1764</v>
      </c>
      <c r="N147" s="441"/>
      <c r="O147" s="445"/>
      <c r="P147" s="441">
        <v>205</v>
      </c>
      <c r="Q147" s="445">
        <v>260</v>
      </c>
      <c r="R147" s="445" t="s">
        <v>5498</v>
      </c>
      <c r="S147" s="446">
        <v>45852</v>
      </c>
      <c r="T147" s="446">
        <v>45841</v>
      </c>
      <c r="U147" s="446"/>
      <c r="V147" s="447"/>
      <c r="W147" s="447">
        <v>45852</v>
      </c>
      <c r="X147" s="447" t="s">
        <v>8044</v>
      </c>
      <c r="Y147" s="420"/>
      <c r="Z147" s="224" t="str">
        <f t="shared" si="12"/>
        <v>AG. MEDIÇÃO</v>
      </c>
      <c r="AA147" s="207" t="str">
        <f t="shared" si="13"/>
        <v>ENTREGUE</v>
      </c>
      <c r="AB147" s="207" t="str">
        <f t="shared" si="14"/>
        <v>AG. MEDIÇÃO</v>
      </c>
      <c r="AC147" s="156">
        <f t="shared" ca="1" si="15"/>
        <v>7</v>
      </c>
      <c r="AD147" s="156" t="str">
        <f t="shared" ca="1" si="16"/>
        <v>ATRASADO</v>
      </c>
      <c r="AE147" s="156">
        <f t="shared" ca="1" si="17"/>
        <v>4</v>
      </c>
    </row>
    <row r="148" spans="1:31" ht="34.5" hidden="1" customHeight="1">
      <c r="A148" s="414"/>
      <c r="B148" s="440" t="s">
        <v>4648</v>
      </c>
      <c r="C148" s="440" t="s">
        <v>410</v>
      </c>
      <c r="D148" s="440" t="s">
        <v>567</v>
      </c>
      <c r="E148" s="440" t="s">
        <v>411</v>
      </c>
      <c r="F148" s="440" t="s">
        <v>42</v>
      </c>
      <c r="G148" s="441" t="s">
        <v>4649</v>
      </c>
      <c r="H148" s="440" t="s">
        <v>4650</v>
      </c>
      <c r="I148" s="441" t="s">
        <v>4651</v>
      </c>
      <c r="J148" s="450">
        <v>45627</v>
      </c>
      <c r="K148" s="429" t="s">
        <v>2493</v>
      </c>
      <c r="L148" s="444" t="s">
        <v>1208</v>
      </c>
      <c r="M148" s="444" t="s">
        <v>200</v>
      </c>
      <c r="N148" s="441" t="s">
        <v>2572</v>
      </c>
      <c r="O148" s="445" t="s">
        <v>4560</v>
      </c>
      <c r="P148" s="445">
        <v>363</v>
      </c>
      <c r="Q148" s="445">
        <v>387</v>
      </c>
      <c r="R148" s="445" t="s">
        <v>4652</v>
      </c>
      <c r="S148" s="446">
        <v>45649</v>
      </c>
      <c r="T148" s="446">
        <v>45631</v>
      </c>
      <c r="U148" s="446"/>
      <c r="V148" s="447"/>
      <c r="W148" s="447">
        <v>45636</v>
      </c>
      <c r="X148" s="447" t="s">
        <v>8044</v>
      </c>
      <c r="Y148" s="420"/>
      <c r="Z148" s="224" t="str">
        <f t="shared" si="12"/>
        <v>AG. MEDIÇÃO</v>
      </c>
      <c r="AA148" s="207" t="str">
        <f t="shared" si="13"/>
        <v>ENTREGUE</v>
      </c>
      <c r="AB148" s="207" t="str">
        <f t="shared" si="14"/>
        <v>AG. MEDIÇÃO</v>
      </c>
      <c r="AC148" s="156">
        <f t="shared" ca="1" si="15"/>
        <v>3</v>
      </c>
      <c r="AD148" s="156" t="str">
        <f t="shared" ca="1" si="16"/>
        <v>NO PRAZO</v>
      </c>
      <c r="AE148" s="156">
        <f t="shared" ca="1" si="17"/>
        <v>0</v>
      </c>
    </row>
    <row r="149" spans="1:31" ht="34.5" hidden="1" customHeight="1">
      <c r="A149" s="414" t="s">
        <v>520</v>
      </c>
      <c r="B149" s="440" t="s">
        <v>3359</v>
      </c>
      <c r="C149" s="440" t="s">
        <v>606</v>
      </c>
      <c r="D149" s="440"/>
      <c r="E149" s="440"/>
      <c r="F149" s="440" t="s">
        <v>42</v>
      </c>
      <c r="G149" s="441" t="s">
        <v>3360</v>
      </c>
      <c r="H149" s="440" t="s">
        <v>3361</v>
      </c>
      <c r="I149" s="441"/>
      <c r="J149" s="450">
        <v>45261</v>
      </c>
      <c r="K149" s="429" t="s">
        <v>2493</v>
      </c>
      <c r="L149" s="449"/>
      <c r="M149" s="458" t="s">
        <v>774</v>
      </c>
      <c r="N149" s="441" t="s">
        <v>2572</v>
      </c>
      <c r="O149" s="445" t="s">
        <v>85</v>
      </c>
      <c r="P149" s="441" t="s">
        <v>2494</v>
      </c>
      <c r="Q149" s="441" t="s">
        <v>2494</v>
      </c>
      <c r="R149" s="445" t="s">
        <v>3362</v>
      </c>
      <c r="S149" s="446">
        <v>45300</v>
      </c>
      <c r="T149" s="446">
        <v>45288</v>
      </c>
      <c r="U149" s="446"/>
      <c r="V149" s="446">
        <v>45288</v>
      </c>
      <c r="W149" s="446">
        <v>45289</v>
      </c>
      <c r="X149" s="447" t="s">
        <v>8044</v>
      </c>
      <c r="Y149" s="420"/>
      <c r="Z149" s="224" t="str">
        <f t="shared" si="12"/>
        <v>AG. MEDIÇÃO</v>
      </c>
      <c r="AA149" s="207" t="str">
        <f t="shared" si="13"/>
        <v>ENTREGUE</v>
      </c>
      <c r="AB149" s="207" t="str">
        <f t="shared" si="14"/>
        <v>AG. MEDIÇÃO</v>
      </c>
      <c r="AC149" s="156">
        <f t="shared" ca="1" si="15"/>
        <v>1</v>
      </c>
      <c r="AD149" s="156" t="str">
        <f t="shared" ca="1" si="16"/>
        <v>NO PRAZO</v>
      </c>
      <c r="AE149" s="156">
        <f t="shared" ca="1" si="17"/>
        <v>-2</v>
      </c>
    </row>
    <row r="150" spans="1:31" ht="34.5" hidden="1" customHeight="1">
      <c r="A150" s="414"/>
      <c r="B150" s="440" t="s">
        <v>3395</v>
      </c>
      <c r="C150" s="440" t="s">
        <v>731</v>
      </c>
      <c r="D150" s="440"/>
      <c r="E150" s="440"/>
      <c r="F150" s="440" t="s">
        <v>427</v>
      </c>
      <c r="G150" s="441" t="s">
        <v>3396</v>
      </c>
      <c r="H150" s="440" t="s">
        <v>3397</v>
      </c>
      <c r="I150" s="441"/>
      <c r="J150" s="450">
        <v>45292</v>
      </c>
      <c r="K150" s="429" t="s">
        <v>2493</v>
      </c>
      <c r="L150" s="444"/>
      <c r="M150" s="444" t="s">
        <v>774</v>
      </c>
      <c r="N150" s="441" t="s">
        <v>2572</v>
      </c>
      <c r="O150" s="445" t="s">
        <v>85</v>
      </c>
      <c r="P150" s="441" t="s">
        <v>2494</v>
      </c>
      <c r="Q150" s="441" t="s">
        <v>2494</v>
      </c>
      <c r="R150" s="445" t="s">
        <v>3139</v>
      </c>
      <c r="S150" s="446">
        <v>45345</v>
      </c>
      <c r="T150" s="446">
        <v>45299</v>
      </c>
      <c r="U150" s="446"/>
      <c r="V150" s="446">
        <v>45300</v>
      </c>
      <c r="W150" s="447">
        <v>45303</v>
      </c>
      <c r="X150" s="447" t="s">
        <v>8044</v>
      </c>
      <c r="Y150" s="420"/>
      <c r="Z150" s="224" t="str">
        <f t="shared" si="12"/>
        <v>AG. MEDIÇÃO</v>
      </c>
      <c r="AA150" s="207" t="str">
        <f t="shared" si="13"/>
        <v>ENTREGUE</v>
      </c>
      <c r="AB150" s="207" t="str">
        <f t="shared" si="14"/>
        <v>AG. MEDIÇÃO</v>
      </c>
      <c r="AC150" s="156">
        <f t="shared" ca="1" si="15"/>
        <v>4</v>
      </c>
      <c r="AD150" s="156" t="str">
        <f t="shared" ca="1" si="16"/>
        <v>ATRASADO</v>
      </c>
      <c r="AE150" s="156">
        <f t="shared" ca="1" si="17"/>
        <v>1</v>
      </c>
    </row>
    <row r="151" spans="1:31" ht="34.5" hidden="1" customHeight="1">
      <c r="A151" s="414"/>
      <c r="B151" s="440" t="s">
        <v>4879</v>
      </c>
      <c r="C151" s="440" t="s">
        <v>2550</v>
      </c>
      <c r="D151" s="440"/>
      <c r="E151" s="440" t="s">
        <v>2551</v>
      </c>
      <c r="F151" s="440" t="s">
        <v>2552</v>
      </c>
      <c r="G151" s="441" t="s">
        <v>4880</v>
      </c>
      <c r="H151" s="440" t="s">
        <v>4881</v>
      </c>
      <c r="I151" s="441" t="s">
        <v>4882</v>
      </c>
      <c r="J151" s="450">
        <v>45689</v>
      </c>
      <c r="K151" s="429" t="s">
        <v>2493</v>
      </c>
      <c r="L151" s="444" t="s">
        <v>1478</v>
      </c>
      <c r="M151" s="444" t="s">
        <v>1478</v>
      </c>
      <c r="N151" s="441"/>
      <c r="O151" s="445"/>
      <c r="P151" s="441">
        <v>260</v>
      </c>
      <c r="Q151" s="445">
        <v>370</v>
      </c>
      <c r="R151" s="445" t="s">
        <v>4883</v>
      </c>
      <c r="S151" s="446">
        <v>45740</v>
      </c>
      <c r="T151" s="446">
        <v>45715</v>
      </c>
      <c r="U151" s="446">
        <v>45716</v>
      </c>
      <c r="V151" s="447">
        <v>45719</v>
      </c>
      <c r="W151" s="447">
        <v>45720</v>
      </c>
      <c r="X151" s="447" t="s">
        <v>8044</v>
      </c>
      <c r="Y151" s="420"/>
      <c r="Z151" s="224" t="str">
        <f t="shared" si="12"/>
        <v>AG. MEDIÇÃO</v>
      </c>
      <c r="AA151" s="207" t="str">
        <f t="shared" si="13"/>
        <v>ENTREGUE</v>
      </c>
      <c r="AB151" s="207" t="str">
        <f t="shared" si="14"/>
        <v>AG. MEDIÇÃO</v>
      </c>
      <c r="AC151" s="156">
        <f t="shared" ca="1" si="15"/>
        <v>3</v>
      </c>
      <c r="AD151" s="156" t="str">
        <f t="shared" ca="1" si="16"/>
        <v>NO PRAZO</v>
      </c>
      <c r="AE151" s="156">
        <f t="shared" ca="1" si="17"/>
        <v>0</v>
      </c>
    </row>
    <row r="152" spans="1:31" ht="34.5" hidden="1" customHeight="1">
      <c r="A152" s="414"/>
      <c r="B152" s="429" t="s">
        <v>7013</v>
      </c>
      <c r="C152" s="430" t="s">
        <v>241</v>
      </c>
      <c r="D152" s="430" t="s">
        <v>2299</v>
      </c>
      <c r="E152" s="432" t="s">
        <v>398</v>
      </c>
      <c r="F152" s="429" t="s">
        <v>42</v>
      </c>
      <c r="G152" s="434"/>
      <c r="H152" s="636" t="s">
        <v>6984</v>
      </c>
      <c r="I152" s="433" t="s">
        <v>6876</v>
      </c>
      <c r="J152" s="432">
        <v>46054</v>
      </c>
      <c r="K152" s="429" t="s">
        <v>2493</v>
      </c>
      <c r="L152" s="436"/>
      <c r="M152" s="436" t="s">
        <v>62</v>
      </c>
      <c r="N152" s="433"/>
      <c r="O152" s="437"/>
      <c r="P152" s="433" t="s">
        <v>2494</v>
      </c>
      <c r="Q152" s="437" t="s">
        <v>2494</v>
      </c>
      <c r="R152" s="437" t="s">
        <v>7012</v>
      </c>
      <c r="S152" s="438">
        <v>46058</v>
      </c>
      <c r="T152" s="438">
        <v>46057</v>
      </c>
      <c r="U152" s="438"/>
      <c r="V152" s="439"/>
      <c r="W152" s="439">
        <v>46058</v>
      </c>
      <c r="X152" s="439">
        <v>46058</v>
      </c>
      <c r="Y152" s="420"/>
      <c r="Z152" s="224" t="str">
        <f t="shared" si="12"/>
        <v>AG. MEDIÇÃO</v>
      </c>
      <c r="AA152" s="207" t="str">
        <f t="shared" si="13"/>
        <v>ENTREGUE</v>
      </c>
      <c r="AB152" s="207" t="str">
        <f t="shared" si="14"/>
        <v>AG. MEDIÇÃO</v>
      </c>
      <c r="AC152" s="156">
        <f t="shared" ca="1" si="15"/>
        <v>1</v>
      </c>
      <c r="AD152" s="156" t="str">
        <f t="shared" ca="1" si="16"/>
        <v>NO PRAZO</v>
      </c>
      <c r="AE152" s="156">
        <f t="shared" ca="1" si="17"/>
        <v>-2</v>
      </c>
    </row>
    <row r="153" spans="1:31" ht="36" hidden="1" customHeight="1">
      <c r="A153" s="414"/>
      <c r="B153" s="429" t="s">
        <v>7197</v>
      </c>
      <c r="C153" s="430" t="s">
        <v>241</v>
      </c>
      <c r="D153" s="431"/>
      <c r="E153" s="432"/>
      <c r="F153" s="429" t="s">
        <v>42</v>
      </c>
      <c r="G153" s="434"/>
      <c r="H153" s="636" t="s">
        <v>7011</v>
      </c>
      <c r="I153" s="433" t="s">
        <v>6876</v>
      </c>
      <c r="J153" s="432">
        <v>46054</v>
      </c>
      <c r="K153" s="429" t="s">
        <v>2493</v>
      </c>
      <c r="L153" s="436"/>
      <c r="M153" s="436" t="s">
        <v>62</v>
      </c>
      <c r="N153" s="433"/>
      <c r="O153" s="437"/>
      <c r="P153" s="433" t="s">
        <v>2494</v>
      </c>
      <c r="Q153" s="437" t="s">
        <v>2494</v>
      </c>
      <c r="R153" s="437" t="s">
        <v>7003</v>
      </c>
      <c r="S153" s="438">
        <v>46063</v>
      </c>
      <c r="T153" s="438">
        <v>46058</v>
      </c>
      <c r="U153" s="438"/>
      <c r="V153" s="439"/>
      <c r="W153" s="439">
        <v>46058</v>
      </c>
      <c r="X153" s="439">
        <v>46063</v>
      </c>
      <c r="Y153" s="420"/>
      <c r="Z153" s="224" t="str">
        <f t="shared" si="12"/>
        <v>AG. MEDIÇÃO</v>
      </c>
      <c r="AA153" s="207" t="str">
        <f t="shared" si="13"/>
        <v>ENTREGUE</v>
      </c>
      <c r="AB153" s="207" t="str">
        <f t="shared" si="14"/>
        <v>AG. MEDIÇÃO</v>
      </c>
      <c r="AC153" s="156">
        <f t="shared" ca="1" si="15"/>
        <v>0</v>
      </c>
      <c r="AD153" s="156" t="str">
        <f t="shared" ca="1" si="16"/>
        <v>NO PRAZO</v>
      </c>
      <c r="AE153" s="156">
        <f t="shared" ca="1" si="17"/>
        <v>-3</v>
      </c>
    </row>
    <row r="154" spans="1:31" ht="36" hidden="1" customHeight="1">
      <c r="A154" s="414"/>
      <c r="B154" s="429" t="s">
        <v>7700</v>
      </c>
      <c r="C154" s="430" t="s">
        <v>1572</v>
      </c>
      <c r="D154" s="430" t="s">
        <v>1574</v>
      </c>
      <c r="E154" s="432" t="s">
        <v>1573</v>
      </c>
      <c r="F154" s="429" t="s">
        <v>427</v>
      </c>
      <c r="G154" s="434"/>
      <c r="H154" s="636" t="s">
        <v>7661</v>
      </c>
      <c r="I154" s="433" t="s">
        <v>7660</v>
      </c>
      <c r="J154" s="432">
        <v>46143</v>
      </c>
      <c r="K154" s="429" t="s">
        <v>2493</v>
      </c>
      <c r="L154" s="436"/>
      <c r="M154" s="436" t="s">
        <v>77</v>
      </c>
      <c r="N154" s="433"/>
      <c r="O154" s="437" t="s">
        <v>85</v>
      </c>
      <c r="P154" s="433" t="s">
        <v>2494</v>
      </c>
      <c r="Q154" s="437" t="s">
        <v>2494</v>
      </c>
      <c r="R154" s="437" t="s">
        <v>7970</v>
      </c>
      <c r="S154" s="438">
        <v>46205</v>
      </c>
      <c r="T154" s="438">
        <v>46170</v>
      </c>
      <c r="U154" s="438"/>
      <c r="V154" s="439"/>
      <c r="W154" s="439">
        <v>46171</v>
      </c>
      <c r="X154" s="439">
        <v>46205</v>
      </c>
      <c r="Y154" s="420"/>
      <c r="Z154" s="224" t="str">
        <f t="shared" si="12"/>
        <v>AG. MEDIÇÃO</v>
      </c>
      <c r="AA154" s="207" t="str">
        <f t="shared" si="13"/>
        <v>ENTREGUE</v>
      </c>
      <c r="AB154" s="207" t="str">
        <f t="shared" si="14"/>
        <v>AG. MEDIÇÃO</v>
      </c>
      <c r="AC154" s="156">
        <f t="shared" ca="1" si="15"/>
        <v>1</v>
      </c>
      <c r="AD154" s="156" t="str">
        <f t="shared" ca="1" si="16"/>
        <v>NO PRAZO</v>
      </c>
      <c r="AE154" s="156">
        <f t="shared" ca="1" si="17"/>
        <v>-2</v>
      </c>
    </row>
    <row r="155" spans="1:31" ht="36" hidden="1" customHeight="1">
      <c r="A155" s="414"/>
      <c r="B155" s="429" t="s">
        <v>8358</v>
      </c>
      <c r="C155" s="429" t="s">
        <v>600</v>
      </c>
      <c r="D155" s="429" t="s">
        <v>1941</v>
      </c>
      <c r="E155" s="429" t="s">
        <v>601</v>
      </c>
      <c r="F155" s="429" t="s">
        <v>42</v>
      </c>
      <c r="G155" s="661"/>
      <c r="H155" s="429" t="s">
        <v>8374</v>
      </c>
      <c r="I155" s="433" t="s">
        <v>8375</v>
      </c>
      <c r="J155" s="599">
        <v>46235</v>
      </c>
      <c r="K155" s="429" t="s">
        <v>2493</v>
      </c>
      <c r="L155" s="436"/>
      <c r="M155" s="436" t="s">
        <v>62</v>
      </c>
      <c r="N155" s="433"/>
      <c r="O155" s="433" t="s">
        <v>85</v>
      </c>
      <c r="P155" s="433" t="s">
        <v>2494</v>
      </c>
      <c r="Q155" s="433" t="s">
        <v>2494</v>
      </c>
      <c r="R155" s="437" t="s">
        <v>8477</v>
      </c>
      <c r="S155" s="438">
        <v>46259</v>
      </c>
      <c r="T155" s="438">
        <v>46247</v>
      </c>
      <c r="U155" s="438"/>
      <c r="V155" s="438"/>
      <c r="W155" s="439">
        <v>46251</v>
      </c>
      <c r="X155" s="439">
        <v>46259</v>
      </c>
      <c r="Y155" s="420"/>
      <c r="Z155" s="224" t="str">
        <f t="shared" si="12"/>
        <v>AG. MEDIÇÃO</v>
      </c>
      <c r="AA155" s="207" t="str">
        <f t="shared" si="13"/>
        <v>ENTREGUE</v>
      </c>
      <c r="AB155" s="207" t="str">
        <f t="shared" si="14"/>
        <v>AG. MEDIÇÃO</v>
      </c>
      <c r="AC155" s="156">
        <f t="shared" ca="1" si="15"/>
        <v>2</v>
      </c>
      <c r="AD155" s="156" t="str">
        <f t="shared" ca="1" si="16"/>
        <v>NO PRAZO</v>
      </c>
      <c r="AE155" s="156">
        <f t="shared" ca="1" si="17"/>
        <v>-1</v>
      </c>
    </row>
    <row r="156" spans="1:31" ht="36" hidden="1" customHeight="1">
      <c r="A156" s="414"/>
      <c r="B156" s="429" t="s">
        <v>8276</v>
      </c>
      <c r="C156" s="429" t="s">
        <v>600</v>
      </c>
      <c r="D156" s="429" t="s">
        <v>1936</v>
      </c>
      <c r="E156" s="429" t="s">
        <v>601</v>
      </c>
      <c r="F156" s="429" t="s">
        <v>42</v>
      </c>
      <c r="G156" s="562" t="s">
        <v>8288</v>
      </c>
      <c r="H156" s="562" t="s">
        <v>8286</v>
      </c>
      <c r="I156" s="570" t="s">
        <v>8130</v>
      </c>
      <c r="J156" s="432">
        <v>46235</v>
      </c>
      <c r="K156" s="429" t="s">
        <v>2493</v>
      </c>
      <c r="L156" s="436"/>
      <c r="M156" s="436" t="s">
        <v>62</v>
      </c>
      <c r="N156" s="437"/>
      <c r="O156" s="437" t="s">
        <v>85</v>
      </c>
      <c r="P156" s="437" t="s">
        <v>2494</v>
      </c>
      <c r="Q156" s="437" t="s">
        <v>2494</v>
      </c>
      <c r="R156" s="499" t="s">
        <v>8459</v>
      </c>
      <c r="S156" s="438">
        <v>46254</v>
      </c>
      <c r="T156" s="438">
        <v>46240</v>
      </c>
      <c r="U156" s="438"/>
      <c r="V156" s="438"/>
      <c r="W156" s="438">
        <v>46241</v>
      </c>
      <c r="X156" s="439">
        <v>46254</v>
      </c>
      <c r="Y156" s="420"/>
      <c r="Z156" s="224" t="str">
        <f t="shared" si="12"/>
        <v>AG. MEDIÇÃO</v>
      </c>
      <c r="AA156" s="207" t="str">
        <f t="shared" si="13"/>
        <v>ENTREGUE</v>
      </c>
      <c r="AB156" s="207" t="str">
        <f t="shared" si="14"/>
        <v>AG. MEDIÇÃO</v>
      </c>
      <c r="AC156" s="156">
        <f t="shared" ca="1" si="15"/>
        <v>1</v>
      </c>
      <c r="AD156" s="156" t="str">
        <f t="shared" ca="1" si="16"/>
        <v>NO PRAZO</v>
      </c>
      <c r="AE156" s="156">
        <f t="shared" ca="1" si="17"/>
        <v>-2</v>
      </c>
    </row>
    <row r="157" spans="1:31" ht="36" hidden="1" customHeight="1">
      <c r="A157" s="414"/>
      <c r="B157" s="440" t="s">
        <v>4180</v>
      </c>
      <c r="C157" s="440" t="s">
        <v>600</v>
      </c>
      <c r="D157" s="440" t="s">
        <v>602</v>
      </c>
      <c r="E157" s="440" t="s">
        <v>601</v>
      </c>
      <c r="F157" s="440" t="s">
        <v>42</v>
      </c>
      <c r="G157" s="441" t="s">
        <v>4181</v>
      </c>
      <c r="H157" s="440" t="s">
        <v>4182</v>
      </c>
      <c r="I157" s="441" t="s">
        <v>4183</v>
      </c>
      <c r="J157" s="450">
        <v>45505</v>
      </c>
      <c r="K157" s="429" t="s">
        <v>2493</v>
      </c>
      <c r="L157" s="444" t="s">
        <v>124</v>
      </c>
      <c r="M157" s="444" t="s">
        <v>132</v>
      </c>
      <c r="N157" s="441" t="s">
        <v>2572</v>
      </c>
      <c r="O157" s="445" t="s">
        <v>85</v>
      </c>
      <c r="P157" s="445"/>
      <c r="Q157" s="445">
        <v>280</v>
      </c>
      <c r="R157" s="445" t="s">
        <v>4184</v>
      </c>
      <c r="S157" s="446">
        <v>45532</v>
      </c>
      <c r="T157" s="446">
        <v>45520</v>
      </c>
      <c r="U157" s="446">
        <v>45523</v>
      </c>
      <c r="V157" s="447">
        <v>45523</v>
      </c>
      <c r="W157" s="447">
        <v>45523</v>
      </c>
      <c r="X157" s="447" t="s">
        <v>8044</v>
      </c>
      <c r="Y157" s="420"/>
      <c r="Z157" s="224" t="str">
        <f t="shared" si="12"/>
        <v>AG. MEDIÇÃO</v>
      </c>
      <c r="AA157" s="207" t="str">
        <f t="shared" si="13"/>
        <v>ENTREGUE</v>
      </c>
      <c r="AB157" s="207" t="str">
        <f t="shared" si="14"/>
        <v>AG. MEDIÇÃO</v>
      </c>
      <c r="AC157" s="156">
        <f t="shared" ca="1" si="15"/>
        <v>1</v>
      </c>
      <c r="AD157" s="156" t="str">
        <f t="shared" ca="1" si="16"/>
        <v>NO PRAZO</v>
      </c>
      <c r="AE157" s="156">
        <f t="shared" ca="1" si="17"/>
        <v>-2</v>
      </c>
    </row>
    <row r="158" spans="1:31" ht="36" hidden="1" customHeight="1">
      <c r="A158" s="414"/>
      <c r="B158" s="440" t="s">
        <v>4814</v>
      </c>
      <c r="C158" s="440" t="s">
        <v>4815</v>
      </c>
      <c r="D158" s="440"/>
      <c r="E158" s="440"/>
      <c r="F158" s="440" t="s">
        <v>2923</v>
      </c>
      <c r="G158" s="441" t="s">
        <v>4816</v>
      </c>
      <c r="H158" s="440" t="s">
        <v>4817</v>
      </c>
      <c r="I158" s="441" t="s">
        <v>4818</v>
      </c>
      <c r="J158" s="450">
        <v>45689</v>
      </c>
      <c r="K158" s="429" t="s">
        <v>2493</v>
      </c>
      <c r="L158" s="444" t="s">
        <v>124</v>
      </c>
      <c r="M158" s="444" t="s">
        <v>774</v>
      </c>
      <c r="N158" s="441" t="s">
        <v>2572</v>
      </c>
      <c r="O158" s="445" t="s">
        <v>85</v>
      </c>
      <c r="P158" s="441">
        <v>700</v>
      </c>
      <c r="Q158" s="445">
        <v>730</v>
      </c>
      <c r="R158" s="445" t="s">
        <v>4819</v>
      </c>
      <c r="S158" s="446" t="s">
        <v>4820</v>
      </c>
      <c r="T158" s="446">
        <v>45700</v>
      </c>
      <c r="U158" s="446">
        <v>45702</v>
      </c>
      <c r="V158" s="447">
        <v>45704</v>
      </c>
      <c r="W158" s="447">
        <v>45706</v>
      </c>
      <c r="X158" s="447" t="s">
        <v>8044</v>
      </c>
      <c r="Y158" s="420"/>
      <c r="Z158" s="224" t="str">
        <f t="shared" si="12"/>
        <v>AG. MEDIÇÃO</v>
      </c>
      <c r="AA158" s="207" t="str">
        <f t="shared" si="13"/>
        <v>ENTREGUE</v>
      </c>
      <c r="AB158" s="207" t="str">
        <f t="shared" si="14"/>
        <v>AG. MEDIÇÃO</v>
      </c>
      <c r="AC158" s="156">
        <f t="shared" ca="1" si="15"/>
        <v>4</v>
      </c>
      <c r="AD158" s="156" t="str">
        <f t="shared" ca="1" si="16"/>
        <v>ATRASADO</v>
      </c>
      <c r="AE158" s="156">
        <f t="shared" ca="1" si="17"/>
        <v>1</v>
      </c>
    </row>
    <row r="159" spans="1:31" ht="36" hidden="1" customHeight="1">
      <c r="A159" s="414"/>
      <c r="B159" s="429" t="s">
        <v>7991</v>
      </c>
      <c r="C159" s="429" t="s">
        <v>79</v>
      </c>
      <c r="D159" s="429" t="s">
        <v>1483</v>
      </c>
      <c r="E159" s="429" t="s">
        <v>619</v>
      </c>
      <c r="F159" s="429" t="s">
        <v>42</v>
      </c>
      <c r="G159" s="661" t="s">
        <v>7532</v>
      </c>
      <c r="H159" s="429" t="s">
        <v>8015</v>
      </c>
      <c r="I159" s="433" t="s">
        <v>8016</v>
      </c>
      <c r="J159" s="432">
        <v>46204</v>
      </c>
      <c r="K159" s="429" t="s">
        <v>2493</v>
      </c>
      <c r="L159" s="436"/>
      <c r="M159" s="436" t="s">
        <v>62</v>
      </c>
      <c r="N159" s="437"/>
      <c r="O159" s="437" t="s">
        <v>85</v>
      </c>
      <c r="P159" s="437" t="s">
        <v>2494</v>
      </c>
      <c r="Q159" s="433" t="s">
        <v>2494</v>
      </c>
      <c r="R159" s="499" t="s">
        <v>7924</v>
      </c>
      <c r="S159" s="438">
        <v>46212</v>
      </c>
      <c r="T159" s="438">
        <v>46205</v>
      </c>
      <c r="U159" s="438"/>
      <c r="V159" s="438"/>
      <c r="W159" s="439">
        <v>46206</v>
      </c>
      <c r="X159" s="439">
        <v>46212</v>
      </c>
      <c r="Y159" s="420"/>
      <c r="Z159" s="224" t="str">
        <f t="shared" si="12"/>
        <v>AG. MEDIÇÃO</v>
      </c>
      <c r="AA159" s="207" t="str">
        <f t="shared" si="13"/>
        <v>ENTREGUE</v>
      </c>
      <c r="AB159" s="207" t="str">
        <f t="shared" si="14"/>
        <v>AG. MEDIÇÃO</v>
      </c>
      <c r="AC159" s="156">
        <f t="shared" ca="1" si="15"/>
        <v>1</v>
      </c>
      <c r="AD159" s="156" t="str">
        <f t="shared" ca="1" si="16"/>
        <v>NO PRAZO</v>
      </c>
      <c r="AE159" s="156">
        <f t="shared" ca="1" si="17"/>
        <v>-2</v>
      </c>
    </row>
    <row r="160" spans="1:31" ht="36" hidden="1" customHeight="1">
      <c r="A160" s="414"/>
      <c r="B160" s="429" t="s">
        <v>7798</v>
      </c>
      <c r="C160" s="430" t="s">
        <v>79</v>
      </c>
      <c r="D160" s="431" t="s">
        <v>1076</v>
      </c>
      <c r="E160" s="432" t="s">
        <v>619</v>
      </c>
      <c r="F160" s="429" t="s">
        <v>42</v>
      </c>
      <c r="G160" s="434"/>
      <c r="H160" s="636" t="s">
        <v>7816</v>
      </c>
      <c r="I160" s="433" t="s">
        <v>7815</v>
      </c>
      <c r="J160" s="432">
        <v>46174</v>
      </c>
      <c r="K160" s="429" t="s">
        <v>2493</v>
      </c>
      <c r="L160" s="436"/>
      <c r="M160" s="436" t="s">
        <v>62</v>
      </c>
      <c r="N160" s="433"/>
      <c r="O160" s="437" t="s">
        <v>85</v>
      </c>
      <c r="P160" s="433" t="s">
        <v>2494</v>
      </c>
      <c r="Q160" s="437" t="s">
        <v>2494</v>
      </c>
      <c r="R160" s="437" t="s">
        <v>8028</v>
      </c>
      <c r="S160" s="438">
        <v>46210</v>
      </c>
      <c r="T160" s="438">
        <v>46183</v>
      </c>
      <c r="U160" s="438"/>
      <c r="V160" s="439"/>
      <c r="W160" s="439">
        <v>46188</v>
      </c>
      <c r="X160" s="439">
        <v>46210</v>
      </c>
      <c r="Y160" s="420"/>
      <c r="Z160" s="224" t="str">
        <f t="shared" si="12"/>
        <v>AG. MEDIÇÃO</v>
      </c>
      <c r="AA160" s="207" t="str">
        <f t="shared" si="13"/>
        <v>ENTREGUE</v>
      </c>
      <c r="AB160" s="207" t="str">
        <f t="shared" si="14"/>
        <v>AG. MEDIÇÃO</v>
      </c>
      <c r="AC160" s="156">
        <f t="shared" ca="1" si="15"/>
        <v>3</v>
      </c>
      <c r="AD160" s="156" t="str">
        <f t="shared" ca="1" si="16"/>
        <v>NO PRAZO</v>
      </c>
      <c r="AE160" s="156">
        <f t="shared" ca="1" si="17"/>
        <v>0</v>
      </c>
    </row>
    <row r="161" spans="1:31" ht="36" hidden="1" customHeight="1">
      <c r="A161" s="414"/>
      <c r="B161" s="429" t="s">
        <v>7935</v>
      </c>
      <c r="C161" s="429" t="s">
        <v>79</v>
      </c>
      <c r="D161" s="429" t="s">
        <v>1076</v>
      </c>
      <c r="E161" s="429" t="s">
        <v>619</v>
      </c>
      <c r="F161" s="429" t="s">
        <v>42</v>
      </c>
      <c r="G161" s="433" t="s">
        <v>7945</v>
      </c>
      <c r="H161" s="429" t="s">
        <v>7946</v>
      </c>
      <c r="I161" s="433" t="s">
        <v>7947</v>
      </c>
      <c r="J161" s="432">
        <v>46174</v>
      </c>
      <c r="K161" s="429" t="s">
        <v>2493</v>
      </c>
      <c r="L161" s="436"/>
      <c r="M161" s="436" t="s">
        <v>77</v>
      </c>
      <c r="N161" s="437"/>
      <c r="O161" s="437" t="s">
        <v>85</v>
      </c>
      <c r="P161" s="437" t="s">
        <v>2494</v>
      </c>
      <c r="Q161" s="433" t="s">
        <v>2494</v>
      </c>
      <c r="R161" s="499" t="s">
        <v>7873</v>
      </c>
      <c r="S161" s="438">
        <v>46212</v>
      </c>
      <c r="T161" s="438">
        <v>46193</v>
      </c>
      <c r="U161" s="438"/>
      <c r="V161" s="438"/>
      <c r="W161" s="439">
        <v>46197</v>
      </c>
      <c r="X161" s="439">
        <v>46212</v>
      </c>
      <c r="Y161" s="420"/>
      <c r="Z161" s="224" t="str">
        <f t="shared" si="12"/>
        <v>AG. MEDIÇÃO</v>
      </c>
      <c r="AA161" s="207" t="str">
        <f t="shared" si="13"/>
        <v>ENTREGUE</v>
      </c>
      <c r="AB161" s="207" t="str">
        <f t="shared" si="14"/>
        <v>AG. MEDIÇÃO</v>
      </c>
      <c r="AC161" s="156">
        <f t="shared" ca="1" si="15"/>
        <v>2</v>
      </c>
      <c r="AD161" s="156" t="str">
        <f t="shared" ca="1" si="16"/>
        <v>NO PRAZO</v>
      </c>
      <c r="AE161" s="156">
        <f t="shared" ca="1" si="17"/>
        <v>-1</v>
      </c>
    </row>
    <row r="162" spans="1:31" ht="34.5" hidden="1" customHeight="1">
      <c r="A162" s="414"/>
      <c r="B162" s="440" t="s">
        <v>5631</v>
      </c>
      <c r="C162" s="440" t="s">
        <v>79</v>
      </c>
      <c r="D162" s="440" t="s">
        <v>1483</v>
      </c>
      <c r="E162" s="440" t="s">
        <v>619</v>
      </c>
      <c r="F162" s="440" t="s">
        <v>42</v>
      </c>
      <c r="G162" s="441"/>
      <c r="H162" s="440" t="s">
        <v>5632</v>
      </c>
      <c r="I162" s="441" t="s">
        <v>5633</v>
      </c>
      <c r="J162" s="450">
        <v>45839</v>
      </c>
      <c r="K162" s="429" t="s">
        <v>2493</v>
      </c>
      <c r="L162" s="444"/>
      <c r="M162" s="444" t="s">
        <v>62</v>
      </c>
      <c r="N162" s="441"/>
      <c r="O162" s="445"/>
      <c r="P162" s="441" t="s">
        <v>2494</v>
      </c>
      <c r="Q162" s="445" t="s">
        <v>2494</v>
      </c>
      <c r="R162" s="445" t="s">
        <v>5634</v>
      </c>
      <c r="S162" s="446">
        <v>45887</v>
      </c>
      <c r="T162" s="446">
        <v>45887</v>
      </c>
      <c r="U162" s="446"/>
      <c r="V162" s="447"/>
      <c r="W162" s="447">
        <v>45887</v>
      </c>
      <c r="X162" s="447" t="s">
        <v>8044</v>
      </c>
      <c r="Y162" s="420"/>
      <c r="Z162" s="224" t="str">
        <f t="shared" si="12"/>
        <v>AG. MEDIÇÃO</v>
      </c>
      <c r="AA162" s="207" t="str">
        <f t="shared" si="13"/>
        <v>ENTREGUE</v>
      </c>
      <c r="AB162" s="207" t="str">
        <f t="shared" si="14"/>
        <v>AG. MEDIÇÃO</v>
      </c>
      <c r="AC162" s="156">
        <f t="shared" ca="1" si="15"/>
        <v>0</v>
      </c>
      <c r="AD162" s="156" t="str">
        <f t="shared" ca="1" si="16"/>
        <v>NO PRAZO</v>
      </c>
      <c r="AE162" s="156">
        <f t="shared" ca="1" si="17"/>
        <v>-3</v>
      </c>
    </row>
    <row r="163" spans="1:31" ht="34.5" hidden="1" customHeight="1">
      <c r="A163" s="414"/>
      <c r="B163" s="440" t="s">
        <v>5491</v>
      </c>
      <c r="C163" s="440" t="s">
        <v>2496</v>
      </c>
      <c r="D163" s="440"/>
      <c r="E163" s="440"/>
      <c r="F163" s="440" t="s">
        <v>2498</v>
      </c>
      <c r="G163" s="441"/>
      <c r="H163" s="440" t="s">
        <v>5492</v>
      </c>
      <c r="I163" s="441" t="s">
        <v>5493</v>
      </c>
      <c r="J163" s="450">
        <v>45839</v>
      </c>
      <c r="K163" s="429" t="s">
        <v>2493</v>
      </c>
      <c r="L163" s="444"/>
      <c r="M163" s="444" t="s">
        <v>2501</v>
      </c>
      <c r="N163" s="441"/>
      <c r="O163" s="445"/>
      <c r="P163" s="441"/>
      <c r="Q163" s="445"/>
      <c r="R163" s="445" t="s">
        <v>5494</v>
      </c>
      <c r="S163" s="446">
        <v>45852</v>
      </c>
      <c r="T163" s="446">
        <v>45841</v>
      </c>
      <c r="U163" s="446"/>
      <c r="V163" s="447"/>
      <c r="W163" s="447">
        <v>45850</v>
      </c>
      <c r="X163" s="447" t="s">
        <v>8044</v>
      </c>
      <c r="Y163" s="420"/>
      <c r="Z163" s="224" t="str">
        <f t="shared" si="12"/>
        <v>AG. MEDIÇÃO</v>
      </c>
      <c r="AA163" s="207" t="str">
        <f t="shared" si="13"/>
        <v>ENTREGUE</v>
      </c>
      <c r="AB163" s="207" t="str">
        <f t="shared" si="14"/>
        <v>AG. MEDIÇÃO</v>
      </c>
      <c r="AC163" s="156">
        <f t="shared" ca="1" si="15"/>
        <v>6</v>
      </c>
      <c r="AD163" s="156" t="str">
        <f t="shared" ca="1" si="16"/>
        <v>ATRASADO</v>
      </c>
      <c r="AE163" s="156">
        <f t="shared" ca="1" si="17"/>
        <v>3</v>
      </c>
    </row>
    <row r="164" spans="1:31" ht="36" hidden="1" customHeight="1">
      <c r="A164" s="414"/>
      <c r="B164" s="429" t="s">
        <v>7779</v>
      </c>
      <c r="C164" s="430" t="s">
        <v>79</v>
      </c>
      <c r="D164" s="431" t="s">
        <v>1076</v>
      </c>
      <c r="E164" s="432" t="s">
        <v>619</v>
      </c>
      <c r="F164" s="429" t="s">
        <v>42</v>
      </c>
      <c r="G164" s="434"/>
      <c r="H164" s="636" t="s">
        <v>7766</v>
      </c>
      <c r="I164" s="433" t="s">
        <v>7765</v>
      </c>
      <c r="J164" s="432">
        <v>46174</v>
      </c>
      <c r="K164" s="429" t="s">
        <v>2493</v>
      </c>
      <c r="L164" s="436" t="s">
        <v>124</v>
      </c>
      <c r="M164" s="436" t="s">
        <v>62</v>
      </c>
      <c r="N164" s="433"/>
      <c r="O164" s="437" t="s">
        <v>85</v>
      </c>
      <c r="P164" s="433">
        <v>169</v>
      </c>
      <c r="Q164" s="437">
        <v>163</v>
      </c>
      <c r="R164" s="437" t="s">
        <v>8027</v>
      </c>
      <c r="S164" s="438">
        <v>46210</v>
      </c>
      <c r="T164" s="438">
        <v>46183</v>
      </c>
      <c r="U164" s="438"/>
      <c r="V164" s="439"/>
      <c r="W164" s="439">
        <v>46188</v>
      </c>
      <c r="X164" s="439">
        <v>46210</v>
      </c>
      <c r="Y164" s="420"/>
      <c r="Z164" s="224" t="str">
        <f t="shared" si="12"/>
        <v>AG. MEDIÇÃO</v>
      </c>
      <c r="AA164" s="207" t="str">
        <f t="shared" si="13"/>
        <v>ENTREGUE</v>
      </c>
      <c r="AB164" s="207" t="str">
        <f t="shared" si="14"/>
        <v>AG. MEDIÇÃO</v>
      </c>
      <c r="AC164" s="156">
        <f t="shared" ca="1" si="15"/>
        <v>3</v>
      </c>
      <c r="AD164" s="156" t="str">
        <f t="shared" ca="1" si="16"/>
        <v>NO PRAZO</v>
      </c>
      <c r="AE164" s="156">
        <f t="shared" ca="1" si="17"/>
        <v>0</v>
      </c>
    </row>
    <row r="165" spans="1:31" ht="36" hidden="1" customHeight="1">
      <c r="A165" s="414"/>
      <c r="B165" s="440" t="s">
        <v>4837</v>
      </c>
      <c r="C165" s="440" t="s">
        <v>79</v>
      </c>
      <c r="D165" s="440" t="s">
        <v>1076</v>
      </c>
      <c r="E165" s="440" t="s">
        <v>619</v>
      </c>
      <c r="F165" s="440" t="s">
        <v>42</v>
      </c>
      <c r="G165" s="441" t="s">
        <v>4838</v>
      </c>
      <c r="H165" s="440" t="s">
        <v>4839</v>
      </c>
      <c r="I165" s="441" t="s">
        <v>4840</v>
      </c>
      <c r="J165" s="450">
        <v>45689</v>
      </c>
      <c r="K165" s="429" t="s">
        <v>2493</v>
      </c>
      <c r="L165" s="444"/>
      <c r="M165" s="444" t="s">
        <v>200</v>
      </c>
      <c r="N165" s="441" t="s">
        <v>2572</v>
      </c>
      <c r="O165" s="445" t="s">
        <v>3350</v>
      </c>
      <c r="P165" s="441" t="s">
        <v>2494</v>
      </c>
      <c r="Q165" s="445" t="s">
        <v>2494</v>
      </c>
      <c r="R165" s="445" t="s">
        <v>4098</v>
      </c>
      <c r="S165" s="446">
        <v>45739</v>
      </c>
      <c r="T165" s="446">
        <v>45705</v>
      </c>
      <c r="U165" s="446">
        <v>45708</v>
      </c>
      <c r="V165" s="447">
        <v>45714</v>
      </c>
      <c r="W165" s="447">
        <v>45714</v>
      </c>
      <c r="X165" s="447" t="s">
        <v>8044</v>
      </c>
      <c r="Y165" s="420"/>
      <c r="Z165" s="224" t="str">
        <f t="shared" si="12"/>
        <v>AG. MEDIÇÃO</v>
      </c>
      <c r="AA165" s="207" t="str">
        <f t="shared" si="13"/>
        <v>ENTREGUE</v>
      </c>
      <c r="AB165" s="207" t="str">
        <f t="shared" si="14"/>
        <v>AG. MEDIÇÃO</v>
      </c>
      <c r="AC165" s="156">
        <f t="shared" ca="1" si="15"/>
        <v>7</v>
      </c>
      <c r="AD165" s="156" t="str">
        <f t="shared" ca="1" si="16"/>
        <v>ATRASADO</v>
      </c>
      <c r="AE165" s="156">
        <f t="shared" ca="1" si="17"/>
        <v>4</v>
      </c>
    </row>
    <row r="166" spans="1:31" ht="36" hidden="1" customHeight="1">
      <c r="A166" s="414"/>
      <c r="B166" s="440" t="s">
        <v>5180</v>
      </c>
      <c r="C166" s="440" t="s">
        <v>2496</v>
      </c>
      <c r="D166" s="440"/>
      <c r="E166" s="440"/>
      <c r="F166" s="440" t="s">
        <v>2498</v>
      </c>
      <c r="G166" s="441"/>
      <c r="H166" s="440" t="s">
        <v>5181</v>
      </c>
      <c r="I166" s="441" t="s">
        <v>5182</v>
      </c>
      <c r="J166" s="450">
        <v>45778</v>
      </c>
      <c r="K166" s="429" t="s">
        <v>2493</v>
      </c>
      <c r="L166" s="444"/>
      <c r="M166" s="444" t="s">
        <v>2501</v>
      </c>
      <c r="N166" s="441"/>
      <c r="O166" s="445"/>
      <c r="P166" s="441"/>
      <c r="Q166" s="445"/>
      <c r="R166" s="445" t="s">
        <v>5183</v>
      </c>
      <c r="S166" s="446">
        <v>45845</v>
      </c>
      <c r="T166" s="446">
        <v>45786</v>
      </c>
      <c r="U166" s="446"/>
      <c r="V166" s="447"/>
      <c r="W166" s="447">
        <v>45820</v>
      </c>
      <c r="X166" s="447" t="s">
        <v>8044</v>
      </c>
      <c r="Y166" s="420"/>
      <c r="Z166" s="224" t="str">
        <f t="shared" si="12"/>
        <v>AG. MEDIÇÃO</v>
      </c>
      <c r="AA166" s="207" t="str">
        <f t="shared" si="13"/>
        <v>ENTREGUE</v>
      </c>
      <c r="AB166" s="207" t="str">
        <f t="shared" si="14"/>
        <v>AG. MEDIÇÃO</v>
      </c>
      <c r="AC166" s="156">
        <f t="shared" ca="1" si="15"/>
        <v>24</v>
      </c>
      <c r="AD166" s="156" t="str">
        <f t="shared" ca="1" si="16"/>
        <v>ATRASADO</v>
      </c>
      <c r="AE166" s="156">
        <f t="shared" ca="1" si="17"/>
        <v>21</v>
      </c>
    </row>
    <row r="167" spans="1:31" ht="36" hidden="1" customHeight="1">
      <c r="A167" s="414"/>
      <c r="B167" s="440" t="s">
        <v>3850</v>
      </c>
      <c r="C167" s="440" t="s">
        <v>479</v>
      </c>
      <c r="D167" s="440" t="s">
        <v>493</v>
      </c>
      <c r="E167" s="440"/>
      <c r="F167" s="440" t="s">
        <v>42</v>
      </c>
      <c r="G167" s="441" t="s">
        <v>3348</v>
      </c>
      <c r="H167" s="662" t="s">
        <v>3851</v>
      </c>
      <c r="I167" s="441" t="s">
        <v>3852</v>
      </c>
      <c r="J167" s="450">
        <v>45413</v>
      </c>
      <c r="K167" s="429" t="s">
        <v>2493</v>
      </c>
      <c r="L167" s="444" t="s">
        <v>109</v>
      </c>
      <c r="M167" s="444" t="s">
        <v>132</v>
      </c>
      <c r="N167" s="441" t="s">
        <v>2572</v>
      </c>
      <c r="O167" s="445" t="s">
        <v>85</v>
      </c>
      <c r="P167" s="445"/>
      <c r="Q167" s="441">
        <v>207</v>
      </c>
      <c r="R167" s="445" t="s">
        <v>3853</v>
      </c>
      <c r="S167" s="446">
        <v>45439</v>
      </c>
      <c r="T167" s="446">
        <v>45428</v>
      </c>
      <c r="U167" s="446">
        <v>45428</v>
      </c>
      <c r="V167" s="447">
        <v>45428</v>
      </c>
      <c r="W167" s="447">
        <v>45428</v>
      </c>
      <c r="X167" s="447" t="s">
        <v>8044</v>
      </c>
      <c r="Y167" s="420"/>
      <c r="Z167" s="224" t="str">
        <f t="shared" si="12"/>
        <v>AG. MEDIÇÃO</v>
      </c>
      <c r="AA167" s="207" t="str">
        <f t="shared" si="13"/>
        <v>ENTREGUE</v>
      </c>
      <c r="AB167" s="207" t="str">
        <f t="shared" si="14"/>
        <v>AG. MEDIÇÃO</v>
      </c>
      <c r="AC167" s="156">
        <f t="shared" ca="1" si="15"/>
        <v>0</v>
      </c>
      <c r="AD167" s="156" t="str">
        <f t="shared" ca="1" si="16"/>
        <v>NO PRAZO</v>
      </c>
      <c r="AE167" s="156">
        <f t="shared" ca="1" si="17"/>
        <v>-3</v>
      </c>
    </row>
    <row r="168" spans="1:31" ht="36" hidden="1" customHeight="1">
      <c r="A168" s="414"/>
      <c r="B168" s="440" t="s">
        <v>3548</v>
      </c>
      <c r="C168" s="440" t="s">
        <v>232</v>
      </c>
      <c r="D168" s="440"/>
      <c r="E168" s="440"/>
      <c r="F168" s="440" t="s">
        <v>42</v>
      </c>
      <c r="G168" s="441" t="s">
        <v>3549</v>
      </c>
      <c r="H168" s="440" t="s">
        <v>3550</v>
      </c>
      <c r="I168" s="441"/>
      <c r="J168" s="450">
        <v>45383</v>
      </c>
      <c r="K168" s="429" t="s">
        <v>2493</v>
      </c>
      <c r="L168" s="444" t="s">
        <v>1208</v>
      </c>
      <c r="M168" s="444" t="s">
        <v>51</v>
      </c>
      <c r="N168" s="441" t="s">
        <v>2572</v>
      </c>
      <c r="O168" s="445" t="s">
        <v>85</v>
      </c>
      <c r="P168" s="445"/>
      <c r="Q168" s="441">
        <v>712</v>
      </c>
      <c r="R168" s="445" t="s">
        <v>3551</v>
      </c>
      <c r="S168" s="446">
        <v>45405</v>
      </c>
      <c r="T168" s="446">
        <v>45383</v>
      </c>
      <c r="U168" s="446">
        <v>45383</v>
      </c>
      <c r="V168" s="446">
        <v>45384</v>
      </c>
      <c r="W168" s="447">
        <v>45384</v>
      </c>
      <c r="X168" s="447" t="s">
        <v>8044</v>
      </c>
      <c r="Y168" s="420"/>
      <c r="Z168" s="224" t="str">
        <f t="shared" si="12"/>
        <v>AG. MEDIÇÃO</v>
      </c>
      <c r="AA168" s="207" t="str">
        <f t="shared" si="13"/>
        <v>ENTREGUE</v>
      </c>
      <c r="AB168" s="207" t="str">
        <f t="shared" si="14"/>
        <v>AG. MEDIÇÃO</v>
      </c>
      <c r="AC168" s="156">
        <f t="shared" ca="1" si="15"/>
        <v>1</v>
      </c>
      <c r="AD168" s="156" t="str">
        <f t="shared" ca="1" si="16"/>
        <v>NO PRAZO</v>
      </c>
      <c r="AE168" s="156">
        <f t="shared" ca="1" si="17"/>
        <v>-2</v>
      </c>
    </row>
    <row r="169" spans="1:31" ht="36" hidden="1" customHeight="1">
      <c r="A169" s="414"/>
      <c r="B169" s="429" t="s">
        <v>8342</v>
      </c>
      <c r="C169" s="429" t="s">
        <v>104</v>
      </c>
      <c r="D169" s="429" t="s">
        <v>7229</v>
      </c>
      <c r="E169" s="429" t="s">
        <v>105</v>
      </c>
      <c r="F169" s="429" t="s">
        <v>42</v>
      </c>
      <c r="G169" s="562" t="s">
        <v>8353</v>
      </c>
      <c r="H169" s="562" t="s">
        <v>8354</v>
      </c>
      <c r="I169" s="585" t="s">
        <v>8355</v>
      </c>
      <c r="J169" s="432">
        <v>46235</v>
      </c>
      <c r="K169" s="429" t="s">
        <v>2493</v>
      </c>
      <c r="L169" s="436"/>
      <c r="M169" s="436" t="s">
        <v>62</v>
      </c>
      <c r="N169" s="437"/>
      <c r="O169" s="437" t="s">
        <v>85</v>
      </c>
      <c r="P169" s="437" t="s">
        <v>2494</v>
      </c>
      <c r="Q169" s="437" t="s">
        <v>2494</v>
      </c>
      <c r="R169" s="499" t="s">
        <v>8482</v>
      </c>
      <c r="S169" s="438">
        <v>46258</v>
      </c>
      <c r="T169" s="438">
        <v>46245</v>
      </c>
      <c r="U169" s="438"/>
      <c r="V169" s="438"/>
      <c r="W169" s="438">
        <v>46245</v>
      </c>
      <c r="X169" s="439">
        <v>46258</v>
      </c>
      <c r="Y169" s="420"/>
      <c r="Z169" s="224" t="str">
        <f t="shared" si="12"/>
        <v>AG. MEDIÇÃO</v>
      </c>
      <c r="AA169" s="207" t="str">
        <f t="shared" si="13"/>
        <v>ENTREGUE</v>
      </c>
      <c r="AB169" s="207" t="str">
        <f t="shared" si="14"/>
        <v>AG. MEDIÇÃO</v>
      </c>
      <c r="AC169" s="156">
        <f t="shared" ca="1" si="15"/>
        <v>0</v>
      </c>
      <c r="AD169" s="156" t="str">
        <f t="shared" ca="1" si="16"/>
        <v>NO PRAZO</v>
      </c>
      <c r="AE169" s="156">
        <f t="shared" ca="1" si="17"/>
        <v>-3</v>
      </c>
    </row>
    <row r="170" spans="1:31" ht="36" hidden="1" customHeight="1">
      <c r="A170" s="414"/>
      <c r="B170" s="429" t="s">
        <v>7940</v>
      </c>
      <c r="C170" s="429" t="s">
        <v>104</v>
      </c>
      <c r="D170" s="429" t="s">
        <v>4452</v>
      </c>
      <c r="E170" s="429" t="s">
        <v>1551</v>
      </c>
      <c r="F170" s="429" t="s">
        <v>42</v>
      </c>
      <c r="G170" s="433"/>
      <c r="H170" s="429" t="s">
        <v>7984</v>
      </c>
      <c r="I170" s="433" t="s">
        <v>7986</v>
      </c>
      <c r="J170" s="432">
        <v>46174</v>
      </c>
      <c r="K170" s="429" t="s">
        <v>2493</v>
      </c>
      <c r="L170" s="436" t="s">
        <v>77</v>
      </c>
      <c r="M170" s="436" t="s">
        <v>77</v>
      </c>
      <c r="N170" s="437"/>
      <c r="O170" s="437" t="s">
        <v>85</v>
      </c>
      <c r="P170" s="437">
        <v>150</v>
      </c>
      <c r="Q170" s="433">
        <v>115</v>
      </c>
      <c r="R170" s="499" t="s">
        <v>8154</v>
      </c>
      <c r="S170" s="438">
        <v>46241</v>
      </c>
      <c r="T170" s="438">
        <v>46202</v>
      </c>
      <c r="U170" s="438"/>
      <c r="V170" s="438"/>
      <c r="W170" s="439">
        <v>46203</v>
      </c>
      <c r="X170" s="439">
        <v>46241</v>
      </c>
      <c r="Y170" s="420"/>
      <c r="Z170" s="224" t="str">
        <f t="shared" si="12"/>
        <v>AG. MEDIÇÃO</v>
      </c>
      <c r="AA170" s="207" t="str">
        <f t="shared" si="13"/>
        <v>ENTREGUE</v>
      </c>
      <c r="AB170" s="207" t="str">
        <f t="shared" si="14"/>
        <v>AG. MEDIÇÃO</v>
      </c>
      <c r="AC170" s="156">
        <f t="shared" ca="1" si="15"/>
        <v>1</v>
      </c>
      <c r="AD170" s="156" t="str">
        <f t="shared" ca="1" si="16"/>
        <v>NO PRAZO</v>
      </c>
      <c r="AE170" s="156">
        <f t="shared" ca="1" si="17"/>
        <v>-2</v>
      </c>
    </row>
    <row r="171" spans="1:31" ht="36" hidden="1" customHeight="1">
      <c r="A171" s="414"/>
      <c r="B171" s="440" t="s">
        <v>5604</v>
      </c>
      <c r="C171" s="440" t="s">
        <v>600</v>
      </c>
      <c r="D171" s="440" t="s">
        <v>1964</v>
      </c>
      <c r="E171" s="440" t="s">
        <v>601</v>
      </c>
      <c r="F171" s="440" t="s">
        <v>42</v>
      </c>
      <c r="G171" s="441"/>
      <c r="H171" s="440" t="s">
        <v>5605</v>
      </c>
      <c r="I171" s="441" t="s">
        <v>5606</v>
      </c>
      <c r="J171" s="450">
        <v>45839</v>
      </c>
      <c r="K171" s="429" t="s">
        <v>2493</v>
      </c>
      <c r="L171" s="444"/>
      <c r="M171" s="444" t="s">
        <v>77</v>
      </c>
      <c r="N171" s="441"/>
      <c r="O171" s="445"/>
      <c r="P171" s="441"/>
      <c r="Q171" s="445"/>
      <c r="R171" s="445" t="s">
        <v>5597</v>
      </c>
      <c r="S171" s="446" t="s">
        <v>1964</v>
      </c>
      <c r="T171" s="446">
        <v>45868</v>
      </c>
      <c r="U171" s="446"/>
      <c r="V171" s="447"/>
      <c r="W171" s="447">
        <v>45874</v>
      </c>
      <c r="X171" s="447" t="s">
        <v>8044</v>
      </c>
      <c r="Y171" s="420"/>
      <c r="Z171" s="224" t="str">
        <f t="shared" si="12"/>
        <v>AG. MEDIÇÃO</v>
      </c>
      <c r="AA171" s="207" t="str">
        <f t="shared" si="13"/>
        <v>ENTREGUE</v>
      </c>
      <c r="AB171" s="207" t="str">
        <f t="shared" si="14"/>
        <v>AG. MEDIÇÃO</v>
      </c>
      <c r="AC171" s="156">
        <f t="shared" ca="1" si="15"/>
        <v>4</v>
      </c>
      <c r="AD171" s="156" t="str">
        <f t="shared" ca="1" si="16"/>
        <v>ATRASADO</v>
      </c>
      <c r="AE171" s="156">
        <f t="shared" ca="1" si="17"/>
        <v>1</v>
      </c>
    </row>
    <row r="172" spans="1:31" ht="36" hidden="1" customHeight="1">
      <c r="A172" s="414"/>
      <c r="B172" s="440" t="s">
        <v>5607</v>
      </c>
      <c r="C172" s="440" t="s">
        <v>600</v>
      </c>
      <c r="D172" s="440" t="s">
        <v>1964</v>
      </c>
      <c r="E172" s="440" t="s">
        <v>601</v>
      </c>
      <c r="F172" s="440" t="s">
        <v>42</v>
      </c>
      <c r="G172" s="441"/>
      <c r="H172" s="440" t="s">
        <v>5608</v>
      </c>
      <c r="I172" s="441" t="s">
        <v>5609</v>
      </c>
      <c r="J172" s="450">
        <v>45839</v>
      </c>
      <c r="K172" s="429" t="s">
        <v>2493</v>
      </c>
      <c r="L172" s="444"/>
      <c r="M172" s="444" t="s">
        <v>77</v>
      </c>
      <c r="N172" s="441"/>
      <c r="O172" s="445"/>
      <c r="P172" s="441"/>
      <c r="Q172" s="445"/>
      <c r="R172" s="445" t="s">
        <v>5597</v>
      </c>
      <c r="S172" s="446" t="s">
        <v>1964</v>
      </c>
      <c r="T172" s="446">
        <v>45868</v>
      </c>
      <c r="U172" s="446"/>
      <c r="V172" s="447"/>
      <c r="W172" s="447">
        <v>45874</v>
      </c>
      <c r="X172" s="447" t="s">
        <v>8044</v>
      </c>
      <c r="Y172" s="420"/>
      <c r="Z172" s="224" t="str">
        <f t="shared" si="12"/>
        <v>AG. MEDIÇÃO</v>
      </c>
      <c r="AA172" s="207" t="str">
        <f t="shared" si="13"/>
        <v>ENTREGUE</v>
      </c>
      <c r="AB172" s="207" t="str">
        <f t="shared" si="14"/>
        <v>AG. MEDIÇÃO</v>
      </c>
      <c r="AC172" s="156">
        <f t="shared" ca="1" si="15"/>
        <v>4</v>
      </c>
      <c r="AD172" s="156" t="str">
        <f t="shared" ca="1" si="16"/>
        <v>ATRASADO</v>
      </c>
      <c r="AE172" s="156">
        <f t="shared" ca="1" si="17"/>
        <v>1</v>
      </c>
    </row>
    <row r="173" spans="1:31" ht="36" hidden="1" customHeight="1">
      <c r="A173" s="414"/>
      <c r="B173" s="440" t="s">
        <v>4858</v>
      </c>
      <c r="C173" s="440" t="s">
        <v>600</v>
      </c>
      <c r="D173" s="440" t="s">
        <v>602</v>
      </c>
      <c r="E173" s="440" t="s">
        <v>601</v>
      </c>
      <c r="F173" s="440" t="s">
        <v>42</v>
      </c>
      <c r="G173" s="441" t="s">
        <v>4859</v>
      </c>
      <c r="H173" s="440" t="s">
        <v>4860</v>
      </c>
      <c r="I173" s="441" t="s">
        <v>4861</v>
      </c>
      <c r="J173" s="450">
        <v>45689</v>
      </c>
      <c r="K173" s="429" t="s">
        <v>2493</v>
      </c>
      <c r="L173" s="444" t="s">
        <v>200</v>
      </c>
      <c r="M173" s="444" t="s">
        <v>200</v>
      </c>
      <c r="N173" s="441"/>
      <c r="O173" s="445"/>
      <c r="P173" s="441">
        <v>170</v>
      </c>
      <c r="Q173" s="445">
        <v>236</v>
      </c>
      <c r="R173" s="445" t="s">
        <v>4862</v>
      </c>
      <c r="S173" s="446">
        <v>45734</v>
      </c>
      <c r="T173" s="446">
        <v>45713</v>
      </c>
      <c r="U173" s="446">
        <v>45715</v>
      </c>
      <c r="V173" s="447">
        <v>45716</v>
      </c>
      <c r="W173" s="447">
        <v>45716</v>
      </c>
      <c r="X173" s="447" t="s">
        <v>8044</v>
      </c>
      <c r="Y173" s="420"/>
      <c r="Z173" s="224" t="str">
        <f t="shared" si="12"/>
        <v>AG. MEDIÇÃO</v>
      </c>
      <c r="AA173" s="207" t="str">
        <f t="shared" si="13"/>
        <v>ENTREGUE</v>
      </c>
      <c r="AB173" s="207" t="str">
        <f t="shared" si="14"/>
        <v>AG. MEDIÇÃO</v>
      </c>
      <c r="AC173" s="156">
        <f t="shared" ca="1" si="15"/>
        <v>3</v>
      </c>
      <c r="AD173" s="156" t="str">
        <f t="shared" ca="1" si="16"/>
        <v>NO PRAZO</v>
      </c>
      <c r="AE173" s="156">
        <f t="shared" ca="1" si="17"/>
        <v>0</v>
      </c>
    </row>
    <row r="174" spans="1:31" ht="36" hidden="1" customHeight="1">
      <c r="A174" s="414"/>
      <c r="B174" s="440" t="s">
        <v>4643</v>
      </c>
      <c r="C174" s="440" t="s">
        <v>600</v>
      </c>
      <c r="D174" s="440" t="s">
        <v>1373</v>
      </c>
      <c r="E174" s="440" t="s">
        <v>601</v>
      </c>
      <c r="F174" s="440" t="s">
        <v>42</v>
      </c>
      <c r="G174" s="441" t="s">
        <v>4644</v>
      </c>
      <c r="H174" s="440" t="s">
        <v>4645</v>
      </c>
      <c r="I174" s="441" t="s">
        <v>4646</v>
      </c>
      <c r="J174" s="450">
        <v>45638</v>
      </c>
      <c r="K174" s="429" t="s">
        <v>2493</v>
      </c>
      <c r="L174" s="444" t="s">
        <v>1208</v>
      </c>
      <c r="M174" s="444" t="s">
        <v>200</v>
      </c>
      <c r="N174" s="441" t="s">
        <v>2572</v>
      </c>
      <c r="O174" s="445" t="s">
        <v>4560</v>
      </c>
      <c r="P174" s="445">
        <v>315</v>
      </c>
      <c r="Q174" s="445">
        <v>404</v>
      </c>
      <c r="R174" s="445" t="s">
        <v>4647</v>
      </c>
      <c r="S174" s="446">
        <v>45649</v>
      </c>
      <c r="T174" s="446">
        <v>45630</v>
      </c>
      <c r="U174" s="446">
        <v>45634</v>
      </c>
      <c r="V174" s="447"/>
      <c r="W174" s="447">
        <v>45637</v>
      </c>
      <c r="X174" s="447" t="s">
        <v>8044</v>
      </c>
      <c r="Y174" s="420"/>
      <c r="Z174" s="224" t="str">
        <f t="shared" si="12"/>
        <v>AG. MEDIÇÃO</v>
      </c>
      <c r="AA174" s="207" t="str">
        <f t="shared" si="13"/>
        <v>ENTREGUE</v>
      </c>
      <c r="AB174" s="207" t="str">
        <f t="shared" si="14"/>
        <v>AG. MEDIÇÃO</v>
      </c>
      <c r="AC174" s="156">
        <f t="shared" ca="1" si="15"/>
        <v>5</v>
      </c>
      <c r="AD174" s="156" t="str">
        <f t="shared" ca="1" si="16"/>
        <v>ATRASADO</v>
      </c>
      <c r="AE174" s="156">
        <f t="shared" ca="1" si="17"/>
        <v>2</v>
      </c>
    </row>
    <row r="175" spans="1:31" ht="36" hidden="1" customHeight="1">
      <c r="A175" s="414"/>
      <c r="B175" s="440" t="s">
        <v>4976</v>
      </c>
      <c r="C175" s="440" t="s">
        <v>479</v>
      </c>
      <c r="D175" s="440" t="s">
        <v>1201</v>
      </c>
      <c r="E175" s="440" t="s">
        <v>480</v>
      </c>
      <c r="F175" s="440" t="s">
        <v>42</v>
      </c>
      <c r="G175" s="441" t="s">
        <v>4977</v>
      </c>
      <c r="H175" s="440" t="s">
        <v>4978</v>
      </c>
      <c r="I175" s="441" t="s">
        <v>4979</v>
      </c>
      <c r="J175" s="450">
        <v>45717</v>
      </c>
      <c r="K175" s="450" t="s">
        <v>2493</v>
      </c>
      <c r="L175" s="444"/>
      <c r="M175" s="444" t="s">
        <v>200</v>
      </c>
      <c r="N175" s="441" t="s">
        <v>2572</v>
      </c>
      <c r="O175" s="445" t="s">
        <v>3350</v>
      </c>
      <c r="P175" s="441" t="s">
        <v>2494</v>
      </c>
      <c r="Q175" s="445" t="s">
        <v>2494</v>
      </c>
      <c r="R175" s="445" t="s">
        <v>4980</v>
      </c>
      <c r="S175" s="446">
        <v>45741</v>
      </c>
      <c r="T175" s="446">
        <v>45733</v>
      </c>
      <c r="U175" s="446">
        <v>45734</v>
      </c>
      <c r="V175" s="447">
        <v>45736</v>
      </c>
      <c r="W175" s="447">
        <v>45732</v>
      </c>
      <c r="X175" s="447" t="s">
        <v>8044</v>
      </c>
      <c r="Y175" s="420"/>
      <c r="Z175" s="224" t="str">
        <f t="shared" si="12"/>
        <v>AG. MEDIÇÃO</v>
      </c>
      <c r="AA175" s="207" t="str">
        <f t="shared" si="13"/>
        <v>ENTREGUE</v>
      </c>
      <c r="AB175" s="207" t="str">
        <f t="shared" si="14"/>
        <v>AG. MEDIÇÃO</v>
      </c>
      <c r="AC175" s="156">
        <f t="shared" ca="1" si="15"/>
        <v>-2</v>
      </c>
      <c r="AD175" s="156" t="str">
        <f t="shared" ca="1" si="16"/>
        <v>NO PRAZO</v>
      </c>
      <c r="AE175" s="156">
        <f t="shared" ca="1" si="17"/>
        <v>-5</v>
      </c>
    </row>
    <row r="176" spans="1:31" ht="36" hidden="1" customHeight="1">
      <c r="A176" s="414"/>
      <c r="B176" s="440" t="s">
        <v>5002</v>
      </c>
      <c r="C176" s="440" t="s">
        <v>479</v>
      </c>
      <c r="D176" s="440" t="s">
        <v>1201</v>
      </c>
      <c r="E176" s="440" t="s">
        <v>480</v>
      </c>
      <c r="F176" s="440" t="s">
        <v>42</v>
      </c>
      <c r="G176" s="441" t="s">
        <v>5003</v>
      </c>
      <c r="H176" s="440" t="s">
        <v>5004</v>
      </c>
      <c r="I176" s="441" t="s">
        <v>5005</v>
      </c>
      <c r="J176" s="450">
        <v>45717</v>
      </c>
      <c r="K176" s="429" t="s">
        <v>2493</v>
      </c>
      <c r="L176" s="444"/>
      <c r="M176" s="444" t="s">
        <v>200</v>
      </c>
      <c r="N176" s="441" t="s">
        <v>2572</v>
      </c>
      <c r="O176" s="445" t="s">
        <v>3350</v>
      </c>
      <c r="P176" s="441" t="s">
        <v>2494</v>
      </c>
      <c r="Q176" s="445" t="s">
        <v>2494</v>
      </c>
      <c r="R176" s="445" t="s">
        <v>5006</v>
      </c>
      <c r="S176" s="446">
        <v>45741</v>
      </c>
      <c r="T176" s="446">
        <v>45733</v>
      </c>
      <c r="U176" s="446">
        <v>45736</v>
      </c>
      <c r="V176" s="447">
        <v>45736</v>
      </c>
      <c r="W176" s="447">
        <v>45732</v>
      </c>
      <c r="X176" s="447" t="s">
        <v>8044</v>
      </c>
      <c r="Y176" s="420"/>
      <c r="Z176" s="224" t="str">
        <f t="shared" si="12"/>
        <v>AG. MEDIÇÃO</v>
      </c>
      <c r="AA176" s="207" t="str">
        <f t="shared" si="13"/>
        <v>ENTREGUE</v>
      </c>
      <c r="AB176" s="207" t="str">
        <f t="shared" si="14"/>
        <v>AG. MEDIÇÃO</v>
      </c>
      <c r="AC176" s="156">
        <f t="shared" ca="1" si="15"/>
        <v>-2</v>
      </c>
      <c r="AD176" s="156" t="str">
        <f t="shared" ca="1" si="16"/>
        <v>NO PRAZO</v>
      </c>
      <c r="AE176" s="156">
        <f t="shared" ca="1" si="17"/>
        <v>-5</v>
      </c>
    </row>
    <row r="177" spans="1:31" ht="36" hidden="1" customHeight="1">
      <c r="A177" s="414"/>
      <c r="B177" s="429" t="s">
        <v>7770</v>
      </c>
      <c r="C177" s="430" t="s">
        <v>232</v>
      </c>
      <c r="D177" s="431"/>
      <c r="E177" s="432"/>
      <c r="F177" s="429" t="s">
        <v>42</v>
      </c>
      <c r="G177" s="434" t="s">
        <v>7762</v>
      </c>
      <c r="H177" s="636" t="s">
        <v>7763</v>
      </c>
      <c r="I177" s="433" t="s">
        <v>7764</v>
      </c>
      <c r="J177" s="432">
        <v>46174</v>
      </c>
      <c r="K177" s="429" t="s">
        <v>2493</v>
      </c>
      <c r="L177" s="436" t="s">
        <v>124</v>
      </c>
      <c r="M177" s="436" t="s">
        <v>62</v>
      </c>
      <c r="N177" s="433"/>
      <c r="O177" s="437" t="s">
        <v>85</v>
      </c>
      <c r="P177" s="433">
        <v>270</v>
      </c>
      <c r="Q177" s="437">
        <v>249</v>
      </c>
      <c r="R177" s="437" t="s">
        <v>8086</v>
      </c>
      <c r="S177" s="438">
        <v>46217</v>
      </c>
      <c r="T177" s="438">
        <v>46183</v>
      </c>
      <c r="U177" s="438"/>
      <c r="V177" s="439"/>
      <c r="W177" s="439">
        <v>46188</v>
      </c>
      <c r="X177" s="439">
        <v>46217</v>
      </c>
      <c r="Y177" s="420"/>
      <c r="Z177" s="224" t="str">
        <f t="shared" si="12"/>
        <v>AG. MEDIÇÃO</v>
      </c>
      <c r="AA177" s="207" t="str">
        <f t="shared" si="13"/>
        <v>ENTREGUE</v>
      </c>
      <c r="AB177" s="207" t="str">
        <f t="shared" si="14"/>
        <v>AG. MEDIÇÃO</v>
      </c>
      <c r="AC177" s="156">
        <f t="shared" ca="1" si="15"/>
        <v>3</v>
      </c>
      <c r="AD177" s="156" t="str">
        <f t="shared" ca="1" si="16"/>
        <v>NO PRAZO</v>
      </c>
      <c r="AE177" s="156">
        <f t="shared" ca="1" si="17"/>
        <v>0</v>
      </c>
    </row>
    <row r="178" spans="1:31" ht="36" hidden="1" customHeight="1">
      <c r="A178" s="414"/>
      <c r="B178" s="429" t="s">
        <v>7432</v>
      </c>
      <c r="C178" s="430" t="s">
        <v>232</v>
      </c>
      <c r="D178" s="430" t="s">
        <v>7446</v>
      </c>
      <c r="E178" s="432" t="s">
        <v>364</v>
      </c>
      <c r="F178" s="429" t="s">
        <v>42</v>
      </c>
      <c r="G178" s="434" t="s">
        <v>7421</v>
      </c>
      <c r="H178" s="636" t="s">
        <v>7422</v>
      </c>
      <c r="I178" s="433" t="s">
        <v>7423</v>
      </c>
      <c r="J178" s="432">
        <v>46143</v>
      </c>
      <c r="K178" s="429" t="s">
        <v>2493</v>
      </c>
      <c r="L178" s="436" t="s">
        <v>124</v>
      </c>
      <c r="M178" s="436" t="s">
        <v>62</v>
      </c>
      <c r="N178" s="433"/>
      <c r="O178" s="437"/>
      <c r="P178" s="433">
        <v>120</v>
      </c>
      <c r="Q178" s="437">
        <v>144</v>
      </c>
      <c r="R178" s="437" t="s">
        <v>7577</v>
      </c>
      <c r="S178" s="438">
        <v>46160</v>
      </c>
      <c r="T178" s="438">
        <v>46147</v>
      </c>
      <c r="U178" s="438"/>
      <c r="V178" s="439"/>
      <c r="W178" s="439">
        <v>46154</v>
      </c>
      <c r="X178" s="439">
        <v>46160</v>
      </c>
      <c r="Y178" s="420"/>
      <c r="Z178" s="224" t="str">
        <f t="shared" si="12"/>
        <v>AG. MEDIÇÃO</v>
      </c>
      <c r="AA178" s="207" t="str">
        <f t="shared" si="13"/>
        <v>ENTREGUE</v>
      </c>
      <c r="AB178" s="207" t="str">
        <f t="shared" si="14"/>
        <v>AG. MEDIÇÃO</v>
      </c>
      <c r="AC178" s="156">
        <f t="shared" ca="1" si="15"/>
        <v>5</v>
      </c>
      <c r="AD178" s="156" t="str">
        <f t="shared" ca="1" si="16"/>
        <v>ATRASADO</v>
      </c>
      <c r="AE178" s="156">
        <f t="shared" ca="1" si="17"/>
        <v>2</v>
      </c>
    </row>
    <row r="179" spans="1:31" ht="36" hidden="1" customHeight="1">
      <c r="A179" s="414"/>
      <c r="B179" s="466" t="s">
        <v>6728</v>
      </c>
      <c r="C179" s="483" t="s">
        <v>4873</v>
      </c>
      <c r="D179" s="483"/>
      <c r="E179" s="483" t="s">
        <v>4874</v>
      </c>
      <c r="F179" s="483" t="s">
        <v>5165</v>
      </c>
      <c r="G179" s="467"/>
      <c r="H179" s="646" t="s">
        <v>6928</v>
      </c>
      <c r="I179" s="467" t="s">
        <v>6738</v>
      </c>
      <c r="J179" s="469">
        <v>45992</v>
      </c>
      <c r="K179" s="429" t="s">
        <v>2493</v>
      </c>
      <c r="L179" s="470"/>
      <c r="M179" s="471" t="s">
        <v>76</v>
      </c>
      <c r="N179" s="467"/>
      <c r="O179" s="472"/>
      <c r="P179" s="467" t="s">
        <v>2494</v>
      </c>
      <c r="Q179" s="472" t="s">
        <v>2494</v>
      </c>
      <c r="R179" s="472" t="s">
        <v>2548</v>
      </c>
      <c r="S179" s="473">
        <v>46052</v>
      </c>
      <c r="T179" s="473">
        <v>46010</v>
      </c>
      <c r="U179" s="473"/>
      <c r="V179" s="474"/>
      <c r="W179" s="474">
        <v>46382</v>
      </c>
      <c r="X179" s="474">
        <v>46052</v>
      </c>
      <c r="Y179" s="420"/>
      <c r="Z179" s="224" t="str">
        <f t="shared" si="12"/>
        <v>AG. MEDIÇÃO</v>
      </c>
      <c r="AA179" s="207" t="str">
        <f t="shared" si="13"/>
        <v>ENTREGUE</v>
      </c>
      <c r="AB179" s="207" t="str">
        <f t="shared" si="14"/>
        <v>AG. MEDIÇÃO</v>
      </c>
      <c r="AC179" s="156">
        <f t="shared" ca="1" si="15"/>
        <v>265</v>
      </c>
      <c r="AD179" s="156" t="str">
        <f t="shared" ca="1" si="16"/>
        <v>ATRASADO</v>
      </c>
      <c r="AE179" s="156">
        <f t="shared" ca="1" si="17"/>
        <v>262</v>
      </c>
    </row>
    <row r="180" spans="1:31" ht="36" hidden="1" customHeight="1">
      <c r="A180" s="414"/>
      <c r="B180" s="440" t="s">
        <v>3572</v>
      </c>
      <c r="C180" s="440" t="s">
        <v>232</v>
      </c>
      <c r="D180" s="440"/>
      <c r="E180" s="440"/>
      <c r="F180" s="440" t="s">
        <v>42</v>
      </c>
      <c r="G180" s="441" t="s">
        <v>3573</v>
      </c>
      <c r="H180" s="440" t="s">
        <v>3574</v>
      </c>
      <c r="I180" s="441"/>
      <c r="J180" s="450">
        <v>45383</v>
      </c>
      <c r="K180" s="429" t="s">
        <v>2493</v>
      </c>
      <c r="L180" s="444" t="s">
        <v>1130</v>
      </c>
      <c r="M180" s="444" t="s">
        <v>714</v>
      </c>
      <c r="N180" s="441" t="s">
        <v>2572</v>
      </c>
      <c r="O180" s="445" t="s">
        <v>85</v>
      </c>
      <c r="P180" s="445"/>
      <c r="Q180" s="441">
        <v>175</v>
      </c>
      <c r="R180" s="445" t="s">
        <v>3575</v>
      </c>
      <c r="S180" s="446">
        <v>45405</v>
      </c>
      <c r="T180" s="446">
        <v>45384</v>
      </c>
      <c r="U180" s="446">
        <v>45386</v>
      </c>
      <c r="V180" s="446">
        <v>45391</v>
      </c>
      <c r="W180" s="447">
        <v>45391</v>
      </c>
      <c r="X180" s="447" t="s">
        <v>8044</v>
      </c>
      <c r="Y180" s="420"/>
      <c r="Z180" s="224" t="str">
        <f t="shared" si="12"/>
        <v>AG. MEDIÇÃO</v>
      </c>
      <c r="AA180" s="207" t="str">
        <f t="shared" si="13"/>
        <v>ENTREGUE</v>
      </c>
      <c r="AB180" s="207" t="str">
        <f t="shared" si="14"/>
        <v>AG. MEDIÇÃO</v>
      </c>
      <c r="AC180" s="156">
        <f t="shared" ca="1" si="15"/>
        <v>5</v>
      </c>
      <c r="AD180" s="156" t="str">
        <f t="shared" ca="1" si="16"/>
        <v>ATRASADO</v>
      </c>
      <c r="AE180" s="156">
        <f t="shared" ca="1" si="17"/>
        <v>2</v>
      </c>
    </row>
    <row r="181" spans="1:31" ht="36" hidden="1" customHeight="1">
      <c r="A181" s="414"/>
      <c r="B181" s="429" t="s">
        <v>8498</v>
      </c>
      <c r="C181" s="429" t="s">
        <v>425</v>
      </c>
      <c r="D181" s="429" t="s">
        <v>530</v>
      </c>
      <c r="E181" s="429" t="s">
        <v>426</v>
      </c>
      <c r="F181" s="429" t="s">
        <v>427</v>
      </c>
      <c r="G181" s="433"/>
      <c r="H181" s="652" t="s">
        <v>8524</v>
      </c>
      <c r="I181" s="433" t="s">
        <v>8525</v>
      </c>
      <c r="J181" s="599">
        <v>46235</v>
      </c>
      <c r="K181" s="429" t="s">
        <v>2493</v>
      </c>
      <c r="L181" s="436"/>
      <c r="M181" s="436" t="s">
        <v>7910</v>
      </c>
      <c r="N181" s="433"/>
      <c r="O181" s="433" t="s">
        <v>85</v>
      </c>
      <c r="P181" s="433" t="s">
        <v>2494</v>
      </c>
      <c r="Q181" s="433" t="s">
        <v>2494</v>
      </c>
      <c r="R181" s="437" t="s">
        <v>8535</v>
      </c>
      <c r="S181" s="438">
        <v>46261</v>
      </c>
      <c r="T181" s="438">
        <v>46260</v>
      </c>
      <c r="U181" s="438"/>
      <c r="V181" s="438"/>
      <c r="W181" s="439">
        <v>46260</v>
      </c>
      <c r="X181" s="439">
        <v>46261</v>
      </c>
      <c r="Y181" s="420"/>
      <c r="Z181" s="224" t="str">
        <f t="shared" si="12"/>
        <v>AG. MEDIÇÃO</v>
      </c>
      <c r="AA181" s="207" t="str">
        <f t="shared" si="13"/>
        <v>ENTREGUE</v>
      </c>
      <c r="AB181" s="207" t="str">
        <f t="shared" si="14"/>
        <v>AG. MEDIÇÃO</v>
      </c>
      <c r="AC181" s="156">
        <f t="shared" ca="1" si="15"/>
        <v>0</v>
      </c>
      <c r="AD181" s="156" t="str">
        <f t="shared" ca="1" si="16"/>
        <v>NO PRAZO</v>
      </c>
      <c r="AE181" s="156">
        <f t="shared" ca="1" si="17"/>
        <v>-3</v>
      </c>
    </row>
    <row r="182" spans="1:31" ht="48" hidden="1" customHeight="1">
      <c r="A182" s="414"/>
      <c r="B182" s="440" t="s">
        <v>5289</v>
      </c>
      <c r="C182" s="440" t="s">
        <v>267</v>
      </c>
      <c r="D182" s="440" t="s">
        <v>1694</v>
      </c>
      <c r="E182" s="440" t="s">
        <v>268</v>
      </c>
      <c r="F182" s="440" t="s">
        <v>42</v>
      </c>
      <c r="G182" s="441" t="s">
        <v>5290</v>
      </c>
      <c r="H182" s="440" t="s">
        <v>5291</v>
      </c>
      <c r="I182" s="441" t="s">
        <v>5292</v>
      </c>
      <c r="J182" s="450">
        <v>45809</v>
      </c>
      <c r="K182" s="429" t="s">
        <v>2493</v>
      </c>
      <c r="L182" s="444"/>
      <c r="M182" s="444" t="s">
        <v>62</v>
      </c>
      <c r="N182" s="441"/>
      <c r="O182" s="445"/>
      <c r="P182" s="441" t="s">
        <v>2494</v>
      </c>
      <c r="Q182" s="445" t="s">
        <v>2494</v>
      </c>
      <c r="R182" s="445" t="s">
        <v>5293</v>
      </c>
      <c r="S182" s="446">
        <v>45845</v>
      </c>
      <c r="T182" s="446">
        <v>45813</v>
      </c>
      <c r="U182" s="446"/>
      <c r="V182" s="447"/>
      <c r="W182" s="447">
        <v>45819</v>
      </c>
      <c r="X182" s="447" t="s">
        <v>8044</v>
      </c>
      <c r="Y182" s="420"/>
      <c r="Z182" s="224" t="str">
        <f t="shared" si="12"/>
        <v>AG. MEDIÇÃO</v>
      </c>
      <c r="AA182" s="207" t="str">
        <f t="shared" si="13"/>
        <v>ENTREGUE</v>
      </c>
      <c r="AB182" s="207" t="str">
        <f t="shared" si="14"/>
        <v>AG. MEDIÇÃO</v>
      </c>
      <c r="AC182" s="156">
        <f t="shared" ca="1" si="15"/>
        <v>4</v>
      </c>
      <c r="AD182" s="156" t="str">
        <f t="shared" ca="1" si="16"/>
        <v>ATRASADO</v>
      </c>
      <c r="AE182" s="156">
        <f t="shared" ca="1" si="17"/>
        <v>1</v>
      </c>
    </row>
    <row r="183" spans="1:31" ht="36" hidden="1" customHeight="1">
      <c r="A183" s="414"/>
      <c r="B183" s="440" t="s">
        <v>3136</v>
      </c>
      <c r="C183" s="440" t="s">
        <v>267</v>
      </c>
      <c r="D183" s="440"/>
      <c r="E183" s="440"/>
      <c r="F183" s="440" t="s">
        <v>42</v>
      </c>
      <c r="G183" s="441" t="s">
        <v>3137</v>
      </c>
      <c r="H183" s="440" t="s">
        <v>3138</v>
      </c>
      <c r="I183" s="449"/>
      <c r="J183" s="450">
        <v>45200</v>
      </c>
      <c r="K183" s="429" t="s">
        <v>2493</v>
      </c>
      <c r="L183" s="444"/>
      <c r="M183" s="444" t="s">
        <v>631</v>
      </c>
      <c r="N183" s="441" t="s">
        <v>2572</v>
      </c>
      <c r="O183" s="445" t="s">
        <v>85</v>
      </c>
      <c r="P183" s="441" t="s">
        <v>2494</v>
      </c>
      <c r="Q183" s="441" t="s">
        <v>2494</v>
      </c>
      <c r="R183" s="445" t="s">
        <v>3139</v>
      </c>
      <c r="S183" s="446">
        <v>45229</v>
      </c>
      <c r="T183" s="446">
        <v>45217</v>
      </c>
      <c r="U183" s="446"/>
      <c r="V183" s="446"/>
      <c r="W183" s="447">
        <v>45219</v>
      </c>
      <c r="X183" s="447" t="s">
        <v>8044</v>
      </c>
      <c r="Y183" s="420"/>
      <c r="Z183" s="224" t="str">
        <f t="shared" si="12"/>
        <v>AG. MEDIÇÃO</v>
      </c>
      <c r="AA183" s="207" t="str">
        <f t="shared" si="13"/>
        <v>ENTREGUE</v>
      </c>
      <c r="AB183" s="207" t="str">
        <f t="shared" si="14"/>
        <v>AG. MEDIÇÃO</v>
      </c>
      <c r="AC183" s="156">
        <f t="shared" ca="1" si="15"/>
        <v>2</v>
      </c>
      <c r="AD183" s="156" t="str">
        <f t="shared" ca="1" si="16"/>
        <v>NO PRAZO</v>
      </c>
      <c r="AE183" s="156">
        <f t="shared" ca="1" si="17"/>
        <v>-1</v>
      </c>
    </row>
    <row r="184" spans="1:31" ht="39.75" hidden="1" customHeight="1">
      <c r="A184" s="414"/>
      <c r="B184" s="429" t="s">
        <v>7288</v>
      </c>
      <c r="C184" s="429" t="s">
        <v>298</v>
      </c>
      <c r="D184" s="429" t="s">
        <v>1253</v>
      </c>
      <c r="E184" s="429" t="s">
        <v>299</v>
      </c>
      <c r="F184" s="429" t="s">
        <v>42</v>
      </c>
      <c r="G184" s="433"/>
      <c r="H184" s="652" t="s">
        <v>7307</v>
      </c>
      <c r="I184" s="433" t="s">
        <v>7308</v>
      </c>
      <c r="J184" s="432">
        <v>46113</v>
      </c>
      <c r="K184" s="429" t="s">
        <v>2493</v>
      </c>
      <c r="L184" s="436" t="s">
        <v>62</v>
      </c>
      <c r="M184" s="436" t="s">
        <v>62</v>
      </c>
      <c r="N184" s="433"/>
      <c r="O184" s="437"/>
      <c r="P184" s="433">
        <v>20</v>
      </c>
      <c r="Q184" s="437">
        <v>18</v>
      </c>
      <c r="R184" s="437" t="s">
        <v>7581</v>
      </c>
      <c r="S184" s="438">
        <v>46154</v>
      </c>
      <c r="T184" s="438">
        <v>46129</v>
      </c>
      <c r="U184" s="438"/>
      <c r="V184" s="439"/>
      <c r="W184" s="439">
        <v>46134</v>
      </c>
      <c r="X184" s="439">
        <v>46154</v>
      </c>
      <c r="Y184" s="420"/>
      <c r="Z184" s="224" t="str">
        <f t="shared" si="12"/>
        <v>AG. MEDIÇÃO</v>
      </c>
      <c r="AA184" s="207" t="str">
        <f t="shared" si="13"/>
        <v>ENTREGUE</v>
      </c>
      <c r="AB184" s="207" t="str">
        <f t="shared" si="14"/>
        <v>AG. MEDIÇÃO</v>
      </c>
      <c r="AC184" s="156">
        <f t="shared" ca="1" si="15"/>
        <v>3</v>
      </c>
      <c r="AD184" s="156" t="str">
        <f t="shared" ca="1" si="16"/>
        <v>NO PRAZO</v>
      </c>
      <c r="AE184" s="156">
        <f t="shared" ca="1" si="17"/>
        <v>0</v>
      </c>
    </row>
    <row r="185" spans="1:31" ht="40.5" hidden="1" customHeight="1">
      <c r="A185" s="414"/>
      <c r="B185" s="440" t="s">
        <v>5814</v>
      </c>
      <c r="C185" s="440" t="s">
        <v>134</v>
      </c>
      <c r="D185" s="440" t="s">
        <v>2037</v>
      </c>
      <c r="E185" s="440" t="s">
        <v>135</v>
      </c>
      <c r="F185" s="440" t="s">
        <v>42</v>
      </c>
      <c r="G185" s="441" t="s">
        <v>5815</v>
      </c>
      <c r="H185" s="639" t="s">
        <v>5816</v>
      </c>
      <c r="I185" s="441" t="s">
        <v>5817</v>
      </c>
      <c r="J185" s="450">
        <v>45931</v>
      </c>
      <c r="K185" s="429" t="s">
        <v>2493</v>
      </c>
      <c r="L185" s="444" t="s">
        <v>147</v>
      </c>
      <c r="M185" s="444" t="s">
        <v>1155</v>
      </c>
      <c r="N185" s="441"/>
      <c r="O185" s="445"/>
      <c r="P185" s="441">
        <v>436</v>
      </c>
      <c r="Q185" s="445">
        <v>462</v>
      </c>
      <c r="R185" s="445" t="s">
        <v>6722</v>
      </c>
      <c r="S185" s="446">
        <v>46011</v>
      </c>
      <c r="T185" s="446">
        <v>45960</v>
      </c>
      <c r="U185" s="446"/>
      <c r="V185" s="447"/>
      <c r="W185" s="447">
        <v>45964</v>
      </c>
      <c r="X185" s="447">
        <v>46011</v>
      </c>
      <c r="Y185" s="420"/>
      <c r="Z185" s="224" t="str">
        <f t="shared" si="12"/>
        <v>AG. MEDIÇÃO</v>
      </c>
      <c r="AA185" s="207" t="str">
        <f t="shared" si="13"/>
        <v>ENTREGUE</v>
      </c>
      <c r="AB185" s="207" t="str">
        <f t="shared" si="14"/>
        <v>AG. MEDIÇÃO</v>
      </c>
      <c r="AC185" s="156">
        <f t="shared" ca="1" si="15"/>
        <v>2</v>
      </c>
      <c r="AD185" s="156" t="str">
        <f t="shared" ca="1" si="16"/>
        <v>NO PRAZO</v>
      </c>
      <c r="AE185" s="156">
        <f t="shared" ca="1" si="17"/>
        <v>-1</v>
      </c>
    </row>
    <row r="186" spans="1:31" ht="36" hidden="1" customHeight="1">
      <c r="A186" s="414"/>
      <c r="B186" s="429" t="s">
        <v>7016</v>
      </c>
      <c r="C186" s="430" t="s">
        <v>134</v>
      </c>
      <c r="D186" s="430" t="s">
        <v>2037</v>
      </c>
      <c r="E186" s="432" t="s">
        <v>135</v>
      </c>
      <c r="F186" s="429" t="s">
        <v>42</v>
      </c>
      <c r="G186" s="434" t="s">
        <v>6991</v>
      </c>
      <c r="H186" s="636" t="s">
        <v>6865</v>
      </c>
      <c r="I186" s="433" t="s">
        <v>5817</v>
      </c>
      <c r="J186" s="432">
        <v>46054</v>
      </c>
      <c r="K186" s="429" t="s">
        <v>2493</v>
      </c>
      <c r="L186" s="436" t="s">
        <v>94</v>
      </c>
      <c r="M186" s="436" t="s">
        <v>7060</v>
      </c>
      <c r="N186" s="433"/>
      <c r="O186" s="437"/>
      <c r="P186" s="433">
        <v>432</v>
      </c>
      <c r="Q186" s="437">
        <v>451</v>
      </c>
      <c r="R186" s="437" t="s">
        <v>7061</v>
      </c>
      <c r="S186" s="438">
        <v>46059</v>
      </c>
      <c r="T186" s="438">
        <v>46058</v>
      </c>
      <c r="U186" s="438"/>
      <c r="V186" s="439"/>
      <c r="W186" s="439">
        <v>46059</v>
      </c>
      <c r="X186" s="439">
        <v>46059</v>
      </c>
      <c r="Y186" s="420"/>
      <c r="Z186" s="224" t="str">
        <f t="shared" si="12"/>
        <v>AG. MEDIÇÃO</v>
      </c>
      <c r="AA186" s="207" t="str">
        <f t="shared" si="13"/>
        <v>ENTREGUE</v>
      </c>
      <c r="AB186" s="207" t="str">
        <f t="shared" si="14"/>
        <v>AG. MEDIÇÃO</v>
      </c>
      <c r="AC186" s="156">
        <f t="shared" ca="1" si="15"/>
        <v>1</v>
      </c>
      <c r="AD186" s="156" t="str">
        <f t="shared" ca="1" si="16"/>
        <v>NO PRAZO</v>
      </c>
      <c r="AE186" s="156">
        <f t="shared" ca="1" si="17"/>
        <v>-2</v>
      </c>
    </row>
    <row r="187" spans="1:31" ht="36" hidden="1" customHeight="1">
      <c r="A187" s="414"/>
      <c r="B187" s="429" t="s">
        <v>7571</v>
      </c>
      <c r="C187" s="430" t="s">
        <v>293</v>
      </c>
      <c r="D187" s="431" t="s">
        <v>5619</v>
      </c>
      <c r="E187" s="432" t="s">
        <v>842</v>
      </c>
      <c r="F187" s="429" t="s">
        <v>42</v>
      </c>
      <c r="G187" s="434" t="s">
        <v>7574</v>
      </c>
      <c r="H187" s="636" t="s">
        <v>7575</v>
      </c>
      <c r="I187" s="433" t="s">
        <v>7576</v>
      </c>
      <c r="J187" s="432">
        <v>46143</v>
      </c>
      <c r="K187" s="429" t="s">
        <v>2493</v>
      </c>
      <c r="L187" s="487"/>
      <c r="M187" s="436" t="s">
        <v>77</v>
      </c>
      <c r="N187" s="433"/>
      <c r="O187" s="437"/>
      <c r="P187" s="433" t="s">
        <v>2494</v>
      </c>
      <c r="Q187" s="437" t="s">
        <v>2494</v>
      </c>
      <c r="R187" s="437" t="s">
        <v>7873</v>
      </c>
      <c r="S187" s="438">
        <v>46191</v>
      </c>
      <c r="T187" s="438">
        <v>46163</v>
      </c>
      <c r="U187" s="438"/>
      <c r="V187" s="439"/>
      <c r="W187" s="439">
        <v>46163</v>
      </c>
      <c r="X187" s="439">
        <v>46191</v>
      </c>
      <c r="Y187" s="420"/>
      <c r="Z187" s="224" t="str">
        <f t="shared" si="12"/>
        <v>AG. MEDIÇÃO</v>
      </c>
      <c r="AA187" s="207" t="str">
        <f t="shared" si="13"/>
        <v>ENTREGUE</v>
      </c>
      <c r="AB187" s="207" t="str">
        <f t="shared" si="14"/>
        <v>AG. MEDIÇÃO</v>
      </c>
      <c r="AC187" s="156">
        <f t="shared" ca="1" si="15"/>
        <v>0</v>
      </c>
      <c r="AD187" s="156" t="str">
        <f t="shared" ca="1" si="16"/>
        <v>NO PRAZO</v>
      </c>
      <c r="AE187" s="156">
        <f t="shared" ca="1" si="17"/>
        <v>-3</v>
      </c>
    </row>
    <row r="188" spans="1:31" ht="36" hidden="1" customHeight="1">
      <c r="A188" s="414"/>
      <c r="B188" s="429" t="s">
        <v>7840</v>
      </c>
      <c r="C188" s="430" t="s">
        <v>79</v>
      </c>
      <c r="D188" s="431"/>
      <c r="E188" s="432" t="s">
        <v>619</v>
      </c>
      <c r="F188" s="429" t="s">
        <v>42</v>
      </c>
      <c r="G188" s="434"/>
      <c r="H188" s="636" t="s">
        <v>7852</v>
      </c>
      <c r="I188" s="433" t="s">
        <v>7853</v>
      </c>
      <c r="J188" s="432">
        <v>46174</v>
      </c>
      <c r="K188" s="429" t="s">
        <v>2493</v>
      </c>
      <c r="L188" s="436"/>
      <c r="M188" s="436" t="s">
        <v>62</v>
      </c>
      <c r="N188" s="433"/>
      <c r="O188" s="437" t="s">
        <v>85</v>
      </c>
      <c r="P188" s="433" t="s">
        <v>2494</v>
      </c>
      <c r="Q188" s="437" t="s">
        <v>2494</v>
      </c>
      <c r="R188" s="437" t="s">
        <v>8140</v>
      </c>
      <c r="S188" s="438">
        <v>46244</v>
      </c>
      <c r="T188" s="438">
        <v>46189</v>
      </c>
      <c r="U188" s="438"/>
      <c r="V188" s="439"/>
      <c r="W188" s="439">
        <v>46197</v>
      </c>
      <c r="X188" s="439">
        <v>46244</v>
      </c>
      <c r="Y188" s="420"/>
      <c r="Z188" s="224" t="str">
        <f t="shared" si="12"/>
        <v>AG. MEDIÇÃO</v>
      </c>
      <c r="AA188" s="207" t="str">
        <f t="shared" si="13"/>
        <v>ENTREGUE</v>
      </c>
      <c r="AB188" s="207" t="str">
        <f t="shared" si="14"/>
        <v>AG. MEDIÇÃO</v>
      </c>
      <c r="AC188" s="156">
        <f t="shared" ca="1" si="15"/>
        <v>6</v>
      </c>
      <c r="AD188" s="156" t="str">
        <f t="shared" ca="1" si="16"/>
        <v>ATRASADO</v>
      </c>
      <c r="AE188" s="156">
        <f t="shared" ca="1" si="17"/>
        <v>3</v>
      </c>
    </row>
    <row r="189" spans="1:31" ht="36" hidden="1" customHeight="1">
      <c r="A189" s="414"/>
      <c r="B189" s="440" t="s">
        <v>3352</v>
      </c>
      <c r="C189" s="440" t="s">
        <v>571</v>
      </c>
      <c r="D189" s="440"/>
      <c r="E189" s="440"/>
      <c r="F189" s="440" t="s">
        <v>42</v>
      </c>
      <c r="G189" s="441" t="s">
        <v>3353</v>
      </c>
      <c r="H189" s="440" t="s">
        <v>3354</v>
      </c>
      <c r="I189" s="449"/>
      <c r="J189" s="450">
        <v>45261</v>
      </c>
      <c r="K189" s="429" t="s">
        <v>2493</v>
      </c>
      <c r="L189" s="449"/>
      <c r="M189" s="457" t="s">
        <v>774</v>
      </c>
      <c r="N189" s="441" t="s">
        <v>2572</v>
      </c>
      <c r="O189" s="445" t="s">
        <v>85</v>
      </c>
      <c r="P189" s="441" t="s">
        <v>2494</v>
      </c>
      <c r="Q189" s="441" t="s">
        <v>2494</v>
      </c>
      <c r="R189" s="445" t="s">
        <v>3191</v>
      </c>
      <c r="S189" s="446">
        <v>45300</v>
      </c>
      <c r="T189" s="446">
        <v>45287</v>
      </c>
      <c r="U189" s="446"/>
      <c r="V189" s="446">
        <v>45293</v>
      </c>
      <c r="W189" s="446">
        <v>45295</v>
      </c>
      <c r="X189" s="447" t="s">
        <v>8044</v>
      </c>
      <c r="Y189" s="420"/>
      <c r="Z189" s="224" t="str">
        <f t="shared" si="12"/>
        <v>AG. MEDIÇÃO</v>
      </c>
      <c r="AA189" s="207" t="str">
        <f t="shared" si="13"/>
        <v>ENTREGUE</v>
      </c>
      <c r="AB189" s="207" t="str">
        <f t="shared" si="14"/>
        <v>AG. MEDIÇÃO</v>
      </c>
      <c r="AC189" s="156">
        <f t="shared" ca="1" si="15"/>
        <v>6</v>
      </c>
      <c r="AD189" s="156" t="str">
        <f t="shared" ca="1" si="16"/>
        <v>ATRASADO</v>
      </c>
      <c r="AE189" s="156">
        <f t="shared" ca="1" si="17"/>
        <v>3</v>
      </c>
    </row>
    <row r="190" spans="1:31" ht="36" hidden="1" customHeight="1">
      <c r="A190" s="414"/>
      <c r="B190" s="440" t="s">
        <v>5401</v>
      </c>
      <c r="C190" s="440" t="s">
        <v>571</v>
      </c>
      <c r="D190" s="440" t="s">
        <v>1891</v>
      </c>
      <c r="E190" s="440" t="s">
        <v>572</v>
      </c>
      <c r="F190" s="440" t="s">
        <v>42</v>
      </c>
      <c r="G190" s="441" t="s">
        <v>5402</v>
      </c>
      <c r="H190" s="440" t="s">
        <v>5403</v>
      </c>
      <c r="I190" s="441" t="s">
        <v>5404</v>
      </c>
      <c r="J190" s="450">
        <v>45809</v>
      </c>
      <c r="K190" s="429" t="s">
        <v>2493</v>
      </c>
      <c r="L190" s="444" t="s">
        <v>124</v>
      </c>
      <c r="M190" s="444" t="s">
        <v>51</v>
      </c>
      <c r="N190" s="441"/>
      <c r="O190" s="445"/>
      <c r="P190" s="441"/>
      <c r="Q190" s="445"/>
      <c r="R190" s="445" t="s">
        <v>5405</v>
      </c>
      <c r="S190" s="446" t="s">
        <v>1891</v>
      </c>
      <c r="T190" s="446">
        <v>45824</v>
      </c>
      <c r="U190" s="446"/>
      <c r="V190" s="447"/>
      <c r="W190" s="447"/>
      <c r="X190" s="447" t="s">
        <v>8044</v>
      </c>
      <c r="Y190" s="420"/>
      <c r="Z190" s="224" t="str">
        <f t="shared" si="12"/>
        <v>AG. MEDIÇÃO</v>
      </c>
      <c r="AA190" s="207" t="str">
        <f t="shared" si="13"/>
        <v>ENTREGUE</v>
      </c>
      <c r="AB190" s="207" t="str">
        <f t="shared" si="14"/>
        <v>AG. MEDIÇÃO</v>
      </c>
      <c r="AC190" s="156">
        <f t="shared" ca="1" si="15"/>
        <v>327</v>
      </c>
      <c r="AD190" s="156" t="str">
        <f t="shared" ca="1" si="16"/>
        <v>ATRASADO</v>
      </c>
      <c r="AE190" s="156">
        <f t="shared" ca="1" si="17"/>
        <v>324</v>
      </c>
    </row>
    <row r="191" spans="1:31" ht="36" hidden="1" customHeight="1">
      <c r="A191" s="414"/>
      <c r="B191" s="440" t="s">
        <v>4832</v>
      </c>
      <c r="C191" s="440" t="s">
        <v>571</v>
      </c>
      <c r="D191" s="440" t="s">
        <v>1824</v>
      </c>
      <c r="E191" s="440" t="s">
        <v>572</v>
      </c>
      <c r="F191" s="440" t="s">
        <v>42</v>
      </c>
      <c r="G191" s="441" t="s">
        <v>4833</v>
      </c>
      <c r="H191" s="440" t="s">
        <v>4834</v>
      </c>
      <c r="I191" s="441" t="s">
        <v>4835</v>
      </c>
      <c r="J191" s="450">
        <v>45689</v>
      </c>
      <c r="K191" s="429" t="s">
        <v>2493</v>
      </c>
      <c r="L191" s="444" t="s">
        <v>200</v>
      </c>
      <c r="M191" s="444" t="s">
        <v>200</v>
      </c>
      <c r="N191" s="441" t="s">
        <v>2572</v>
      </c>
      <c r="O191" s="445" t="s">
        <v>3350</v>
      </c>
      <c r="P191" s="441">
        <v>924</v>
      </c>
      <c r="Q191" s="445">
        <v>924</v>
      </c>
      <c r="R191" s="445" t="s">
        <v>4836</v>
      </c>
      <c r="S191" s="446">
        <v>45785</v>
      </c>
      <c r="T191" s="446">
        <v>45705</v>
      </c>
      <c r="U191" s="446">
        <v>45708</v>
      </c>
      <c r="V191" s="447">
        <v>45742</v>
      </c>
      <c r="W191" s="447">
        <v>45742</v>
      </c>
      <c r="X191" s="447" t="s">
        <v>8044</v>
      </c>
      <c r="Y191" s="420"/>
      <c r="Z191" s="224" t="str">
        <f t="shared" si="12"/>
        <v>AG. MEDIÇÃO</v>
      </c>
      <c r="AA191" s="207" t="str">
        <f t="shared" si="13"/>
        <v>ENTREGUE</v>
      </c>
      <c r="AB191" s="207" t="str">
        <f t="shared" si="14"/>
        <v>AG. MEDIÇÃO</v>
      </c>
      <c r="AC191" s="156">
        <f t="shared" ca="1" si="15"/>
        <v>27</v>
      </c>
      <c r="AD191" s="156" t="str">
        <f t="shared" ca="1" si="16"/>
        <v>ATRASADO</v>
      </c>
      <c r="AE191" s="156">
        <f t="shared" ca="1" si="17"/>
        <v>24</v>
      </c>
    </row>
    <row r="192" spans="1:31" ht="36" hidden="1" customHeight="1">
      <c r="A192" s="414"/>
      <c r="B192" s="440" t="s">
        <v>3435</v>
      </c>
      <c r="C192" s="440" t="s">
        <v>311</v>
      </c>
      <c r="D192" s="440" t="s">
        <v>313</v>
      </c>
      <c r="E192" s="440" t="s">
        <v>312</v>
      </c>
      <c r="F192" s="440" t="s">
        <v>312</v>
      </c>
      <c r="G192" s="441" t="s">
        <v>3436</v>
      </c>
      <c r="H192" s="440" t="s">
        <v>3437</v>
      </c>
      <c r="I192" s="441" t="s">
        <v>3438</v>
      </c>
      <c r="J192" s="450">
        <v>45323</v>
      </c>
      <c r="K192" s="429" t="s">
        <v>2493</v>
      </c>
      <c r="L192" s="444" t="s">
        <v>1167</v>
      </c>
      <c r="M192" s="444" t="s">
        <v>1167</v>
      </c>
      <c r="N192" s="441" t="s">
        <v>2572</v>
      </c>
      <c r="O192" s="445" t="s">
        <v>85</v>
      </c>
      <c r="P192" s="445"/>
      <c r="Q192" s="441">
        <v>1171</v>
      </c>
      <c r="R192" s="445" t="s">
        <v>3439</v>
      </c>
      <c r="S192" s="446">
        <v>45350</v>
      </c>
      <c r="T192" s="446">
        <v>45345</v>
      </c>
      <c r="U192" s="446">
        <v>45346</v>
      </c>
      <c r="V192" s="446">
        <v>45349</v>
      </c>
      <c r="W192" s="447">
        <v>45349</v>
      </c>
      <c r="X192" s="447" t="s">
        <v>8044</v>
      </c>
      <c r="Y192" s="420"/>
      <c r="Z192" s="224" t="str">
        <f t="shared" si="12"/>
        <v>AG. MEDIÇÃO</v>
      </c>
      <c r="AA192" s="207" t="str">
        <f t="shared" si="13"/>
        <v>ENTREGUE</v>
      </c>
      <c r="AB192" s="207" t="str">
        <f t="shared" si="14"/>
        <v>AG. MEDIÇÃO</v>
      </c>
      <c r="AC192" s="156">
        <f t="shared" ca="1" si="15"/>
        <v>2</v>
      </c>
      <c r="AD192" s="156" t="str">
        <f t="shared" ca="1" si="16"/>
        <v>NO PRAZO</v>
      </c>
      <c r="AE192" s="156">
        <f t="shared" ca="1" si="17"/>
        <v>-1</v>
      </c>
    </row>
    <row r="193" spans="1:31" ht="36" hidden="1" customHeight="1">
      <c r="A193" s="414"/>
      <c r="B193" s="440" t="s">
        <v>5324</v>
      </c>
      <c r="C193" s="440" t="s">
        <v>241</v>
      </c>
      <c r="D193" s="440" t="s">
        <v>1141</v>
      </c>
      <c r="E193" s="440" t="s">
        <v>242</v>
      </c>
      <c r="F193" s="440" t="s">
        <v>42</v>
      </c>
      <c r="G193" s="441" t="s">
        <v>5325</v>
      </c>
      <c r="H193" s="440" t="s">
        <v>5326</v>
      </c>
      <c r="I193" s="441" t="s">
        <v>5327</v>
      </c>
      <c r="J193" s="450">
        <v>45809</v>
      </c>
      <c r="K193" s="429" t="s">
        <v>2493</v>
      </c>
      <c r="L193" s="444"/>
      <c r="M193" s="444" t="s">
        <v>62</v>
      </c>
      <c r="N193" s="441"/>
      <c r="O193" s="445"/>
      <c r="P193" s="441" t="s">
        <v>2494</v>
      </c>
      <c r="Q193" s="445" t="s">
        <v>2494</v>
      </c>
      <c r="R193" s="445" t="s">
        <v>5328</v>
      </c>
      <c r="S193" s="446">
        <v>45826</v>
      </c>
      <c r="T193" s="446">
        <v>45817</v>
      </c>
      <c r="U193" s="446"/>
      <c r="V193" s="447"/>
      <c r="W193" s="447">
        <v>45820</v>
      </c>
      <c r="X193" s="447" t="s">
        <v>8044</v>
      </c>
      <c r="Y193" s="420"/>
      <c r="Z193" s="224" t="str">
        <f t="shared" si="12"/>
        <v>AG. MEDIÇÃO</v>
      </c>
      <c r="AA193" s="207" t="str">
        <f t="shared" si="13"/>
        <v>ENTREGUE</v>
      </c>
      <c r="AB193" s="207" t="str">
        <f t="shared" si="14"/>
        <v>AG. MEDIÇÃO</v>
      </c>
      <c r="AC193" s="156">
        <f t="shared" ca="1" si="15"/>
        <v>3</v>
      </c>
      <c r="AD193" s="156" t="str">
        <f t="shared" ca="1" si="16"/>
        <v>NO PRAZO</v>
      </c>
      <c r="AE193" s="156">
        <f t="shared" ca="1" si="17"/>
        <v>0</v>
      </c>
    </row>
    <row r="194" spans="1:31" ht="34.5" hidden="1" customHeight="1">
      <c r="A194" s="414"/>
      <c r="B194" s="440" t="s">
        <v>5334</v>
      </c>
      <c r="C194" s="440" t="s">
        <v>241</v>
      </c>
      <c r="D194" s="440" t="s">
        <v>1141</v>
      </c>
      <c r="E194" s="440" t="s">
        <v>242</v>
      </c>
      <c r="F194" s="440" t="s">
        <v>42</v>
      </c>
      <c r="G194" s="441" t="s">
        <v>5335</v>
      </c>
      <c r="H194" s="440" t="s">
        <v>5336</v>
      </c>
      <c r="I194" s="441" t="s">
        <v>5337</v>
      </c>
      <c r="J194" s="450">
        <v>45809</v>
      </c>
      <c r="K194" s="429" t="s">
        <v>2493</v>
      </c>
      <c r="L194" s="444"/>
      <c r="M194" s="444" t="s">
        <v>62</v>
      </c>
      <c r="N194" s="441"/>
      <c r="O194" s="445"/>
      <c r="P194" s="441" t="s">
        <v>2494</v>
      </c>
      <c r="Q194" s="445" t="s">
        <v>2494</v>
      </c>
      <c r="R194" s="445" t="s">
        <v>5328</v>
      </c>
      <c r="S194" s="446">
        <v>45826</v>
      </c>
      <c r="T194" s="446">
        <v>45817</v>
      </c>
      <c r="U194" s="446"/>
      <c r="V194" s="447"/>
      <c r="W194" s="447">
        <v>45820</v>
      </c>
      <c r="X194" s="447" t="s">
        <v>8044</v>
      </c>
      <c r="Y194" s="420"/>
      <c r="Z194" s="224" t="str">
        <f t="shared" si="12"/>
        <v>AG. MEDIÇÃO</v>
      </c>
      <c r="AA194" s="207" t="str">
        <f t="shared" si="13"/>
        <v>ENTREGUE</v>
      </c>
      <c r="AB194" s="207" t="str">
        <f t="shared" si="14"/>
        <v>AG. MEDIÇÃO</v>
      </c>
      <c r="AC194" s="156">
        <f t="shared" ca="1" si="15"/>
        <v>3</v>
      </c>
      <c r="AD194" s="156" t="str">
        <f t="shared" ca="1" si="16"/>
        <v>NO PRAZO</v>
      </c>
      <c r="AE194" s="156">
        <f t="shared" ca="1" si="17"/>
        <v>0</v>
      </c>
    </row>
    <row r="195" spans="1:31" ht="34.5" hidden="1" customHeight="1">
      <c r="A195" s="414"/>
      <c r="B195" s="440" t="s">
        <v>5329</v>
      </c>
      <c r="C195" s="440" t="s">
        <v>241</v>
      </c>
      <c r="D195" s="440" t="s">
        <v>1141</v>
      </c>
      <c r="E195" s="440" t="s">
        <v>242</v>
      </c>
      <c r="F195" s="440" t="s">
        <v>42</v>
      </c>
      <c r="G195" s="441" t="s">
        <v>5330</v>
      </c>
      <c r="H195" s="440" t="s">
        <v>5331</v>
      </c>
      <c r="I195" s="441" t="s">
        <v>5332</v>
      </c>
      <c r="J195" s="450">
        <v>45809</v>
      </c>
      <c r="K195" s="429" t="s">
        <v>2493</v>
      </c>
      <c r="L195" s="444" t="s">
        <v>1208</v>
      </c>
      <c r="M195" s="444" t="s">
        <v>62</v>
      </c>
      <c r="N195" s="441"/>
      <c r="O195" s="445"/>
      <c r="P195" s="441">
        <v>260</v>
      </c>
      <c r="Q195" s="445">
        <v>270</v>
      </c>
      <c r="R195" s="445" t="s">
        <v>5333</v>
      </c>
      <c r="S195" s="446">
        <v>45826</v>
      </c>
      <c r="T195" s="446">
        <v>45817</v>
      </c>
      <c r="U195" s="446"/>
      <c r="V195" s="447"/>
      <c r="W195" s="447">
        <v>45820</v>
      </c>
      <c r="X195" s="447" t="s">
        <v>8044</v>
      </c>
      <c r="Y195" s="420"/>
      <c r="Z195" s="224" t="str">
        <f t="shared" si="12"/>
        <v>AG. MEDIÇÃO</v>
      </c>
      <c r="AA195" s="207" t="str">
        <f t="shared" si="13"/>
        <v>ENTREGUE</v>
      </c>
      <c r="AB195" s="207" t="str">
        <f t="shared" si="14"/>
        <v>AG. MEDIÇÃO</v>
      </c>
      <c r="AC195" s="156">
        <f t="shared" ca="1" si="15"/>
        <v>3</v>
      </c>
      <c r="AD195" s="156" t="str">
        <f t="shared" ca="1" si="16"/>
        <v>NO PRAZO</v>
      </c>
      <c r="AE195" s="156">
        <f t="shared" ca="1" si="17"/>
        <v>0</v>
      </c>
    </row>
    <row r="196" spans="1:31" ht="34.5" hidden="1" customHeight="1">
      <c r="A196" s="414"/>
      <c r="B196" s="429" t="s">
        <v>8128</v>
      </c>
      <c r="C196" s="429" t="s">
        <v>600</v>
      </c>
      <c r="D196" s="429" t="s">
        <v>1373</v>
      </c>
      <c r="E196" s="429" t="s">
        <v>601</v>
      </c>
      <c r="F196" s="429" t="s">
        <v>42</v>
      </c>
      <c r="G196" s="433" t="s">
        <v>8178</v>
      </c>
      <c r="H196" s="429" t="s">
        <v>8179</v>
      </c>
      <c r="I196" s="433" t="s">
        <v>8180</v>
      </c>
      <c r="J196" s="432">
        <v>46204</v>
      </c>
      <c r="K196" s="429" t="s">
        <v>2493</v>
      </c>
      <c r="L196" s="436"/>
      <c r="M196" s="436" t="s">
        <v>62</v>
      </c>
      <c r="N196" s="437"/>
      <c r="O196" s="437" t="s">
        <v>85</v>
      </c>
      <c r="P196" s="437" t="s">
        <v>2494</v>
      </c>
      <c r="Q196" s="433" t="s">
        <v>2494</v>
      </c>
      <c r="R196" s="499" t="s">
        <v>8218</v>
      </c>
      <c r="S196" s="438">
        <v>46252</v>
      </c>
      <c r="T196" s="438">
        <v>46224</v>
      </c>
      <c r="U196" s="438"/>
      <c r="V196" s="438"/>
      <c r="W196" s="439">
        <v>46227</v>
      </c>
      <c r="X196" s="439">
        <v>46252</v>
      </c>
      <c r="Y196" s="420"/>
      <c r="Z196" s="224" t="str">
        <f t="shared" si="12"/>
        <v>AG. MEDIÇÃO</v>
      </c>
      <c r="AA196" s="207" t="str">
        <f t="shared" si="13"/>
        <v>ENTREGUE</v>
      </c>
      <c r="AB196" s="207" t="str">
        <f t="shared" si="14"/>
        <v>AG. MEDIÇÃO</v>
      </c>
      <c r="AC196" s="156">
        <f t="shared" ca="1" si="15"/>
        <v>3</v>
      </c>
      <c r="AD196" s="156" t="str">
        <f t="shared" ca="1" si="16"/>
        <v>NO PRAZO</v>
      </c>
      <c r="AE196" s="156">
        <f t="shared" ca="1" si="17"/>
        <v>0</v>
      </c>
    </row>
    <row r="197" spans="1:31" ht="34.5" hidden="1" customHeight="1">
      <c r="A197" s="414"/>
      <c r="B197" s="440" t="s">
        <v>4915</v>
      </c>
      <c r="C197" s="440" t="s">
        <v>373</v>
      </c>
      <c r="D197" s="440"/>
      <c r="E197" s="440" t="s">
        <v>671</v>
      </c>
      <c r="F197" s="440" t="s">
        <v>42</v>
      </c>
      <c r="G197" s="441" t="s">
        <v>4916</v>
      </c>
      <c r="H197" s="440" t="s">
        <v>4917</v>
      </c>
      <c r="I197" s="441" t="s">
        <v>4918</v>
      </c>
      <c r="J197" s="450">
        <v>45717</v>
      </c>
      <c r="K197" s="429" t="s">
        <v>2493</v>
      </c>
      <c r="L197" s="444"/>
      <c r="M197" s="444" t="s">
        <v>132</v>
      </c>
      <c r="N197" s="441" t="s">
        <v>2572</v>
      </c>
      <c r="O197" s="445" t="s">
        <v>3350</v>
      </c>
      <c r="P197" s="441" t="s">
        <v>2494</v>
      </c>
      <c r="Q197" s="445" t="s">
        <v>2494</v>
      </c>
      <c r="R197" s="445" t="s">
        <v>4919</v>
      </c>
      <c r="S197" s="446">
        <v>45734</v>
      </c>
      <c r="T197" s="446">
        <v>45727</v>
      </c>
      <c r="U197" s="446">
        <v>45729</v>
      </c>
      <c r="V197" s="447">
        <v>45730</v>
      </c>
      <c r="W197" s="447">
        <v>45730</v>
      </c>
      <c r="X197" s="447" t="s">
        <v>8044</v>
      </c>
      <c r="Y197" s="420"/>
      <c r="Z197" s="224" t="str">
        <f t="shared" ref="Z197:Z260" si="18">IF(K197="CANCELADO","CANCELADO",IF(AA197="PENDENTE","AG. RELATÓRIO",IF(S197="SIM","AG. MEDIÇÃO",IF(S197&gt;0,"AG. MEDIÇÃO","PENDENTE"))))</f>
        <v>AG. MEDIÇÃO</v>
      </c>
      <c r="AA197" s="207" t="str">
        <f t="shared" ref="AA197:AA260" si="19">IF(K197="CANCELADO","CANCELADO",IF(X197="","PENDENTE","ENTREGUE"))</f>
        <v>ENTREGUE</v>
      </c>
      <c r="AB197" s="207" t="str">
        <f t="shared" ref="AB197:AB260" si="20">IF(K197="SEM SINAL","SEM SINAL",IF(K197="PARALISADO","PARALISADO",IF(Z197="PENDENTE","AG. MEDIÇÃO",IF(K197="CANCELADO","CANCELADO",Z197))))</f>
        <v>AG. MEDIÇÃO</v>
      </c>
      <c r="AC197" s="156">
        <f t="shared" ref="AC197:AC260" ca="1" si="21">IFERROR(IF(K197="CANCELADO","CANCELADO",IF(T197="","DATA ENTRADA",IF(AND(T197&gt;0,W197=""),NETWORKDAYS(T197,TODAY())-1,NETWORKDAYS(T197,W197)-1))),"CHECAR DATA")</f>
        <v>3</v>
      </c>
      <c r="AD197" s="156" t="str">
        <f t="shared" ref="AD197:AD260" ca="1" si="22">IF(AC197&lt;=3,"NO PRAZO","ATRASADO")</f>
        <v>NO PRAZO</v>
      </c>
      <c r="AE197" s="156">
        <f t="shared" ref="AE197:AE260" ca="1" si="23">IFERROR(AC197-3,AC197)</f>
        <v>0</v>
      </c>
    </row>
    <row r="198" spans="1:31" ht="34.5" hidden="1" customHeight="1">
      <c r="A198" s="414"/>
      <c r="B198" s="440" t="s">
        <v>5476</v>
      </c>
      <c r="C198" s="440" t="s">
        <v>1339</v>
      </c>
      <c r="D198" s="440" t="s">
        <v>5477</v>
      </c>
      <c r="E198" s="440" t="s">
        <v>1340</v>
      </c>
      <c r="F198" s="440" t="s">
        <v>5478</v>
      </c>
      <c r="G198" s="441" t="s">
        <v>5479</v>
      </c>
      <c r="H198" s="440" t="s">
        <v>5480</v>
      </c>
      <c r="I198" s="441"/>
      <c r="J198" s="450">
        <v>45778</v>
      </c>
      <c r="K198" s="429" t="s">
        <v>2493</v>
      </c>
      <c r="L198" s="444" t="s">
        <v>67</v>
      </c>
      <c r="M198" s="444" t="s">
        <v>1764</v>
      </c>
      <c r="N198" s="441"/>
      <c r="O198" s="445"/>
      <c r="P198" s="441">
        <v>2400</v>
      </c>
      <c r="Q198" s="445"/>
      <c r="R198" s="445" t="s">
        <v>5481</v>
      </c>
      <c r="S198" s="446">
        <v>45852</v>
      </c>
      <c r="T198" s="446">
        <v>45805</v>
      </c>
      <c r="U198" s="446"/>
      <c r="V198" s="447"/>
      <c r="W198" s="447"/>
      <c r="X198" s="447" t="s">
        <v>8044</v>
      </c>
      <c r="Y198" s="420"/>
      <c r="Z198" s="224" t="str">
        <f t="shared" si="18"/>
        <v>AG. MEDIÇÃO</v>
      </c>
      <c r="AA198" s="207" t="str">
        <f t="shared" si="19"/>
        <v>ENTREGUE</v>
      </c>
      <c r="AB198" s="207" t="str">
        <f t="shared" si="20"/>
        <v>AG. MEDIÇÃO</v>
      </c>
      <c r="AC198" s="156">
        <f t="shared" ca="1" si="21"/>
        <v>340</v>
      </c>
      <c r="AD198" s="156" t="str">
        <f t="shared" ca="1" si="22"/>
        <v>ATRASADO</v>
      </c>
      <c r="AE198" s="156">
        <f t="shared" ca="1" si="23"/>
        <v>337</v>
      </c>
    </row>
    <row r="199" spans="1:31" ht="34.5" hidden="1" customHeight="1">
      <c r="A199" s="414"/>
      <c r="B199" s="440" t="s">
        <v>3372</v>
      </c>
      <c r="C199" s="440" t="s">
        <v>373</v>
      </c>
      <c r="D199" s="440"/>
      <c r="E199" s="440"/>
      <c r="F199" s="440" t="s">
        <v>42</v>
      </c>
      <c r="G199" s="441" t="s">
        <v>3373</v>
      </c>
      <c r="H199" s="440" t="s">
        <v>3374</v>
      </c>
      <c r="I199" s="441"/>
      <c r="J199" s="450">
        <v>45261</v>
      </c>
      <c r="K199" s="429" t="s">
        <v>2493</v>
      </c>
      <c r="L199" s="444"/>
      <c r="M199" s="444" t="s">
        <v>51</v>
      </c>
      <c r="N199" s="441" t="s">
        <v>2572</v>
      </c>
      <c r="O199" s="445" t="s">
        <v>85</v>
      </c>
      <c r="P199" s="441" t="s">
        <v>2494</v>
      </c>
      <c r="Q199" s="441" t="s">
        <v>2494</v>
      </c>
      <c r="R199" s="445" t="s">
        <v>3375</v>
      </c>
      <c r="S199" s="446">
        <v>45300</v>
      </c>
      <c r="T199" s="446">
        <v>44923</v>
      </c>
      <c r="U199" s="446"/>
      <c r="V199" s="446">
        <v>45289</v>
      </c>
      <c r="W199" s="447">
        <v>44930</v>
      </c>
      <c r="X199" s="447" t="s">
        <v>8044</v>
      </c>
      <c r="Y199" s="420"/>
      <c r="Z199" s="224" t="str">
        <f t="shared" si="18"/>
        <v>AG. MEDIÇÃO</v>
      </c>
      <c r="AA199" s="207" t="str">
        <f t="shared" si="19"/>
        <v>ENTREGUE</v>
      </c>
      <c r="AB199" s="207" t="str">
        <f t="shared" si="20"/>
        <v>AG. MEDIÇÃO</v>
      </c>
      <c r="AC199" s="156">
        <f t="shared" ca="1" si="21"/>
        <v>5</v>
      </c>
      <c r="AD199" s="156" t="str">
        <f t="shared" ca="1" si="22"/>
        <v>ATRASADO</v>
      </c>
      <c r="AE199" s="156">
        <f t="shared" ca="1" si="23"/>
        <v>2</v>
      </c>
    </row>
    <row r="200" spans="1:31" ht="36" hidden="1" customHeight="1">
      <c r="A200" s="414"/>
      <c r="B200" s="440" t="s">
        <v>3200</v>
      </c>
      <c r="C200" s="440" t="s">
        <v>241</v>
      </c>
      <c r="D200" s="440"/>
      <c r="E200" s="440"/>
      <c r="F200" s="440" t="s">
        <v>42</v>
      </c>
      <c r="G200" s="441" t="s">
        <v>3201</v>
      </c>
      <c r="H200" s="440" t="s">
        <v>3202</v>
      </c>
      <c r="I200" s="449"/>
      <c r="J200" s="450">
        <v>45231</v>
      </c>
      <c r="K200" s="429" t="s">
        <v>2493</v>
      </c>
      <c r="L200" s="444"/>
      <c r="M200" s="444" t="s">
        <v>774</v>
      </c>
      <c r="N200" s="441" t="s">
        <v>2572</v>
      </c>
      <c r="O200" s="445" t="s">
        <v>85</v>
      </c>
      <c r="P200" s="445"/>
      <c r="Q200" s="441">
        <v>50</v>
      </c>
      <c r="R200" s="445" t="s">
        <v>3203</v>
      </c>
      <c r="S200" s="446">
        <v>45250</v>
      </c>
      <c r="T200" s="446">
        <v>45238</v>
      </c>
      <c r="U200" s="446"/>
      <c r="V200" s="446">
        <v>45244</v>
      </c>
      <c r="W200" s="446">
        <v>45244</v>
      </c>
      <c r="X200" s="447" t="s">
        <v>8044</v>
      </c>
      <c r="Y200" s="420"/>
      <c r="Z200" s="224" t="str">
        <f t="shared" si="18"/>
        <v>AG. MEDIÇÃO</v>
      </c>
      <c r="AA200" s="207" t="str">
        <f t="shared" si="19"/>
        <v>ENTREGUE</v>
      </c>
      <c r="AB200" s="207" t="str">
        <f t="shared" si="20"/>
        <v>AG. MEDIÇÃO</v>
      </c>
      <c r="AC200" s="156">
        <f t="shared" ca="1" si="21"/>
        <v>4</v>
      </c>
      <c r="AD200" s="156" t="str">
        <f t="shared" ca="1" si="22"/>
        <v>ATRASADO</v>
      </c>
      <c r="AE200" s="156">
        <f t="shared" ca="1" si="23"/>
        <v>1</v>
      </c>
    </row>
    <row r="201" spans="1:31" ht="36" hidden="1" customHeight="1">
      <c r="A201" s="414"/>
      <c r="B201" s="429" t="s">
        <v>7886</v>
      </c>
      <c r="C201" s="429" t="s">
        <v>1572</v>
      </c>
      <c r="D201" s="429" t="s">
        <v>7231</v>
      </c>
      <c r="E201" s="429" t="s">
        <v>1573</v>
      </c>
      <c r="F201" s="429" t="s">
        <v>427</v>
      </c>
      <c r="G201" s="433"/>
      <c r="H201" s="429" t="s">
        <v>7901</v>
      </c>
      <c r="I201" s="433" t="s">
        <v>7893</v>
      </c>
      <c r="J201" s="432">
        <v>46174</v>
      </c>
      <c r="K201" s="429" t="s">
        <v>2493</v>
      </c>
      <c r="L201" s="436"/>
      <c r="M201" s="436" t="s">
        <v>62</v>
      </c>
      <c r="N201" s="437"/>
      <c r="O201" s="437" t="s">
        <v>85</v>
      </c>
      <c r="P201" s="433" t="s">
        <v>2494</v>
      </c>
      <c r="Q201" s="437" t="s">
        <v>2494</v>
      </c>
      <c r="R201" s="499" t="s">
        <v>7957</v>
      </c>
      <c r="S201" s="438">
        <v>46211</v>
      </c>
      <c r="T201" s="438">
        <v>46192</v>
      </c>
      <c r="U201" s="438"/>
      <c r="V201" s="438"/>
      <c r="W201" s="439">
        <v>46197</v>
      </c>
      <c r="X201" s="439">
        <v>46211</v>
      </c>
      <c r="Y201" s="420"/>
      <c r="Z201" s="224" t="str">
        <f t="shared" si="18"/>
        <v>AG. MEDIÇÃO</v>
      </c>
      <c r="AA201" s="207" t="str">
        <f t="shared" si="19"/>
        <v>ENTREGUE</v>
      </c>
      <c r="AB201" s="207" t="str">
        <f t="shared" si="20"/>
        <v>AG. MEDIÇÃO</v>
      </c>
      <c r="AC201" s="156">
        <f t="shared" ca="1" si="21"/>
        <v>3</v>
      </c>
      <c r="AD201" s="156" t="str">
        <f t="shared" ca="1" si="22"/>
        <v>NO PRAZO</v>
      </c>
      <c r="AE201" s="156">
        <f t="shared" ca="1" si="23"/>
        <v>0</v>
      </c>
    </row>
    <row r="202" spans="1:31" ht="36" hidden="1" customHeight="1">
      <c r="A202" s="414"/>
      <c r="B202" s="466" t="s">
        <v>6727</v>
      </c>
      <c r="C202" s="466" t="s">
        <v>571</v>
      </c>
      <c r="D202" s="466" t="s">
        <v>2080</v>
      </c>
      <c r="E202" s="466" t="s">
        <v>572</v>
      </c>
      <c r="F202" s="466" t="s">
        <v>42</v>
      </c>
      <c r="G202" s="475"/>
      <c r="H202" s="488" t="s">
        <v>6732</v>
      </c>
      <c r="I202" s="475" t="s">
        <v>6743</v>
      </c>
      <c r="J202" s="469">
        <v>45992</v>
      </c>
      <c r="K202" s="429" t="s">
        <v>2493</v>
      </c>
      <c r="L202" s="465"/>
      <c r="M202" s="477" t="s">
        <v>259</v>
      </c>
      <c r="N202" s="475"/>
      <c r="O202" s="479"/>
      <c r="P202" s="475" t="s">
        <v>2494</v>
      </c>
      <c r="Q202" s="475" t="s">
        <v>2494</v>
      </c>
      <c r="R202" s="479" t="s">
        <v>5188</v>
      </c>
      <c r="S202" s="480">
        <v>46014</v>
      </c>
      <c r="T202" s="480">
        <v>46013</v>
      </c>
      <c r="U202" s="480">
        <v>46014</v>
      </c>
      <c r="V202" s="481">
        <v>46015</v>
      </c>
      <c r="W202" s="481">
        <v>46014</v>
      </c>
      <c r="X202" s="481">
        <v>46014</v>
      </c>
      <c r="Y202" s="420"/>
      <c r="Z202" s="224" t="str">
        <f t="shared" si="18"/>
        <v>AG. MEDIÇÃO</v>
      </c>
      <c r="AA202" s="207" t="str">
        <f t="shared" si="19"/>
        <v>ENTREGUE</v>
      </c>
      <c r="AB202" s="207" t="str">
        <f t="shared" si="20"/>
        <v>AG. MEDIÇÃO</v>
      </c>
      <c r="AC202" s="156">
        <f t="shared" ca="1" si="21"/>
        <v>1</v>
      </c>
      <c r="AD202" s="156" t="str">
        <f t="shared" ca="1" si="22"/>
        <v>NO PRAZO</v>
      </c>
      <c r="AE202" s="156">
        <f t="shared" ca="1" si="23"/>
        <v>-2</v>
      </c>
    </row>
    <row r="203" spans="1:31" ht="36" hidden="1" customHeight="1">
      <c r="A203" s="414"/>
      <c r="B203" s="440" t="s">
        <v>3148</v>
      </c>
      <c r="C203" s="440" t="s">
        <v>449</v>
      </c>
      <c r="D203" s="440"/>
      <c r="E203" s="440"/>
      <c r="F203" s="440" t="s">
        <v>42</v>
      </c>
      <c r="G203" s="441" t="s">
        <v>3149</v>
      </c>
      <c r="H203" s="440" t="s">
        <v>3149</v>
      </c>
      <c r="I203" s="449"/>
      <c r="J203" s="450">
        <v>45200</v>
      </c>
      <c r="K203" s="429" t="s">
        <v>2493</v>
      </c>
      <c r="L203" s="444"/>
      <c r="M203" s="444" t="s">
        <v>714</v>
      </c>
      <c r="N203" s="441" t="s">
        <v>2572</v>
      </c>
      <c r="O203" s="445" t="s">
        <v>85</v>
      </c>
      <c r="P203" s="441" t="s">
        <v>2494</v>
      </c>
      <c r="Q203" s="441" t="s">
        <v>2494</v>
      </c>
      <c r="R203" s="445" t="s">
        <v>3150</v>
      </c>
      <c r="S203" s="446">
        <v>45229</v>
      </c>
      <c r="T203" s="446">
        <v>45224</v>
      </c>
      <c r="U203" s="446"/>
      <c r="V203" s="446">
        <v>45224</v>
      </c>
      <c r="W203" s="446">
        <v>45224</v>
      </c>
      <c r="X203" s="447" t="s">
        <v>8044</v>
      </c>
      <c r="Y203" s="420"/>
      <c r="Z203" s="224" t="str">
        <f t="shared" si="18"/>
        <v>AG. MEDIÇÃO</v>
      </c>
      <c r="AA203" s="207" t="str">
        <f t="shared" si="19"/>
        <v>ENTREGUE</v>
      </c>
      <c r="AB203" s="207" t="str">
        <f t="shared" si="20"/>
        <v>AG. MEDIÇÃO</v>
      </c>
      <c r="AC203" s="156">
        <f t="shared" ca="1" si="21"/>
        <v>0</v>
      </c>
      <c r="AD203" s="156" t="str">
        <f t="shared" ca="1" si="22"/>
        <v>NO PRAZO</v>
      </c>
      <c r="AE203" s="156">
        <f t="shared" ca="1" si="23"/>
        <v>-3</v>
      </c>
    </row>
    <row r="204" spans="1:31" ht="36" hidden="1" customHeight="1">
      <c r="A204" s="414"/>
      <c r="B204" s="440" t="s">
        <v>3958</v>
      </c>
      <c r="C204" s="440" t="s">
        <v>328</v>
      </c>
      <c r="D204" s="440" t="s">
        <v>449</v>
      </c>
      <c r="E204" s="440" t="s">
        <v>329</v>
      </c>
      <c r="F204" s="440" t="s">
        <v>42</v>
      </c>
      <c r="G204" s="441" t="s">
        <v>3959</v>
      </c>
      <c r="H204" s="440" t="s">
        <v>3960</v>
      </c>
      <c r="I204" s="441" t="s">
        <v>3961</v>
      </c>
      <c r="J204" s="450">
        <v>45474</v>
      </c>
      <c r="K204" s="429" t="s">
        <v>2493</v>
      </c>
      <c r="L204" s="444" t="s">
        <v>124</v>
      </c>
      <c r="M204" s="444" t="s">
        <v>51</v>
      </c>
      <c r="N204" s="441" t="s">
        <v>2572</v>
      </c>
      <c r="O204" s="445" t="s">
        <v>85</v>
      </c>
      <c r="P204" s="445"/>
      <c r="Q204" s="445">
        <v>497</v>
      </c>
      <c r="R204" s="445" t="s">
        <v>3962</v>
      </c>
      <c r="S204" s="446">
        <v>45497</v>
      </c>
      <c r="T204" s="446">
        <v>45481</v>
      </c>
      <c r="U204" s="446">
        <v>45484</v>
      </c>
      <c r="V204" s="447">
        <v>45499</v>
      </c>
      <c r="W204" s="447">
        <v>45499</v>
      </c>
      <c r="X204" s="447" t="s">
        <v>8044</v>
      </c>
      <c r="Y204" s="420"/>
      <c r="Z204" s="224" t="str">
        <f t="shared" si="18"/>
        <v>AG. MEDIÇÃO</v>
      </c>
      <c r="AA204" s="207" t="str">
        <f t="shared" si="19"/>
        <v>ENTREGUE</v>
      </c>
      <c r="AB204" s="207" t="str">
        <f t="shared" si="20"/>
        <v>AG. MEDIÇÃO</v>
      </c>
      <c r="AC204" s="156">
        <f t="shared" ca="1" si="21"/>
        <v>14</v>
      </c>
      <c r="AD204" s="156" t="str">
        <f t="shared" ca="1" si="22"/>
        <v>ATRASADO</v>
      </c>
      <c r="AE204" s="156">
        <f t="shared" ca="1" si="23"/>
        <v>11</v>
      </c>
    </row>
    <row r="205" spans="1:31" ht="36" hidden="1" customHeight="1">
      <c r="A205" s="414"/>
      <c r="B205" s="440" t="s">
        <v>5168</v>
      </c>
      <c r="C205" s="440" t="s">
        <v>241</v>
      </c>
      <c r="D205" s="440" t="s">
        <v>2288</v>
      </c>
      <c r="E205" s="440" t="s">
        <v>398</v>
      </c>
      <c r="F205" s="440" t="s">
        <v>42</v>
      </c>
      <c r="G205" s="441"/>
      <c r="H205" s="440" t="s">
        <v>5169</v>
      </c>
      <c r="I205" s="441" t="s">
        <v>5170</v>
      </c>
      <c r="J205" s="450">
        <v>45778</v>
      </c>
      <c r="K205" s="429" t="s">
        <v>2493</v>
      </c>
      <c r="L205" s="444" t="s">
        <v>1208</v>
      </c>
      <c r="M205" s="465" t="s">
        <v>259</v>
      </c>
      <c r="N205" s="441"/>
      <c r="O205" s="445"/>
      <c r="P205" s="441">
        <v>500</v>
      </c>
      <c r="Q205" s="445"/>
      <c r="R205" s="445"/>
      <c r="S205" s="446"/>
      <c r="T205" s="446">
        <v>45750</v>
      </c>
      <c r="U205" s="446"/>
      <c r="V205" s="447"/>
      <c r="W205" s="447">
        <v>45750</v>
      </c>
      <c r="X205" s="447" t="s">
        <v>8044</v>
      </c>
      <c r="Y205" s="420"/>
      <c r="Z205" s="224" t="str">
        <f t="shared" si="18"/>
        <v>PENDENTE</v>
      </c>
      <c r="AA205" s="207" t="str">
        <f t="shared" si="19"/>
        <v>ENTREGUE</v>
      </c>
      <c r="AB205" s="207" t="str">
        <f t="shared" si="20"/>
        <v>AG. MEDIÇÃO</v>
      </c>
      <c r="AC205" s="156">
        <f t="shared" ca="1" si="21"/>
        <v>0</v>
      </c>
      <c r="AD205" s="156" t="str">
        <f t="shared" ca="1" si="22"/>
        <v>NO PRAZO</v>
      </c>
      <c r="AE205" s="156">
        <f t="shared" ca="1" si="23"/>
        <v>-3</v>
      </c>
    </row>
    <row r="206" spans="1:31" ht="36" hidden="1" customHeight="1">
      <c r="A206" s="414"/>
      <c r="B206" s="440" t="s">
        <v>5303</v>
      </c>
      <c r="C206" s="440" t="s">
        <v>2755</v>
      </c>
      <c r="D206" s="440"/>
      <c r="E206" s="440"/>
      <c r="F206" s="440" t="s">
        <v>42</v>
      </c>
      <c r="G206" s="441"/>
      <c r="H206" s="440" t="s">
        <v>5304</v>
      </c>
      <c r="I206" s="441"/>
      <c r="J206" s="450">
        <v>45778</v>
      </c>
      <c r="K206" s="429" t="s">
        <v>2493</v>
      </c>
      <c r="L206" s="444" t="s">
        <v>1854</v>
      </c>
      <c r="M206" s="444"/>
      <c r="N206" s="441"/>
      <c r="O206" s="445"/>
      <c r="P206" s="441"/>
      <c r="Q206" s="445">
        <v>530</v>
      </c>
      <c r="R206" s="445" t="s">
        <v>5305</v>
      </c>
      <c r="S206" s="446"/>
      <c r="T206" s="446"/>
      <c r="U206" s="446"/>
      <c r="V206" s="447"/>
      <c r="W206" s="447"/>
      <c r="X206" s="447"/>
      <c r="Y206" s="420"/>
      <c r="Z206" s="224" t="str">
        <f t="shared" si="18"/>
        <v>AG. RELATÓRIO</v>
      </c>
      <c r="AA206" s="207" t="str">
        <f t="shared" si="19"/>
        <v>PENDENTE</v>
      </c>
      <c r="AB206" s="207" t="str">
        <f t="shared" si="20"/>
        <v>AG. RELATÓRIO</v>
      </c>
      <c r="AC206" s="156" t="str">
        <f t="shared" ca="1" si="21"/>
        <v>DATA ENTRADA</v>
      </c>
      <c r="AD206" s="156" t="str">
        <f t="shared" ca="1" si="22"/>
        <v>ATRASADO</v>
      </c>
      <c r="AE206" s="156" t="str">
        <f t="shared" ca="1" si="23"/>
        <v>DATA ENTRADA</v>
      </c>
    </row>
    <row r="207" spans="1:31" ht="36" hidden="1" customHeight="1">
      <c r="A207" s="414"/>
      <c r="B207" s="440" t="s">
        <v>5315</v>
      </c>
      <c r="C207" s="440" t="s">
        <v>2488</v>
      </c>
      <c r="D207" s="440"/>
      <c r="E207" s="440" t="s">
        <v>2489</v>
      </c>
      <c r="F207" s="440" t="s">
        <v>2490</v>
      </c>
      <c r="G207" s="441"/>
      <c r="H207" s="440" t="s">
        <v>5316</v>
      </c>
      <c r="I207" s="441" t="s">
        <v>5317</v>
      </c>
      <c r="J207" s="450">
        <v>45809</v>
      </c>
      <c r="K207" s="429" t="s">
        <v>2493</v>
      </c>
      <c r="L207" s="444"/>
      <c r="M207" s="444" t="s">
        <v>5255</v>
      </c>
      <c r="N207" s="441"/>
      <c r="O207" s="445"/>
      <c r="P207" s="441" t="s">
        <v>2494</v>
      </c>
      <c r="Q207" s="445" t="s">
        <v>2494</v>
      </c>
      <c r="R207" s="445" t="s">
        <v>5318</v>
      </c>
      <c r="S207" s="446"/>
      <c r="T207" s="446">
        <v>45814</v>
      </c>
      <c r="U207" s="446"/>
      <c r="V207" s="447"/>
      <c r="W207" s="447">
        <v>45847</v>
      </c>
      <c r="X207" s="447"/>
      <c r="Y207" s="420"/>
      <c r="Z207" s="224" t="str">
        <f t="shared" si="18"/>
        <v>AG. RELATÓRIO</v>
      </c>
      <c r="AA207" s="207" t="str">
        <f t="shared" si="19"/>
        <v>PENDENTE</v>
      </c>
      <c r="AB207" s="207" t="str">
        <f t="shared" si="20"/>
        <v>AG. RELATÓRIO</v>
      </c>
      <c r="AC207" s="156">
        <f t="shared" ca="1" si="21"/>
        <v>23</v>
      </c>
      <c r="AD207" s="156" t="str">
        <f t="shared" ca="1" si="22"/>
        <v>ATRASADO</v>
      </c>
      <c r="AE207" s="156">
        <f t="shared" ca="1" si="23"/>
        <v>20</v>
      </c>
    </row>
    <row r="208" spans="1:31" ht="36" hidden="1" customHeight="1">
      <c r="A208" s="414"/>
      <c r="B208" s="440" t="s">
        <v>5562</v>
      </c>
      <c r="C208" s="440" t="s">
        <v>425</v>
      </c>
      <c r="D208" s="440"/>
      <c r="E208" s="440"/>
      <c r="F208" s="440" t="s">
        <v>1408</v>
      </c>
      <c r="G208" s="441"/>
      <c r="H208" s="440" t="s">
        <v>5563</v>
      </c>
      <c r="I208" s="441" t="s">
        <v>5564</v>
      </c>
      <c r="J208" s="450">
        <v>45839</v>
      </c>
      <c r="K208" s="429" t="s">
        <v>2493</v>
      </c>
      <c r="L208" s="444"/>
      <c r="M208" s="444" t="s">
        <v>5565</v>
      </c>
      <c r="N208" s="441"/>
      <c r="O208" s="445"/>
      <c r="P208" s="441" t="s">
        <v>2494</v>
      </c>
      <c r="Q208" s="445" t="s">
        <v>2494</v>
      </c>
      <c r="R208" s="445"/>
      <c r="S208" s="446"/>
      <c r="T208" s="446">
        <v>45859</v>
      </c>
      <c r="U208" s="446"/>
      <c r="V208" s="447"/>
      <c r="W208" s="447"/>
      <c r="X208" s="447"/>
      <c r="Y208" s="420"/>
      <c r="Z208" s="224" t="str">
        <f t="shared" si="18"/>
        <v>AG. RELATÓRIO</v>
      </c>
      <c r="AA208" s="207" t="str">
        <f t="shared" si="19"/>
        <v>PENDENTE</v>
      </c>
      <c r="AB208" s="207" t="str">
        <f t="shared" si="20"/>
        <v>AG. RELATÓRIO</v>
      </c>
      <c r="AC208" s="156">
        <f t="shared" ca="1" si="21"/>
        <v>302</v>
      </c>
      <c r="AD208" s="156" t="str">
        <f t="shared" ca="1" si="22"/>
        <v>ATRASADO</v>
      </c>
      <c r="AE208" s="156">
        <f t="shared" ca="1" si="23"/>
        <v>299</v>
      </c>
    </row>
    <row r="209" spans="1:31" ht="36" hidden="1" customHeight="1">
      <c r="A209" s="414"/>
      <c r="B209" s="440" t="s">
        <v>4106</v>
      </c>
      <c r="C209" s="440" t="s">
        <v>363</v>
      </c>
      <c r="D209" s="440" t="s">
        <v>4107</v>
      </c>
      <c r="E209" s="440" t="s">
        <v>364</v>
      </c>
      <c r="F209" s="440" t="s">
        <v>42</v>
      </c>
      <c r="G209" s="441" t="s">
        <v>4108</v>
      </c>
      <c r="H209" s="440" t="s">
        <v>4109</v>
      </c>
      <c r="I209" s="441" t="s">
        <v>4110</v>
      </c>
      <c r="J209" s="450">
        <v>45505</v>
      </c>
      <c r="K209" s="429" t="s">
        <v>2493</v>
      </c>
      <c r="L209" s="444" t="s">
        <v>124</v>
      </c>
      <c r="M209" s="444" t="s">
        <v>132</v>
      </c>
      <c r="N209" s="441" t="s">
        <v>2572</v>
      </c>
      <c r="O209" s="445" t="s">
        <v>85</v>
      </c>
      <c r="P209" s="445"/>
      <c r="Q209" s="445">
        <v>725</v>
      </c>
      <c r="R209" s="445" t="s">
        <v>4111</v>
      </c>
      <c r="S209" s="446">
        <v>45532</v>
      </c>
      <c r="T209" s="446">
        <v>45505</v>
      </c>
      <c r="U209" s="446">
        <v>45511</v>
      </c>
      <c r="V209" s="447">
        <v>45524</v>
      </c>
      <c r="W209" s="447">
        <v>45524</v>
      </c>
      <c r="X209" s="447" t="s">
        <v>8044</v>
      </c>
      <c r="Y209" s="420"/>
      <c r="Z209" s="224" t="str">
        <f t="shared" si="18"/>
        <v>AG. MEDIÇÃO</v>
      </c>
      <c r="AA209" s="207" t="str">
        <f t="shared" si="19"/>
        <v>ENTREGUE</v>
      </c>
      <c r="AB209" s="207" t="str">
        <f t="shared" si="20"/>
        <v>AG. MEDIÇÃO</v>
      </c>
      <c r="AC209" s="156">
        <f t="shared" ca="1" si="21"/>
        <v>13</v>
      </c>
      <c r="AD209" s="156" t="str">
        <f t="shared" ca="1" si="22"/>
        <v>ATRASADO</v>
      </c>
      <c r="AE209" s="156">
        <f t="shared" ca="1" si="23"/>
        <v>10</v>
      </c>
    </row>
    <row r="210" spans="1:31" ht="36" hidden="1" customHeight="1">
      <c r="A210" s="414"/>
      <c r="B210" s="440" t="s">
        <v>4784</v>
      </c>
      <c r="C210" s="440" t="s">
        <v>232</v>
      </c>
      <c r="D210" s="440" t="s">
        <v>365</v>
      </c>
      <c r="E210" s="440" t="s">
        <v>389</v>
      </c>
      <c r="F210" s="440" t="s">
        <v>42</v>
      </c>
      <c r="G210" s="441" t="s">
        <v>4785</v>
      </c>
      <c r="H210" s="440" t="s">
        <v>4786</v>
      </c>
      <c r="I210" s="441" t="s">
        <v>4787</v>
      </c>
      <c r="J210" s="450">
        <v>45689</v>
      </c>
      <c r="K210" s="429" t="s">
        <v>2493</v>
      </c>
      <c r="L210" s="444"/>
      <c r="M210" s="444" t="s">
        <v>200</v>
      </c>
      <c r="N210" s="441" t="s">
        <v>2572</v>
      </c>
      <c r="O210" s="445" t="s">
        <v>3350</v>
      </c>
      <c r="P210" s="441" t="s">
        <v>2494</v>
      </c>
      <c r="Q210" s="445" t="s">
        <v>2494</v>
      </c>
      <c r="R210" s="445" t="s">
        <v>3933</v>
      </c>
      <c r="S210" s="446">
        <v>45700</v>
      </c>
      <c r="T210" s="446">
        <v>45694</v>
      </c>
      <c r="U210" s="446">
        <v>45697</v>
      </c>
      <c r="V210" s="447">
        <v>45697</v>
      </c>
      <c r="W210" s="447">
        <v>45697</v>
      </c>
      <c r="X210" s="447" t="s">
        <v>8044</v>
      </c>
      <c r="Y210" s="420"/>
      <c r="Z210" s="224" t="str">
        <f t="shared" si="18"/>
        <v>AG. MEDIÇÃO</v>
      </c>
      <c r="AA210" s="207" t="str">
        <f t="shared" si="19"/>
        <v>ENTREGUE</v>
      </c>
      <c r="AB210" s="207" t="str">
        <f t="shared" si="20"/>
        <v>AG. MEDIÇÃO</v>
      </c>
      <c r="AC210" s="156">
        <f t="shared" ca="1" si="21"/>
        <v>1</v>
      </c>
      <c r="AD210" s="156" t="str">
        <f t="shared" ca="1" si="22"/>
        <v>NO PRAZO</v>
      </c>
      <c r="AE210" s="156">
        <f t="shared" ca="1" si="23"/>
        <v>-2</v>
      </c>
    </row>
    <row r="211" spans="1:31" ht="36" hidden="1" customHeight="1">
      <c r="A211" s="414"/>
      <c r="B211" s="440" t="s">
        <v>3320</v>
      </c>
      <c r="C211" s="440" t="s">
        <v>479</v>
      </c>
      <c r="D211" s="440"/>
      <c r="E211" s="440"/>
      <c r="F211" s="440" t="s">
        <v>42</v>
      </c>
      <c r="G211" s="441" t="s">
        <v>3321</v>
      </c>
      <c r="H211" s="440" t="s">
        <v>3322</v>
      </c>
      <c r="I211" s="449"/>
      <c r="J211" s="450">
        <v>45261</v>
      </c>
      <c r="K211" s="429" t="s">
        <v>2493</v>
      </c>
      <c r="L211" s="444"/>
      <c r="M211" s="444" t="s">
        <v>3298</v>
      </c>
      <c r="N211" s="441" t="s">
        <v>2572</v>
      </c>
      <c r="O211" s="445" t="s">
        <v>85</v>
      </c>
      <c r="P211" s="441" t="s">
        <v>2494</v>
      </c>
      <c r="Q211" s="441" t="s">
        <v>2494</v>
      </c>
      <c r="R211" s="445" t="s">
        <v>3323</v>
      </c>
      <c r="S211" s="446">
        <v>45300</v>
      </c>
      <c r="T211" s="446">
        <v>45274</v>
      </c>
      <c r="U211" s="446"/>
      <c r="V211" s="446">
        <v>45274</v>
      </c>
      <c r="W211" s="446">
        <v>45274</v>
      </c>
      <c r="X211" s="447" t="s">
        <v>8044</v>
      </c>
      <c r="Y211" s="420"/>
      <c r="Z211" s="224" t="str">
        <f t="shared" si="18"/>
        <v>AG. MEDIÇÃO</v>
      </c>
      <c r="AA211" s="207" t="str">
        <f t="shared" si="19"/>
        <v>ENTREGUE</v>
      </c>
      <c r="AB211" s="207" t="str">
        <f t="shared" si="20"/>
        <v>AG. MEDIÇÃO</v>
      </c>
      <c r="AC211" s="156">
        <f t="shared" ca="1" si="21"/>
        <v>0</v>
      </c>
      <c r="AD211" s="156" t="str">
        <f t="shared" ca="1" si="22"/>
        <v>NO PRAZO</v>
      </c>
      <c r="AE211" s="156">
        <f t="shared" ca="1" si="23"/>
        <v>-3</v>
      </c>
    </row>
    <row r="212" spans="1:31" ht="36" hidden="1" customHeight="1">
      <c r="A212" s="414"/>
      <c r="B212" s="429" t="s">
        <v>8404</v>
      </c>
      <c r="C212" s="429" t="s">
        <v>2503</v>
      </c>
      <c r="D212" s="429" t="s">
        <v>1509</v>
      </c>
      <c r="E212" s="429" t="s">
        <v>2504</v>
      </c>
      <c r="F212" s="429" t="s">
        <v>42</v>
      </c>
      <c r="G212" s="433" t="s">
        <v>8417</v>
      </c>
      <c r="H212" s="429" t="s">
        <v>8418</v>
      </c>
      <c r="I212" s="433" t="s">
        <v>8416</v>
      </c>
      <c r="J212" s="599">
        <v>46235</v>
      </c>
      <c r="K212" s="429" t="s">
        <v>2493</v>
      </c>
      <c r="L212" s="436"/>
      <c r="M212" s="436" t="s">
        <v>62</v>
      </c>
      <c r="N212" s="433"/>
      <c r="O212" s="433" t="s">
        <v>85</v>
      </c>
      <c r="P212" s="433" t="s">
        <v>2494</v>
      </c>
      <c r="Q212" s="433" t="s">
        <v>2494</v>
      </c>
      <c r="R212" s="437" t="s">
        <v>8520</v>
      </c>
      <c r="S212" s="438">
        <v>46259</v>
      </c>
      <c r="T212" s="438">
        <v>46253</v>
      </c>
      <c r="U212" s="438"/>
      <c r="V212" s="438"/>
      <c r="W212" s="439">
        <v>46255</v>
      </c>
      <c r="X212" s="439">
        <v>46259</v>
      </c>
      <c r="Y212" s="420"/>
      <c r="Z212" s="224" t="str">
        <f t="shared" si="18"/>
        <v>AG. MEDIÇÃO</v>
      </c>
      <c r="AA212" s="207" t="str">
        <f t="shared" si="19"/>
        <v>ENTREGUE</v>
      </c>
      <c r="AB212" s="207" t="str">
        <f t="shared" si="20"/>
        <v>AG. MEDIÇÃO</v>
      </c>
      <c r="AC212" s="156">
        <f t="shared" ca="1" si="21"/>
        <v>2</v>
      </c>
      <c r="AD212" s="156" t="str">
        <f t="shared" ca="1" si="22"/>
        <v>NO PRAZO</v>
      </c>
      <c r="AE212" s="156">
        <f t="shared" ca="1" si="23"/>
        <v>-1</v>
      </c>
    </row>
    <row r="213" spans="1:31" ht="36" hidden="1" customHeight="1">
      <c r="A213" s="414"/>
      <c r="B213" s="440" t="s">
        <v>3476</v>
      </c>
      <c r="C213" s="440" t="s">
        <v>111</v>
      </c>
      <c r="D213" s="440"/>
      <c r="E213" s="440"/>
      <c r="F213" s="440" t="s">
        <v>42</v>
      </c>
      <c r="G213" s="441" t="s">
        <v>3477</v>
      </c>
      <c r="H213" s="440" t="s">
        <v>3478</v>
      </c>
      <c r="I213" s="441"/>
      <c r="J213" s="450">
        <v>45352</v>
      </c>
      <c r="K213" s="429" t="s">
        <v>2493</v>
      </c>
      <c r="L213" s="444"/>
      <c r="M213" s="444" t="s">
        <v>714</v>
      </c>
      <c r="N213" s="441" t="s">
        <v>2572</v>
      </c>
      <c r="O213" s="445" t="s">
        <v>85</v>
      </c>
      <c r="P213" s="441" t="s">
        <v>2494</v>
      </c>
      <c r="Q213" s="441" t="s">
        <v>2494</v>
      </c>
      <c r="R213" s="445" t="s">
        <v>3479</v>
      </c>
      <c r="S213" s="446">
        <v>45377</v>
      </c>
      <c r="T213" s="446">
        <v>45364</v>
      </c>
      <c r="U213" s="446"/>
      <c r="V213" s="446">
        <v>45365</v>
      </c>
      <c r="W213" s="447">
        <v>45365</v>
      </c>
      <c r="X213" s="447" t="s">
        <v>8044</v>
      </c>
      <c r="Y213" s="420"/>
      <c r="Z213" s="224" t="str">
        <f t="shared" si="18"/>
        <v>AG. MEDIÇÃO</v>
      </c>
      <c r="AA213" s="207" t="str">
        <f t="shared" si="19"/>
        <v>ENTREGUE</v>
      </c>
      <c r="AB213" s="207" t="str">
        <f t="shared" si="20"/>
        <v>AG. MEDIÇÃO</v>
      </c>
      <c r="AC213" s="156">
        <f t="shared" ca="1" si="21"/>
        <v>1</v>
      </c>
      <c r="AD213" s="156" t="str">
        <f t="shared" ca="1" si="22"/>
        <v>NO PRAZO</v>
      </c>
      <c r="AE213" s="156">
        <f t="shared" ca="1" si="23"/>
        <v>-2</v>
      </c>
    </row>
    <row r="214" spans="1:31" ht="36" hidden="1" customHeight="1">
      <c r="A214" s="414"/>
      <c r="B214" s="466" t="s">
        <v>2565</v>
      </c>
      <c r="C214" s="466" t="s">
        <v>479</v>
      </c>
      <c r="D214" s="466" t="s">
        <v>524</v>
      </c>
      <c r="E214" s="466" t="s">
        <v>480</v>
      </c>
      <c r="F214" s="466" t="s">
        <v>42</v>
      </c>
      <c r="G214" s="475"/>
      <c r="H214" s="645" t="s">
        <v>2566</v>
      </c>
      <c r="I214" s="475" t="s">
        <v>2567</v>
      </c>
      <c r="J214" s="476">
        <v>45993</v>
      </c>
      <c r="K214" s="429" t="s">
        <v>2493</v>
      </c>
      <c r="L214" s="477" t="s">
        <v>147</v>
      </c>
      <c r="M214" s="465" t="s">
        <v>259</v>
      </c>
      <c r="N214" s="475"/>
      <c r="O214" s="478">
        <v>46048</v>
      </c>
      <c r="P214" s="475">
        <v>350</v>
      </c>
      <c r="Q214" s="479">
        <v>95</v>
      </c>
      <c r="R214" s="479" t="s">
        <v>6957</v>
      </c>
      <c r="S214" s="480">
        <v>46058</v>
      </c>
      <c r="T214" s="480"/>
      <c r="U214" s="480"/>
      <c r="V214" s="481"/>
      <c r="W214" s="481">
        <v>46003</v>
      </c>
      <c r="X214" s="481">
        <v>46048</v>
      </c>
      <c r="Y214" s="420"/>
      <c r="Z214" s="224" t="str">
        <f t="shared" si="18"/>
        <v>AG. MEDIÇÃO</v>
      </c>
      <c r="AA214" s="207" t="str">
        <f t="shared" si="19"/>
        <v>ENTREGUE</v>
      </c>
      <c r="AB214" s="207" t="str">
        <f t="shared" si="20"/>
        <v>AG. MEDIÇÃO</v>
      </c>
      <c r="AC214" s="156" t="str">
        <f t="shared" ca="1" si="21"/>
        <v>DATA ENTRADA</v>
      </c>
      <c r="AD214" s="156" t="str">
        <f t="shared" ca="1" si="22"/>
        <v>ATRASADO</v>
      </c>
      <c r="AE214" s="156" t="str">
        <f t="shared" ca="1" si="23"/>
        <v>DATA ENTRADA</v>
      </c>
    </row>
    <row r="215" spans="1:31" ht="36" hidden="1" customHeight="1">
      <c r="A215" s="414"/>
      <c r="B215" s="440" t="s">
        <v>3515</v>
      </c>
      <c r="C215" s="440" t="s">
        <v>410</v>
      </c>
      <c r="D215" s="440"/>
      <c r="E215" s="440"/>
      <c r="F215" s="440" t="s">
        <v>42</v>
      </c>
      <c r="G215" s="441" t="s">
        <v>3516</v>
      </c>
      <c r="H215" s="440" t="s">
        <v>3517</v>
      </c>
      <c r="I215" s="441"/>
      <c r="J215" s="450">
        <v>45352</v>
      </c>
      <c r="K215" s="429" t="s">
        <v>2493</v>
      </c>
      <c r="L215" s="444" t="s">
        <v>1130</v>
      </c>
      <c r="M215" s="444" t="s">
        <v>51</v>
      </c>
      <c r="N215" s="441" t="s">
        <v>2572</v>
      </c>
      <c r="O215" s="445" t="s">
        <v>85</v>
      </c>
      <c r="P215" s="445"/>
      <c r="Q215" s="441">
        <v>70</v>
      </c>
      <c r="R215" s="445" t="s">
        <v>3518</v>
      </c>
      <c r="S215" s="446">
        <v>45405</v>
      </c>
      <c r="T215" s="446">
        <v>45376</v>
      </c>
      <c r="U215" s="446">
        <v>45377</v>
      </c>
      <c r="V215" s="446">
        <v>45382</v>
      </c>
      <c r="W215" s="447">
        <v>45382</v>
      </c>
      <c r="X215" s="447" t="s">
        <v>8044</v>
      </c>
      <c r="Y215" s="420"/>
      <c r="Z215" s="224" t="str">
        <f t="shared" si="18"/>
        <v>AG. MEDIÇÃO</v>
      </c>
      <c r="AA215" s="207" t="str">
        <f t="shared" si="19"/>
        <v>ENTREGUE</v>
      </c>
      <c r="AB215" s="207" t="str">
        <f t="shared" si="20"/>
        <v>AG. MEDIÇÃO</v>
      </c>
      <c r="AC215" s="156">
        <f t="shared" ca="1" si="21"/>
        <v>4</v>
      </c>
      <c r="AD215" s="156" t="str">
        <f t="shared" ca="1" si="22"/>
        <v>ATRASADO</v>
      </c>
      <c r="AE215" s="156">
        <f t="shared" ca="1" si="23"/>
        <v>1</v>
      </c>
    </row>
    <row r="216" spans="1:31" ht="36" hidden="1" customHeight="1">
      <c r="A216" s="414"/>
      <c r="B216" s="440" t="s">
        <v>4900</v>
      </c>
      <c r="C216" s="440" t="s">
        <v>555</v>
      </c>
      <c r="D216" s="440" t="s">
        <v>688</v>
      </c>
      <c r="E216" s="440" t="s">
        <v>556</v>
      </c>
      <c r="F216" s="440" t="s">
        <v>42</v>
      </c>
      <c r="G216" s="441" t="s">
        <v>4901</v>
      </c>
      <c r="H216" s="440" t="s">
        <v>4902</v>
      </c>
      <c r="I216" s="441" t="s">
        <v>4903</v>
      </c>
      <c r="J216" s="450">
        <v>45717</v>
      </c>
      <c r="K216" s="429" t="s">
        <v>2493</v>
      </c>
      <c r="L216" s="444" t="s">
        <v>200</v>
      </c>
      <c r="M216" s="444" t="s">
        <v>200</v>
      </c>
      <c r="N216" s="441" t="s">
        <v>2572</v>
      </c>
      <c r="O216" s="445" t="s">
        <v>3350</v>
      </c>
      <c r="P216" s="441">
        <v>140</v>
      </c>
      <c r="Q216" s="445">
        <v>140</v>
      </c>
      <c r="R216" s="445" t="s">
        <v>4904</v>
      </c>
      <c r="S216" s="446">
        <v>45739</v>
      </c>
      <c r="T216" s="446">
        <v>45723</v>
      </c>
      <c r="U216" s="446">
        <v>45728</v>
      </c>
      <c r="V216" s="447">
        <v>45738</v>
      </c>
      <c r="W216" s="447">
        <v>45737</v>
      </c>
      <c r="X216" s="447" t="s">
        <v>8044</v>
      </c>
      <c r="Y216" s="420"/>
      <c r="Z216" s="224" t="str">
        <f t="shared" si="18"/>
        <v>AG. MEDIÇÃO</v>
      </c>
      <c r="AA216" s="207" t="str">
        <f t="shared" si="19"/>
        <v>ENTREGUE</v>
      </c>
      <c r="AB216" s="207" t="str">
        <f t="shared" si="20"/>
        <v>AG. MEDIÇÃO</v>
      </c>
      <c r="AC216" s="156">
        <f t="shared" ca="1" si="21"/>
        <v>10</v>
      </c>
      <c r="AD216" s="156" t="str">
        <f t="shared" ca="1" si="22"/>
        <v>ATRASADO</v>
      </c>
      <c r="AE216" s="156">
        <f t="shared" ca="1" si="23"/>
        <v>7</v>
      </c>
    </row>
    <row r="217" spans="1:31" ht="36" hidden="1" customHeight="1">
      <c r="A217" s="414"/>
      <c r="B217" s="440" t="s">
        <v>4191</v>
      </c>
      <c r="C217" s="440" t="s">
        <v>111</v>
      </c>
      <c r="D217" s="440" t="s">
        <v>348</v>
      </c>
      <c r="E217" s="440" t="s">
        <v>2504</v>
      </c>
      <c r="F217" s="440" t="s">
        <v>42</v>
      </c>
      <c r="G217" s="441" t="s">
        <v>4192</v>
      </c>
      <c r="H217" s="440" t="s">
        <v>4193</v>
      </c>
      <c r="I217" s="441" t="s">
        <v>4194</v>
      </c>
      <c r="J217" s="450">
        <v>45505</v>
      </c>
      <c r="K217" s="429" t="s">
        <v>2493</v>
      </c>
      <c r="L217" s="444" t="s">
        <v>1208</v>
      </c>
      <c r="M217" s="444" t="s">
        <v>4195</v>
      </c>
      <c r="N217" s="441" t="s">
        <v>2572</v>
      </c>
      <c r="O217" s="445" t="s">
        <v>85</v>
      </c>
      <c r="P217" s="445"/>
      <c r="Q217" s="445">
        <v>576</v>
      </c>
      <c r="R217" s="445" t="s">
        <v>4196</v>
      </c>
      <c r="S217" s="446">
        <v>45545</v>
      </c>
      <c r="T217" s="446">
        <v>45524</v>
      </c>
      <c r="U217" s="446">
        <v>45528</v>
      </c>
      <c r="V217" s="447">
        <v>45532</v>
      </c>
      <c r="W217" s="447">
        <v>45532</v>
      </c>
      <c r="X217" s="447" t="s">
        <v>8044</v>
      </c>
      <c r="Y217" s="420"/>
      <c r="Z217" s="224" t="str">
        <f t="shared" si="18"/>
        <v>AG. MEDIÇÃO</v>
      </c>
      <c r="AA217" s="207" t="str">
        <f t="shared" si="19"/>
        <v>ENTREGUE</v>
      </c>
      <c r="AB217" s="207" t="str">
        <f t="shared" si="20"/>
        <v>AG. MEDIÇÃO</v>
      </c>
      <c r="AC217" s="156">
        <f t="shared" ca="1" si="21"/>
        <v>6</v>
      </c>
      <c r="AD217" s="156" t="str">
        <f t="shared" ca="1" si="22"/>
        <v>ATRASADO</v>
      </c>
      <c r="AE217" s="156">
        <f t="shared" ca="1" si="23"/>
        <v>3</v>
      </c>
    </row>
    <row r="218" spans="1:31" ht="36" hidden="1" customHeight="1">
      <c r="A218" s="414"/>
      <c r="B218" s="429" t="s">
        <v>7285</v>
      </c>
      <c r="C218" s="429" t="s">
        <v>555</v>
      </c>
      <c r="D218" s="429" t="s">
        <v>577</v>
      </c>
      <c r="E218" s="429" t="s">
        <v>556</v>
      </c>
      <c r="F218" s="429" t="s">
        <v>42</v>
      </c>
      <c r="G218" s="433" t="s">
        <v>7296</v>
      </c>
      <c r="H218" s="652" t="s">
        <v>7297</v>
      </c>
      <c r="I218" s="433" t="s">
        <v>7298</v>
      </c>
      <c r="J218" s="432">
        <v>46113</v>
      </c>
      <c r="K218" s="429" t="s">
        <v>2493</v>
      </c>
      <c r="L218" s="436"/>
      <c r="M218" s="436" t="s">
        <v>62</v>
      </c>
      <c r="N218" s="433"/>
      <c r="O218" s="437"/>
      <c r="P218" s="433" t="s">
        <v>2494</v>
      </c>
      <c r="Q218" s="437" t="s">
        <v>2494</v>
      </c>
      <c r="R218" s="437" t="s">
        <v>7579</v>
      </c>
      <c r="S218" s="438">
        <v>46163</v>
      </c>
      <c r="T218" s="438">
        <v>46130</v>
      </c>
      <c r="U218" s="438"/>
      <c r="V218" s="439"/>
      <c r="W218" s="439">
        <v>46135</v>
      </c>
      <c r="X218" s="439">
        <v>46163</v>
      </c>
      <c r="Y218" s="420"/>
      <c r="Z218" s="224" t="str">
        <f t="shared" si="18"/>
        <v>AG. MEDIÇÃO</v>
      </c>
      <c r="AA218" s="207" t="str">
        <f t="shared" si="19"/>
        <v>ENTREGUE</v>
      </c>
      <c r="AB218" s="207" t="str">
        <f t="shared" si="20"/>
        <v>AG. MEDIÇÃO</v>
      </c>
      <c r="AC218" s="156">
        <f t="shared" ca="1" si="21"/>
        <v>3</v>
      </c>
      <c r="AD218" s="156" t="str">
        <f t="shared" ca="1" si="22"/>
        <v>NO PRAZO</v>
      </c>
      <c r="AE218" s="156">
        <f t="shared" ca="1" si="23"/>
        <v>0</v>
      </c>
    </row>
    <row r="219" spans="1:31" ht="36" hidden="1" customHeight="1">
      <c r="A219" s="414"/>
      <c r="B219" s="429" t="s">
        <v>8102</v>
      </c>
      <c r="C219" s="429" t="s">
        <v>600</v>
      </c>
      <c r="D219" s="429" t="s">
        <v>1936</v>
      </c>
      <c r="E219" s="429" t="s">
        <v>601</v>
      </c>
      <c r="F219" s="429" t="s">
        <v>42</v>
      </c>
      <c r="G219" s="433"/>
      <c r="H219" s="429" t="s">
        <v>8134</v>
      </c>
      <c r="I219" s="433" t="s">
        <v>8413</v>
      </c>
      <c r="J219" s="432">
        <v>46204</v>
      </c>
      <c r="K219" s="429" t="s">
        <v>2493</v>
      </c>
      <c r="L219" s="436"/>
      <c r="M219" s="436" t="s">
        <v>62</v>
      </c>
      <c r="N219" s="437"/>
      <c r="O219" s="437" t="s">
        <v>85</v>
      </c>
      <c r="P219" s="437" t="s">
        <v>2494</v>
      </c>
      <c r="Q219" s="433" t="s">
        <v>2494</v>
      </c>
      <c r="R219" s="499" t="s">
        <v>7957</v>
      </c>
      <c r="S219" s="439">
        <v>46252</v>
      </c>
      <c r="T219" s="438">
        <v>46224</v>
      </c>
      <c r="U219" s="438"/>
      <c r="V219" s="438"/>
      <c r="W219" s="439">
        <v>46227</v>
      </c>
      <c r="X219" s="439">
        <v>46252</v>
      </c>
      <c r="Y219" s="420"/>
      <c r="Z219" s="224" t="str">
        <f t="shared" si="18"/>
        <v>AG. MEDIÇÃO</v>
      </c>
      <c r="AA219" s="207" t="str">
        <f t="shared" si="19"/>
        <v>ENTREGUE</v>
      </c>
      <c r="AB219" s="207" t="str">
        <f t="shared" si="20"/>
        <v>AG. MEDIÇÃO</v>
      </c>
      <c r="AC219" s="156">
        <f t="shared" ca="1" si="21"/>
        <v>3</v>
      </c>
      <c r="AD219" s="156" t="str">
        <f t="shared" ca="1" si="22"/>
        <v>NO PRAZO</v>
      </c>
      <c r="AE219" s="156">
        <f t="shared" ca="1" si="23"/>
        <v>0</v>
      </c>
    </row>
    <row r="220" spans="1:31" ht="36" hidden="1" customHeight="1">
      <c r="A220" s="414"/>
      <c r="B220" s="466" t="s">
        <v>2561</v>
      </c>
      <c r="C220" s="489" t="s">
        <v>606</v>
      </c>
      <c r="D220" s="489" t="s">
        <v>899</v>
      </c>
      <c r="E220" s="476" t="s">
        <v>607</v>
      </c>
      <c r="F220" s="466" t="s">
        <v>42</v>
      </c>
      <c r="G220" s="482" t="s">
        <v>2562</v>
      </c>
      <c r="H220" s="647" t="s">
        <v>2563</v>
      </c>
      <c r="I220" s="475" t="s">
        <v>2564</v>
      </c>
      <c r="J220" s="476">
        <v>45992</v>
      </c>
      <c r="K220" s="429" t="s">
        <v>2493</v>
      </c>
      <c r="L220" s="465"/>
      <c r="M220" s="465" t="s">
        <v>259</v>
      </c>
      <c r="N220" s="475"/>
      <c r="O220" s="478">
        <v>46044</v>
      </c>
      <c r="P220" s="475" t="s">
        <v>2494</v>
      </c>
      <c r="Q220" s="479" t="s">
        <v>2494</v>
      </c>
      <c r="R220" s="479" t="s">
        <v>7536</v>
      </c>
      <c r="S220" s="480">
        <v>46157</v>
      </c>
      <c r="T220" s="480">
        <v>45994</v>
      </c>
      <c r="U220" s="480"/>
      <c r="V220" s="481"/>
      <c r="W220" s="481">
        <v>46002</v>
      </c>
      <c r="X220" s="481">
        <v>46157</v>
      </c>
      <c r="Y220" s="420"/>
      <c r="Z220" s="224" t="str">
        <f t="shared" si="18"/>
        <v>AG. MEDIÇÃO</v>
      </c>
      <c r="AA220" s="207" t="str">
        <f t="shared" si="19"/>
        <v>ENTREGUE</v>
      </c>
      <c r="AB220" s="207" t="str">
        <f t="shared" si="20"/>
        <v>AG. MEDIÇÃO</v>
      </c>
      <c r="AC220" s="156">
        <f t="shared" ca="1" si="21"/>
        <v>6</v>
      </c>
      <c r="AD220" s="156" t="str">
        <f t="shared" ca="1" si="22"/>
        <v>ATRASADO</v>
      </c>
      <c r="AE220" s="156">
        <f t="shared" ca="1" si="23"/>
        <v>3</v>
      </c>
    </row>
    <row r="221" spans="1:31" ht="36" hidden="1" customHeight="1">
      <c r="A221" s="414"/>
      <c r="B221" s="440" t="s">
        <v>5685</v>
      </c>
      <c r="C221" s="440" t="s">
        <v>111</v>
      </c>
      <c r="D221" s="440" t="s">
        <v>1766</v>
      </c>
      <c r="E221" s="440" t="s">
        <v>2504</v>
      </c>
      <c r="F221" s="440" t="s">
        <v>42</v>
      </c>
      <c r="G221" s="441"/>
      <c r="H221" s="440" t="s">
        <v>5686</v>
      </c>
      <c r="I221" s="441" t="s">
        <v>5687</v>
      </c>
      <c r="J221" s="450">
        <v>45870</v>
      </c>
      <c r="K221" s="429" t="s">
        <v>2493</v>
      </c>
      <c r="L221" s="444" t="s">
        <v>147</v>
      </c>
      <c r="M221" s="444" t="s">
        <v>5688</v>
      </c>
      <c r="N221" s="441"/>
      <c r="O221" s="445"/>
      <c r="P221" s="441"/>
      <c r="Q221" s="445">
        <v>357</v>
      </c>
      <c r="R221" s="445" t="s">
        <v>5689</v>
      </c>
      <c r="S221" s="446"/>
      <c r="T221" s="446">
        <v>45890</v>
      </c>
      <c r="U221" s="446"/>
      <c r="V221" s="447"/>
      <c r="W221" s="447">
        <v>45891</v>
      </c>
      <c r="X221" s="447"/>
      <c r="Y221" s="420"/>
      <c r="Z221" s="224" t="str">
        <f t="shared" si="18"/>
        <v>AG. RELATÓRIO</v>
      </c>
      <c r="AA221" s="207" t="str">
        <f t="shared" si="19"/>
        <v>PENDENTE</v>
      </c>
      <c r="AB221" s="207" t="str">
        <f t="shared" si="20"/>
        <v>AG. RELATÓRIO</v>
      </c>
      <c r="AC221" s="156">
        <f t="shared" ca="1" si="21"/>
        <v>1</v>
      </c>
      <c r="AD221" s="156" t="str">
        <f t="shared" ca="1" si="22"/>
        <v>NO PRAZO</v>
      </c>
      <c r="AE221" s="156">
        <f t="shared" ca="1" si="23"/>
        <v>-2</v>
      </c>
    </row>
    <row r="222" spans="1:31" ht="36" hidden="1" customHeight="1">
      <c r="A222" s="414"/>
      <c r="B222" s="440" t="s">
        <v>3944</v>
      </c>
      <c r="C222" s="440" t="s">
        <v>104</v>
      </c>
      <c r="D222" s="440" t="s">
        <v>443</v>
      </c>
      <c r="E222" s="440" t="s">
        <v>105</v>
      </c>
      <c r="F222" s="440" t="s">
        <v>42</v>
      </c>
      <c r="G222" s="441" t="s">
        <v>3945</v>
      </c>
      <c r="H222" s="440" t="s">
        <v>3946</v>
      </c>
      <c r="I222" s="441" t="s">
        <v>3947</v>
      </c>
      <c r="J222" s="450">
        <v>45474</v>
      </c>
      <c r="K222" s="429" t="s">
        <v>2493</v>
      </c>
      <c r="L222" s="444"/>
      <c r="M222" s="444" t="s">
        <v>51</v>
      </c>
      <c r="N222" s="441" t="s">
        <v>2572</v>
      </c>
      <c r="O222" s="445" t="s">
        <v>85</v>
      </c>
      <c r="P222" s="441" t="s">
        <v>2494</v>
      </c>
      <c r="Q222" s="441" t="s">
        <v>2494</v>
      </c>
      <c r="R222" s="445" t="s">
        <v>3119</v>
      </c>
      <c r="S222" s="446">
        <v>45497</v>
      </c>
      <c r="T222" s="446">
        <v>45475</v>
      </c>
      <c r="U222" s="446">
        <v>45486</v>
      </c>
      <c r="V222" s="446">
        <v>45486</v>
      </c>
      <c r="W222" s="447">
        <v>45486</v>
      </c>
      <c r="X222" s="447" t="s">
        <v>8044</v>
      </c>
      <c r="Y222" s="420"/>
      <c r="Z222" s="224" t="str">
        <f t="shared" si="18"/>
        <v>AG. MEDIÇÃO</v>
      </c>
      <c r="AA222" s="207" t="str">
        <f t="shared" si="19"/>
        <v>ENTREGUE</v>
      </c>
      <c r="AB222" s="207" t="str">
        <f t="shared" si="20"/>
        <v>AG. MEDIÇÃO</v>
      </c>
      <c r="AC222" s="156">
        <f t="shared" ca="1" si="21"/>
        <v>8</v>
      </c>
      <c r="AD222" s="156" t="str">
        <f t="shared" ca="1" si="22"/>
        <v>ATRASADO</v>
      </c>
      <c r="AE222" s="156">
        <f t="shared" ca="1" si="23"/>
        <v>5</v>
      </c>
    </row>
    <row r="223" spans="1:31" ht="36" hidden="1" customHeight="1">
      <c r="A223" s="414"/>
      <c r="B223" s="429" t="s">
        <v>8065</v>
      </c>
      <c r="C223" s="429" t="s">
        <v>104</v>
      </c>
      <c r="D223" s="429" t="s">
        <v>341</v>
      </c>
      <c r="E223" s="429" t="s">
        <v>105</v>
      </c>
      <c r="F223" s="429" t="s">
        <v>42</v>
      </c>
      <c r="G223" s="433" t="s">
        <v>4654</v>
      </c>
      <c r="H223" s="429" t="s">
        <v>7985</v>
      </c>
      <c r="I223" s="433" t="s">
        <v>7987</v>
      </c>
      <c r="J223" s="432">
        <v>46174</v>
      </c>
      <c r="K223" s="429" t="s">
        <v>2493</v>
      </c>
      <c r="L223" s="436"/>
      <c r="M223" s="436" t="s">
        <v>77</v>
      </c>
      <c r="N223" s="437"/>
      <c r="O223" s="437" t="s">
        <v>85</v>
      </c>
      <c r="P223" s="437" t="s">
        <v>2494</v>
      </c>
      <c r="Q223" s="433" t="s">
        <v>2494</v>
      </c>
      <c r="R223" s="499" t="s">
        <v>8062</v>
      </c>
      <c r="S223" s="438">
        <v>46212</v>
      </c>
      <c r="T223" s="438">
        <v>46202</v>
      </c>
      <c r="U223" s="438"/>
      <c r="V223" s="438"/>
      <c r="W223" s="439">
        <v>46203</v>
      </c>
      <c r="X223" s="439">
        <v>46212</v>
      </c>
      <c r="Y223" s="420"/>
      <c r="Z223" s="224" t="str">
        <f t="shared" si="18"/>
        <v>AG. MEDIÇÃO</v>
      </c>
      <c r="AA223" s="207" t="str">
        <f t="shared" si="19"/>
        <v>ENTREGUE</v>
      </c>
      <c r="AB223" s="207" t="str">
        <f t="shared" si="20"/>
        <v>AG. MEDIÇÃO</v>
      </c>
      <c r="AC223" s="156">
        <f t="shared" ca="1" si="21"/>
        <v>1</v>
      </c>
      <c r="AD223" s="156" t="str">
        <f t="shared" ca="1" si="22"/>
        <v>NO PRAZO</v>
      </c>
      <c r="AE223" s="156">
        <f t="shared" ca="1" si="23"/>
        <v>-2</v>
      </c>
    </row>
    <row r="224" spans="1:31" ht="36" hidden="1" customHeight="1">
      <c r="A224" s="414"/>
      <c r="B224" s="429" t="s">
        <v>7898</v>
      </c>
      <c r="C224" s="429" t="s">
        <v>305</v>
      </c>
      <c r="D224" s="429" t="s">
        <v>307</v>
      </c>
      <c r="E224" s="429" t="s">
        <v>306</v>
      </c>
      <c r="F224" s="429" t="s">
        <v>42</v>
      </c>
      <c r="G224" s="433"/>
      <c r="H224" s="429" t="s">
        <v>7906</v>
      </c>
      <c r="I224" s="433" t="s">
        <v>7907</v>
      </c>
      <c r="J224" s="432">
        <v>46174</v>
      </c>
      <c r="K224" s="429" t="s">
        <v>2493</v>
      </c>
      <c r="L224" s="436"/>
      <c r="M224" s="436" t="s">
        <v>77</v>
      </c>
      <c r="N224" s="437"/>
      <c r="O224" s="437" t="s">
        <v>85</v>
      </c>
      <c r="P224" s="437">
        <v>58</v>
      </c>
      <c r="Q224" s="433">
        <v>58</v>
      </c>
      <c r="R224" s="499" t="s">
        <v>7908</v>
      </c>
      <c r="S224" s="438">
        <v>46195</v>
      </c>
      <c r="T224" s="438">
        <v>46190</v>
      </c>
      <c r="U224" s="438"/>
      <c r="V224" s="438"/>
      <c r="W224" s="439">
        <v>46191</v>
      </c>
      <c r="X224" s="439">
        <v>46195</v>
      </c>
      <c r="Y224" s="420"/>
      <c r="Z224" s="224" t="str">
        <f t="shared" si="18"/>
        <v>AG. MEDIÇÃO</v>
      </c>
      <c r="AA224" s="207" t="str">
        <f t="shared" si="19"/>
        <v>ENTREGUE</v>
      </c>
      <c r="AB224" s="207" t="str">
        <f t="shared" si="20"/>
        <v>AG. MEDIÇÃO</v>
      </c>
      <c r="AC224" s="156">
        <f t="shared" ca="1" si="21"/>
        <v>1</v>
      </c>
      <c r="AD224" s="156" t="str">
        <f t="shared" ca="1" si="22"/>
        <v>NO PRAZO</v>
      </c>
      <c r="AE224" s="156">
        <f t="shared" ca="1" si="23"/>
        <v>-2</v>
      </c>
    </row>
    <row r="225" spans="1:31" ht="36" hidden="1" customHeight="1">
      <c r="A225" s="414"/>
      <c r="B225" s="429" t="s">
        <v>7780</v>
      </c>
      <c r="C225" s="430" t="s">
        <v>380</v>
      </c>
      <c r="D225" s="430" t="s">
        <v>1811</v>
      </c>
      <c r="E225" s="432" t="s">
        <v>685</v>
      </c>
      <c r="F225" s="429" t="s">
        <v>42</v>
      </c>
      <c r="G225" s="434" t="s">
        <v>7767</v>
      </c>
      <c r="H225" s="636" t="s">
        <v>7723</v>
      </c>
      <c r="I225" s="433" t="s">
        <v>7759</v>
      </c>
      <c r="J225" s="432">
        <v>46174</v>
      </c>
      <c r="K225" s="429" t="s">
        <v>2493</v>
      </c>
      <c r="L225" s="436" t="s">
        <v>124</v>
      </c>
      <c r="M225" s="436" t="s">
        <v>77</v>
      </c>
      <c r="N225" s="433"/>
      <c r="O225" s="437"/>
      <c r="P225" s="433">
        <v>621</v>
      </c>
      <c r="Q225" s="437">
        <v>632</v>
      </c>
      <c r="R225" s="437" t="s">
        <v>7967</v>
      </c>
      <c r="S225" s="438">
        <v>46183</v>
      </c>
      <c r="T225" s="438">
        <v>46181</v>
      </c>
      <c r="U225" s="438">
        <v>46182</v>
      </c>
      <c r="V225" s="439">
        <v>46183</v>
      </c>
      <c r="W225" s="439">
        <v>46183</v>
      </c>
      <c r="X225" s="439">
        <v>46183</v>
      </c>
      <c r="Y225" s="420"/>
      <c r="Z225" s="224" t="str">
        <f t="shared" si="18"/>
        <v>AG. MEDIÇÃO</v>
      </c>
      <c r="AA225" s="207" t="str">
        <f t="shared" si="19"/>
        <v>ENTREGUE</v>
      </c>
      <c r="AB225" s="207" t="str">
        <f t="shared" si="20"/>
        <v>AG. MEDIÇÃO</v>
      </c>
      <c r="AC225" s="156">
        <f t="shared" ca="1" si="21"/>
        <v>2</v>
      </c>
      <c r="AD225" s="156" t="str">
        <f t="shared" ca="1" si="22"/>
        <v>NO PRAZO</v>
      </c>
      <c r="AE225" s="156">
        <f t="shared" ca="1" si="23"/>
        <v>-1</v>
      </c>
    </row>
    <row r="226" spans="1:31" ht="36" hidden="1" customHeight="1">
      <c r="A226" s="414"/>
      <c r="B226" s="429" t="s">
        <v>7287</v>
      </c>
      <c r="C226" s="429" t="s">
        <v>600</v>
      </c>
      <c r="D226" s="429" t="s">
        <v>1992</v>
      </c>
      <c r="E226" s="429" t="s">
        <v>601</v>
      </c>
      <c r="F226" s="429" t="s">
        <v>42</v>
      </c>
      <c r="G226" s="433"/>
      <c r="H226" s="652" t="s">
        <v>7301</v>
      </c>
      <c r="I226" s="433" t="s">
        <v>7302</v>
      </c>
      <c r="J226" s="432">
        <v>46113</v>
      </c>
      <c r="K226" s="429" t="s">
        <v>2493</v>
      </c>
      <c r="L226" s="436"/>
      <c r="M226" s="436" t="s">
        <v>62</v>
      </c>
      <c r="N226" s="433"/>
      <c r="O226" s="437"/>
      <c r="P226" s="433" t="s">
        <v>2494</v>
      </c>
      <c r="Q226" s="437" t="s">
        <v>2494</v>
      </c>
      <c r="R226" s="437" t="s">
        <v>7306</v>
      </c>
      <c r="S226" s="438">
        <v>46154</v>
      </c>
      <c r="T226" s="438">
        <v>46132</v>
      </c>
      <c r="U226" s="438">
        <v>46132</v>
      </c>
      <c r="V226" s="439"/>
      <c r="W226" s="439">
        <v>46132</v>
      </c>
      <c r="X226" s="439">
        <v>46154</v>
      </c>
      <c r="Y226" s="420"/>
      <c r="Z226" s="224" t="str">
        <f t="shared" si="18"/>
        <v>AG. MEDIÇÃO</v>
      </c>
      <c r="AA226" s="207" t="str">
        <f t="shared" si="19"/>
        <v>ENTREGUE</v>
      </c>
      <c r="AB226" s="207" t="str">
        <f t="shared" si="20"/>
        <v>AG. MEDIÇÃO</v>
      </c>
      <c r="AC226" s="156">
        <f t="shared" ca="1" si="21"/>
        <v>0</v>
      </c>
      <c r="AD226" s="156" t="str">
        <f t="shared" ca="1" si="22"/>
        <v>NO PRAZO</v>
      </c>
      <c r="AE226" s="156">
        <f t="shared" ca="1" si="23"/>
        <v>-3</v>
      </c>
    </row>
    <row r="227" spans="1:31" ht="36" hidden="1" customHeight="1">
      <c r="A227" s="414"/>
      <c r="B227" s="440" t="s">
        <v>4070</v>
      </c>
      <c r="C227" s="440" t="s">
        <v>383</v>
      </c>
      <c r="D227" s="440" t="s">
        <v>387</v>
      </c>
      <c r="E227" s="440" t="s">
        <v>384</v>
      </c>
      <c r="F227" s="440" t="s">
        <v>42</v>
      </c>
      <c r="G227" s="441" t="s">
        <v>4071</v>
      </c>
      <c r="H227" s="440" t="s">
        <v>4072</v>
      </c>
      <c r="I227" s="441" t="s">
        <v>4073</v>
      </c>
      <c r="J227" s="450">
        <v>45474</v>
      </c>
      <c r="K227" s="429" t="s">
        <v>2493</v>
      </c>
      <c r="L227" s="444" t="s">
        <v>4074</v>
      </c>
      <c r="M227" s="444" t="s">
        <v>827</v>
      </c>
      <c r="N227" s="441" t="s">
        <v>2572</v>
      </c>
      <c r="O227" s="445" t="s">
        <v>85</v>
      </c>
      <c r="P227" s="445"/>
      <c r="Q227" s="445">
        <v>754</v>
      </c>
      <c r="R227" s="445" t="s">
        <v>4075</v>
      </c>
      <c r="S227" s="446">
        <v>45545</v>
      </c>
      <c r="T227" s="446">
        <v>45499</v>
      </c>
      <c r="U227" s="446">
        <v>45531</v>
      </c>
      <c r="V227" s="447">
        <v>45534</v>
      </c>
      <c r="W227" s="447">
        <v>45534</v>
      </c>
      <c r="X227" s="447" t="s">
        <v>8044</v>
      </c>
      <c r="Y227" s="420"/>
      <c r="Z227" s="224" t="str">
        <f t="shared" si="18"/>
        <v>AG. MEDIÇÃO</v>
      </c>
      <c r="AA227" s="207" t="str">
        <f t="shared" si="19"/>
        <v>ENTREGUE</v>
      </c>
      <c r="AB227" s="207" t="str">
        <f t="shared" si="20"/>
        <v>AG. MEDIÇÃO</v>
      </c>
      <c r="AC227" s="156">
        <f t="shared" ca="1" si="21"/>
        <v>25</v>
      </c>
      <c r="AD227" s="156" t="str">
        <f t="shared" ca="1" si="22"/>
        <v>ATRASADO</v>
      </c>
      <c r="AE227" s="156">
        <f t="shared" ca="1" si="23"/>
        <v>22</v>
      </c>
    </row>
    <row r="228" spans="1:31" ht="36" hidden="1" customHeight="1">
      <c r="A228" s="414"/>
      <c r="B228" s="440" t="s">
        <v>4527</v>
      </c>
      <c r="C228" s="440" t="s">
        <v>383</v>
      </c>
      <c r="D228" s="440" t="s">
        <v>387</v>
      </c>
      <c r="E228" s="440" t="s">
        <v>384</v>
      </c>
      <c r="F228" s="440" t="s">
        <v>42</v>
      </c>
      <c r="G228" s="441" t="s">
        <v>4528</v>
      </c>
      <c r="H228" s="440" t="s">
        <v>4529</v>
      </c>
      <c r="I228" s="441" t="s">
        <v>4530</v>
      </c>
      <c r="J228" s="450">
        <v>45566</v>
      </c>
      <c r="K228" s="429" t="s">
        <v>2493</v>
      </c>
      <c r="L228" s="444" t="s">
        <v>124</v>
      </c>
      <c r="M228" s="444" t="s">
        <v>1764</v>
      </c>
      <c r="N228" s="441" t="s">
        <v>2572</v>
      </c>
      <c r="O228" s="445" t="s">
        <v>3350</v>
      </c>
      <c r="P228" s="441"/>
      <c r="Q228" s="441">
        <v>565</v>
      </c>
      <c r="R228" s="445" t="s">
        <v>4531</v>
      </c>
      <c r="S228" s="446">
        <v>45608</v>
      </c>
      <c r="T228" s="446">
        <v>45586</v>
      </c>
      <c r="U228" s="446"/>
      <c r="V228" s="447"/>
      <c r="W228" s="447">
        <v>45603</v>
      </c>
      <c r="X228" s="447" t="s">
        <v>8044</v>
      </c>
      <c r="Y228" s="420"/>
      <c r="Z228" s="224" t="str">
        <f t="shared" si="18"/>
        <v>AG. MEDIÇÃO</v>
      </c>
      <c r="AA228" s="207" t="str">
        <f t="shared" si="19"/>
        <v>ENTREGUE</v>
      </c>
      <c r="AB228" s="207" t="str">
        <f t="shared" si="20"/>
        <v>AG. MEDIÇÃO</v>
      </c>
      <c r="AC228" s="156">
        <f t="shared" ca="1" si="21"/>
        <v>13</v>
      </c>
      <c r="AD228" s="156" t="str">
        <f t="shared" ca="1" si="22"/>
        <v>ATRASADO</v>
      </c>
      <c r="AE228" s="156">
        <f t="shared" ca="1" si="23"/>
        <v>10</v>
      </c>
    </row>
    <row r="229" spans="1:31" ht="36" hidden="1" customHeight="1">
      <c r="A229" s="414"/>
      <c r="B229" s="440" t="s">
        <v>5781</v>
      </c>
      <c r="C229" s="440" t="s">
        <v>79</v>
      </c>
      <c r="D229" s="440" t="s">
        <v>2072</v>
      </c>
      <c r="E229" s="440" t="s">
        <v>619</v>
      </c>
      <c r="F229" s="440" t="s">
        <v>42</v>
      </c>
      <c r="G229" s="485" t="s">
        <v>5782</v>
      </c>
      <c r="H229" s="440" t="s">
        <v>5783</v>
      </c>
      <c r="I229" s="441" t="s">
        <v>5784</v>
      </c>
      <c r="J229" s="450">
        <v>45931</v>
      </c>
      <c r="K229" s="429" t="s">
        <v>2493</v>
      </c>
      <c r="L229" s="444"/>
      <c r="M229" s="444" t="s">
        <v>200</v>
      </c>
      <c r="N229" s="441"/>
      <c r="O229" s="445"/>
      <c r="P229" s="441" t="s">
        <v>2494</v>
      </c>
      <c r="Q229" s="445" t="s">
        <v>2494</v>
      </c>
      <c r="R229" s="445" t="s">
        <v>5494</v>
      </c>
      <c r="S229" s="446">
        <v>45950</v>
      </c>
      <c r="T229" s="446">
        <v>45947</v>
      </c>
      <c r="U229" s="446"/>
      <c r="V229" s="447"/>
      <c r="W229" s="447">
        <v>45950</v>
      </c>
      <c r="X229" s="447">
        <v>45950</v>
      </c>
      <c r="Y229" s="420"/>
      <c r="Z229" s="224" t="str">
        <f t="shared" si="18"/>
        <v>AG. MEDIÇÃO</v>
      </c>
      <c r="AA229" s="207" t="str">
        <f t="shared" si="19"/>
        <v>ENTREGUE</v>
      </c>
      <c r="AB229" s="207" t="str">
        <f t="shared" si="20"/>
        <v>AG. MEDIÇÃO</v>
      </c>
      <c r="AC229" s="156">
        <f t="shared" ca="1" si="21"/>
        <v>1</v>
      </c>
      <c r="AD229" s="156" t="str">
        <f t="shared" ca="1" si="22"/>
        <v>NO PRAZO</v>
      </c>
      <c r="AE229" s="156">
        <f t="shared" ca="1" si="23"/>
        <v>-2</v>
      </c>
    </row>
    <row r="230" spans="1:31" ht="36" hidden="1" customHeight="1">
      <c r="A230" s="414"/>
      <c r="B230" s="440" t="s">
        <v>2972</v>
      </c>
      <c r="C230" s="440" t="s">
        <v>286</v>
      </c>
      <c r="D230" s="440"/>
      <c r="E230" s="440"/>
      <c r="F230" s="440" t="s">
        <v>42</v>
      </c>
      <c r="G230" s="441" t="s">
        <v>2973</v>
      </c>
      <c r="H230" s="440" t="s">
        <v>2974</v>
      </c>
      <c r="I230" s="449"/>
      <c r="J230" s="450">
        <v>45108</v>
      </c>
      <c r="K230" s="429" t="s">
        <v>2493</v>
      </c>
      <c r="L230" s="444" t="s">
        <v>864</v>
      </c>
      <c r="M230" s="444" t="s">
        <v>864</v>
      </c>
      <c r="N230" s="441" t="s">
        <v>2572</v>
      </c>
      <c r="O230" s="445" t="s">
        <v>2573</v>
      </c>
      <c r="P230" s="445"/>
      <c r="Q230" s="441">
        <v>320</v>
      </c>
      <c r="R230" s="445" t="s">
        <v>2975</v>
      </c>
      <c r="S230" s="446">
        <v>45175</v>
      </c>
      <c r="T230" s="446">
        <v>45110</v>
      </c>
      <c r="U230" s="446">
        <v>45120</v>
      </c>
      <c r="V230" s="446">
        <v>45121</v>
      </c>
      <c r="W230" s="447">
        <v>45121</v>
      </c>
      <c r="X230" s="447" t="s">
        <v>8044</v>
      </c>
      <c r="Y230" s="420"/>
      <c r="Z230" s="224" t="str">
        <f t="shared" si="18"/>
        <v>AG. MEDIÇÃO</v>
      </c>
      <c r="AA230" s="207" t="str">
        <f t="shared" si="19"/>
        <v>ENTREGUE</v>
      </c>
      <c r="AB230" s="207" t="str">
        <f t="shared" si="20"/>
        <v>AG. MEDIÇÃO</v>
      </c>
      <c r="AC230" s="156">
        <f t="shared" ca="1" si="21"/>
        <v>9</v>
      </c>
      <c r="AD230" s="156" t="str">
        <f t="shared" ca="1" si="22"/>
        <v>ATRASADO</v>
      </c>
      <c r="AE230" s="156">
        <f t="shared" ca="1" si="23"/>
        <v>6</v>
      </c>
    </row>
    <row r="231" spans="1:31" ht="36" hidden="1" customHeight="1">
      <c r="A231" s="414"/>
      <c r="B231" s="440" t="s">
        <v>5375</v>
      </c>
      <c r="C231" s="440" t="s">
        <v>54</v>
      </c>
      <c r="D231" s="440" t="s">
        <v>1830</v>
      </c>
      <c r="E231" s="440" t="s">
        <v>55</v>
      </c>
      <c r="F231" s="440" t="s">
        <v>42</v>
      </c>
      <c r="G231" s="441" t="s">
        <v>5376</v>
      </c>
      <c r="H231" s="440" t="s">
        <v>5377</v>
      </c>
      <c r="I231" s="441" t="s">
        <v>5378</v>
      </c>
      <c r="J231" s="450">
        <v>45809</v>
      </c>
      <c r="K231" s="429" t="s">
        <v>2493</v>
      </c>
      <c r="L231" s="444"/>
      <c r="M231" s="444" t="s">
        <v>170</v>
      </c>
      <c r="N231" s="441"/>
      <c r="O231" s="445"/>
      <c r="P231" s="441" t="s">
        <v>2494</v>
      </c>
      <c r="Q231" s="445" t="s">
        <v>2494</v>
      </c>
      <c r="R231" s="445" t="s">
        <v>5379</v>
      </c>
      <c r="S231" s="446" t="s">
        <v>1830</v>
      </c>
      <c r="T231" s="446">
        <v>45821</v>
      </c>
      <c r="U231" s="446"/>
      <c r="V231" s="447"/>
      <c r="W231" s="447">
        <v>45824</v>
      </c>
      <c r="X231" s="447" t="s">
        <v>8044</v>
      </c>
      <c r="Y231" s="420"/>
      <c r="Z231" s="224" t="str">
        <f t="shared" si="18"/>
        <v>AG. MEDIÇÃO</v>
      </c>
      <c r="AA231" s="207" t="str">
        <f t="shared" si="19"/>
        <v>ENTREGUE</v>
      </c>
      <c r="AB231" s="207" t="str">
        <f t="shared" si="20"/>
        <v>AG. MEDIÇÃO</v>
      </c>
      <c r="AC231" s="156">
        <f t="shared" ca="1" si="21"/>
        <v>1</v>
      </c>
      <c r="AD231" s="156" t="str">
        <f t="shared" ca="1" si="22"/>
        <v>NO PRAZO</v>
      </c>
      <c r="AE231" s="156">
        <f t="shared" ca="1" si="23"/>
        <v>-2</v>
      </c>
    </row>
    <row r="232" spans="1:31" ht="36" hidden="1" customHeight="1">
      <c r="A232" s="414"/>
      <c r="B232" s="429" t="s">
        <v>7433</v>
      </c>
      <c r="C232" s="430" t="s">
        <v>298</v>
      </c>
      <c r="D232" s="430" t="s">
        <v>1253</v>
      </c>
      <c r="E232" s="432" t="s">
        <v>299</v>
      </c>
      <c r="F232" s="429" t="s">
        <v>42</v>
      </c>
      <c r="G232" s="434" t="s">
        <v>7424</v>
      </c>
      <c r="H232" s="636" t="s">
        <v>7425</v>
      </c>
      <c r="I232" s="433" t="s">
        <v>7426</v>
      </c>
      <c r="J232" s="432">
        <v>46143</v>
      </c>
      <c r="K232" s="429" t="s">
        <v>2493</v>
      </c>
      <c r="L232" s="436" t="s">
        <v>124</v>
      </c>
      <c r="M232" s="436" t="s">
        <v>77</v>
      </c>
      <c r="N232" s="433"/>
      <c r="O232" s="437"/>
      <c r="P232" s="433">
        <v>280</v>
      </c>
      <c r="Q232" s="437">
        <v>231</v>
      </c>
      <c r="R232" s="437" t="s">
        <v>7983</v>
      </c>
      <c r="S232" s="438">
        <v>46202</v>
      </c>
      <c r="T232" s="438">
        <v>46147</v>
      </c>
      <c r="U232" s="438"/>
      <c r="V232" s="439"/>
      <c r="W232" s="439">
        <v>46153</v>
      </c>
      <c r="X232" s="439">
        <v>46202</v>
      </c>
      <c r="Y232" s="420"/>
      <c r="Z232" s="224" t="str">
        <f t="shared" si="18"/>
        <v>AG. MEDIÇÃO</v>
      </c>
      <c r="AA232" s="207" t="str">
        <f t="shared" si="19"/>
        <v>ENTREGUE</v>
      </c>
      <c r="AB232" s="207" t="str">
        <f t="shared" si="20"/>
        <v>AG. MEDIÇÃO</v>
      </c>
      <c r="AC232" s="156">
        <f t="shared" ca="1" si="21"/>
        <v>4</v>
      </c>
      <c r="AD232" s="156" t="str">
        <f t="shared" ca="1" si="22"/>
        <v>ATRASADO</v>
      </c>
      <c r="AE232" s="156">
        <f t="shared" ca="1" si="23"/>
        <v>1</v>
      </c>
    </row>
    <row r="233" spans="1:31" ht="36" hidden="1" customHeight="1">
      <c r="A233" s="414"/>
      <c r="B233" s="429" t="s">
        <v>7771</v>
      </c>
      <c r="C233" s="430" t="s">
        <v>555</v>
      </c>
      <c r="D233" s="431" t="s">
        <v>577</v>
      </c>
      <c r="E233" s="432" t="s">
        <v>556</v>
      </c>
      <c r="F233" s="429" t="s">
        <v>42</v>
      </c>
      <c r="G233" s="434" t="s">
        <v>7727</v>
      </c>
      <c r="H233" s="636" t="s">
        <v>7728</v>
      </c>
      <c r="I233" s="433" t="s">
        <v>7729</v>
      </c>
      <c r="J233" s="432">
        <v>46174</v>
      </c>
      <c r="K233" s="429" t="s">
        <v>2493</v>
      </c>
      <c r="L233" s="436"/>
      <c r="M233" s="436" t="s">
        <v>77</v>
      </c>
      <c r="N233" s="433"/>
      <c r="O233" s="437" t="s">
        <v>85</v>
      </c>
      <c r="P233" s="433" t="s">
        <v>2494</v>
      </c>
      <c r="Q233" s="437" t="s">
        <v>2494</v>
      </c>
      <c r="R233" s="437" t="s">
        <v>7926</v>
      </c>
      <c r="S233" s="438">
        <v>46209</v>
      </c>
      <c r="T233" s="438">
        <v>46179</v>
      </c>
      <c r="U233" s="438"/>
      <c r="V233" s="439"/>
      <c r="W233" s="439">
        <v>46182</v>
      </c>
      <c r="X233" s="439">
        <v>46209</v>
      </c>
      <c r="Y233" s="420"/>
      <c r="Z233" s="224" t="str">
        <f t="shared" si="18"/>
        <v>AG. MEDIÇÃO</v>
      </c>
      <c r="AA233" s="207" t="str">
        <f t="shared" si="19"/>
        <v>ENTREGUE</v>
      </c>
      <c r="AB233" s="207" t="str">
        <f t="shared" si="20"/>
        <v>AG. MEDIÇÃO</v>
      </c>
      <c r="AC233" s="156">
        <f t="shared" ca="1" si="21"/>
        <v>1</v>
      </c>
      <c r="AD233" s="156" t="str">
        <f t="shared" ca="1" si="22"/>
        <v>NO PRAZO</v>
      </c>
      <c r="AE233" s="156">
        <f t="shared" ca="1" si="23"/>
        <v>-2</v>
      </c>
    </row>
    <row r="234" spans="1:31" ht="36" hidden="1" customHeight="1">
      <c r="A234" s="414"/>
      <c r="B234" s="440" t="s">
        <v>5246</v>
      </c>
      <c r="C234" s="440" t="s">
        <v>606</v>
      </c>
      <c r="D234" s="440" t="s">
        <v>4025</v>
      </c>
      <c r="E234" s="440" t="s">
        <v>607</v>
      </c>
      <c r="F234" s="440" t="s">
        <v>42</v>
      </c>
      <c r="G234" s="441" t="s">
        <v>5247</v>
      </c>
      <c r="H234" s="440" t="s">
        <v>5248</v>
      </c>
      <c r="I234" s="441" t="s">
        <v>5249</v>
      </c>
      <c r="J234" s="450">
        <v>45778</v>
      </c>
      <c r="K234" s="429" t="s">
        <v>2493</v>
      </c>
      <c r="L234" s="444" t="s">
        <v>1208</v>
      </c>
      <c r="M234" s="444" t="s">
        <v>1155</v>
      </c>
      <c r="N234" s="441"/>
      <c r="O234" s="445"/>
      <c r="P234" s="441">
        <v>247</v>
      </c>
      <c r="Q234" s="445">
        <v>310</v>
      </c>
      <c r="R234" s="445" t="s">
        <v>5250</v>
      </c>
      <c r="S234" s="446">
        <v>45826</v>
      </c>
      <c r="T234" s="446">
        <v>45806</v>
      </c>
      <c r="U234" s="446"/>
      <c r="V234" s="447"/>
      <c r="W234" s="447">
        <v>45811</v>
      </c>
      <c r="X234" s="447" t="s">
        <v>8044</v>
      </c>
      <c r="Y234" s="420"/>
      <c r="Z234" s="224" t="str">
        <f t="shared" si="18"/>
        <v>AG. MEDIÇÃO</v>
      </c>
      <c r="AA234" s="207" t="str">
        <f t="shared" si="19"/>
        <v>ENTREGUE</v>
      </c>
      <c r="AB234" s="207" t="str">
        <f t="shared" si="20"/>
        <v>AG. MEDIÇÃO</v>
      </c>
      <c r="AC234" s="156">
        <f t="shared" ca="1" si="21"/>
        <v>3</v>
      </c>
      <c r="AD234" s="156" t="str">
        <f t="shared" ca="1" si="22"/>
        <v>NO PRAZO</v>
      </c>
      <c r="AE234" s="156">
        <f t="shared" ca="1" si="23"/>
        <v>0</v>
      </c>
    </row>
    <row r="235" spans="1:31" ht="33.75" hidden="1" customHeight="1">
      <c r="A235" s="414"/>
      <c r="B235" s="440" t="s">
        <v>5653</v>
      </c>
      <c r="C235" s="440" t="s">
        <v>380</v>
      </c>
      <c r="D235" s="440"/>
      <c r="E235" s="440"/>
      <c r="F235" s="440" t="s">
        <v>42</v>
      </c>
      <c r="G235" s="441" t="s">
        <v>5654</v>
      </c>
      <c r="H235" s="440" t="s">
        <v>5655</v>
      </c>
      <c r="I235" s="441" t="s">
        <v>5656</v>
      </c>
      <c r="J235" s="450">
        <v>45870</v>
      </c>
      <c r="K235" s="429" t="s">
        <v>2493</v>
      </c>
      <c r="L235" s="444" t="s">
        <v>147</v>
      </c>
      <c r="M235" s="444" t="s">
        <v>1155</v>
      </c>
      <c r="N235" s="441" t="s">
        <v>2572</v>
      </c>
      <c r="O235" s="445"/>
      <c r="P235" s="441"/>
      <c r="Q235" s="445">
        <v>206</v>
      </c>
      <c r="R235" s="445" t="s">
        <v>7023</v>
      </c>
      <c r="S235" s="446"/>
      <c r="T235" s="446">
        <v>45882</v>
      </c>
      <c r="U235" s="446"/>
      <c r="V235" s="447"/>
      <c r="W235" s="447">
        <v>45883</v>
      </c>
      <c r="X235" s="447"/>
      <c r="Y235" s="420"/>
      <c r="Z235" s="224" t="str">
        <f t="shared" si="18"/>
        <v>AG. RELATÓRIO</v>
      </c>
      <c r="AA235" s="207" t="str">
        <f t="shared" si="19"/>
        <v>PENDENTE</v>
      </c>
      <c r="AB235" s="207" t="str">
        <f t="shared" si="20"/>
        <v>AG. RELATÓRIO</v>
      </c>
      <c r="AC235" s="156">
        <f t="shared" ca="1" si="21"/>
        <v>1</v>
      </c>
      <c r="AD235" s="156" t="str">
        <f t="shared" ca="1" si="22"/>
        <v>NO PRAZO</v>
      </c>
      <c r="AE235" s="156">
        <f t="shared" ca="1" si="23"/>
        <v>-2</v>
      </c>
    </row>
    <row r="236" spans="1:31" ht="36" hidden="1" customHeight="1">
      <c r="A236" s="414"/>
      <c r="B236" s="440" t="s">
        <v>4216</v>
      </c>
      <c r="C236" s="440" t="s">
        <v>111</v>
      </c>
      <c r="D236" s="440" t="s">
        <v>348</v>
      </c>
      <c r="E236" s="440" t="s">
        <v>2504</v>
      </c>
      <c r="F236" s="440" t="s">
        <v>42</v>
      </c>
      <c r="G236" s="441" t="s">
        <v>4217</v>
      </c>
      <c r="H236" s="440" t="s">
        <v>4218</v>
      </c>
      <c r="I236" s="441" t="s">
        <v>4219</v>
      </c>
      <c r="J236" s="450">
        <v>45505</v>
      </c>
      <c r="K236" s="429" t="s">
        <v>2493</v>
      </c>
      <c r="L236" s="444"/>
      <c r="M236" s="444" t="s">
        <v>4195</v>
      </c>
      <c r="N236" s="441" t="s">
        <v>2572</v>
      </c>
      <c r="O236" s="445" t="s">
        <v>85</v>
      </c>
      <c r="P236" s="441" t="s">
        <v>2494</v>
      </c>
      <c r="Q236" s="441" t="s">
        <v>2494</v>
      </c>
      <c r="R236" s="445" t="s">
        <v>4220</v>
      </c>
      <c r="S236" s="446">
        <v>45545</v>
      </c>
      <c r="T236" s="446">
        <v>45524</v>
      </c>
      <c r="U236" s="446">
        <v>45528</v>
      </c>
      <c r="V236" s="447">
        <v>45532</v>
      </c>
      <c r="W236" s="447">
        <v>45532</v>
      </c>
      <c r="X236" s="447" t="s">
        <v>8044</v>
      </c>
      <c r="Y236" s="420"/>
      <c r="Z236" s="224" t="str">
        <f t="shared" si="18"/>
        <v>AG. MEDIÇÃO</v>
      </c>
      <c r="AA236" s="207" t="str">
        <f t="shared" si="19"/>
        <v>ENTREGUE</v>
      </c>
      <c r="AB236" s="207" t="str">
        <f t="shared" si="20"/>
        <v>AG. MEDIÇÃO</v>
      </c>
      <c r="AC236" s="156">
        <f t="shared" ca="1" si="21"/>
        <v>6</v>
      </c>
      <c r="AD236" s="156" t="str">
        <f t="shared" ca="1" si="22"/>
        <v>ATRASADO</v>
      </c>
      <c r="AE236" s="156">
        <f t="shared" ca="1" si="23"/>
        <v>3</v>
      </c>
    </row>
    <row r="237" spans="1:31" ht="36" hidden="1" customHeight="1">
      <c r="A237" s="414"/>
      <c r="B237" s="429" t="s">
        <v>7368</v>
      </c>
      <c r="C237" s="429" t="s">
        <v>315</v>
      </c>
      <c r="D237" s="429"/>
      <c r="E237" s="429"/>
      <c r="F237" s="429" t="s">
        <v>42</v>
      </c>
      <c r="G237" s="433" t="s">
        <v>7321</v>
      </c>
      <c r="H237" s="652" t="s">
        <v>7322</v>
      </c>
      <c r="I237" s="433" t="s">
        <v>7323</v>
      </c>
      <c r="J237" s="432">
        <v>46113</v>
      </c>
      <c r="K237" s="429" t="s">
        <v>2493</v>
      </c>
      <c r="L237" s="436"/>
      <c r="M237" s="436" t="s">
        <v>62</v>
      </c>
      <c r="N237" s="433"/>
      <c r="O237" s="437"/>
      <c r="P237" s="433" t="s">
        <v>2494</v>
      </c>
      <c r="Q237" s="437" t="s">
        <v>2494</v>
      </c>
      <c r="R237" s="437" t="s">
        <v>7560</v>
      </c>
      <c r="S237" s="438">
        <v>46156</v>
      </c>
      <c r="T237" s="438">
        <v>46134</v>
      </c>
      <c r="U237" s="438"/>
      <c r="V237" s="439"/>
      <c r="W237" s="439">
        <v>46138</v>
      </c>
      <c r="X237" s="439">
        <v>46156</v>
      </c>
      <c r="Y237" s="420"/>
      <c r="Z237" s="224" t="str">
        <f t="shared" si="18"/>
        <v>AG. MEDIÇÃO</v>
      </c>
      <c r="AA237" s="207" t="str">
        <f t="shared" si="19"/>
        <v>ENTREGUE</v>
      </c>
      <c r="AB237" s="207" t="str">
        <f t="shared" si="20"/>
        <v>AG. MEDIÇÃO</v>
      </c>
      <c r="AC237" s="156">
        <f t="shared" ca="1" si="21"/>
        <v>2</v>
      </c>
      <c r="AD237" s="156" t="str">
        <f t="shared" ca="1" si="22"/>
        <v>NO PRAZO</v>
      </c>
      <c r="AE237" s="156">
        <f t="shared" ca="1" si="23"/>
        <v>-1</v>
      </c>
    </row>
    <row r="238" spans="1:31" ht="36" hidden="1" customHeight="1">
      <c r="A238" s="414"/>
      <c r="B238" s="429" t="s">
        <v>7367</v>
      </c>
      <c r="C238" s="429" t="s">
        <v>315</v>
      </c>
      <c r="D238" s="429"/>
      <c r="E238" s="429"/>
      <c r="F238" s="429" t="s">
        <v>42</v>
      </c>
      <c r="G238" s="433"/>
      <c r="H238" s="652" t="s">
        <v>7319</v>
      </c>
      <c r="I238" s="433" t="s">
        <v>7320</v>
      </c>
      <c r="J238" s="432">
        <v>46113</v>
      </c>
      <c r="K238" s="429" t="s">
        <v>2493</v>
      </c>
      <c r="L238" s="436"/>
      <c r="M238" s="436" t="s">
        <v>62</v>
      </c>
      <c r="N238" s="433"/>
      <c r="O238" s="437"/>
      <c r="P238" s="433" t="s">
        <v>2494</v>
      </c>
      <c r="Q238" s="437" t="s">
        <v>2494</v>
      </c>
      <c r="R238" s="437" t="s">
        <v>7410</v>
      </c>
      <c r="S238" s="438">
        <v>46156</v>
      </c>
      <c r="T238" s="438">
        <v>46134</v>
      </c>
      <c r="U238" s="438"/>
      <c r="V238" s="439"/>
      <c r="W238" s="439">
        <v>46138</v>
      </c>
      <c r="X238" s="439">
        <v>46156</v>
      </c>
      <c r="Y238" s="420"/>
      <c r="Z238" s="224" t="str">
        <f t="shared" si="18"/>
        <v>AG. MEDIÇÃO</v>
      </c>
      <c r="AA238" s="207" t="str">
        <f t="shared" si="19"/>
        <v>ENTREGUE</v>
      </c>
      <c r="AB238" s="207" t="str">
        <f t="shared" si="20"/>
        <v>AG. MEDIÇÃO</v>
      </c>
      <c r="AC238" s="156">
        <f t="shared" ca="1" si="21"/>
        <v>2</v>
      </c>
      <c r="AD238" s="156" t="str">
        <f t="shared" ca="1" si="22"/>
        <v>NO PRAZO</v>
      </c>
      <c r="AE238" s="156">
        <f t="shared" ca="1" si="23"/>
        <v>-1</v>
      </c>
    </row>
    <row r="239" spans="1:31" ht="36" hidden="1" customHeight="1">
      <c r="A239" s="414"/>
      <c r="B239" s="440" t="s">
        <v>3171</v>
      </c>
      <c r="C239" s="440" t="s">
        <v>410</v>
      </c>
      <c r="D239" s="440"/>
      <c r="E239" s="440"/>
      <c r="F239" s="440" t="s">
        <v>42</v>
      </c>
      <c r="G239" s="441" t="s">
        <v>3172</v>
      </c>
      <c r="H239" s="440" t="s">
        <v>3173</v>
      </c>
      <c r="I239" s="449"/>
      <c r="J239" s="450">
        <v>45200</v>
      </c>
      <c r="K239" s="429" t="s">
        <v>2493</v>
      </c>
      <c r="L239" s="444"/>
      <c r="M239" s="444" t="s">
        <v>714</v>
      </c>
      <c r="N239" s="441" t="s">
        <v>2572</v>
      </c>
      <c r="O239" s="445" t="s">
        <v>85</v>
      </c>
      <c r="P239" s="441" t="s">
        <v>2494</v>
      </c>
      <c r="Q239" s="441" t="s">
        <v>2494</v>
      </c>
      <c r="R239" s="445" t="s">
        <v>3174</v>
      </c>
      <c r="S239" s="446">
        <v>45229</v>
      </c>
      <c r="T239" s="446">
        <v>45225</v>
      </c>
      <c r="U239" s="446"/>
      <c r="V239" s="446">
        <v>45227</v>
      </c>
      <c r="W239" s="446">
        <v>45227</v>
      </c>
      <c r="X239" s="447" t="s">
        <v>8044</v>
      </c>
      <c r="Y239" s="420"/>
      <c r="Z239" s="224" t="str">
        <f t="shared" si="18"/>
        <v>AG. MEDIÇÃO</v>
      </c>
      <c r="AA239" s="207" t="str">
        <f t="shared" si="19"/>
        <v>ENTREGUE</v>
      </c>
      <c r="AB239" s="207" t="str">
        <f t="shared" si="20"/>
        <v>AG. MEDIÇÃO</v>
      </c>
      <c r="AC239" s="156">
        <f t="shared" ca="1" si="21"/>
        <v>1</v>
      </c>
      <c r="AD239" s="156" t="str">
        <f t="shared" ca="1" si="22"/>
        <v>NO PRAZO</v>
      </c>
      <c r="AE239" s="156">
        <f t="shared" ca="1" si="23"/>
        <v>-2</v>
      </c>
    </row>
    <row r="240" spans="1:31" ht="36" hidden="1" customHeight="1">
      <c r="A240" s="414"/>
      <c r="B240" s="429" t="s">
        <v>7373</v>
      </c>
      <c r="C240" s="429" t="s">
        <v>315</v>
      </c>
      <c r="D240" s="429" t="s">
        <v>1193</v>
      </c>
      <c r="E240" s="429" t="s">
        <v>316</v>
      </c>
      <c r="F240" s="429" t="s">
        <v>42</v>
      </c>
      <c r="G240" s="433"/>
      <c r="H240" s="652" t="s">
        <v>7359</v>
      </c>
      <c r="I240" s="433" t="s">
        <v>7360</v>
      </c>
      <c r="J240" s="432">
        <v>46113</v>
      </c>
      <c r="K240" s="429" t="s">
        <v>2493</v>
      </c>
      <c r="L240" s="436" t="s">
        <v>62</v>
      </c>
      <c r="M240" s="436" t="s">
        <v>62</v>
      </c>
      <c r="N240" s="433"/>
      <c r="O240" s="437"/>
      <c r="P240" s="433">
        <v>91</v>
      </c>
      <c r="Q240" s="437">
        <v>91</v>
      </c>
      <c r="R240" s="437" t="s">
        <v>7361</v>
      </c>
      <c r="S240" s="438">
        <v>46202</v>
      </c>
      <c r="T240" s="438">
        <v>46120</v>
      </c>
      <c r="U240" s="438"/>
      <c r="V240" s="439"/>
      <c r="W240" s="439">
        <v>46122</v>
      </c>
      <c r="X240" s="439">
        <v>46202</v>
      </c>
      <c r="Y240" s="420"/>
      <c r="Z240" s="224" t="str">
        <f t="shared" si="18"/>
        <v>AG. MEDIÇÃO</v>
      </c>
      <c r="AA240" s="207" t="str">
        <f t="shared" si="19"/>
        <v>ENTREGUE</v>
      </c>
      <c r="AB240" s="207" t="str">
        <f t="shared" si="20"/>
        <v>AG. MEDIÇÃO</v>
      </c>
      <c r="AC240" s="156">
        <f t="shared" ca="1" si="21"/>
        <v>2</v>
      </c>
      <c r="AD240" s="156" t="str">
        <f t="shared" ca="1" si="22"/>
        <v>NO PRAZO</v>
      </c>
      <c r="AE240" s="156">
        <f t="shared" ca="1" si="23"/>
        <v>-1</v>
      </c>
    </row>
    <row r="241" spans="1:31" ht="36" hidden="1" customHeight="1">
      <c r="A241" s="414"/>
      <c r="B241" s="440" t="s">
        <v>4085</v>
      </c>
      <c r="C241" s="440" t="s">
        <v>150</v>
      </c>
      <c r="D241" s="440" t="s">
        <v>261</v>
      </c>
      <c r="E241" s="440" t="s">
        <v>151</v>
      </c>
      <c r="F241" s="440" t="s">
        <v>42</v>
      </c>
      <c r="G241" s="441" t="s">
        <v>4086</v>
      </c>
      <c r="H241" s="440" t="s">
        <v>4087</v>
      </c>
      <c r="I241" s="441" t="s">
        <v>4088</v>
      </c>
      <c r="J241" s="450">
        <v>45474</v>
      </c>
      <c r="K241" s="429" t="s">
        <v>2493</v>
      </c>
      <c r="L241" s="444"/>
      <c r="M241" s="444" t="s">
        <v>714</v>
      </c>
      <c r="N241" s="441" t="s">
        <v>2572</v>
      </c>
      <c r="O241" s="445" t="s">
        <v>85</v>
      </c>
      <c r="P241" s="441" t="s">
        <v>2494</v>
      </c>
      <c r="Q241" s="441" t="s">
        <v>2494</v>
      </c>
      <c r="R241" s="445" t="s">
        <v>3246</v>
      </c>
      <c r="S241" s="446">
        <v>45532</v>
      </c>
      <c r="T241" s="446">
        <v>45499</v>
      </c>
      <c r="U241" s="446">
        <v>45506</v>
      </c>
      <c r="V241" s="447">
        <v>45506</v>
      </c>
      <c r="W241" s="447">
        <v>45506</v>
      </c>
      <c r="X241" s="447" t="s">
        <v>8044</v>
      </c>
      <c r="Y241" s="420"/>
      <c r="Z241" s="224" t="str">
        <f t="shared" si="18"/>
        <v>AG. MEDIÇÃO</v>
      </c>
      <c r="AA241" s="207" t="str">
        <f t="shared" si="19"/>
        <v>ENTREGUE</v>
      </c>
      <c r="AB241" s="207" t="str">
        <f t="shared" si="20"/>
        <v>AG. MEDIÇÃO</v>
      </c>
      <c r="AC241" s="156">
        <f t="shared" ca="1" si="21"/>
        <v>5</v>
      </c>
      <c r="AD241" s="156" t="str">
        <f t="shared" ca="1" si="22"/>
        <v>ATRASADO</v>
      </c>
      <c r="AE241" s="156">
        <f t="shared" ca="1" si="23"/>
        <v>2</v>
      </c>
    </row>
    <row r="242" spans="1:31" ht="36" hidden="1" customHeight="1">
      <c r="A242" s="414"/>
      <c r="B242" s="440" t="s">
        <v>5128</v>
      </c>
      <c r="C242" s="440" t="s">
        <v>311</v>
      </c>
      <c r="D242" s="440" t="s">
        <v>313</v>
      </c>
      <c r="E242" s="440" t="s">
        <v>312</v>
      </c>
      <c r="F242" s="440" t="s">
        <v>42</v>
      </c>
      <c r="G242" s="441" t="s">
        <v>5129</v>
      </c>
      <c r="H242" s="440" t="s">
        <v>5130</v>
      </c>
      <c r="I242" s="441" t="s">
        <v>5131</v>
      </c>
      <c r="J242" s="450">
        <v>45748</v>
      </c>
      <c r="K242" s="429" t="s">
        <v>2493</v>
      </c>
      <c r="L242" s="444" t="s">
        <v>1208</v>
      </c>
      <c r="M242" s="444" t="s">
        <v>62</v>
      </c>
      <c r="N242" s="441"/>
      <c r="O242" s="445"/>
      <c r="P242" s="441"/>
      <c r="Q242" s="445"/>
      <c r="R242" s="445" t="s">
        <v>4517</v>
      </c>
      <c r="S242" s="446">
        <v>45785</v>
      </c>
      <c r="T242" s="446">
        <v>45770</v>
      </c>
      <c r="U242" s="446"/>
      <c r="V242" s="447"/>
      <c r="W242" s="447">
        <v>45784</v>
      </c>
      <c r="X242" s="447" t="s">
        <v>8044</v>
      </c>
      <c r="Y242" s="420"/>
      <c r="Z242" s="224" t="str">
        <f t="shared" si="18"/>
        <v>AG. MEDIÇÃO</v>
      </c>
      <c r="AA242" s="207" t="str">
        <f t="shared" si="19"/>
        <v>ENTREGUE</v>
      </c>
      <c r="AB242" s="207" t="str">
        <f t="shared" si="20"/>
        <v>AG. MEDIÇÃO</v>
      </c>
      <c r="AC242" s="156">
        <f t="shared" ca="1" si="21"/>
        <v>10</v>
      </c>
      <c r="AD242" s="156" t="str">
        <f t="shared" ca="1" si="22"/>
        <v>ATRASADO</v>
      </c>
      <c r="AE242" s="156">
        <f t="shared" ca="1" si="23"/>
        <v>7</v>
      </c>
    </row>
    <row r="243" spans="1:31" ht="36" hidden="1" customHeight="1">
      <c r="A243" s="414"/>
      <c r="B243" s="440" t="s">
        <v>5278</v>
      </c>
      <c r="C243" s="440" t="s">
        <v>311</v>
      </c>
      <c r="D243" s="440" t="s">
        <v>313</v>
      </c>
      <c r="E243" s="440" t="s">
        <v>312</v>
      </c>
      <c r="F243" s="440" t="s">
        <v>42</v>
      </c>
      <c r="G243" s="441" t="s">
        <v>5129</v>
      </c>
      <c r="H243" s="440" t="s">
        <v>5130</v>
      </c>
      <c r="I243" s="441" t="s">
        <v>5279</v>
      </c>
      <c r="J243" s="450">
        <v>45809</v>
      </c>
      <c r="K243" s="429" t="s">
        <v>2493</v>
      </c>
      <c r="L243" s="444"/>
      <c r="M243" s="444" t="s">
        <v>62</v>
      </c>
      <c r="N243" s="441"/>
      <c r="O243" s="445"/>
      <c r="P243" s="441" t="s">
        <v>2494</v>
      </c>
      <c r="Q243" s="445" t="s">
        <v>2494</v>
      </c>
      <c r="R243" s="445" t="s">
        <v>2784</v>
      </c>
      <c r="S243" s="446">
        <v>45826</v>
      </c>
      <c r="T243" s="446">
        <v>45811</v>
      </c>
      <c r="U243" s="446"/>
      <c r="V243" s="447"/>
      <c r="W243" s="447">
        <v>45812</v>
      </c>
      <c r="X243" s="447" t="s">
        <v>8044</v>
      </c>
      <c r="Y243" s="420"/>
      <c r="Z243" s="224" t="str">
        <f t="shared" si="18"/>
        <v>AG. MEDIÇÃO</v>
      </c>
      <c r="AA243" s="207" t="str">
        <f t="shared" si="19"/>
        <v>ENTREGUE</v>
      </c>
      <c r="AB243" s="207" t="str">
        <f t="shared" si="20"/>
        <v>AG. MEDIÇÃO</v>
      </c>
      <c r="AC243" s="156">
        <f t="shared" ca="1" si="21"/>
        <v>1</v>
      </c>
      <c r="AD243" s="156" t="str">
        <f t="shared" ca="1" si="22"/>
        <v>NO PRAZO</v>
      </c>
      <c r="AE243" s="156">
        <f t="shared" ca="1" si="23"/>
        <v>-2</v>
      </c>
    </row>
    <row r="244" spans="1:31" ht="36" hidden="1" customHeight="1">
      <c r="A244" s="414"/>
      <c r="B244" s="440" t="s">
        <v>4152</v>
      </c>
      <c r="C244" s="440" t="s">
        <v>479</v>
      </c>
      <c r="D244" s="440" t="s">
        <v>479</v>
      </c>
      <c r="E244" s="440" t="s">
        <v>480</v>
      </c>
      <c r="F244" s="440" t="s">
        <v>42</v>
      </c>
      <c r="G244" s="441" t="s">
        <v>4153</v>
      </c>
      <c r="H244" s="440" t="s">
        <v>4154</v>
      </c>
      <c r="I244" s="441" t="s">
        <v>4155</v>
      </c>
      <c r="J244" s="450">
        <v>45505</v>
      </c>
      <c r="K244" s="429" t="s">
        <v>2493</v>
      </c>
      <c r="L244" s="444"/>
      <c r="M244" s="444" t="s">
        <v>51</v>
      </c>
      <c r="N244" s="441" t="s">
        <v>2572</v>
      </c>
      <c r="O244" s="445" t="s">
        <v>85</v>
      </c>
      <c r="P244" s="441" t="s">
        <v>2494</v>
      </c>
      <c r="Q244" s="441" t="s">
        <v>2494</v>
      </c>
      <c r="R244" s="445" t="s">
        <v>3362</v>
      </c>
      <c r="S244" s="446">
        <v>45532</v>
      </c>
      <c r="T244" s="446">
        <v>45516</v>
      </c>
      <c r="U244" s="446">
        <v>45524</v>
      </c>
      <c r="V244" s="447">
        <v>45525</v>
      </c>
      <c r="W244" s="447">
        <v>45525</v>
      </c>
      <c r="X244" s="447" t="s">
        <v>8044</v>
      </c>
      <c r="Y244" s="420"/>
      <c r="Z244" s="224" t="str">
        <f t="shared" si="18"/>
        <v>AG. MEDIÇÃO</v>
      </c>
      <c r="AA244" s="207" t="str">
        <f t="shared" si="19"/>
        <v>ENTREGUE</v>
      </c>
      <c r="AB244" s="207" t="str">
        <f t="shared" si="20"/>
        <v>AG. MEDIÇÃO</v>
      </c>
      <c r="AC244" s="156">
        <f t="shared" ca="1" si="21"/>
        <v>7</v>
      </c>
      <c r="AD244" s="156" t="str">
        <f t="shared" ca="1" si="22"/>
        <v>ATRASADO</v>
      </c>
      <c r="AE244" s="156">
        <f t="shared" ca="1" si="23"/>
        <v>4</v>
      </c>
    </row>
    <row r="245" spans="1:31" ht="36" hidden="1" customHeight="1">
      <c r="A245" s="414"/>
      <c r="B245" s="429" t="s">
        <v>7781</v>
      </c>
      <c r="C245" s="430" t="s">
        <v>142</v>
      </c>
      <c r="D245" s="431" t="s">
        <v>1907</v>
      </c>
      <c r="E245" s="432" t="s">
        <v>143</v>
      </c>
      <c r="F245" s="429" t="s">
        <v>42</v>
      </c>
      <c r="G245" s="434" t="s">
        <v>7782</v>
      </c>
      <c r="H245" s="636" t="s">
        <v>7783</v>
      </c>
      <c r="I245" s="433" t="s">
        <v>7784</v>
      </c>
      <c r="J245" s="432">
        <v>46174</v>
      </c>
      <c r="K245" s="429" t="s">
        <v>2493</v>
      </c>
      <c r="L245" s="436"/>
      <c r="M245" s="436" t="s">
        <v>77</v>
      </c>
      <c r="N245" s="433"/>
      <c r="O245" s="437" t="s">
        <v>85</v>
      </c>
      <c r="P245" s="433" t="s">
        <v>2494</v>
      </c>
      <c r="Q245" s="437" t="s">
        <v>2494</v>
      </c>
      <c r="R245" s="437" t="s">
        <v>7968</v>
      </c>
      <c r="S245" s="438">
        <v>46210</v>
      </c>
      <c r="T245" s="438">
        <v>46183</v>
      </c>
      <c r="U245" s="438"/>
      <c r="V245" s="439"/>
      <c r="W245" s="439">
        <v>46184</v>
      </c>
      <c r="X245" s="439">
        <v>46210</v>
      </c>
      <c r="Y245" s="420"/>
      <c r="Z245" s="224" t="str">
        <f t="shared" si="18"/>
        <v>AG. MEDIÇÃO</v>
      </c>
      <c r="AA245" s="207" t="str">
        <f t="shared" si="19"/>
        <v>ENTREGUE</v>
      </c>
      <c r="AB245" s="207" t="str">
        <f t="shared" si="20"/>
        <v>AG. MEDIÇÃO</v>
      </c>
      <c r="AC245" s="156">
        <f t="shared" ca="1" si="21"/>
        <v>1</v>
      </c>
      <c r="AD245" s="156" t="str">
        <f t="shared" ca="1" si="22"/>
        <v>NO PRAZO</v>
      </c>
      <c r="AE245" s="156">
        <f t="shared" ca="1" si="23"/>
        <v>-2</v>
      </c>
    </row>
    <row r="246" spans="1:31" ht="36" hidden="1" customHeight="1">
      <c r="A246" s="414"/>
      <c r="B246" s="440" t="s">
        <v>4998</v>
      </c>
      <c r="C246" s="440" t="s">
        <v>571</v>
      </c>
      <c r="D246" s="440" t="s">
        <v>581</v>
      </c>
      <c r="E246" s="440" t="s">
        <v>572</v>
      </c>
      <c r="F246" s="440" t="s">
        <v>42</v>
      </c>
      <c r="G246" s="441" t="s">
        <v>4999</v>
      </c>
      <c r="H246" s="440" t="s">
        <v>5000</v>
      </c>
      <c r="I246" s="441" t="s">
        <v>5001</v>
      </c>
      <c r="J246" s="450">
        <v>45717</v>
      </c>
      <c r="K246" s="429" t="s">
        <v>2493</v>
      </c>
      <c r="L246" s="444"/>
      <c r="M246" s="444" t="s">
        <v>200</v>
      </c>
      <c r="N246" s="441" t="s">
        <v>2572</v>
      </c>
      <c r="O246" s="445" t="s">
        <v>3350</v>
      </c>
      <c r="P246" s="441" t="s">
        <v>2494</v>
      </c>
      <c r="Q246" s="445" t="s">
        <v>2494</v>
      </c>
      <c r="R246" s="445" t="s">
        <v>4727</v>
      </c>
      <c r="S246" s="446">
        <v>45740</v>
      </c>
      <c r="T246" s="446">
        <v>45733</v>
      </c>
      <c r="U246" s="446">
        <v>45735</v>
      </c>
      <c r="V246" s="447">
        <v>45737</v>
      </c>
      <c r="W246" s="447">
        <v>45738</v>
      </c>
      <c r="X246" s="447" t="s">
        <v>8044</v>
      </c>
      <c r="Y246" s="420"/>
      <c r="Z246" s="224" t="str">
        <f t="shared" si="18"/>
        <v>AG. MEDIÇÃO</v>
      </c>
      <c r="AA246" s="207" t="str">
        <f t="shared" si="19"/>
        <v>ENTREGUE</v>
      </c>
      <c r="AB246" s="207" t="str">
        <f t="shared" si="20"/>
        <v>AG. MEDIÇÃO</v>
      </c>
      <c r="AC246" s="156">
        <f t="shared" ca="1" si="21"/>
        <v>4</v>
      </c>
      <c r="AD246" s="156" t="str">
        <f t="shared" ca="1" si="22"/>
        <v>ATRASADO</v>
      </c>
      <c r="AE246" s="156">
        <f t="shared" ca="1" si="23"/>
        <v>1</v>
      </c>
    </row>
    <row r="247" spans="1:31" ht="36" hidden="1" customHeight="1">
      <c r="A247" s="414"/>
      <c r="B247" s="440" t="s">
        <v>3387</v>
      </c>
      <c r="C247" s="440" t="s">
        <v>232</v>
      </c>
      <c r="D247" s="440"/>
      <c r="E247" s="440"/>
      <c r="F247" s="440" t="s">
        <v>42</v>
      </c>
      <c r="G247" s="441" t="s">
        <v>3388</v>
      </c>
      <c r="H247" s="440" t="s">
        <v>3389</v>
      </c>
      <c r="I247" s="441"/>
      <c r="J247" s="450">
        <v>45292</v>
      </c>
      <c r="K247" s="429" t="s">
        <v>2493</v>
      </c>
      <c r="L247" s="444"/>
      <c r="M247" s="444" t="s">
        <v>714</v>
      </c>
      <c r="N247" s="441" t="s">
        <v>2572</v>
      </c>
      <c r="O247" s="445" t="s">
        <v>85</v>
      </c>
      <c r="P247" s="441" t="s">
        <v>2494</v>
      </c>
      <c r="Q247" s="441" t="s">
        <v>2494</v>
      </c>
      <c r="R247" s="445" t="s">
        <v>3390</v>
      </c>
      <c r="S247" s="446">
        <v>45300</v>
      </c>
      <c r="T247" s="446">
        <v>45299</v>
      </c>
      <c r="U247" s="446"/>
      <c r="V247" s="446">
        <v>45299</v>
      </c>
      <c r="W247" s="447">
        <v>45299</v>
      </c>
      <c r="X247" s="447" t="s">
        <v>8044</v>
      </c>
      <c r="Y247" s="420"/>
      <c r="Z247" s="224" t="str">
        <f t="shared" si="18"/>
        <v>AG. MEDIÇÃO</v>
      </c>
      <c r="AA247" s="207" t="str">
        <f t="shared" si="19"/>
        <v>ENTREGUE</v>
      </c>
      <c r="AB247" s="207" t="str">
        <f t="shared" si="20"/>
        <v>AG. MEDIÇÃO</v>
      </c>
      <c r="AC247" s="156">
        <f t="shared" ca="1" si="21"/>
        <v>0</v>
      </c>
      <c r="AD247" s="156" t="str">
        <f t="shared" ca="1" si="22"/>
        <v>NO PRAZO</v>
      </c>
      <c r="AE247" s="156">
        <f t="shared" ca="1" si="23"/>
        <v>-3</v>
      </c>
    </row>
    <row r="248" spans="1:31" ht="36" hidden="1" customHeight="1">
      <c r="A248" s="414"/>
      <c r="B248" s="440" t="s">
        <v>5037</v>
      </c>
      <c r="C248" s="440" t="s">
        <v>79</v>
      </c>
      <c r="D248" s="440" t="s">
        <v>1489</v>
      </c>
      <c r="E248" s="440" t="s">
        <v>619</v>
      </c>
      <c r="F248" s="440" t="s">
        <v>42</v>
      </c>
      <c r="G248" s="441" t="s">
        <v>5038</v>
      </c>
      <c r="H248" s="440" t="s">
        <v>5039</v>
      </c>
      <c r="I248" s="441" t="s">
        <v>5040</v>
      </c>
      <c r="J248" s="450">
        <v>45717</v>
      </c>
      <c r="K248" s="429" t="s">
        <v>2493</v>
      </c>
      <c r="L248" s="444" t="s">
        <v>124</v>
      </c>
      <c r="M248" s="444" t="s">
        <v>132</v>
      </c>
      <c r="N248" s="441" t="s">
        <v>2572</v>
      </c>
      <c r="O248" s="445" t="s">
        <v>85</v>
      </c>
      <c r="P248" s="441">
        <v>540</v>
      </c>
      <c r="Q248" s="445">
        <v>565</v>
      </c>
      <c r="R248" s="445" t="s">
        <v>5041</v>
      </c>
      <c r="S248" s="446">
        <v>45785</v>
      </c>
      <c r="T248" s="446">
        <v>45741</v>
      </c>
      <c r="U248" s="446">
        <v>45743</v>
      </c>
      <c r="V248" s="447">
        <v>45744</v>
      </c>
      <c r="W248" s="447">
        <v>45751</v>
      </c>
      <c r="X248" s="447" t="s">
        <v>8044</v>
      </c>
      <c r="Y248" s="420"/>
      <c r="Z248" s="224" t="str">
        <f t="shared" si="18"/>
        <v>AG. MEDIÇÃO</v>
      </c>
      <c r="AA248" s="207" t="str">
        <f t="shared" si="19"/>
        <v>ENTREGUE</v>
      </c>
      <c r="AB248" s="207" t="str">
        <f t="shared" si="20"/>
        <v>AG. MEDIÇÃO</v>
      </c>
      <c r="AC248" s="156">
        <f t="shared" ca="1" si="21"/>
        <v>8</v>
      </c>
      <c r="AD248" s="156" t="str">
        <f t="shared" ca="1" si="22"/>
        <v>ATRASADO</v>
      </c>
      <c r="AE248" s="156">
        <f t="shared" ca="1" si="23"/>
        <v>5</v>
      </c>
    </row>
    <row r="249" spans="1:31" ht="36" hidden="1" customHeight="1">
      <c r="A249" s="414"/>
      <c r="B249" s="440" t="s">
        <v>3424</v>
      </c>
      <c r="C249" s="440" t="s">
        <v>104</v>
      </c>
      <c r="D249" s="440"/>
      <c r="E249" s="440"/>
      <c r="F249" s="440" t="s">
        <v>42</v>
      </c>
      <c r="G249" s="441" t="s">
        <v>3425</v>
      </c>
      <c r="H249" s="440" t="s">
        <v>3426</v>
      </c>
      <c r="I249" s="441"/>
      <c r="J249" s="450">
        <v>45292</v>
      </c>
      <c r="K249" s="429" t="s">
        <v>2493</v>
      </c>
      <c r="L249" s="444" t="s">
        <v>3422</v>
      </c>
      <c r="M249" s="444" t="s">
        <v>3422</v>
      </c>
      <c r="N249" s="441" t="s">
        <v>2572</v>
      </c>
      <c r="O249" s="445" t="s">
        <v>85</v>
      </c>
      <c r="P249" s="445"/>
      <c r="Q249" s="441">
        <v>228</v>
      </c>
      <c r="R249" s="445" t="s">
        <v>3427</v>
      </c>
      <c r="S249" s="446">
        <v>45345</v>
      </c>
      <c r="T249" s="446">
        <v>45321</v>
      </c>
      <c r="U249" s="446">
        <v>45331</v>
      </c>
      <c r="V249" s="446">
        <v>45331</v>
      </c>
      <c r="W249" s="447">
        <v>45331</v>
      </c>
      <c r="X249" s="447" t="s">
        <v>8044</v>
      </c>
      <c r="Y249" s="420"/>
      <c r="Z249" s="224" t="str">
        <f t="shared" si="18"/>
        <v>AG. MEDIÇÃO</v>
      </c>
      <c r="AA249" s="207" t="str">
        <f t="shared" si="19"/>
        <v>ENTREGUE</v>
      </c>
      <c r="AB249" s="207" t="str">
        <f t="shared" si="20"/>
        <v>AG. MEDIÇÃO</v>
      </c>
      <c r="AC249" s="156">
        <f t="shared" ca="1" si="21"/>
        <v>8</v>
      </c>
      <c r="AD249" s="156" t="str">
        <f t="shared" ca="1" si="22"/>
        <v>ATRASADO</v>
      </c>
      <c r="AE249" s="156">
        <f t="shared" ca="1" si="23"/>
        <v>5</v>
      </c>
    </row>
    <row r="250" spans="1:31" ht="36" hidden="1" customHeight="1">
      <c r="A250" s="414"/>
      <c r="B250" s="440" t="s">
        <v>5070</v>
      </c>
      <c r="C250" s="440" t="s">
        <v>248</v>
      </c>
      <c r="D250" s="440" t="s">
        <v>5071</v>
      </c>
      <c r="E250" s="440" t="s">
        <v>1551</v>
      </c>
      <c r="F250" s="440" t="s">
        <v>42</v>
      </c>
      <c r="G250" s="441" t="s">
        <v>5072</v>
      </c>
      <c r="H250" s="440" t="s">
        <v>5073</v>
      </c>
      <c r="I250" s="441" t="s">
        <v>5074</v>
      </c>
      <c r="J250" s="450">
        <v>45717</v>
      </c>
      <c r="K250" s="429" t="s">
        <v>2493</v>
      </c>
      <c r="L250" s="444"/>
      <c r="M250" s="444" t="s">
        <v>200</v>
      </c>
      <c r="N250" s="441"/>
      <c r="O250" s="445"/>
      <c r="P250" s="441" t="s">
        <v>2494</v>
      </c>
      <c r="Q250" s="445" t="s">
        <v>2494</v>
      </c>
      <c r="R250" s="445" t="s">
        <v>5075</v>
      </c>
      <c r="S250" s="446">
        <v>45785</v>
      </c>
      <c r="T250" s="446">
        <v>45743</v>
      </c>
      <c r="U250" s="446">
        <v>45762</v>
      </c>
      <c r="V250" s="447"/>
      <c r="W250" s="447">
        <v>45773</v>
      </c>
      <c r="X250" s="447" t="s">
        <v>8044</v>
      </c>
      <c r="Y250" s="420"/>
      <c r="Z250" s="224" t="str">
        <f t="shared" si="18"/>
        <v>AG. MEDIÇÃO</v>
      </c>
      <c r="AA250" s="207" t="str">
        <f t="shared" si="19"/>
        <v>ENTREGUE</v>
      </c>
      <c r="AB250" s="207" t="str">
        <f t="shared" si="20"/>
        <v>AG. MEDIÇÃO</v>
      </c>
      <c r="AC250" s="156">
        <f t="shared" ca="1" si="21"/>
        <v>21</v>
      </c>
      <c r="AD250" s="156" t="str">
        <f t="shared" ca="1" si="22"/>
        <v>ATRASADO</v>
      </c>
      <c r="AE250" s="156">
        <f t="shared" ca="1" si="23"/>
        <v>18</v>
      </c>
    </row>
    <row r="251" spans="1:31" ht="36" hidden="1" customHeight="1">
      <c r="A251" s="414"/>
      <c r="B251" s="466" t="s">
        <v>6764</v>
      </c>
      <c r="C251" s="483" t="s">
        <v>571</v>
      </c>
      <c r="D251" s="483" t="s">
        <v>1663</v>
      </c>
      <c r="E251" s="483" t="s">
        <v>572</v>
      </c>
      <c r="F251" s="483" t="s">
        <v>42</v>
      </c>
      <c r="G251" s="467" t="s">
        <v>6752</v>
      </c>
      <c r="H251" s="650" t="s">
        <v>6753</v>
      </c>
      <c r="I251" s="467" t="s">
        <v>6754</v>
      </c>
      <c r="J251" s="469">
        <v>45992</v>
      </c>
      <c r="K251" s="429" t="s">
        <v>2493</v>
      </c>
      <c r="L251" s="470"/>
      <c r="M251" s="471" t="s">
        <v>259</v>
      </c>
      <c r="N251" s="467"/>
      <c r="O251" s="472" t="s">
        <v>2494</v>
      </c>
      <c r="P251" s="467" t="s">
        <v>2494</v>
      </c>
      <c r="Q251" s="472"/>
      <c r="R251" s="472" t="s">
        <v>2861</v>
      </c>
      <c r="S251" s="473">
        <v>46038</v>
      </c>
      <c r="T251" s="473">
        <v>46015</v>
      </c>
      <c r="U251" s="473"/>
      <c r="V251" s="474"/>
      <c r="W251" s="474">
        <v>46015</v>
      </c>
      <c r="X251" s="474">
        <v>46038</v>
      </c>
      <c r="Y251" s="420"/>
      <c r="Z251" s="224" t="str">
        <f t="shared" si="18"/>
        <v>AG. MEDIÇÃO</v>
      </c>
      <c r="AA251" s="207" t="str">
        <f t="shared" si="19"/>
        <v>ENTREGUE</v>
      </c>
      <c r="AB251" s="207" t="str">
        <f t="shared" si="20"/>
        <v>AG. MEDIÇÃO</v>
      </c>
      <c r="AC251" s="156">
        <f t="shared" ca="1" si="21"/>
        <v>0</v>
      </c>
      <c r="AD251" s="156" t="str">
        <f t="shared" ca="1" si="22"/>
        <v>NO PRAZO</v>
      </c>
      <c r="AE251" s="156">
        <f t="shared" ca="1" si="23"/>
        <v>-3</v>
      </c>
    </row>
    <row r="252" spans="1:31" ht="36" hidden="1" customHeight="1">
      <c r="A252" s="414"/>
      <c r="B252" s="440" t="s">
        <v>3079</v>
      </c>
      <c r="C252" s="440" t="s">
        <v>353</v>
      </c>
      <c r="D252" s="440"/>
      <c r="E252" s="440"/>
      <c r="F252" s="440" t="s">
        <v>42</v>
      </c>
      <c r="G252" s="441" t="s">
        <v>3080</v>
      </c>
      <c r="H252" s="440" t="s">
        <v>3081</v>
      </c>
      <c r="I252" s="449"/>
      <c r="J252" s="443">
        <v>45170</v>
      </c>
      <c r="K252" s="429" t="s">
        <v>2493</v>
      </c>
      <c r="L252" s="444" t="s">
        <v>3082</v>
      </c>
      <c r="M252" s="444" t="s">
        <v>3083</v>
      </c>
      <c r="N252" s="441" t="s">
        <v>2572</v>
      </c>
      <c r="O252" s="445" t="s">
        <v>85</v>
      </c>
      <c r="P252" s="445"/>
      <c r="Q252" s="441">
        <v>123</v>
      </c>
      <c r="R252" s="445" t="s">
        <v>3084</v>
      </c>
      <c r="S252" s="446">
        <v>45203</v>
      </c>
      <c r="T252" s="446">
        <v>45196</v>
      </c>
      <c r="U252" s="446">
        <v>45198</v>
      </c>
      <c r="V252" s="446">
        <v>45202</v>
      </c>
      <c r="W252" s="447">
        <v>45202</v>
      </c>
      <c r="X252" s="447" t="s">
        <v>8044</v>
      </c>
      <c r="Y252" s="420"/>
      <c r="Z252" s="224" t="str">
        <f t="shared" si="18"/>
        <v>AG. MEDIÇÃO</v>
      </c>
      <c r="AA252" s="207" t="str">
        <f t="shared" si="19"/>
        <v>ENTREGUE</v>
      </c>
      <c r="AB252" s="207" t="str">
        <f t="shared" si="20"/>
        <v>AG. MEDIÇÃO</v>
      </c>
      <c r="AC252" s="156">
        <f t="shared" ca="1" si="21"/>
        <v>4</v>
      </c>
      <c r="AD252" s="156" t="str">
        <f t="shared" ca="1" si="22"/>
        <v>ATRASADO</v>
      </c>
      <c r="AE252" s="156">
        <f t="shared" ca="1" si="23"/>
        <v>1</v>
      </c>
    </row>
    <row r="253" spans="1:31" ht="36" hidden="1" customHeight="1">
      <c r="A253" s="414"/>
      <c r="B253" s="466" t="s">
        <v>6736</v>
      </c>
      <c r="C253" s="483" t="s">
        <v>6745</v>
      </c>
      <c r="D253" s="483"/>
      <c r="E253" s="483" t="s">
        <v>6471</v>
      </c>
      <c r="F253" s="483" t="s">
        <v>476</v>
      </c>
      <c r="G253" s="467" t="s">
        <v>6747</v>
      </c>
      <c r="H253" s="490" t="s">
        <v>6746</v>
      </c>
      <c r="I253" s="467" t="s">
        <v>6744</v>
      </c>
      <c r="J253" s="469">
        <v>45992</v>
      </c>
      <c r="K253" s="429" t="s">
        <v>2493</v>
      </c>
      <c r="L253" s="471" t="s">
        <v>188</v>
      </c>
      <c r="M253" s="470" t="s">
        <v>259</v>
      </c>
      <c r="N253" s="467"/>
      <c r="O253" s="472"/>
      <c r="P253" s="467">
        <v>300</v>
      </c>
      <c r="Q253" s="467">
        <v>350</v>
      </c>
      <c r="R253" s="472" t="s">
        <v>6781</v>
      </c>
      <c r="S253" s="473">
        <v>46062</v>
      </c>
      <c r="T253" s="473">
        <v>46014</v>
      </c>
      <c r="U253" s="473"/>
      <c r="V253" s="474"/>
      <c r="W253" s="474">
        <v>46021</v>
      </c>
      <c r="X253" s="474">
        <v>46062</v>
      </c>
      <c r="Y253" s="420"/>
      <c r="Z253" s="224" t="str">
        <f t="shared" si="18"/>
        <v>AG. MEDIÇÃO</v>
      </c>
      <c r="AA253" s="207" t="str">
        <f t="shared" si="19"/>
        <v>ENTREGUE</v>
      </c>
      <c r="AB253" s="207" t="str">
        <f t="shared" si="20"/>
        <v>AG. MEDIÇÃO</v>
      </c>
      <c r="AC253" s="156">
        <f t="shared" ca="1" si="21"/>
        <v>5</v>
      </c>
      <c r="AD253" s="156" t="str">
        <f t="shared" ca="1" si="22"/>
        <v>ATRASADO</v>
      </c>
      <c r="AE253" s="156">
        <f t="shared" ca="1" si="23"/>
        <v>2</v>
      </c>
    </row>
    <row r="254" spans="1:31" ht="36" hidden="1" customHeight="1">
      <c r="A254" s="414"/>
      <c r="B254" s="440" t="s">
        <v>5471</v>
      </c>
      <c r="C254" s="440" t="s">
        <v>425</v>
      </c>
      <c r="D254" s="440" t="s">
        <v>425</v>
      </c>
      <c r="E254" s="440" t="s">
        <v>1623</v>
      </c>
      <c r="F254" s="440" t="s">
        <v>427</v>
      </c>
      <c r="G254" s="441" t="s">
        <v>5472</v>
      </c>
      <c r="H254" s="440" t="s">
        <v>5473</v>
      </c>
      <c r="I254" s="441" t="s">
        <v>5474</v>
      </c>
      <c r="J254" s="450">
        <v>45839</v>
      </c>
      <c r="K254" s="429" t="s">
        <v>2493</v>
      </c>
      <c r="L254" s="444"/>
      <c r="M254" s="444" t="s">
        <v>1155</v>
      </c>
      <c r="N254" s="441"/>
      <c r="O254" s="445"/>
      <c r="P254" s="441"/>
      <c r="Q254" s="445"/>
      <c r="R254" s="445" t="s">
        <v>5475</v>
      </c>
      <c r="S254" s="446">
        <v>45848</v>
      </c>
      <c r="T254" s="446">
        <v>45840</v>
      </c>
      <c r="U254" s="446">
        <v>45842</v>
      </c>
      <c r="V254" s="447">
        <v>45842</v>
      </c>
      <c r="W254" s="447">
        <v>45842</v>
      </c>
      <c r="X254" s="447" t="s">
        <v>8044</v>
      </c>
      <c r="Y254" s="420"/>
      <c r="Z254" s="224" t="str">
        <f t="shared" si="18"/>
        <v>AG. MEDIÇÃO</v>
      </c>
      <c r="AA254" s="207" t="str">
        <f t="shared" si="19"/>
        <v>ENTREGUE</v>
      </c>
      <c r="AB254" s="207" t="str">
        <f t="shared" si="20"/>
        <v>AG. MEDIÇÃO</v>
      </c>
      <c r="AC254" s="156">
        <f t="shared" ca="1" si="21"/>
        <v>2</v>
      </c>
      <c r="AD254" s="156" t="str">
        <f t="shared" ca="1" si="22"/>
        <v>NO PRAZO</v>
      </c>
      <c r="AE254" s="156">
        <f t="shared" ca="1" si="23"/>
        <v>-1</v>
      </c>
    </row>
    <row r="255" spans="1:31" ht="36" hidden="1" customHeight="1">
      <c r="A255" s="414"/>
      <c r="B255" s="440" t="s">
        <v>3344</v>
      </c>
      <c r="C255" s="440" t="s">
        <v>160</v>
      </c>
      <c r="D255" s="440" t="s">
        <v>3345</v>
      </c>
      <c r="E255" s="440" t="s">
        <v>161</v>
      </c>
      <c r="F255" s="440" t="s">
        <v>42</v>
      </c>
      <c r="G255" s="441" t="s">
        <v>3346</v>
      </c>
      <c r="H255" s="440" t="s">
        <v>3347</v>
      </c>
      <c r="I255" s="449" t="s">
        <v>3349</v>
      </c>
      <c r="J255" s="450">
        <v>45536</v>
      </c>
      <c r="K255" s="429" t="s">
        <v>2493</v>
      </c>
      <c r="L255" s="444" t="s">
        <v>124</v>
      </c>
      <c r="M255" s="444" t="s">
        <v>132</v>
      </c>
      <c r="N255" s="441" t="s">
        <v>2572</v>
      </c>
      <c r="O255" s="445" t="s">
        <v>3350</v>
      </c>
      <c r="P255" s="445">
        <v>1400</v>
      </c>
      <c r="Q255" s="445">
        <v>2265</v>
      </c>
      <c r="R255" s="445" t="s">
        <v>3351</v>
      </c>
      <c r="S255" s="446">
        <v>45575</v>
      </c>
      <c r="T255" s="446">
        <v>45546</v>
      </c>
      <c r="U255" s="446">
        <v>45547</v>
      </c>
      <c r="V255" s="446">
        <v>45550</v>
      </c>
      <c r="W255" s="447">
        <v>45562</v>
      </c>
      <c r="X255" s="447" t="s">
        <v>8044</v>
      </c>
      <c r="Y255" s="420"/>
      <c r="Z255" s="224" t="str">
        <f t="shared" si="18"/>
        <v>AG. MEDIÇÃO</v>
      </c>
      <c r="AA255" s="207" t="str">
        <f t="shared" si="19"/>
        <v>ENTREGUE</v>
      </c>
      <c r="AB255" s="207" t="str">
        <f t="shared" si="20"/>
        <v>AG. MEDIÇÃO</v>
      </c>
      <c r="AC255" s="156">
        <f t="shared" ca="1" si="21"/>
        <v>12</v>
      </c>
      <c r="AD255" s="156" t="str">
        <f t="shared" ca="1" si="22"/>
        <v>ATRASADO</v>
      </c>
      <c r="AE255" s="156">
        <f t="shared" ca="1" si="23"/>
        <v>9</v>
      </c>
    </row>
    <row r="256" spans="1:31" ht="36" hidden="1" customHeight="1">
      <c r="A256" s="414"/>
      <c r="B256" s="466" t="s">
        <v>6839</v>
      </c>
      <c r="C256" s="430" t="s">
        <v>241</v>
      </c>
      <c r="D256" s="430" t="s">
        <v>2319</v>
      </c>
      <c r="E256" s="432" t="s">
        <v>242</v>
      </c>
      <c r="F256" s="429" t="s">
        <v>42</v>
      </c>
      <c r="G256" s="435" t="s">
        <v>6823</v>
      </c>
      <c r="H256" s="636" t="s">
        <v>6847</v>
      </c>
      <c r="I256" s="433" t="s">
        <v>6846</v>
      </c>
      <c r="J256" s="432">
        <v>46023</v>
      </c>
      <c r="K256" s="429" t="s">
        <v>2493</v>
      </c>
      <c r="L256" s="436" t="s">
        <v>147</v>
      </c>
      <c r="M256" s="436" t="s">
        <v>77</v>
      </c>
      <c r="N256" s="433"/>
      <c r="O256" s="437"/>
      <c r="P256" s="437">
        <v>565</v>
      </c>
      <c r="Q256" s="433">
        <v>832</v>
      </c>
      <c r="R256" s="437" t="s">
        <v>6973</v>
      </c>
      <c r="S256" s="438">
        <v>46058</v>
      </c>
      <c r="T256" s="438">
        <v>46028</v>
      </c>
      <c r="U256" s="438"/>
      <c r="V256" s="439"/>
      <c r="W256" s="439">
        <v>46044</v>
      </c>
      <c r="X256" s="439">
        <v>46058</v>
      </c>
      <c r="Y256" s="420"/>
      <c r="Z256" s="224" t="str">
        <f t="shared" si="18"/>
        <v>AG. MEDIÇÃO</v>
      </c>
      <c r="AA256" s="207" t="str">
        <f t="shared" si="19"/>
        <v>ENTREGUE</v>
      </c>
      <c r="AB256" s="207" t="str">
        <f t="shared" si="20"/>
        <v>AG. MEDIÇÃO</v>
      </c>
      <c r="AC256" s="156">
        <f t="shared" ca="1" si="21"/>
        <v>12</v>
      </c>
      <c r="AD256" s="156" t="str">
        <f t="shared" ca="1" si="22"/>
        <v>ATRASADO</v>
      </c>
      <c r="AE256" s="156">
        <f t="shared" ca="1" si="23"/>
        <v>9</v>
      </c>
    </row>
    <row r="257" spans="1:31" ht="36" hidden="1" customHeight="1">
      <c r="A257" s="414"/>
      <c r="B257" s="440" t="s">
        <v>3012</v>
      </c>
      <c r="C257" s="440" t="s">
        <v>606</v>
      </c>
      <c r="D257" s="440"/>
      <c r="E257" s="440"/>
      <c r="F257" s="440" t="s">
        <v>42</v>
      </c>
      <c r="G257" s="441" t="s">
        <v>3013</v>
      </c>
      <c r="H257" s="440" t="s">
        <v>3014</v>
      </c>
      <c r="I257" s="449"/>
      <c r="J257" s="443">
        <v>45139</v>
      </c>
      <c r="K257" s="429" t="s">
        <v>2493</v>
      </c>
      <c r="L257" s="444" t="s">
        <v>3015</v>
      </c>
      <c r="M257" s="444" t="s">
        <v>51</v>
      </c>
      <c r="N257" s="441" t="s">
        <v>2572</v>
      </c>
      <c r="O257" s="445" t="s">
        <v>85</v>
      </c>
      <c r="P257" s="445"/>
      <c r="Q257" s="441">
        <v>374</v>
      </c>
      <c r="R257" s="445" t="s">
        <v>3016</v>
      </c>
      <c r="S257" s="446">
        <v>45223</v>
      </c>
      <c r="T257" s="446">
        <v>45166</v>
      </c>
      <c r="U257" s="446">
        <v>45169</v>
      </c>
      <c r="V257" s="446">
        <v>45183</v>
      </c>
      <c r="W257" s="447">
        <v>45183</v>
      </c>
      <c r="X257" s="447" t="s">
        <v>8044</v>
      </c>
      <c r="Y257" s="420"/>
      <c r="Z257" s="224" t="str">
        <f t="shared" si="18"/>
        <v>AG. MEDIÇÃO</v>
      </c>
      <c r="AA257" s="207" t="str">
        <f t="shared" si="19"/>
        <v>ENTREGUE</v>
      </c>
      <c r="AB257" s="207" t="str">
        <f t="shared" si="20"/>
        <v>AG. MEDIÇÃO</v>
      </c>
      <c r="AC257" s="156">
        <f t="shared" ca="1" si="21"/>
        <v>13</v>
      </c>
      <c r="AD257" s="156" t="str">
        <f t="shared" ca="1" si="22"/>
        <v>ATRASADO</v>
      </c>
      <c r="AE257" s="156">
        <f t="shared" ca="1" si="23"/>
        <v>10</v>
      </c>
    </row>
    <row r="258" spans="1:31" ht="36" hidden="1" customHeight="1">
      <c r="A258" s="414"/>
      <c r="B258" s="440" t="s">
        <v>4604</v>
      </c>
      <c r="C258" s="440" t="s">
        <v>606</v>
      </c>
      <c r="D258" s="440" t="s">
        <v>4605</v>
      </c>
      <c r="E258" s="440" t="s">
        <v>4606</v>
      </c>
      <c r="F258" s="440" t="s">
        <v>42</v>
      </c>
      <c r="G258" s="441" t="s">
        <v>4607</v>
      </c>
      <c r="H258" s="440" t="s">
        <v>4608</v>
      </c>
      <c r="I258" s="441" t="s">
        <v>4609</v>
      </c>
      <c r="J258" s="450">
        <v>45597</v>
      </c>
      <c r="K258" s="429" t="s">
        <v>2493</v>
      </c>
      <c r="L258" s="444"/>
      <c r="M258" s="444" t="s">
        <v>200</v>
      </c>
      <c r="N258" s="441" t="s">
        <v>2572</v>
      </c>
      <c r="O258" s="445" t="s">
        <v>3350</v>
      </c>
      <c r="P258" s="441" t="s">
        <v>2494</v>
      </c>
      <c r="Q258" s="441" t="s">
        <v>2494</v>
      </c>
      <c r="R258" s="445" t="s">
        <v>4610</v>
      </c>
      <c r="S258" s="446">
        <v>45621</v>
      </c>
      <c r="T258" s="446">
        <v>45615</v>
      </c>
      <c r="U258" s="446"/>
      <c r="V258" s="447"/>
      <c r="W258" s="447">
        <v>45619</v>
      </c>
      <c r="X258" s="447" t="s">
        <v>8044</v>
      </c>
      <c r="Y258" s="420"/>
      <c r="Z258" s="224" t="str">
        <f t="shared" si="18"/>
        <v>AG. MEDIÇÃO</v>
      </c>
      <c r="AA258" s="207" t="str">
        <f t="shared" si="19"/>
        <v>ENTREGUE</v>
      </c>
      <c r="AB258" s="207" t="str">
        <f t="shared" si="20"/>
        <v>AG. MEDIÇÃO</v>
      </c>
      <c r="AC258" s="156">
        <f t="shared" ca="1" si="21"/>
        <v>3</v>
      </c>
      <c r="AD258" s="156" t="str">
        <f t="shared" ca="1" si="22"/>
        <v>NO PRAZO</v>
      </c>
      <c r="AE258" s="156">
        <f t="shared" ca="1" si="23"/>
        <v>0</v>
      </c>
    </row>
    <row r="259" spans="1:31" ht="36" hidden="1" customHeight="1">
      <c r="A259" s="414"/>
      <c r="B259" s="440" t="s">
        <v>4411</v>
      </c>
      <c r="C259" s="440" t="s">
        <v>117</v>
      </c>
      <c r="D259" s="440" t="s">
        <v>539</v>
      </c>
      <c r="E259" s="440" t="s">
        <v>3677</v>
      </c>
      <c r="F259" s="440" t="s">
        <v>42</v>
      </c>
      <c r="G259" s="441" t="s">
        <v>4412</v>
      </c>
      <c r="H259" s="440" t="s">
        <v>4413</v>
      </c>
      <c r="I259" s="441" t="s">
        <v>4414</v>
      </c>
      <c r="J259" s="450">
        <v>45536</v>
      </c>
      <c r="K259" s="429" t="s">
        <v>2493</v>
      </c>
      <c r="L259" s="444" t="s">
        <v>1319</v>
      </c>
      <c r="M259" s="444" t="s">
        <v>132</v>
      </c>
      <c r="N259" s="441" t="s">
        <v>2572</v>
      </c>
      <c r="O259" s="445" t="s">
        <v>3350</v>
      </c>
      <c r="P259" s="445">
        <v>200</v>
      </c>
      <c r="Q259" s="445">
        <v>164</v>
      </c>
      <c r="R259" s="445" t="s">
        <v>4415</v>
      </c>
      <c r="S259" s="446">
        <v>45575</v>
      </c>
      <c r="T259" s="446">
        <v>45547</v>
      </c>
      <c r="U259" s="446">
        <v>45548</v>
      </c>
      <c r="V259" s="447">
        <v>45553</v>
      </c>
      <c r="W259" s="447">
        <v>45565</v>
      </c>
      <c r="X259" s="447" t="s">
        <v>8044</v>
      </c>
      <c r="Y259" s="420"/>
      <c r="Z259" s="224" t="str">
        <f t="shared" si="18"/>
        <v>AG. MEDIÇÃO</v>
      </c>
      <c r="AA259" s="207" t="str">
        <f t="shared" si="19"/>
        <v>ENTREGUE</v>
      </c>
      <c r="AB259" s="207" t="str">
        <f t="shared" si="20"/>
        <v>AG. MEDIÇÃO</v>
      </c>
      <c r="AC259" s="156">
        <f t="shared" ca="1" si="21"/>
        <v>12</v>
      </c>
      <c r="AD259" s="156" t="str">
        <f t="shared" ca="1" si="22"/>
        <v>ATRASADO</v>
      </c>
      <c r="AE259" s="156">
        <f t="shared" ca="1" si="23"/>
        <v>9</v>
      </c>
    </row>
    <row r="260" spans="1:31" ht="36" hidden="1" customHeight="1">
      <c r="A260" s="414"/>
      <c r="B260" s="440" t="s">
        <v>2930</v>
      </c>
      <c r="C260" s="440" t="s">
        <v>731</v>
      </c>
      <c r="D260" s="440"/>
      <c r="E260" s="440"/>
      <c r="F260" s="440" t="s">
        <v>427</v>
      </c>
      <c r="G260" s="441" t="s">
        <v>2931</v>
      </c>
      <c r="H260" s="440" t="s">
        <v>2932</v>
      </c>
      <c r="I260" s="449"/>
      <c r="J260" s="450">
        <v>45078</v>
      </c>
      <c r="K260" s="429" t="s">
        <v>2493</v>
      </c>
      <c r="L260" s="444"/>
      <c r="M260" s="444" t="s">
        <v>864</v>
      </c>
      <c r="N260" s="441" t="s">
        <v>2572</v>
      </c>
      <c r="O260" s="445" t="s">
        <v>85</v>
      </c>
      <c r="P260" s="441" t="s">
        <v>2494</v>
      </c>
      <c r="Q260" s="441" t="s">
        <v>2494</v>
      </c>
      <c r="R260" s="445" t="s">
        <v>2933</v>
      </c>
      <c r="S260" s="446">
        <v>45118</v>
      </c>
      <c r="T260" s="446">
        <v>45105</v>
      </c>
      <c r="U260" s="446">
        <v>45106</v>
      </c>
      <c r="V260" s="446">
        <v>45106</v>
      </c>
      <c r="W260" s="447">
        <v>45106</v>
      </c>
      <c r="X260" s="447" t="s">
        <v>8044</v>
      </c>
      <c r="Y260" s="420"/>
      <c r="Z260" s="224" t="str">
        <f t="shared" si="18"/>
        <v>AG. MEDIÇÃO</v>
      </c>
      <c r="AA260" s="207" t="str">
        <f t="shared" si="19"/>
        <v>ENTREGUE</v>
      </c>
      <c r="AB260" s="207" t="str">
        <f t="shared" si="20"/>
        <v>AG. MEDIÇÃO</v>
      </c>
      <c r="AC260" s="156">
        <f t="shared" ca="1" si="21"/>
        <v>1</v>
      </c>
      <c r="AD260" s="156" t="str">
        <f t="shared" ca="1" si="22"/>
        <v>NO PRAZO</v>
      </c>
      <c r="AE260" s="156">
        <f t="shared" ca="1" si="23"/>
        <v>-2</v>
      </c>
    </row>
    <row r="261" spans="1:31" ht="36" hidden="1" customHeight="1">
      <c r="A261" s="414"/>
      <c r="B261" s="440" t="s">
        <v>3151</v>
      </c>
      <c r="C261" s="440" t="s">
        <v>117</v>
      </c>
      <c r="D261" s="440"/>
      <c r="E261" s="440"/>
      <c r="F261" s="440" t="s">
        <v>42</v>
      </c>
      <c r="G261" s="440" t="s">
        <v>3152</v>
      </c>
      <c r="H261" s="440" t="s">
        <v>3153</v>
      </c>
      <c r="I261" s="456"/>
      <c r="J261" s="450">
        <v>45200</v>
      </c>
      <c r="K261" s="429" t="s">
        <v>2493</v>
      </c>
      <c r="L261" s="444"/>
      <c r="M261" s="444" t="s">
        <v>774</v>
      </c>
      <c r="N261" s="441" t="s">
        <v>2572</v>
      </c>
      <c r="O261" s="445" t="s">
        <v>85</v>
      </c>
      <c r="P261" s="441" t="s">
        <v>2494</v>
      </c>
      <c r="Q261" s="441" t="s">
        <v>2494</v>
      </c>
      <c r="R261" s="445" t="s">
        <v>3154</v>
      </c>
      <c r="S261" s="446">
        <v>45250</v>
      </c>
      <c r="T261" s="446">
        <v>45224</v>
      </c>
      <c r="U261" s="446"/>
      <c r="V261" s="446">
        <v>45231</v>
      </c>
      <c r="W261" s="446">
        <v>45230</v>
      </c>
      <c r="X261" s="447" t="s">
        <v>8044</v>
      </c>
      <c r="Y261" s="420"/>
      <c r="Z261" s="224" t="str">
        <f t="shared" ref="Z261:Z324" si="24">IF(K261="CANCELADO","CANCELADO",IF(AA261="PENDENTE","AG. RELATÓRIO",IF(S261="SIM","AG. MEDIÇÃO",IF(S261&gt;0,"AG. MEDIÇÃO","PENDENTE"))))</f>
        <v>AG. MEDIÇÃO</v>
      </c>
      <c r="AA261" s="207" t="str">
        <f t="shared" ref="AA261:AA324" si="25">IF(K261="CANCELADO","CANCELADO",IF(X261="","PENDENTE","ENTREGUE"))</f>
        <v>ENTREGUE</v>
      </c>
      <c r="AB261" s="207" t="str">
        <f t="shared" ref="AB261:AB324" si="26">IF(K261="SEM SINAL","SEM SINAL",IF(K261="PARALISADO","PARALISADO",IF(Z261="PENDENTE","AG. MEDIÇÃO",IF(K261="CANCELADO","CANCELADO",Z261))))</f>
        <v>AG. MEDIÇÃO</v>
      </c>
      <c r="AC261" s="156">
        <f t="shared" ref="AC261:AC324" ca="1" si="27">IFERROR(IF(K261="CANCELADO","CANCELADO",IF(T261="","DATA ENTRADA",IF(AND(T261&gt;0,W261=""),NETWORKDAYS(T261,TODAY())-1,NETWORKDAYS(T261,W261)-1))),"CHECAR DATA")</f>
        <v>4</v>
      </c>
      <c r="AD261" s="156" t="str">
        <f t="shared" ref="AD261:AD324" ca="1" si="28">IF(AC261&lt;=3,"NO PRAZO","ATRASADO")</f>
        <v>ATRASADO</v>
      </c>
      <c r="AE261" s="156">
        <f t="shared" ref="AE261:AE324" ca="1" si="29">IFERROR(AC261-3,AC261)</f>
        <v>1</v>
      </c>
    </row>
    <row r="262" spans="1:31" ht="36" hidden="1" customHeight="1">
      <c r="A262" s="414"/>
      <c r="B262" s="440" t="s">
        <v>4396</v>
      </c>
      <c r="C262" s="440" t="s">
        <v>117</v>
      </c>
      <c r="D262" s="440" t="s">
        <v>527</v>
      </c>
      <c r="E262" s="440" t="s">
        <v>3677</v>
      </c>
      <c r="F262" s="440" t="s">
        <v>42</v>
      </c>
      <c r="G262" s="441" t="s">
        <v>4397</v>
      </c>
      <c r="H262" s="440" t="s">
        <v>4398</v>
      </c>
      <c r="I262" s="441" t="s">
        <v>4399</v>
      </c>
      <c r="J262" s="450">
        <v>45536</v>
      </c>
      <c r="K262" s="429" t="s">
        <v>2493</v>
      </c>
      <c r="L262" s="444" t="s">
        <v>76</v>
      </c>
      <c r="M262" s="444" t="s">
        <v>51</v>
      </c>
      <c r="N262" s="441" t="s">
        <v>2572</v>
      </c>
      <c r="O262" s="445" t="s">
        <v>3350</v>
      </c>
      <c r="P262" s="445">
        <v>150</v>
      </c>
      <c r="Q262" s="445">
        <v>157</v>
      </c>
      <c r="R262" s="445" t="s">
        <v>4400</v>
      </c>
      <c r="S262" s="446">
        <v>45555</v>
      </c>
      <c r="T262" s="446">
        <v>45546</v>
      </c>
      <c r="U262" s="446">
        <v>45547</v>
      </c>
      <c r="V262" s="447">
        <v>45550</v>
      </c>
      <c r="W262" s="447">
        <v>45548</v>
      </c>
      <c r="X262" s="447" t="s">
        <v>8044</v>
      </c>
      <c r="Y262" s="420"/>
      <c r="Z262" s="224" t="str">
        <f t="shared" si="24"/>
        <v>AG. MEDIÇÃO</v>
      </c>
      <c r="AA262" s="207" t="str">
        <f t="shared" si="25"/>
        <v>ENTREGUE</v>
      </c>
      <c r="AB262" s="207" t="str">
        <f t="shared" si="26"/>
        <v>AG. MEDIÇÃO</v>
      </c>
      <c r="AC262" s="156">
        <f t="shared" ca="1" si="27"/>
        <v>2</v>
      </c>
      <c r="AD262" s="156" t="str">
        <f t="shared" ca="1" si="28"/>
        <v>NO PRAZO</v>
      </c>
      <c r="AE262" s="156">
        <f t="shared" ca="1" si="29"/>
        <v>-1</v>
      </c>
    </row>
    <row r="263" spans="1:31" ht="36" hidden="1" customHeight="1">
      <c r="A263" s="414"/>
      <c r="B263" s="440" t="s">
        <v>4484</v>
      </c>
      <c r="C263" s="440" t="s">
        <v>117</v>
      </c>
      <c r="D263" s="440" t="s">
        <v>527</v>
      </c>
      <c r="E263" s="440" t="s">
        <v>3677</v>
      </c>
      <c r="F263" s="440" t="s">
        <v>42</v>
      </c>
      <c r="G263" s="441" t="s">
        <v>4485</v>
      </c>
      <c r="H263" s="440" t="s">
        <v>4486</v>
      </c>
      <c r="I263" s="441" t="s">
        <v>4487</v>
      </c>
      <c r="J263" s="450">
        <v>45566</v>
      </c>
      <c r="K263" s="429" t="s">
        <v>2493</v>
      </c>
      <c r="L263" s="444"/>
      <c r="M263" s="444" t="s">
        <v>714</v>
      </c>
      <c r="N263" s="441" t="s">
        <v>2572</v>
      </c>
      <c r="O263" s="445" t="s">
        <v>3350</v>
      </c>
      <c r="P263" s="441" t="s">
        <v>2494</v>
      </c>
      <c r="Q263" s="441" t="s">
        <v>2494</v>
      </c>
      <c r="R263" s="445" t="s">
        <v>4488</v>
      </c>
      <c r="S263" s="446">
        <v>45588</v>
      </c>
      <c r="T263" s="446">
        <v>45579</v>
      </c>
      <c r="U263" s="446">
        <v>45579</v>
      </c>
      <c r="V263" s="446">
        <v>45579</v>
      </c>
      <c r="W263" s="447">
        <v>45579</v>
      </c>
      <c r="X263" s="447" t="s">
        <v>8044</v>
      </c>
      <c r="Y263" s="420"/>
      <c r="Z263" s="224" t="str">
        <f t="shared" si="24"/>
        <v>AG. MEDIÇÃO</v>
      </c>
      <c r="AA263" s="207" t="str">
        <f t="shared" si="25"/>
        <v>ENTREGUE</v>
      </c>
      <c r="AB263" s="207" t="str">
        <f t="shared" si="26"/>
        <v>AG. MEDIÇÃO</v>
      </c>
      <c r="AC263" s="156">
        <f t="shared" ca="1" si="27"/>
        <v>0</v>
      </c>
      <c r="AD263" s="156" t="str">
        <f t="shared" ca="1" si="28"/>
        <v>NO PRAZO</v>
      </c>
      <c r="AE263" s="156">
        <f t="shared" ca="1" si="29"/>
        <v>-3</v>
      </c>
    </row>
    <row r="264" spans="1:31" ht="36" hidden="1" customHeight="1">
      <c r="A264" s="414"/>
      <c r="B264" s="440" t="s">
        <v>4249</v>
      </c>
      <c r="C264" s="440" t="s">
        <v>54</v>
      </c>
      <c r="D264" s="440" t="s">
        <v>994</v>
      </c>
      <c r="E264" s="440" t="s">
        <v>55</v>
      </c>
      <c r="F264" s="440" t="s">
        <v>42</v>
      </c>
      <c r="G264" s="441" t="s">
        <v>3348</v>
      </c>
      <c r="H264" s="440" t="s">
        <v>4250</v>
      </c>
      <c r="I264" s="441" t="s">
        <v>4251</v>
      </c>
      <c r="J264" s="450">
        <v>45505</v>
      </c>
      <c r="K264" s="429" t="s">
        <v>2493</v>
      </c>
      <c r="L264" s="444" t="s">
        <v>1380</v>
      </c>
      <c r="M264" s="444" t="s">
        <v>774</v>
      </c>
      <c r="N264" s="441" t="s">
        <v>2572</v>
      </c>
      <c r="O264" s="445" t="s">
        <v>85</v>
      </c>
      <c r="P264" s="445"/>
      <c r="Q264" s="445">
        <v>134</v>
      </c>
      <c r="R264" s="445" t="s">
        <v>4252</v>
      </c>
      <c r="S264" s="446">
        <v>45545</v>
      </c>
      <c r="T264" s="446">
        <v>45530</v>
      </c>
      <c r="U264" s="446">
        <v>45537</v>
      </c>
      <c r="V264" s="447">
        <v>45538</v>
      </c>
      <c r="W264" s="447">
        <v>45538</v>
      </c>
      <c r="X264" s="447" t="s">
        <v>8044</v>
      </c>
      <c r="Y264" s="420"/>
      <c r="Z264" s="224" t="str">
        <f t="shared" si="24"/>
        <v>AG. MEDIÇÃO</v>
      </c>
      <c r="AA264" s="207" t="str">
        <f t="shared" si="25"/>
        <v>ENTREGUE</v>
      </c>
      <c r="AB264" s="207" t="str">
        <f t="shared" si="26"/>
        <v>AG. MEDIÇÃO</v>
      </c>
      <c r="AC264" s="156">
        <f t="shared" ca="1" si="27"/>
        <v>6</v>
      </c>
      <c r="AD264" s="156" t="str">
        <f t="shared" ca="1" si="28"/>
        <v>ATRASADO</v>
      </c>
      <c r="AE264" s="156">
        <f t="shared" ca="1" si="29"/>
        <v>3</v>
      </c>
    </row>
    <row r="265" spans="1:31" ht="36" hidden="1" customHeight="1">
      <c r="A265" s="414"/>
      <c r="B265" s="429" t="s">
        <v>7741</v>
      </c>
      <c r="C265" s="430" t="s">
        <v>600</v>
      </c>
      <c r="D265" s="431" t="s">
        <v>1924</v>
      </c>
      <c r="E265" s="432" t="s">
        <v>601</v>
      </c>
      <c r="F265" s="429" t="s">
        <v>42</v>
      </c>
      <c r="G265" s="434"/>
      <c r="H265" s="636" t="s">
        <v>7714</v>
      </c>
      <c r="I265" s="433" t="s">
        <v>7715</v>
      </c>
      <c r="J265" s="432">
        <v>46174</v>
      </c>
      <c r="K265" s="429" t="s">
        <v>2493</v>
      </c>
      <c r="L265" s="436"/>
      <c r="M265" s="436" t="s">
        <v>62</v>
      </c>
      <c r="N265" s="433"/>
      <c r="O265" s="437" t="s">
        <v>85</v>
      </c>
      <c r="P265" s="433" t="s">
        <v>2494</v>
      </c>
      <c r="Q265" s="437" t="s">
        <v>2494</v>
      </c>
      <c r="R265" s="437" t="s">
        <v>7957</v>
      </c>
      <c r="S265" s="438">
        <v>46205</v>
      </c>
      <c r="T265" s="438">
        <v>46178</v>
      </c>
      <c r="U265" s="438"/>
      <c r="V265" s="439"/>
      <c r="W265" s="439">
        <v>46182</v>
      </c>
      <c r="X265" s="439">
        <v>46205</v>
      </c>
      <c r="Y265" s="420"/>
      <c r="Z265" s="224" t="str">
        <f t="shared" si="24"/>
        <v>AG. MEDIÇÃO</v>
      </c>
      <c r="AA265" s="207" t="str">
        <f t="shared" si="25"/>
        <v>ENTREGUE</v>
      </c>
      <c r="AB265" s="207" t="str">
        <f t="shared" si="26"/>
        <v>AG. MEDIÇÃO</v>
      </c>
      <c r="AC265" s="156">
        <f t="shared" ca="1" si="27"/>
        <v>2</v>
      </c>
      <c r="AD265" s="156" t="str">
        <f t="shared" ca="1" si="28"/>
        <v>NO PRAZO</v>
      </c>
      <c r="AE265" s="156">
        <f t="shared" ca="1" si="29"/>
        <v>-1</v>
      </c>
    </row>
    <row r="266" spans="1:31" ht="36" hidden="1" customHeight="1">
      <c r="A266" s="414"/>
      <c r="B266" s="429" t="s">
        <v>7544</v>
      </c>
      <c r="C266" s="430" t="s">
        <v>600</v>
      </c>
      <c r="D266" s="430" t="s">
        <v>1992</v>
      </c>
      <c r="E266" s="432" t="s">
        <v>601</v>
      </c>
      <c r="F266" s="429" t="s">
        <v>42</v>
      </c>
      <c r="G266" s="434" t="s">
        <v>7450</v>
      </c>
      <c r="H266" s="636" t="s">
        <v>7451</v>
      </c>
      <c r="I266" s="433" t="s">
        <v>7302</v>
      </c>
      <c r="J266" s="432">
        <v>46143</v>
      </c>
      <c r="K266" s="429" t="s">
        <v>2493</v>
      </c>
      <c r="L266" s="487"/>
      <c r="M266" s="436" t="s">
        <v>77</v>
      </c>
      <c r="N266" s="433"/>
      <c r="O266" s="437"/>
      <c r="P266" s="433" t="s">
        <v>2494</v>
      </c>
      <c r="Q266" s="437" t="s">
        <v>2494</v>
      </c>
      <c r="R266" s="437" t="s">
        <v>4662</v>
      </c>
      <c r="S266" s="438">
        <v>46160</v>
      </c>
      <c r="T266" s="438">
        <v>46154</v>
      </c>
      <c r="U266" s="438"/>
      <c r="V266" s="439"/>
      <c r="W266" s="439">
        <v>46154</v>
      </c>
      <c r="X266" s="439">
        <v>46160</v>
      </c>
      <c r="Y266" s="420"/>
      <c r="Z266" s="224" t="str">
        <f t="shared" si="24"/>
        <v>AG. MEDIÇÃO</v>
      </c>
      <c r="AA266" s="207" t="str">
        <f t="shared" si="25"/>
        <v>ENTREGUE</v>
      </c>
      <c r="AB266" s="207" t="str">
        <f t="shared" si="26"/>
        <v>AG. MEDIÇÃO</v>
      </c>
      <c r="AC266" s="156">
        <f t="shared" ca="1" si="27"/>
        <v>0</v>
      </c>
      <c r="AD266" s="156" t="str">
        <f t="shared" ca="1" si="28"/>
        <v>NO PRAZO</v>
      </c>
      <c r="AE266" s="156">
        <f t="shared" ca="1" si="29"/>
        <v>-3</v>
      </c>
    </row>
    <row r="267" spans="1:31" ht="36" hidden="1" customHeight="1">
      <c r="A267" s="414"/>
      <c r="B267" s="440" t="s">
        <v>3968</v>
      </c>
      <c r="C267" s="440" t="s">
        <v>79</v>
      </c>
      <c r="D267" s="440" t="s">
        <v>3969</v>
      </c>
      <c r="E267" s="440" t="s">
        <v>619</v>
      </c>
      <c r="F267" s="440" t="s">
        <v>42</v>
      </c>
      <c r="G267" s="441" t="s">
        <v>3970</v>
      </c>
      <c r="H267" s="440" t="s">
        <v>3971</v>
      </c>
      <c r="I267" s="441" t="s">
        <v>3972</v>
      </c>
      <c r="J267" s="450">
        <v>45474</v>
      </c>
      <c r="K267" s="429" t="s">
        <v>2493</v>
      </c>
      <c r="L267" s="444"/>
      <c r="M267" s="444" t="s">
        <v>51</v>
      </c>
      <c r="N267" s="441" t="s">
        <v>2572</v>
      </c>
      <c r="O267" s="445" t="s">
        <v>85</v>
      </c>
      <c r="P267" s="441" t="s">
        <v>2494</v>
      </c>
      <c r="Q267" s="441" t="s">
        <v>2494</v>
      </c>
      <c r="R267" s="445" t="s">
        <v>3973</v>
      </c>
      <c r="S267" s="446">
        <v>45497</v>
      </c>
      <c r="T267" s="446">
        <v>45483</v>
      </c>
      <c r="U267" s="446">
        <v>45484</v>
      </c>
      <c r="V267" s="447">
        <v>45484</v>
      </c>
      <c r="W267" s="447">
        <v>45484</v>
      </c>
      <c r="X267" s="447" t="s">
        <v>8044</v>
      </c>
      <c r="Y267" s="420"/>
      <c r="Z267" s="224" t="str">
        <f t="shared" si="24"/>
        <v>AG. MEDIÇÃO</v>
      </c>
      <c r="AA267" s="207" t="str">
        <f t="shared" si="25"/>
        <v>ENTREGUE</v>
      </c>
      <c r="AB267" s="207" t="str">
        <f t="shared" si="26"/>
        <v>AG. MEDIÇÃO</v>
      </c>
      <c r="AC267" s="156">
        <f t="shared" ca="1" si="27"/>
        <v>1</v>
      </c>
      <c r="AD267" s="156" t="str">
        <f t="shared" ca="1" si="28"/>
        <v>NO PRAZO</v>
      </c>
      <c r="AE267" s="156">
        <f t="shared" ca="1" si="29"/>
        <v>-2</v>
      </c>
    </row>
    <row r="268" spans="1:31" ht="36" hidden="1" customHeight="1">
      <c r="A268" s="414"/>
      <c r="B268" s="440" t="s">
        <v>3948</v>
      </c>
      <c r="C268" s="440" t="s">
        <v>104</v>
      </c>
      <c r="D268" s="440" t="s">
        <v>443</v>
      </c>
      <c r="E268" s="440" t="s">
        <v>105</v>
      </c>
      <c r="F268" s="440" t="s">
        <v>42</v>
      </c>
      <c r="G268" s="441" t="s">
        <v>3949</v>
      </c>
      <c r="H268" s="440" t="s">
        <v>3950</v>
      </c>
      <c r="I268" s="441" t="s">
        <v>3951</v>
      </c>
      <c r="J268" s="450">
        <v>45474</v>
      </c>
      <c r="K268" s="429" t="s">
        <v>2493</v>
      </c>
      <c r="L268" s="444"/>
      <c r="M268" s="444" t="s">
        <v>51</v>
      </c>
      <c r="N268" s="441" t="s">
        <v>2572</v>
      </c>
      <c r="O268" s="445" t="s">
        <v>85</v>
      </c>
      <c r="P268" s="441" t="s">
        <v>2494</v>
      </c>
      <c r="Q268" s="441" t="s">
        <v>2494</v>
      </c>
      <c r="R268" s="445" t="s">
        <v>3952</v>
      </c>
      <c r="S268" s="446">
        <v>45497</v>
      </c>
      <c r="T268" s="446">
        <v>45475</v>
      </c>
      <c r="U268" s="446">
        <v>45486</v>
      </c>
      <c r="V268" s="446">
        <v>45486</v>
      </c>
      <c r="W268" s="447">
        <v>45486</v>
      </c>
      <c r="X268" s="447" t="s">
        <v>8044</v>
      </c>
      <c r="Y268" s="420"/>
      <c r="Z268" s="224" t="str">
        <f t="shared" si="24"/>
        <v>AG. MEDIÇÃO</v>
      </c>
      <c r="AA268" s="207" t="str">
        <f t="shared" si="25"/>
        <v>ENTREGUE</v>
      </c>
      <c r="AB268" s="207" t="str">
        <f t="shared" si="26"/>
        <v>AG. MEDIÇÃO</v>
      </c>
      <c r="AC268" s="156">
        <f t="shared" ca="1" si="27"/>
        <v>8</v>
      </c>
      <c r="AD268" s="156" t="str">
        <f t="shared" ca="1" si="28"/>
        <v>ATRASADO</v>
      </c>
      <c r="AE268" s="156">
        <f t="shared" ca="1" si="29"/>
        <v>5</v>
      </c>
    </row>
    <row r="269" spans="1:31" ht="36" hidden="1" customHeight="1">
      <c r="A269" s="414"/>
      <c r="B269" s="440" t="s">
        <v>5065</v>
      </c>
      <c r="C269" s="440" t="s">
        <v>248</v>
      </c>
      <c r="D269" s="440" t="s">
        <v>5060</v>
      </c>
      <c r="E269" s="440" t="s">
        <v>1551</v>
      </c>
      <c r="F269" s="440" t="s">
        <v>42</v>
      </c>
      <c r="G269" s="441" t="s">
        <v>5066</v>
      </c>
      <c r="H269" s="440" t="s">
        <v>5067</v>
      </c>
      <c r="I269" s="441" t="s">
        <v>5068</v>
      </c>
      <c r="J269" s="450">
        <v>45717</v>
      </c>
      <c r="K269" s="429" t="s">
        <v>2493</v>
      </c>
      <c r="L269" s="444"/>
      <c r="M269" s="444" t="s">
        <v>200</v>
      </c>
      <c r="N269" s="441"/>
      <c r="O269" s="445"/>
      <c r="P269" s="441"/>
      <c r="Q269" s="445">
        <v>450</v>
      </c>
      <c r="R269" s="445" t="s">
        <v>5069</v>
      </c>
      <c r="S269" s="446">
        <v>45785</v>
      </c>
      <c r="T269" s="446">
        <v>45743</v>
      </c>
      <c r="U269" s="446">
        <v>45762</v>
      </c>
      <c r="V269" s="447"/>
      <c r="W269" s="447">
        <v>45773</v>
      </c>
      <c r="X269" s="447" t="s">
        <v>8044</v>
      </c>
      <c r="Y269" s="420"/>
      <c r="Z269" s="224" t="str">
        <f t="shared" si="24"/>
        <v>AG. MEDIÇÃO</v>
      </c>
      <c r="AA269" s="207" t="str">
        <f t="shared" si="25"/>
        <v>ENTREGUE</v>
      </c>
      <c r="AB269" s="207" t="str">
        <f t="shared" si="26"/>
        <v>AG. MEDIÇÃO</v>
      </c>
      <c r="AC269" s="156">
        <f t="shared" ca="1" si="27"/>
        <v>21</v>
      </c>
      <c r="AD269" s="156" t="str">
        <f t="shared" ca="1" si="28"/>
        <v>ATRASADO</v>
      </c>
      <c r="AE269" s="156">
        <f t="shared" ca="1" si="29"/>
        <v>18</v>
      </c>
    </row>
    <row r="270" spans="1:31" ht="36" hidden="1" customHeight="1">
      <c r="A270" s="414"/>
      <c r="B270" s="440" t="s">
        <v>4759</v>
      </c>
      <c r="C270" s="440" t="s">
        <v>380</v>
      </c>
      <c r="D270" s="440" t="s">
        <v>4760</v>
      </c>
      <c r="E270" s="440" t="s">
        <v>685</v>
      </c>
      <c r="F270" s="440" t="s">
        <v>42</v>
      </c>
      <c r="G270" s="441" t="s">
        <v>4761</v>
      </c>
      <c r="H270" s="440" t="s">
        <v>4762</v>
      </c>
      <c r="I270" s="441"/>
      <c r="J270" s="450">
        <v>45689</v>
      </c>
      <c r="K270" s="429" t="s">
        <v>2493</v>
      </c>
      <c r="L270" s="444" t="s">
        <v>1598</v>
      </c>
      <c r="M270" s="444" t="s">
        <v>1598</v>
      </c>
      <c r="N270" s="441"/>
      <c r="O270" s="445"/>
      <c r="P270" s="441">
        <v>479</v>
      </c>
      <c r="Q270" s="445"/>
      <c r="R270" s="445" t="s">
        <v>4763</v>
      </c>
      <c r="S270" s="446">
        <v>45734</v>
      </c>
      <c r="T270" s="446">
        <v>45694</v>
      </c>
      <c r="U270" s="446">
        <v>45702</v>
      </c>
      <c r="V270" s="447">
        <v>45715</v>
      </c>
      <c r="W270" s="447">
        <v>45715</v>
      </c>
      <c r="X270" s="447" t="s">
        <v>8044</v>
      </c>
      <c r="Y270" s="420"/>
      <c r="Z270" s="224" t="str">
        <f t="shared" si="24"/>
        <v>AG. MEDIÇÃO</v>
      </c>
      <c r="AA270" s="207" t="str">
        <f t="shared" si="25"/>
        <v>ENTREGUE</v>
      </c>
      <c r="AB270" s="207" t="str">
        <f t="shared" si="26"/>
        <v>AG. MEDIÇÃO</v>
      </c>
      <c r="AC270" s="156">
        <f t="shared" ca="1" si="27"/>
        <v>15</v>
      </c>
      <c r="AD270" s="156" t="str">
        <f t="shared" ca="1" si="28"/>
        <v>ATRASADO</v>
      </c>
      <c r="AE270" s="156">
        <f t="shared" ca="1" si="29"/>
        <v>12</v>
      </c>
    </row>
    <row r="271" spans="1:31" ht="36" hidden="1" customHeight="1">
      <c r="A271" s="414"/>
      <c r="B271" s="440" t="s">
        <v>4374</v>
      </c>
      <c r="C271" s="440" t="s">
        <v>203</v>
      </c>
      <c r="D271" s="440" t="s">
        <v>858</v>
      </c>
      <c r="E271" s="440" t="s">
        <v>204</v>
      </c>
      <c r="F271" s="440" t="s">
        <v>42</v>
      </c>
      <c r="G271" s="441" t="s">
        <v>4375</v>
      </c>
      <c r="H271" s="440" t="s">
        <v>4376</v>
      </c>
      <c r="I271" s="441" t="s">
        <v>4377</v>
      </c>
      <c r="J271" s="450">
        <v>45536</v>
      </c>
      <c r="K271" s="429" t="s">
        <v>2493</v>
      </c>
      <c r="L271" s="444" t="s">
        <v>76</v>
      </c>
      <c r="M271" s="444" t="s">
        <v>51</v>
      </c>
      <c r="N271" s="441" t="s">
        <v>2572</v>
      </c>
      <c r="O271" s="445" t="s">
        <v>3350</v>
      </c>
      <c r="P271" s="445">
        <v>1200</v>
      </c>
      <c r="Q271" s="445">
        <v>1350</v>
      </c>
      <c r="R271" s="445" t="s">
        <v>4378</v>
      </c>
      <c r="S271" s="446">
        <v>45575</v>
      </c>
      <c r="T271" s="446">
        <v>45545</v>
      </c>
      <c r="U271" s="446">
        <v>45546</v>
      </c>
      <c r="V271" s="447">
        <v>45549</v>
      </c>
      <c r="W271" s="447">
        <v>45554</v>
      </c>
      <c r="X271" s="447" t="s">
        <v>8044</v>
      </c>
      <c r="Y271" s="420"/>
      <c r="Z271" s="224" t="str">
        <f t="shared" si="24"/>
        <v>AG. MEDIÇÃO</v>
      </c>
      <c r="AA271" s="207" t="str">
        <f t="shared" si="25"/>
        <v>ENTREGUE</v>
      </c>
      <c r="AB271" s="207" t="str">
        <f t="shared" si="26"/>
        <v>AG. MEDIÇÃO</v>
      </c>
      <c r="AC271" s="156">
        <f t="shared" ca="1" si="27"/>
        <v>7</v>
      </c>
      <c r="AD271" s="156" t="str">
        <f t="shared" ca="1" si="28"/>
        <v>ATRASADO</v>
      </c>
      <c r="AE271" s="156">
        <f t="shared" ca="1" si="29"/>
        <v>4</v>
      </c>
    </row>
    <row r="272" spans="1:31" ht="36" hidden="1" customHeight="1">
      <c r="A272" s="414"/>
      <c r="B272" s="429" t="s">
        <v>7760</v>
      </c>
      <c r="C272" s="430" t="s">
        <v>600</v>
      </c>
      <c r="D272" s="431" t="s">
        <v>1964</v>
      </c>
      <c r="E272" s="432" t="s">
        <v>601</v>
      </c>
      <c r="F272" s="429" t="s">
        <v>42</v>
      </c>
      <c r="G272" s="434" t="s">
        <v>7718</v>
      </c>
      <c r="H272" s="636" t="s">
        <v>7719</v>
      </c>
      <c r="I272" s="433" t="s">
        <v>5609</v>
      </c>
      <c r="J272" s="432">
        <v>46174</v>
      </c>
      <c r="K272" s="429" t="s">
        <v>2493</v>
      </c>
      <c r="L272" s="436"/>
      <c r="M272" s="436" t="s">
        <v>132</v>
      </c>
      <c r="N272" s="433"/>
      <c r="O272" s="437" t="s">
        <v>85</v>
      </c>
      <c r="P272" s="433" t="s">
        <v>2494</v>
      </c>
      <c r="Q272" s="437" t="s">
        <v>2494</v>
      </c>
      <c r="R272" s="437" t="s">
        <v>5188</v>
      </c>
      <c r="S272" s="438">
        <v>46205</v>
      </c>
      <c r="T272" s="438">
        <v>46178</v>
      </c>
      <c r="U272" s="438"/>
      <c r="V272" s="439"/>
      <c r="W272" s="439">
        <v>46183</v>
      </c>
      <c r="X272" s="439">
        <v>46205</v>
      </c>
      <c r="Y272" s="420"/>
      <c r="Z272" s="224" t="str">
        <f t="shared" si="24"/>
        <v>AG. MEDIÇÃO</v>
      </c>
      <c r="AA272" s="207" t="str">
        <f t="shared" si="25"/>
        <v>ENTREGUE</v>
      </c>
      <c r="AB272" s="207" t="str">
        <f t="shared" si="26"/>
        <v>AG. MEDIÇÃO</v>
      </c>
      <c r="AC272" s="156">
        <f t="shared" ca="1" si="27"/>
        <v>3</v>
      </c>
      <c r="AD272" s="156" t="str">
        <f t="shared" ca="1" si="28"/>
        <v>NO PRAZO</v>
      </c>
      <c r="AE272" s="156">
        <f t="shared" ca="1" si="29"/>
        <v>0</v>
      </c>
    </row>
    <row r="273" spans="1:31" ht="36" hidden="1" customHeight="1">
      <c r="A273" s="414"/>
      <c r="B273" s="440" t="s">
        <v>5059</v>
      </c>
      <c r="C273" s="440" t="s">
        <v>248</v>
      </c>
      <c r="D273" s="440" t="s">
        <v>5060</v>
      </c>
      <c r="E273" s="440" t="s">
        <v>1551</v>
      </c>
      <c r="F273" s="440" t="s">
        <v>42</v>
      </c>
      <c r="G273" s="441" t="s">
        <v>5061</v>
      </c>
      <c r="H273" s="440" t="s">
        <v>5062</v>
      </c>
      <c r="I273" s="441" t="s">
        <v>5063</v>
      </c>
      <c r="J273" s="450">
        <v>45717</v>
      </c>
      <c r="K273" s="429" t="s">
        <v>2493</v>
      </c>
      <c r="L273" s="444"/>
      <c r="M273" s="444" t="s">
        <v>200</v>
      </c>
      <c r="N273" s="441"/>
      <c r="O273" s="445"/>
      <c r="P273" s="441">
        <v>200</v>
      </c>
      <c r="Q273" s="445">
        <v>820</v>
      </c>
      <c r="R273" s="445" t="s">
        <v>5064</v>
      </c>
      <c r="S273" s="446">
        <v>45785</v>
      </c>
      <c r="T273" s="446">
        <v>45743</v>
      </c>
      <c r="U273" s="446">
        <v>45762</v>
      </c>
      <c r="V273" s="447"/>
      <c r="W273" s="447">
        <v>45773</v>
      </c>
      <c r="X273" s="447" t="s">
        <v>8044</v>
      </c>
      <c r="Y273" s="420"/>
      <c r="Z273" s="224" t="str">
        <f t="shared" si="24"/>
        <v>AG. MEDIÇÃO</v>
      </c>
      <c r="AA273" s="207" t="str">
        <f t="shared" si="25"/>
        <v>ENTREGUE</v>
      </c>
      <c r="AB273" s="207" t="str">
        <f t="shared" si="26"/>
        <v>AG. MEDIÇÃO</v>
      </c>
      <c r="AC273" s="156">
        <f t="shared" ca="1" si="27"/>
        <v>21</v>
      </c>
      <c r="AD273" s="156" t="str">
        <f t="shared" ca="1" si="28"/>
        <v>ATRASADO</v>
      </c>
      <c r="AE273" s="156">
        <f t="shared" ca="1" si="29"/>
        <v>18</v>
      </c>
    </row>
    <row r="274" spans="1:31" ht="36" hidden="1" customHeight="1">
      <c r="A274" s="414"/>
      <c r="B274" s="440" t="s">
        <v>4315</v>
      </c>
      <c r="C274" s="440" t="s">
        <v>111</v>
      </c>
      <c r="D274" s="440" t="s">
        <v>1053</v>
      </c>
      <c r="E274" s="440" t="s">
        <v>2504</v>
      </c>
      <c r="F274" s="440" t="s">
        <v>42</v>
      </c>
      <c r="G274" s="441" t="s">
        <v>4316</v>
      </c>
      <c r="H274" s="440" t="s">
        <v>4317</v>
      </c>
      <c r="I274" s="441" t="s">
        <v>4318</v>
      </c>
      <c r="J274" s="450">
        <v>45505</v>
      </c>
      <c r="K274" s="429" t="s">
        <v>2493</v>
      </c>
      <c r="L274" s="444" t="s">
        <v>1319</v>
      </c>
      <c r="M274" s="444" t="s">
        <v>1122</v>
      </c>
      <c r="N274" s="441" t="s">
        <v>2572</v>
      </c>
      <c r="O274" s="445" t="s">
        <v>85</v>
      </c>
      <c r="P274" s="445">
        <v>550</v>
      </c>
      <c r="Q274" s="445">
        <v>542</v>
      </c>
      <c r="R274" s="445" t="s">
        <v>4319</v>
      </c>
      <c r="S274" s="446">
        <v>45555</v>
      </c>
      <c r="T274" s="446">
        <v>45533</v>
      </c>
      <c r="U274" s="446">
        <v>45542</v>
      </c>
      <c r="V274" s="447">
        <v>45541</v>
      </c>
      <c r="W274" s="447">
        <v>45545</v>
      </c>
      <c r="X274" s="447" t="s">
        <v>8044</v>
      </c>
      <c r="Y274" s="420"/>
      <c r="Z274" s="224" t="str">
        <f t="shared" si="24"/>
        <v>AG. MEDIÇÃO</v>
      </c>
      <c r="AA274" s="207" t="str">
        <f t="shared" si="25"/>
        <v>ENTREGUE</v>
      </c>
      <c r="AB274" s="207" t="str">
        <f t="shared" si="26"/>
        <v>AG. MEDIÇÃO</v>
      </c>
      <c r="AC274" s="156">
        <f t="shared" ca="1" si="27"/>
        <v>8</v>
      </c>
      <c r="AD274" s="156" t="str">
        <f t="shared" ca="1" si="28"/>
        <v>ATRASADO</v>
      </c>
      <c r="AE274" s="156">
        <f t="shared" ca="1" si="29"/>
        <v>5</v>
      </c>
    </row>
    <row r="275" spans="1:31" ht="36" hidden="1" customHeight="1">
      <c r="A275" s="414"/>
      <c r="B275" s="440" t="s">
        <v>3204</v>
      </c>
      <c r="C275" s="440" t="s">
        <v>232</v>
      </c>
      <c r="D275" s="440"/>
      <c r="E275" s="440"/>
      <c r="F275" s="440" t="s">
        <v>42</v>
      </c>
      <c r="G275" s="441" t="s">
        <v>3205</v>
      </c>
      <c r="H275" s="440" t="s">
        <v>3206</v>
      </c>
      <c r="I275" s="449"/>
      <c r="J275" s="450">
        <v>45231</v>
      </c>
      <c r="K275" s="429" t="s">
        <v>2493</v>
      </c>
      <c r="L275" s="444"/>
      <c r="M275" s="444" t="s">
        <v>51</v>
      </c>
      <c r="N275" s="441" t="s">
        <v>2572</v>
      </c>
      <c r="O275" s="445" t="s">
        <v>85</v>
      </c>
      <c r="P275" s="441" t="s">
        <v>2494</v>
      </c>
      <c r="Q275" s="441" t="s">
        <v>2494</v>
      </c>
      <c r="R275" s="445" t="s">
        <v>3207</v>
      </c>
      <c r="S275" s="446">
        <v>45250</v>
      </c>
      <c r="T275" s="446">
        <v>45238</v>
      </c>
      <c r="U275" s="446"/>
      <c r="V275" s="446">
        <v>45238</v>
      </c>
      <c r="W275" s="446">
        <v>45238</v>
      </c>
      <c r="X275" s="447" t="s">
        <v>8044</v>
      </c>
      <c r="Y275" s="420"/>
      <c r="Z275" s="224" t="str">
        <f t="shared" si="24"/>
        <v>AG. MEDIÇÃO</v>
      </c>
      <c r="AA275" s="207" t="str">
        <f t="shared" si="25"/>
        <v>ENTREGUE</v>
      </c>
      <c r="AB275" s="207" t="str">
        <f t="shared" si="26"/>
        <v>AG. MEDIÇÃO</v>
      </c>
      <c r="AC275" s="156">
        <f t="shared" ca="1" si="27"/>
        <v>0</v>
      </c>
      <c r="AD275" s="156" t="str">
        <f t="shared" ca="1" si="28"/>
        <v>NO PRAZO</v>
      </c>
      <c r="AE275" s="156">
        <f t="shared" ca="1" si="29"/>
        <v>-3</v>
      </c>
    </row>
    <row r="276" spans="1:31" ht="36" hidden="1" customHeight="1">
      <c r="A276" s="414"/>
      <c r="B276" s="440" t="s">
        <v>3595</v>
      </c>
      <c r="C276" s="440" t="s">
        <v>232</v>
      </c>
      <c r="D276" s="440"/>
      <c r="E276" s="440"/>
      <c r="F276" s="440" t="s">
        <v>42</v>
      </c>
      <c r="G276" s="441" t="s">
        <v>3596</v>
      </c>
      <c r="H276" s="440" t="s">
        <v>3597</v>
      </c>
      <c r="I276" s="441"/>
      <c r="J276" s="450">
        <v>45383</v>
      </c>
      <c r="K276" s="429" t="s">
        <v>2493</v>
      </c>
      <c r="L276" s="444" t="s">
        <v>3561</v>
      </c>
      <c r="M276" s="444" t="s">
        <v>3598</v>
      </c>
      <c r="N276" s="441" t="s">
        <v>2572</v>
      </c>
      <c r="O276" s="445" t="s">
        <v>85</v>
      </c>
      <c r="P276" s="445"/>
      <c r="Q276" s="441">
        <v>105</v>
      </c>
      <c r="R276" s="445" t="s">
        <v>3599</v>
      </c>
      <c r="S276" s="446">
        <v>45374</v>
      </c>
      <c r="T276" s="446">
        <v>45391</v>
      </c>
      <c r="U276" s="446">
        <v>45397</v>
      </c>
      <c r="V276" s="446">
        <v>45397</v>
      </c>
      <c r="W276" s="447">
        <v>45398</v>
      </c>
      <c r="X276" s="447" t="s">
        <v>8044</v>
      </c>
      <c r="Y276" s="420"/>
      <c r="Z276" s="224" t="str">
        <f t="shared" si="24"/>
        <v>AG. MEDIÇÃO</v>
      </c>
      <c r="AA276" s="207" t="str">
        <f t="shared" si="25"/>
        <v>ENTREGUE</v>
      </c>
      <c r="AB276" s="207" t="str">
        <f t="shared" si="26"/>
        <v>AG. MEDIÇÃO</v>
      </c>
      <c r="AC276" s="156">
        <f t="shared" ca="1" si="27"/>
        <v>5</v>
      </c>
      <c r="AD276" s="156" t="str">
        <f t="shared" ca="1" si="28"/>
        <v>ATRASADO</v>
      </c>
      <c r="AE276" s="156">
        <f t="shared" ca="1" si="29"/>
        <v>2</v>
      </c>
    </row>
    <row r="277" spans="1:31" ht="36" hidden="1" customHeight="1">
      <c r="A277" s="414"/>
      <c r="B277" s="440" t="s">
        <v>3032</v>
      </c>
      <c r="C277" s="440" t="s">
        <v>203</v>
      </c>
      <c r="D277" s="440"/>
      <c r="E277" s="440"/>
      <c r="F277" s="440" t="s">
        <v>42</v>
      </c>
      <c r="G277" s="441" t="s">
        <v>3033</v>
      </c>
      <c r="H277" s="440" t="s">
        <v>3034</v>
      </c>
      <c r="I277" s="449"/>
      <c r="J277" s="455">
        <v>45170</v>
      </c>
      <c r="K277" s="429" t="s">
        <v>2493</v>
      </c>
      <c r="L277" s="444" t="s">
        <v>3035</v>
      </c>
      <c r="M277" s="444" t="s">
        <v>51</v>
      </c>
      <c r="N277" s="441" t="s">
        <v>2572</v>
      </c>
      <c r="O277" s="445" t="s">
        <v>2573</v>
      </c>
      <c r="P277" s="445"/>
      <c r="Q277" s="445">
        <v>180</v>
      </c>
      <c r="R277" s="445" t="s">
        <v>3036</v>
      </c>
      <c r="S277" s="446">
        <v>45184</v>
      </c>
      <c r="T277" s="446">
        <v>45169</v>
      </c>
      <c r="U277" s="446">
        <v>45170</v>
      </c>
      <c r="V277" s="446">
        <v>45170</v>
      </c>
      <c r="W277" s="446">
        <v>45170</v>
      </c>
      <c r="X277" s="447" t="s">
        <v>8044</v>
      </c>
      <c r="Y277" s="420"/>
      <c r="Z277" s="224" t="str">
        <f t="shared" si="24"/>
        <v>AG. MEDIÇÃO</v>
      </c>
      <c r="AA277" s="207" t="str">
        <f t="shared" si="25"/>
        <v>ENTREGUE</v>
      </c>
      <c r="AB277" s="207" t="str">
        <f t="shared" si="26"/>
        <v>AG. MEDIÇÃO</v>
      </c>
      <c r="AC277" s="156">
        <f t="shared" ca="1" si="27"/>
        <v>1</v>
      </c>
      <c r="AD277" s="156" t="str">
        <f t="shared" ca="1" si="28"/>
        <v>NO PRAZO</v>
      </c>
      <c r="AE277" s="156">
        <f t="shared" ca="1" si="29"/>
        <v>-2</v>
      </c>
    </row>
    <row r="278" spans="1:31" ht="36" hidden="1" customHeight="1">
      <c r="A278" s="414"/>
      <c r="B278" s="440" t="s">
        <v>5486</v>
      </c>
      <c r="C278" s="440" t="s">
        <v>241</v>
      </c>
      <c r="D278" s="440"/>
      <c r="E278" s="440" t="s">
        <v>242</v>
      </c>
      <c r="F278" s="440" t="s">
        <v>42</v>
      </c>
      <c r="G278" s="441" t="s">
        <v>5487</v>
      </c>
      <c r="H278" s="440" t="s">
        <v>5488</v>
      </c>
      <c r="I278" s="441" t="s">
        <v>5489</v>
      </c>
      <c r="J278" s="450">
        <v>45839</v>
      </c>
      <c r="K278" s="429" t="s">
        <v>2493</v>
      </c>
      <c r="L278" s="444"/>
      <c r="M278" s="444" t="s">
        <v>200</v>
      </c>
      <c r="N278" s="441"/>
      <c r="O278" s="445"/>
      <c r="P278" s="441" t="s">
        <v>2494</v>
      </c>
      <c r="Q278" s="445" t="s">
        <v>2494</v>
      </c>
      <c r="R278" s="445" t="s">
        <v>5490</v>
      </c>
      <c r="S278" s="446">
        <v>45852</v>
      </c>
      <c r="T278" s="446">
        <v>45842</v>
      </c>
      <c r="U278" s="446">
        <v>45846</v>
      </c>
      <c r="V278" s="447">
        <v>45847</v>
      </c>
      <c r="W278" s="447">
        <v>45849</v>
      </c>
      <c r="X278" s="447">
        <v>45874</v>
      </c>
      <c r="Y278" s="420"/>
      <c r="Z278" s="224" t="str">
        <f t="shared" si="24"/>
        <v>AG. MEDIÇÃO</v>
      </c>
      <c r="AA278" s="207" t="str">
        <f t="shared" si="25"/>
        <v>ENTREGUE</v>
      </c>
      <c r="AB278" s="207" t="str">
        <f t="shared" si="26"/>
        <v>AG. MEDIÇÃO</v>
      </c>
      <c r="AC278" s="156">
        <f t="shared" ca="1" si="27"/>
        <v>5</v>
      </c>
      <c r="AD278" s="156" t="str">
        <f t="shared" ca="1" si="28"/>
        <v>ATRASADO</v>
      </c>
      <c r="AE278" s="156">
        <f t="shared" ca="1" si="29"/>
        <v>2</v>
      </c>
    </row>
    <row r="279" spans="1:31" ht="36" hidden="1" customHeight="1">
      <c r="A279" s="414"/>
      <c r="B279" s="440" t="s">
        <v>4202</v>
      </c>
      <c r="C279" s="440" t="s">
        <v>311</v>
      </c>
      <c r="D279" s="440" t="s">
        <v>313</v>
      </c>
      <c r="E279" s="440" t="s">
        <v>312</v>
      </c>
      <c r="F279" s="440" t="s">
        <v>42</v>
      </c>
      <c r="G279" s="441" t="s">
        <v>4203</v>
      </c>
      <c r="H279" s="440" t="s">
        <v>4204</v>
      </c>
      <c r="I279" s="441" t="s">
        <v>4205</v>
      </c>
      <c r="J279" s="450">
        <v>45505</v>
      </c>
      <c r="K279" s="429" t="s">
        <v>2493</v>
      </c>
      <c r="L279" s="444"/>
      <c r="M279" s="444" t="s">
        <v>132</v>
      </c>
      <c r="N279" s="441" t="s">
        <v>2572</v>
      </c>
      <c r="O279" s="445" t="s">
        <v>85</v>
      </c>
      <c r="P279" s="441" t="s">
        <v>2494</v>
      </c>
      <c r="Q279" s="441" t="s">
        <v>2494</v>
      </c>
      <c r="R279" s="445" t="s">
        <v>4165</v>
      </c>
      <c r="S279" s="446">
        <v>45532</v>
      </c>
      <c r="T279" s="446">
        <v>45524</v>
      </c>
      <c r="U279" s="446">
        <v>45525</v>
      </c>
      <c r="V279" s="447">
        <v>45525</v>
      </c>
      <c r="W279" s="447">
        <v>45525</v>
      </c>
      <c r="X279" s="447" t="s">
        <v>8044</v>
      </c>
      <c r="Y279" s="420"/>
      <c r="Z279" s="224" t="str">
        <f t="shared" si="24"/>
        <v>AG. MEDIÇÃO</v>
      </c>
      <c r="AA279" s="207" t="str">
        <f t="shared" si="25"/>
        <v>ENTREGUE</v>
      </c>
      <c r="AB279" s="207" t="str">
        <f t="shared" si="26"/>
        <v>AG. MEDIÇÃO</v>
      </c>
      <c r="AC279" s="156">
        <f t="shared" ca="1" si="27"/>
        <v>1</v>
      </c>
      <c r="AD279" s="156" t="str">
        <f t="shared" ca="1" si="28"/>
        <v>NO PRAZO</v>
      </c>
      <c r="AE279" s="156">
        <f t="shared" ca="1" si="29"/>
        <v>-2</v>
      </c>
    </row>
    <row r="280" spans="1:31" ht="36" hidden="1" customHeight="1">
      <c r="A280" s="414"/>
      <c r="B280" s="429" t="s">
        <v>7195</v>
      </c>
      <c r="C280" s="430" t="s">
        <v>373</v>
      </c>
      <c r="D280" s="430" t="s">
        <v>2391</v>
      </c>
      <c r="E280" s="432" t="s">
        <v>374</v>
      </c>
      <c r="F280" s="429" t="s">
        <v>42</v>
      </c>
      <c r="G280" s="434" t="s">
        <v>6994</v>
      </c>
      <c r="H280" s="636" t="s">
        <v>6992</v>
      </c>
      <c r="I280" s="433" t="s">
        <v>6993</v>
      </c>
      <c r="J280" s="432">
        <v>46054</v>
      </c>
      <c r="K280" s="429" t="s">
        <v>2493</v>
      </c>
      <c r="L280" s="436"/>
      <c r="M280" s="436" t="s">
        <v>62</v>
      </c>
      <c r="N280" s="433"/>
      <c r="O280" s="437"/>
      <c r="P280" s="433" t="s">
        <v>2494</v>
      </c>
      <c r="Q280" s="437" t="s">
        <v>2494</v>
      </c>
      <c r="R280" s="437" t="s">
        <v>7003</v>
      </c>
      <c r="S280" s="438">
        <v>46059</v>
      </c>
      <c r="T280" s="438">
        <v>46058</v>
      </c>
      <c r="U280" s="438"/>
      <c r="V280" s="439"/>
      <c r="W280" s="439">
        <v>46059</v>
      </c>
      <c r="X280" s="438">
        <v>46059</v>
      </c>
      <c r="Y280" s="419"/>
      <c r="Z280" s="224" t="str">
        <f t="shared" si="24"/>
        <v>AG. MEDIÇÃO</v>
      </c>
      <c r="AA280" s="207" t="str">
        <f t="shared" si="25"/>
        <v>ENTREGUE</v>
      </c>
      <c r="AB280" s="207" t="str">
        <f t="shared" si="26"/>
        <v>AG. MEDIÇÃO</v>
      </c>
      <c r="AC280" s="156">
        <f t="shared" ca="1" si="27"/>
        <v>1</v>
      </c>
      <c r="AD280" s="156" t="str">
        <f t="shared" ca="1" si="28"/>
        <v>NO PRAZO</v>
      </c>
      <c r="AE280" s="156">
        <f t="shared" ca="1" si="29"/>
        <v>-2</v>
      </c>
    </row>
    <row r="281" spans="1:31" ht="36" hidden="1" customHeight="1">
      <c r="A281" s="414"/>
      <c r="B281" s="440" t="s">
        <v>4502</v>
      </c>
      <c r="C281" s="440" t="s">
        <v>425</v>
      </c>
      <c r="D281" s="440" t="s">
        <v>440</v>
      </c>
      <c r="E281" s="440" t="s">
        <v>426</v>
      </c>
      <c r="F281" s="440" t="s">
        <v>427</v>
      </c>
      <c r="G281" s="441"/>
      <c r="H281" s="440" t="s">
        <v>4503</v>
      </c>
      <c r="I281" s="441" t="s">
        <v>4504</v>
      </c>
      <c r="J281" s="450">
        <v>45566</v>
      </c>
      <c r="K281" s="429" t="s">
        <v>2493</v>
      </c>
      <c r="L281" s="444"/>
      <c r="M281" s="444" t="s">
        <v>51</v>
      </c>
      <c r="N281" s="441" t="s">
        <v>2572</v>
      </c>
      <c r="O281" s="445" t="s">
        <v>3350</v>
      </c>
      <c r="P281" s="445"/>
      <c r="Q281" s="445">
        <v>20</v>
      </c>
      <c r="R281" s="445" t="s">
        <v>4505</v>
      </c>
      <c r="S281" s="446">
        <v>45588</v>
      </c>
      <c r="T281" s="446">
        <v>45580</v>
      </c>
      <c r="U281" s="446">
        <v>45581</v>
      </c>
      <c r="V281" s="447">
        <v>45586</v>
      </c>
      <c r="W281" s="447">
        <v>45584</v>
      </c>
      <c r="X281" s="447" t="s">
        <v>8044</v>
      </c>
      <c r="Y281" s="420"/>
      <c r="Z281" s="224" t="str">
        <f t="shared" si="24"/>
        <v>AG. MEDIÇÃO</v>
      </c>
      <c r="AA281" s="207" t="str">
        <f t="shared" si="25"/>
        <v>ENTREGUE</v>
      </c>
      <c r="AB281" s="207" t="str">
        <f t="shared" si="26"/>
        <v>AG. MEDIÇÃO</v>
      </c>
      <c r="AC281" s="156">
        <f t="shared" ca="1" si="27"/>
        <v>3</v>
      </c>
      <c r="AD281" s="156" t="str">
        <f t="shared" ca="1" si="28"/>
        <v>NO PRAZO</v>
      </c>
      <c r="AE281" s="156">
        <f t="shared" ca="1" si="29"/>
        <v>0</v>
      </c>
    </row>
    <row r="282" spans="1:31" ht="36" hidden="1" customHeight="1">
      <c r="A282" s="414"/>
      <c r="B282" s="440" t="s">
        <v>4498</v>
      </c>
      <c r="C282" s="440" t="s">
        <v>425</v>
      </c>
      <c r="D282" s="440" t="s">
        <v>440</v>
      </c>
      <c r="E282" s="440" t="s">
        <v>426</v>
      </c>
      <c r="F282" s="440" t="s">
        <v>427</v>
      </c>
      <c r="G282" s="441"/>
      <c r="H282" s="440" t="s">
        <v>4499</v>
      </c>
      <c r="I282" s="441" t="s">
        <v>4500</v>
      </c>
      <c r="J282" s="450">
        <v>45566</v>
      </c>
      <c r="K282" s="429" t="s">
        <v>2493</v>
      </c>
      <c r="L282" s="444"/>
      <c r="M282" s="444" t="s">
        <v>51</v>
      </c>
      <c r="N282" s="441" t="s">
        <v>2572</v>
      </c>
      <c r="O282" s="445" t="s">
        <v>3350</v>
      </c>
      <c r="P282" s="441" t="s">
        <v>2494</v>
      </c>
      <c r="Q282" s="441" t="s">
        <v>2494</v>
      </c>
      <c r="R282" s="445" t="s">
        <v>4501</v>
      </c>
      <c r="S282" s="446">
        <v>45608</v>
      </c>
      <c r="T282" s="446">
        <v>45580</v>
      </c>
      <c r="U282" s="446">
        <v>45581</v>
      </c>
      <c r="V282" s="447">
        <v>45586</v>
      </c>
      <c r="W282" s="447">
        <v>45593</v>
      </c>
      <c r="X282" s="447" t="s">
        <v>8044</v>
      </c>
      <c r="Y282" s="420"/>
      <c r="Z282" s="224" t="str">
        <f t="shared" si="24"/>
        <v>AG. MEDIÇÃO</v>
      </c>
      <c r="AA282" s="207" t="str">
        <f t="shared" si="25"/>
        <v>ENTREGUE</v>
      </c>
      <c r="AB282" s="207" t="str">
        <f t="shared" si="26"/>
        <v>AG. MEDIÇÃO</v>
      </c>
      <c r="AC282" s="156">
        <f t="shared" ca="1" si="27"/>
        <v>9</v>
      </c>
      <c r="AD282" s="156" t="str">
        <f t="shared" ca="1" si="28"/>
        <v>ATRASADO</v>
      </c>
      <c r="AE282" s="156">
        <f t="shared" ca="1" si="29"/>
        <v>6</v>
      </c>
    </row>
    <row r="283" spans="1:31" ht="36" hidden="1" customHeight="1">
      <c r="A283" s="414"/>
      <c r="B283" s="440" t="s">
        <v>5663</v>
      </c>
      <c r="C283" s="440" t="s">
        <v>267</v>
      </c>
      <c r="D283" s="440" t="s">
        <v>4682</v>
      </c>
      <c r="E283" s="440" t="s">
        <v>268</v>
      </c>
      <c r="F283" s="440" t="s">
        <v>42</v>
      </c>
      <c r="G283" s="441" t="s">
        <v>5664</v>
      </c>
      <c r="H283" s="440" t="s">
        <v>5665</v>
      </c>
      <c r="I283" s="441" t="s">
        <v>5666</v>
      </c>
      <c r="J283" s="450">
        <v>45870</v>
      </c>
      <c r="K283" s="429" t="s">
        <v>2493</v>
      </c>
      <c r="L283" s="444"/>
      <c r="M283" s="444" t="s">
        <v>147</v>
      </c>
      <c r="N283" s="441"/>
      <c r="O283" s="445"/>
      <c r="P283" s="441" t="s">
        <v>2494</v>
      </c>
      <c r="Q283" s="445" t="s">
        <v>2494</v>
      </c>
      <c r="R283" s="445" t="s">
        <v>5188</v>
      </c>
      <c r="S283" s="446">
        <v>45905</v>
      </c>
      <c r="T283" s="446">
        <v>45889</v>
      </c>
      <c r="U283" s="446"/>
      <c r="V283" s="447"/>
      <c r="W283" s="447">
        <v>45904</v>
      </c>
      <c r="X283" s="447">
        <v>45905</v>
      </c>
      <c r="Y283" s="420"/>
      <c r="Z283" s="224" t="str">
        <f t="shared" si="24"/>
        <v>AG. MEDIÇÃO</v>
      </c>
      <c r="AA283" s="207" t="str">
        <f t="shared" si="25"/>
        <v>ENTREGUE</v>
      </c>
      <c r="AB283" s="207" t="str">
        <f t="shared" si="26"/>
        <v>AG. MEDIÇÃO</v>
      </c>
      <c r="AC283" s="156">
        <f t="shared" ca="1" si="27"/>
        <v>11</v>
      </c>
      <c r="AD283" s="156" t="str">
        <f t="shared" ca="1" si="28"/>
        <v>ATRASADO</v>
      </c>
      <c r="AE283" s="156">
        <f t="shared" ca="1" si="29"/>
        <v>8</v>
      </c>
    </row>
    <row r="284" spans="1:31" ht="36" hidden="1" customHeight="1">
      <c r="A284" s="414"/>
      <c r="B284" s="440" t="s">
        <v>3247</v>
      </c>
      <c r="C284" s="440" t="s">
        <v>232</v>
      </c>
      <c r="D284" s="440"/>
      <c r="E284" s="440"/>
      <c r="F284" s="440" t="s">
        <v>42</v>
      </c>
      <c r="G284" s="441" t="s">
        <v>3248</v>
      </c>
      <c r="H284" s="440" t="s">
        <v>3249</v>
      </c>
      <c r="I284" s="449"/>
      <c r="J284" s="450">
        <v>45231</v>
      </c>
      <c r="K284" s="429" t="s">
        <v>2493</v>
      </c>
      <c r="L284" s="444"/>
      <c r="M284" s="444" t="s">
        <v>714</v>
      </c>
      <c r="N284" s="441" t="s">
        <v>2572</v>
      </c>
      <c r="O284" s="445" t="s">
        <v>85</v>
      </c>
      <c r="P284" s="441" t="s">
        <v>2494</v>
      </c>
      <c r="Q284" s="441" t="s">
        <v>2494</v>
      </c>
      <c r="R284" s="445" t="s">
        <v>2861</v>
      </c>
      <c r="S284" s="446">
        <v>45273</v>
      </c>
      <c r="T284" s="446">
        <v>45253</v>
      </c>
      <c r="U284" s="446">
        <v>45253</v>
      </c>
      <c r="V284" s="446">
        <v>45254</v>
      </c>
      <c r="W284" s="446">
        <v>45260</v>
      </c>
      <c r="X284" s="447" t="s">
        <v>8044</v>
      </c>
      <c r="Y284" s="420"/>
      <c r="Z284" s="224" t="str">
        <f t="shared" si="24"/>
        <v>AG. MEDIÇÃO</v>
      </c>
      <c r="AA284" s="207" t="str">
        <f t="shared" si="25"/>
        <v>ENTREGUE</v>
      </c>
      <c r="AB284" s="207" t="str">
        <f t="shared" si="26"/>
        <v>AG. MEDIÇÃO</v>
      </c>
      <c r="AC284" s="156">
        <f t="shared" ca="1" si="27"/>
        <v>5</v>
      </c>
      <c r="AD284" s="156" t="str">
        <f t="shared" ca="1" si="28"/>
        <v>ATRASADO</v>
      </c>
      <c r="AE284" s="156">
        <f t="shared" ca="1" si="29"/>
        <v>2</v>
      </c>
    </row>
    <row r="285" spans="1:31" ht="36" hidden="1" customHeight="1">
      <c r="A285" s="414"/>
      <c r="B285" s="440" t="s">
        <v>2951</v>
      </c>
      <c r="C285" s="440" t="s">
        <v>504</v>
      </c>
      <c r="D285" s="440"/>
      <c r="E285" s="440"/>
      <c r="F285" s="440" t="s">
        <v>42</v>
      </c>
      <c r="G285" s="441" t="s">
        <v>2952</v>
      </c>
      <c r="H285" s="440" t="s">
        <v>2953</v>
      </c>
      <c r="I285" s="449"/>
      <c r="J285" s="450">
        <v>45078</v>
      </c>
      <c r="K285" s="429" t="s">
        <v>2493</v>
      </c>
      <c r="L285" s="444" t="s">
        <v>2946</v>
      </c>
      <c r="M285" s="444" t="s">
        <v>864</v>
      </c>
      <c r="N285" s="441" t="s">
        <v>2572</v>
      </c>
      <c r="O285" s="441" t="s">
        <v>2573</v>
      </c>
      <c r="P285" s="441"/>
      <c r="Q285" s="441">
        <v>547</v>
      </c>
      <c r="R285" s="445" t="s">
        <v>2954</v>
      </c>
      <c r="S285" s="446">
        <v>45175</v>
      </c>
      <c r="T285" s="446">
        <v>45099</v>
      </c>
      <c r="U285" s="446">
        <v>45099</v>
      </c>
      <c r="V285" s="446">
        <v>45114</v>
      </c>
      <c r="W285" s="447">
        <v>45114</v>
      </c>
      <c r="X285" s="447" t="s">
        <v>8044</v>
      </c>
      <c r="Y285" s="420"/>
      <c r="Z285" s="224" t="str">
        <f t="shared" si="24"/>
        <v>AG. MEDIÇÃO</v>
      </c>
      <c r="AA285" s="207" t="str">
        <f t="shared" si="25"/>
        <v>ENTREGUE</v>
      </c>
      <c r="AB285" s="207" t="str">
        <f t="shared" si="26"/>
        <v>AG. MEDIÇÃO</v>
      </c>
      <c r="AC285" s="156">
        <f t="shared" ca="1" si="27"/>
        <v>11</v>
      </c>
      <c r="AD285" s="156" t="str">
        <f t="shared" ca="1" si="28"/>
        <v>ATRASADO</v>
      </c>
      <c r="AE285" s="156">
        <f t="shared" ca="1" si="29"/>
        <v>8</v>
      </c>
    </row>
    <row r="286" spans="1:31" ht="36" hidden="1" customHeight="1">
      <c r="A286" s="414"/>
      <c r="B286" s="440" t="s">
        <v>4522</v>
      </c>
      <c r="C286" s="440" t="s">
        <v>479</v>
      </c>
      <c r="D286" s="440" t="s">
        <v>1201</v>
      </c>
      <c r="E286" s="440" t="s">
        <v>480</v>
      </c>
      <c r="F286" s="440" t="s">
        <v>42</v>
      </c>
      <c r="G286" s="441" t="s">
        <v>4523</v>
      </c>
      <c r="H286" s="440" t="s">
        <v>4524</v>
      </c>
      <c r="I286" s="441" t="s">
        <v>4525</v>
      </c>
      <c r="J286" s="450">
        <v>45566</v>
      </c>
      <c r="K286" s="429" t="s">
        <v>2493</v>
      </c>
      <c r="L286" s="444"/>
      <c r="M286" s="444" t="s">
        <v>132</v>
      </c>
      <c r="N286" s="441" t="s">
        <v>2572</v>
      </c>
      <c r="O286" s="445" t="s">
        <v>3350</v>
      </c>
      <c r="P286" s="441" t="s">
        <v>2494</v>
      </c>
      <c r="Q286" s="441" t="s">
        <v>2494</v>
      </c>
      <c r="R286" s="445" t="s">
        <v>4526</v>
      </c>
      <c r="S286" s="446">
        <v>45588</v>
      </c>
      <c r="T286" s="446">
        <v>45586</v>
      </c>
      <c r="U286" s="446">
        <v>45587</v>
      </c>
      <c r="V286" s="446">
        <v>45587</v>
      </c>
      <c r="W286" s="447">
        <v>45587</v>
      </c>
      <c r="X286" s="447" t="s">
        <v>8044</v>
      </c>
      <c r="Y286" s="420"/>
      <c r="Z286" s="224" t="str">
        <f t="shared" si="24"/>
        <v>AG. MEDIÇÃO</v>
      </c>
      <c r="AA286" s="207" t="str">
        <f t="shared" si="25"/>
        <v>ENTREGUE</v>
      </c>
      <c r="AB286" s="207" t="str">
        <f t="shared" si="26"/>
        <v>AG. MEDIÇÃO</v>
      </c>
      <c r="AC286" s="156">
        <f t="shared" ca="1" si="27"/>
        <v>1</v>
      </c>
      <c r="AD286" s="156" t="str">
        <f t="shared" ca="1" si="28"/>
        <v>NO PRAZO</v>
      </c>
      <c r="AE286" s="156">
        <f t="shared" ca="1" si="29"/>
        <v>-2</v>
      </c>
    </row>
    <row r="287" spans="1:31" ht="36" hidden="1" customHeight="1">
      <c r="A287" s="414"/>
      <c r="B287" s="429" t="s">
        <v>7431</v>
      </c>
      <c r="C287" s="430" t="s">
        <v>111</v>
      </c>
      <c r="D287" s="431"/>
      <c r="E287" s="432"/>
      <c r="F287" s="429" t="s">
        <v>42</v>
      </c>
      <c r="G287" s="434" t="s">
        <v>7419</v>
      </c>
      <c r="H287" s="636" t="s">
        <v>7420</v>
      </c>
      <c r="I287" s="433" t="s">
        <v>3800</v>
      </c>
      <c r="J287" s="432">
        <v>46143</v>
      </c>
      <c r="K287" s="429" t="s">
        <v>2493</v>
      </c>
      <c r="L287" s="487"/>
      <c r="M287" s="436" t="s">
        <v>62</v>
      </c>
      <c r="N287" s="433"/>
      <c r="O287" s="437"/>
      <c r="P287" s="433" t="s">
        <v>2494</v>
      </c>
      <c r="Q287" s="437" t="s">
        <v>2494</v>
      </c>
      <c r="R287" s="437" t="s">
        <v>4727</v>
      </c>
      <c r="S287" s="438">
        <v>46149</v>
      </c>
      <c r="T287" s="438">
        <v>46147</v>
      </c>
      <c r="U287" s="438"/>
      <c r="V287" s="439"/>
      <c r="W287" s="439">
        <v>46148</v>
      </c>
      <c r="X287" s="439">
        <v>46149</v>
      </c>
      <c r="Y287" s="420"/>
      <c r="Z287" s="224" t="str">
        <f t="shared" si="24"/>
        <v>AG. MEDIÇÃO</v>
      </c>
      <c r="AA287" s="207" t="str">
        <f t="shared" si="25"/>
        <v>ENTREGUE</v>
      </c>
      <c r="AB287" s="207" t="str">
        <f t="shared" si="26"/>
        <v>AG. MEDIÇÃO</v>
      </c>
      <c r="AC287" s="156">
        <f t="shared" ca="1" si="27"/>
        <v>1</v>
      </c>
      <c r="AD287" s="156" t="str">
        <f t="shared" ca="1" si="28"/>
        <v>NO PRAZO</v>
      </c>
      <c r="AE287" s="156">
        <f t="shared" ca="1" si="29"/>
        <v>-2</v>
      </c>
    </row>
    <row r="288" spans="1:31" ht="36" hidden="1" customHeight="1">
      <c r="A288" s="414"/>
      <c r="B288" s="440" t="s">
        <v>4704</v>
      </c>
      <c r="C288" s="440" t="s">
        <v>111</v>
      </c>
      <c r="D288" s="440" t="s">
        <v>348</v>
      </c>
      <c r="E288" s="440" t="s">
        <v>2504</v>
      </c>
      <c r="F288" s="440" t="s">
        <v>42</v>
      </c>
      <c r="G288" s="441" t="s">
        <v>4705</v>
      </c>
      <c r="H288" s="440" t="s">
        <v>4706</v>
      </c>
      <c r="I288" s="441" t="s">
        <v>4707</v>
      </c>
      <c r="J288" s="450">
        <v>45658</v>
      </c>
      <c r="K288" s="429" t="s">
        <v>2493</v>
      </c>
      <c r="L288" s="444"/>
      <c r="M288" s="444" t="s">
        <v>132</v>
      </c>
      <c r="N288" s="441" t="s">
        <v>2572</v>
      </c>
      <c r="O288" s="445" t="s">
        <v>4560</v>
      </c>
      <c r="P288" s="445" t="s">
        <v>2494</v>
      </c>
      <c r="Q288" s="445" t="s">
        <v>2494</v>
      </c>
      <c r="R288" s="445" t="s">
        <v>2789</v>
      </c>
      <c r="S288" s="446">
        <v>45306</v>
      </c>
      <c r="T288" s="446">
        <v>45670</v>
      </c>
      <c r="U288" s="446">
        <v>45671</v>
      </c>
      <c r="V288" s="447">
        <v>45672</v>
      </c>
      <c r="W288" s="447">
        <v>45672</v>
      </c>
      <c r="X288" s="447" t="s">
        <v>8044</v>
      </c>
      <c r="Y288" s="420"/>
      <c r="Z288" s="224" t="str">
        <f t="shared" si="24"/>
        <v>AG. MEDIÇÃO</v>
      </c>
      <c r="AA288" s="207" t="str">
        <f t="shared" si="25"/>
        <v>ENTREGUE</v>
      </c>
      <c r="AB288" s="207" t="str">
        <f t="shared" si="26"/>
        <v>AG. MEDIÇÃO</v>
      </c>
      <c r="AC288" s="156">
        <f t="shared" ca="1" si="27"/>
        <v>2</v>
      </c>
      <c r="AD288" s="156" t="str">
        <f t="shared" ca="1" si="28"/>
        <v>NO PRAZO</v>
      </c>
      <c r="AE288" s="156">
        <f t="shared" ca="1" si="29"/>
        <v>-1</v>
      </c>
    </row>
    <row r="289" spans="1:31" ht="36" hidden="1" customHeight="1">
      <c r="A289" s="414"/>
      <c r="B289" s="440" t="s">
        <v>4518</v>
      </c>
      <c r="C289" s="440" t="s">
        <v>111</v>
      </c>
      <c r="D289" s="440" t="s">
        <v>1509</v>
      </c>
      <c r="E289" s="440" t="s">
        <v>2504</v>
      </c>
      <c r="F289" s="440" t="s">
        <v>42</v>
      </c>
      <c r="G289" s="440" t="s">
        <v>4519</v>
      </c>
      <c r="H289" s="440" t="s">
        <v>4520</v>
      </c>
      <c r="I289" s="441" t="s">
        <v>4521</v>
      </c>
      <c r="J289" s="450">
        <v>45566</v>
      </c>
      <c r="K289" s="429" t="s">
        <v>2493</v>
      </c>
      <c r="L289" s="444"/>
      <c r="M289" s="444" t="s">
        <v>132</v>
      </c>
      <c r="N289" s="441" t="s">
        <v>2572</v>
      </c>
      <c r="O289" s="445" t="s">
        <v>3350</v>
      </c>
      <c r="P289" s="441" t="s">
        <v>2494</v>
      </c>
      <c r="Q289" s="441" t="s">
        <v>2494</v>
      </c>
      <c r="R289" s="445" t="s">
        <v>3119</v>
      </c>
      <c r="S289" s="446">
        <v>45588</v>
      </c>
      <c r="T289" s="446">
        <v>45586</v>
      </c>
      <c r="U289" s="446">
        <v>45587</v>
      </c>
      <c r="V289" s="447">
        <v>45587</v>
      </c>
      <c r="W289" s="447">
        <v>45587</v>
      </c>
      <c r="X289" s="447" t="s">
        <v>8044</v>
      </c>
      <c r="Y289" s="420"/>
      <c r="Z289" s="224" t="str">
        <f t="shared" si="24"/>
        <v>AG. MEDIÇÃO</v>
      </c>
      <c r="AA289" s="207" t="str">
        <f t="shared" si="25"/>
        <v>ENTREGUE</v>
      </c>
      <c r="AB289" s="207" t="str">
        <f t="shared" si="26"/>
        <v>AG. MEDIÇÃO</v>
      </c>
      <c r="AC289" s="156">
        <f t="shared" ca="1" si="27"/>
        <v>1</v>
      </c>
      <c r="AD289" s="156" t="str">
        <f t="shared" ca="1" si="28"/>
        <v>NO PRAZO</v>
      </c>
      <c r="AE289" s="156">
        <f t="shared" ca="1" si="29"/>
        <v>-2</v>
      </c>
    </row>
    <row r="290" spans="1:31" ht="36" hidden="1" customHeight="1">
      <c r="A290" s="414"/>
      <c r="B290" s="440" t="s">
        <v>4754</v>
      </c>
      <c r="C290" s="440" t="s">
        <v>2531</v>
      </c>
      <c r="D290" s="440"/>
      <c r="E290" s="440" t="s">
        <v>4755</v>
      </c>
      <c r="F290" s="440" t="s">
        <v>2498</v>
      </c>
      <c r="G290" s="441"/>
      <c r="H290" s="440" t="s">
        <v>4756</v>
      </c>
      <c r="I290" s="441" t="s">
        <v>4757</v>
      </c>
      <c r="J290" s="450">
        <v>45689</v>
      </c>
      <c r="K290" s="429" t="s">
        <v>2493</v>
      </c>
      <c r="L290" s="444" t="s">
        <v>2501</v>
      </c>
      <c r="M290" s="444" t="s">
        <v>2501</v>
      </c>
      <c r="N290" s="441"/>
      <c r="O290" s="445"/>
      <c r="P290" s="441">
        <v>113</v>
      </c>
      <c r="Q290" s="445">
        <v>90</v>
      </c>
      <c r="R290" s="445" t="s">
        <v>4758</v>
      </c>
      <c r="S290" s="446">
        <v>45785</v>
      </c>
      <c r="T290" s="446">
        <v>45692</v>
      </c>
      <c r="U290" s="446">
        <v>45700</v>
      </c>
      <c r="V290" s="447"/>
      <c r="W290" s="447"/>
      <c r="X290" s="447" t="s">
        <v>8044</v>
      </c>
      <c r="Y290" s="420"/>
      <c r="Z290" s="224" t="str">
        <f t="shared" si="24"/>
        <v>AG. MEDIÇÃO</v>
      </c>
      <c r="AA290" s="207" t="str">
        <f t="shared" si="25"/>
        <v>ENTREGUE</v>
      </c>
      <c r="AB290" s="207" t="str">
        <f t="shared" si="26"/>
        <v>AG. MEDIÇÃO</v>
      </c>
      <c r="AC290" s="156">
        <f t="shared" ca="1" si="27"/>
        <v>421</v>
      </c>
      <c r="AD290" s="156" t="str">
        <f t="shared" ca="1" si="28"/>
        <v>ATRASADO</v>
      </c>
      <c r="AE290" s="156">
        <f t="shared" ca="1" si="29"/>
        <v>418</v>
      </c>
    </row>
    <row r="291" spans="1:31" ht="36" hidden="1" customHeight="1">
      <c r="A291" s="414"/>
      <c r="B291" s="440" t="s">
        <v>5657</v>
      </c>
      <c r="C291" s="461" t="s">
        <v>2488</v>
      </c>
      <c r="D291" s="461"/>
      <c r="E291" s="461"/>
      <c r="F291" s="461" t="s">
        <v>2490</v>
      </c>
      <c r="G291" s="441"/>
      <c r="H291" s="440" t="s">
        <v>5658</v>
      </c>
      <c r="I291" s="441" t="s">
        <v>5659</v>
      </c>
      <c r="J291" s="450">
        <v>45870</v>
      </c>
      <c r="K291" s="429" t="s">
        <v>2493</v>
      </c>
      <c r="L291" s="444"/>
      <c r="M291" s="444" t="s">
        <v>5255</v>
      </c>
      <c r="N291" s="441"/>
      <c r="O291" s="445"/>
      <c r="P291" s="441" t="s">
        <v>2494</v>
      </c>
      <c r="Q291" s="441" t="s">
        <v>2494</v>
      </c>
      <c r="R291" s="445" t="s">
        <v>7010</v>
      </c>
      <c r="S291" s="446"/>
      <c r="T291" s="446">
        <v>45880</v>
      </c>
      <c r="U291" s="446"/>
      <c r="V291" s="447"/>
      <c r="W291" s="447">
        <v>45909</v>
      </c>
      <c r="X291" s="447"/>
      <c r="Y291" s="420"/>
      <c r="Z291" s="224" t="str">
        <f t="shared" si="24"/>
        <v>AG. RELATÓRIO</v>
      </c>
      <c r="AA291" s="207" t="str">
        <f t="shared" si="25"/>
        <v>PENDENTE</v>
      </c>
      <c r="AB291" s="207" t="str">
        <f t="shared" si="26"/>
        <v>AG. RELATÓRIO</v>
      </c>
      <c r="AC291" s="156">
        <f t="shared" ca="1" si="27"/>
        <v>21</v>
      </c>
      <c r="AD291" s="156" t="str">
        <f t="shared" ca="1" si="28"/>
        <v>ATRASADO</v>
      </c>
      <c r="AE291" s="156">
        <f t="shared" ca="1" si="29"/>
        <v>18</v>
      </c>
    </row>
    <row r="292" spans="1:31" ht="36" hidden="1" customHeight="1">
      <c r="A292" s="414"/>
      <c r="B292" s="440" t="s">
        <v>3994</v>
      </c>
      <c r="C292" s="440" t="s">
        <v>571</v>
      </c>
      <c r="D292" s="440" t="s">
        <v>3995</v>
      </c>
      <c r="E292" s="440" t="s">
        <v>572</v>
      </c>
      <c r="F292" s="440" t="s">
        <v>42</v>
      </c>
      <c r="G292" s="441" t="s">
        <v>3996</v>
      </c>
      <c r="H292" s="440" t="s">
        <v>3997</v>
      </c>
      <c r="I292" s="441" t="s">
        <v>3998</v>
      </c>
      <c r="J292" s="450">
        <v>45474</v>
      </c>
      <c r="K292" s="429" t="s">
        <v>2493</v>
      </c>
      <c r="L292" s="444"/>
      <c r="M292" s="444" t="s">
        <v>51</v>
      </c>
      <c r="N292" s="441" t="s">
        <v>2572</v>
      </c>
      <c r="O292" s="445" t="s">
        <v>85</v>
      </c>
      <c r="P292" s="441" t="s">
        <v>2494</v>
      </c>
      <c r="Q292" s="441" t="s">
        <v>2494</v>
      </c>
      <c r="R292" s="445" t="s">
        <v>3999</v>
      </c>
      <c r="S292" s="446">
        <v>45497</v>
      </c>
      <c r="T292" s="446">
        <v>45484</v>
      </c>
      <c r="U292" s="446">
        <v>45484</v>
      </c>
      <c r="V292" s="447">
        <v>45484</v>
      </c>
      <c r="W292" s="447">
        <v>45484</v>
      </c>
      <c r="X292" s="447" t="s">
        <v>8044</v>
      </c>
      <c r="Y292" s="420"/>
      <c r="Z292" s="224" t="str">
        <f t="shared" si="24"/>
        <v>AG. MEDIÇÃO</v>
      </c>
      <c r="AA292" s="207" t="str">
        <f t="shared" si="25"/>
        <v>ENTREGUE</v>
      </c>
      <c r="AB292" s="207" t="str">
        <f t="shared" si="26"/>
        <v>AG. MEDIÇÃO</v>
      </c>
      <c r="AC292" s="156">
        <f t="shared" ca="1" si="27"/>
        <v>0</v>
      </c>
      <c r="AD292" s="156" t="str">
        <f t="shared" ca="1" si="28"/>
        <v>NO PRAZO</v>
      </c>
      <c r="AE292" s="156">
        <f t="shared" ca="1" si="29"/>
        <v>-3</v>
      </c>
    </row>
    <row r="293" spans="1:31" ht="36" hidden="1" customHeight="1">
      <c r="A293" s="414"/>
      <c r="B293" s="440" t="s">
        <v>4456</v>
      </c>
      <c r="C293" s="440" t="s">
        <v>571</v>
      </c>
      <c r="D293" s="440" t="s">
        <v>3995</v>
      </c>
      <c r="E293" s="440" t="s">
        <v>572</v>
      </c>
      <c r="F293" s="440" t="s">
        <v>42</v>
      </c>
      <c r="G293" s="441" t="s">
        <v>4457</v>
      </c>
      <c r="H293" s="440" t="s">
        <v>4458</v>
      </c>
      <c r="I293" s="441" t="s">
        <v>4459</v>
      </c>
      <c r="J293" s="450">
        <v>45536</v>
      </c>
      <c r="K293" s="429" t="s">
        <v>2493</v>
      </c>
      <c r="L293" s="444"/>
      <c r="M293" s="444" t="s">
        <v>132</v>
      </c>
      <c r="N293" s="441" t="s">
        <v>2572</v>
      </c>
      <c r="O293" s="445" t="s">
        <v>85</v>
      </c>
      <c r="P293" s="441" t="s">
        <v>2494</v>
      </c>
      <c r="Q293" s="441" t="s">
        <v>2494</v>
      </c>
      <c r="R293" s="445" t="s">
        <v>4460</v>
      </c>
      <c r="S293" s="446">
        <v>45555</v>
      </c>
      <c r="T293" s="446">
        <v>45552</v>
      </c>
      <c r="U293" s="446">
        <v>45553</v>
      </c>
      <c r="V293" s="447">
        <v>45558</v>
      </c>
      <c r="W293" s="447">
        <v>45553</v>
      </c>
      <c r="X293" s="447" t="s">
        <v>8044</v>
      </c>
      <c r="Y293" s="420"/>
      <c r="Z293" s="224" t="str">
        <f t="shared" si="24"/>
        <v>AG. MEDIÇÃO</v>
      </c>
      <c r="AA293" s="207" t="str">
        <f t="shared" si="25"/>
        <v>ENTREGUE</v>
      </c>
      <c r="AB293" s="207" t="str">
        <f t="shared" si="26"/>
        <v>AG. MEDIÇÃO</v>
      </c>
      <c r="AC293" s="156">
        <f t="shared" ca="1" si="27"/>
        <v>1</v>
      </c>
      <c r="AD293" s="156" t="str">
        <f t="shared" ca="1" si="28"/>
        <v>NO PRAZO</v>
      </c>
      <c r="AE293" s="156">
        <f t="shared" ca="1" si="29"/>
        <v>-2</v>
      </c>
    </row>
    <row r="294" spans="1:31" ht="36" hidden="1" customHeight="1">
      <c r="A294" s="414"/>
      <c r="B294" s="440" t="s">
        <v>4774</v>
      </c>
      <c r="C294" s="440" t="s">
        <v>410</v>
      </c>
      <c r="D294" s="440"/>
      <c r="E294" s="440" t="s">
        <v>411</v>
      </c>
      <c r="F294" s="440" t="s">
        <v>42</v>
      </c>
      <c r="G294" s="441" t="s">
        <v>4775</v>
      </c>
      <c r="H294" s="440" t="s">
        <v>4776</v>
      </c>
      <c r="I294" s="441" t="s">
        <v>4777</v>
      </c>
      <c r="J294" s="450">
        <v>45689</v>
      </c>
      <c r="K294" s="429" t="s">
        <v>2493</v>
      </c>
      <c r="L294" s="444"/>
      <c r="M294" s="444" t="s">
        <v>200</v>
      </c>
      <c r="N294" s="441"/>
      <c r="O294" s="445"/>
      <c r="P294" s="441" t="s">
        <v>2494</v>
      </c>
      <c r="Q294" s="445" t="s">
        <v>2494</v>
      </c>
      <c r="R294" s="445" t="s">
        <v>4778</v>
      </c>
      <c r="S294" s="446">
        <v>45734</v>
      </c>
      <c r="T294" s="446">
        <v>45694</v>
      </c>
      <c r="U294" s="446">
        <v>45701</v>
      </c>
      <c r="V294" s="447">
        <v>45706</v>
      </c>
      <c r="W294" s="447">
        <v>45706</v>
      </c>
      <c r="X294" s="447" t="s">
        <v>8044</v>
      </c>
      <c r="Y294" s="420"/>
      <c r="Z294" s="224" t="str">
        <f t="shared" si="24"/>
        <v>AG. MEDIÇÃO</v>
      </c>
      <c r="AA294" s="207" t="str">
        <f t="shared" si="25"/>
        <v>ENTREGUE</v>
      </c>
      <c r="AB294" s="207" t="str">
        <f t="shared" si="26"/>
        <v>AG. MEDIÇÃO</v>
      </c>
      <c r="AC294" s="156">
        <f t="shared" ca="1" si="27"/>
        <v>8</v>
      </c>
      <c r="AD294" s="156" t="str">
        <f t="shared" ca="1" si="28"/>
        <v>ATRASADO</v>
      </c>
      <c r="AE294" s="156">
        <f t="shared" ca="1" si="29"/>
        <v>5</v>
      </c>
    </row>
    <row r="295" spans="1:31" ht="36" hidden="1" customHeight="1">
      <c r="A295" s="414"/>
      <c r="B295" s="440" t="s">
        <v>2568</v>
      </c>
      <c r="C295" s="440" t="s">
        <v>2569</v>
      </c>
      <c r="D295" s="440"/>
      <c r="E295" s="440"/>
      <c r="F295" s="440" t="s">
        <v>42</v>
      </c>
      <c r="G295" s="441" t="s">
        <v>2570</v>
      </c>
      <c r="H295" s="440" t="s">
        <v>2571</v>
      </c>
      <c r="I295" s="442"/>
      <c r="J295" s="443">
        <v>44927</v>
      </c>
      <c r="K295" s="429" t="s">
        <v>2493</v>
      </c>
      <c r="L295" s="444"/>
      <c r="M295" s="444" t="s">
        <v>1155</v>
      </c>
      <c r="N295" s="441" t="s">
        <v>2572</v>
      </c>
      <c r="O295" s="445" t="s">
        <v>2573</v>
      </c>
      <c r="P295" s="441" t="s">
        <v>2494</v>
      </c>
      <c r="Q295" s="441" t="s">
        <v>2494</v>
      </c>
      <c r="R295" s="444" t="s">
        <v>2574</v>
      </c>
      <c r="S295" s="446" t="s">
        <v>288</v>
      </c>
      <c r="T295" s="446">
        <v>44928</v>
      </c>
      <c r="U295" s="446">
        <v>44928</v>
      </c>
      <c r="V295" s="447">
        <v>44942</v>
      </c>
      <c r="W295" s="447">
        <v>44942</v>
      </c>
      <c r="X295" s="447" t="s">
        <v>8044</v>
      </c>
      <c r="Y295" s="420"/>
      <c r="Z295" s="224" t="str">
        <f t="shared" si="24"/>
        <v>AG. MEDIÇÃO</v>
      </c>
      <c r="AA295" s="207" t="str">
        <f t="shared" si="25"/>
        <v>ENTREGUE</v>
      </c>
      <c r="AB295" s="207" t="str">
        <f t="shared" si="26"/>
        <v>AG. MEDIÇÃO</v>
      </c>
      <c r="AC295" s="156">
        <f t="shared" ca="1" si="27"/>
        <v>10</v>
      </c>
      <c r="AD295" s="156" t="str">
        <f t="shared" ca="1" si="28"/>
        <v>ATRASADO</v>
      </c>
      <c r="AE295" s="156">
        <f t="shared" ca="1" si="29"/>
        <v>7</v>
      </c>
    </row>
    <row r="296" spans="1:31" ht="36" hidden="1" customHeight="1">
      <c r="A296" s="414"/>
      <c r="B296" s="440" t="s">
        <v>4024</v>
      </c>
      <c r="C296" s="440" t="s">
        <v>606</v>
      </c>
      <c r="D296" s="440" t="s">
        <v>4025</v>
      </c>
      <c r="E296" s="440" t="s">
        <v>607</v>
      </c>
      <c r="F296" s="440" t="s">
        <v>42</v>
      </c>
      <c r="G296" s="441" t="s">
        <v>4026</v>
      </c>
      <c r="H296" s="440" t="s">
        <v>4027</v>
      </c>
      <c r="I296" s="441" t="s">
        <v>4028</v>
      </c>
      <c r="J296" s="450">
        <v>45474</v>
      </c>
      <c r="K296" s="429" t="s">
        <v>2493</v>
      </c>
      <c r="L296" s="444" t="s">
        <v>1208</v>
      </c>
      <c r="M296" s="444" t="s">
        <v>132</v>
      </c>
      <c r="N296" s="441" t="s">
        <v>2572</v>
      </c>
      <c r="O296" s="445" t="s">
        <v>85</v>
      </c>
      <c r="P296" s="445"/>
      <c r="Q296" s="445">
        <v>210</v>
      </c>
      <c r="R296" s="445" t="s">
        <v>4029</v>
      </c>
      <c r="S296" s="446">
        <v>45497</v>
      </c>
      <c r="T296" s="446">
        <v>45489</v>
      </c>
      <c r="U296" s="446">
        <v>45491</v>
      </c>
      <c r="V296" s="447">
        <v>45491</v>
      </c>
      <c r="W296" s="447">
        <v>45491</v>
      </c>
      <c r="X296" s="447" t="s">
        <v>8044</v>
      </c>
      <c r="Y296" s="420"/>
      <c r="Z296" s="224" t="str">
        <f t="shared" si="24"/>
        <v>AG. MEDIÇÃO</v>
      </c>
      <c r="AA296" s="207" t="str">
        <f t="shared" si="25"/>
        <v>ENTREGUE</v>
      </c>
      <c r="AB296" s="207" t="str">
        <f t="shared" si="26"/>
        <v>AG. MEDIÇÃO</v>
      </c>
      <c r="AC296" s="156">
        <f t="shared" ca="1" si="27"/>
        <v>2</v>
      </c>
      <c r="AD296" s="156" t="str">
        <f t="shared" ca="1" si="28"/>
        <v>NO PRAZO</v>
      </c>
      <c r="AE296" s="156">
        <f t="shared" ca="1" si="29"/>
        <v>-1</v>
      </c>
    </row>
    <row r="297" spans="1:31" ht="36" hidden="1" customHeight="1">
      <c r="A297" s="414"/>
      <c r="B297" s="440" t="s">
        <v>3567</v>
      </c>
      <c r="C297" s="440" t="s">
        <v>353</v>
      </c>
      <c r="D297" s="440"/>
      <c r="E297" s="440"/>
      <c r="F297" s="440" t="s">
        <v>42</v>
      </c>
      <c r="G297" s="441" t="s">
        <v>3568</v>
      </c>
      <c r="H297" s="440" t="s">
        <v>3569</v>
      </c>
      <c r="I297" s="441" t="s">
        <v>3570</v>
      </c>
      <c r="J297" s="450">
        <v>45383</v>
      </c>
      <c r="K297" s="429" t="s">
        <v>2493</v>
      </c>
      <c r="L297" s="444" t="s">
        <v>1130</v>
      </c>
      <c r="M297" s="444" t="s">
        <v>51</v>
      </c>
      <c r="N297" s="441" t="s">
        <v>2572</v>
      </c>
      <c r="O297" s="445" t="s">
        <v>85</v>
      </c>
      <c r="P297" s="445"/>
      <c r="Q297" s="441">
        <v>721</v>
      </c>
      <c r="R297" s="445" t="s">
        <v>3571</v>
      </c>
      <c r="S297" s="446">
        <v>45405</v>
      </c>
      <c r="T297" s="446">
        <v>45384</v>
      </c>
      <c r="U297" s="446">
        <v>45385</v>
      </c>
      <c r="V297" s="446">
        <v>45386</v>
      </c>
      <c r="W297" s="447">
        <v>45386</v>
      </c>
      <c r="X297" s="447" t="s">
        <v>8044</v>
      </c>
      <c r="Y297" s="420"/>
      <c r="Z297" s="224" t="str">
        <f t="shared" si="24"/>
        <v>AG. MEDIÇÃO</v>
      </c>
      <c r="AA297" s="207" t="str">
        <f t="shared" si="25"/>
        <v>ENTREGUE</v>
      </c>
      <c r="AB297" s="207" t="str">
        <f t="shared" si="26"/>
        <v>AG. MEDIÇÃO</v>
      </c>
      <c r="AC297" s="156">
        <f t="shared" ca="1" si="27"/>
        <v>2</v>
      </c>
      <c r="AD297" s="156" t="str">
        <f t="shared" ca="1" si="28"/>
        <v>NO PRAZO</v>
      </c>
      <c r="AE297" s="156">
        <f t="shared" ca="1" si="29"/>
        <v>-1</v>
      </c>
    </row>
    <row r="298" spans="1:31" ht="36" hidden="1" customHeight="1">
      <c r="A298" s="414"/>
      <c r="B298" s="466" t="s">
        <v>2517</v>
      </c>
      <c r="C298" s="466" t="s">
        <v>293</v>
      </c>
      <c r="D298" s="466" t="s">
        <v>2255</v>
      </c>
      <c r="E298" s="466" t="s">
        <v>842</v>
      </c>
      <c r="F298" s="466" t="s">
        <v>42</v>
      </c>
      <c r="G298" s="475"/>
      <c r="H298" s="645" t="s">
        <v>2518</v>
      </c>
      <c r="I298" s="475" t="s">
        <v>2519</v>
      </c>
      <c r="J298" s="476">
        <v>45986</v>
      </c>
      <c r="K298" s="429" t="s">
        <v>2493</v>
      </c>
      <c r="L298" s="477"/>
      <c r="M298" s="477" t="s">
        <v>200</v>
      </c>
      <c r="N298" s="475"/>
      <c r="O298" s="479"/>
      <c r="P298" s="475" t="s">
        <v>2494</v>
      </c>
      <c r="Q298" s="475" t="s">
        <v>2494</v>
      </c>
      <c r="R298" s="479" t="s">
        <v>2520</v>
      </c>
      <c r="S298" s="480">
        <v>46058</v>
      </c>
      <c r="T298" s="480"/>
      <c r="U298" s="480"/>
      <c r="V298" s="481"/>
      <c r="W298" s="481">
        <v>45980</v>
      </c>
      <c r="X298" s="481">
        <v>46058</v>
      </c>
      <c r="Y298" s="420"/>
      <c r="Z298" s="224" t="str">
        <f t="shared" si="24"/>
        <v>AG. MEDIÇÃO</v>
      </c>
      <c r="AA298" s="207" t="str">
        <f t="shared" si="25"/>
        <v>ENTREGUE</v>
      </c>
      <c r="AB298" s="207" t="str">
        <f t="shared" si="26"/>
        <v>AG. MEDIÇÃO</v>
      </c>
      <c r="AC298" s="156" t="str">
        <f t="shared" ca="1" si="27"/>
        <v>DATA ENTRADA</v>
      </c>
      <c r="AD298" s="156" t="str">
        <f t="shared" ca="1" si="28"/>
        <v>ATRASADO</v>
      </c>
      <c r="AE298" s="156" t="str">
        <f t="shared" ca="1" si="29"/>
        <v>DATA ENTRADA</v>
      </c>
    </row>
    <row r="299" spans="1:31" ht="36" hidden="1" customHeight="1">
      <c r="A299" s="414"/>
      <c r="B299" s="440" t="s">
        <v>2648</v>
      </c>
      <c r="C299" s="440" t="s">
        <v>293</v>
      </c>
      <c r="D299" s="440"/>
      <c r="E299" s="440"/>
      <c r="F299" s="440" t="s">
        <v>42</v>
      </c>
      <c r="G299" s="441" t="s">
        <v>2649</v>
      </c>
      <c r="H299" s="440" t="s">
        <v>2650</v>
      </c>
      <c r="I299" s="449"/>
      <c r="J299" s="443">
        <v>44986</v>
      </c>
      <c r="K299" s="429" t="s">
        <v>2493</v>
      </c>
      <c r="L299" s="444"/>
      <c r="M299" s="444" t="s">
        <v>826</v>
      </c>
      <c r="N299" s="441" t="s">
        <v>2572</v>
      </c>
      <c r="O299" s="441"/>
      <c r="P299" s="441" t="s">
        <v>2494</v>
      </c>
      <c r="Q299" s="441" t="s">
        <v>2494</v>
      </c>
      <c r="R299" s="445" t="s">
        <v>2651</v>
      </c>
      <c r="S299" s="447">
        <v>45096</v>
      </c>
      <c r="T299" s="446">
        <v>45000</v>
      </c>
      <c r="U299" s="446">
        <v>45001</v>
      </c>
      <c r="V299" s="446">
        <v>45012</v>
      </c>
      <c r="W299" s="446">
        <v>45012</v>
      </c>
      <c r="X299" s="447" t="s">
        <v>8044</v>
      </c>
      <c r="Y299" s="420"/>
      <c r="Z299" s="224" t="str">
        <f t="shared" si="24"/>
        <v>AG. MEDIÇÃO</v>
      </c>
      <c r="AA299" s="207" t="str">
        <f t="shared" si="25"/>
        <v>ENTREGUE</v>
      </c>
      <c r="AB299" s="207" t="str">
        <f t="shared" si="26"/>
        <v>AG. MEDIÇÃO</v>
      </c>
      <c r="AC299" s="156">
        <f t="shared" ca="1" si="27"/>
        <v>8</v>
      </c>
      <c r="AD299" s="156" t="str">
        <f t="shared" ca="1" si="28"/>
        <v>ATRASADO</v>
      </c>
      <c r="AE299" s="156">
        <f t="shared" ca="1" si="29"/>
        <v>5</v>
      </c>
    </row>
    <row r="300" spans="1:31" ht="36" hidden="1" customHeight="1">
      <c r="A300" s="414"/>
      <c r="B300" s="440" t="s">
        <v>2652</v>
      </c>
      <c r="C300" s="440" t="s">
        <v>2653</v>
      </c>
      <c r="D300" s="440"/>
      <c r="E300" s="440"/>
      <c r="F300" s="440" t="s">
        <v>42</v>
      </c>
      <c r="G300" s="441" t="s">
        <v>2654</v>
      </c>
      <c r="H300" s="440" t="s">
        <v>2655</v>
      </c>
      <c r="I300" s="449"/>
      <c r="J300" s="443">
        <v>44986</v>
      </c>
      <c r="K300" s="429" t="s">
        <v>2493</v>
      </c>
      <c r="L300" s="447" t="s">
        <v>655</v>
      </c>
      <c r="M300" s="444" t="s">
        <v>2656</v>
      </c>
      <c r="N300" s="441" t="s">
        <v>2572</v>
      </c>
      <c r="O300" s="441"/>
      <c r="P300" s="441" t="s">
        <v>2494</v>
      </c>
      <c r="Q300" s="441" t="s">
        <v>2494</v>
      </c>
      <c r="R300" s="445" t="s">
        <v>2657</v>
      </c>
      <c r="S300" s="446">
        <v>45066</v>
      </c>
      <c r="T300" s="446">
        <v>45000</v>
      </c>
      <c r="U300" s="446">
        <v>45001</v>
      </c>
      <c r="V300" s="446">
        <v>45005</v>
      </c>
      <c r="W300" s="446">
        <v>45005</v>
      </c>
      <c r="X300" s="447" t="s">
        <v>8044</v>
      </c>
      <c r="Y300" s="420"/>
      <c r="Z300" s="224" t="str">
        <f t="shared" si="24"/>
        <v>AG. MEDIÇÃO</v>
      </c>
      <c r="AA300" s="207" t="str">
        <f t="shared" si="25"/>
        <v>ENTREGUE</v>
      </c>
      <c r="AB300" s="207" t="str">
        <f t="shared" si="26"/>
        <v>AG. MEDIÇÃO</v>
      </c>
      <c r="AC300" s="156">
        <f t="shared" ca="1" si="27"/>
        <v>3</v>
      </c>
      <c r="AD300" s="156" t="str">
        <f t="shared" ca="1" si="28"/>
        <v>NO PRAZO</v>
      </c>
      <c r="AE300" s="156">
        <f t="shared" ca="1" si="29"/>
        <v>0</v>
      </c>
    </row>
    <row r="301" spans="1:31" ht="36" hidden="1" customHeight="1">
      <c r="A301" s="414"/>
      <c r="B301" s="440" t="s">
        <v>2658</v>
      </c>
      <c r="C301" s="440" t="s">
        <v>2653</v>
      </c>
      <c r="D301" s="440"/>
      <c r="E301" s="440"/>
      <c r="F301" s="440" t="s">
        <v>42</v>
      </c>
      <c r="G301" s="441" t="s">
        <v>2654</v>
      </c>
      <c r="H301" s="440" t="s">
        <v>2659</v>
      </c>
      <c r="I301" s="449"/>
      <c r="J301" s="443">
        <v>44986</v>
      </c>
      <c r="K301" s="429" t="s">
        <v>2493</v>
      </c>
      <c r="L301" s="447" t="s">
        <v>655</v>
      </c>
      <c r="M301" s="444" t="s">
        <v>2656</v>
      </c>
      <c r="N301" s="441" t="s">
        <v>2572</v>
      </c>
      <c r="O301" s="441"/>
      <c r="P301" s="441"/>
      <c r="Q301" s="441">
        <v>1900</v>
      </c>
      <c r="R301" s="445" t="s">
        <v>2660</v>
      </c>
      <c r="S301" s="446">
        <v>45066</v>
      </c>
      <c r="T301" s="446">
        <v>45000</v>
      </c>
      <c r="U301" s="446">
        <v>45001</v>
      </c>
      <c r="V301" s="446">
        <v>45005</v>
      </c>
      <c r="W301" s="446">
        <v>45005</v>
      </c>
      <c r="X301" s="447" t="s">
        <v>8044</v>
      </c>
      <c r="Y301" s="420"/>
      <c r="Z301" s="224" t="str">
        <f t="shared" si="24"/>
        <v>AG. MEDIÇÃO</v>
      </c>
      <c r="AA301" s="207" t="str">
        <f t="shared" si="25"/>
        <v>ENTREGUE</v>
      </c>
      <c r="AB301" s="207" t="str">
        <f t="shared" si="26"/>
        <v>AG. MEDIÇÃO</v>
      </c>
      <c r="AC301" s="156">
        <f t="shared" ca="1" si="27"/>
        <v>3</v>
      </c>
      <c r="AD301" s="156" t="str">
        <f t="shared" ca="1" si="28"/>
        <v>NO PRAZO</v>
      </c>
      <c r="AE301" s="156">
        <f t="shared" ca="1" si="29"/>
        <v>0</v>
      </c>
    </row>
    <row r="302" spans="1:31" ht="36" hidden="1" customHeight="1">
      <c r="A302" s="414"/>
      <c r="B302" s="440" t="s">
        <v>2661</v>
      </c>
      <c r="C302" s="440" t="s">
        <v>2653</v>
      </c>
      <c r="D302" s="440"/>
      <c r="E302" s="440"/>
      <c r="F302" s="440" t="s">
        <v>42</v>
      </c>
      <c r="G302" s="441" t="s">
        <v>2654</v>
      </c>
      <c r="H302" s="440" t="s">
        <v>2662</v>
      </c>
      <c r="I302" s="449"/>
      <c r="J302" s="443">
        <v>44986</v>
      </c>
      <c r="K302" s="429" t="s">
        <v>2493</v>
      </c>
      <c r="L302" s="447" t="s">
        <v>655</v>
      </c>
      <c r="M302" s="444" t="s">
        <v>2656</v>
      </c>
      <c r="N302" s="441" t="s">
        <v>2572</v>
      </c>
      <c r="O302" s="441"/>
      <c r="P302" s="441"/>
      <c r="Q302" s="441">
        <v>250</v>
      </c>
      <c r="R302" s="445" t="s">
        <v>2663</v>
      </c>
      <c r="S302" s="446">
        <v>45066</v>
      </c>
      <c r="T302" s="446">
        <v>45000</v>
      </c>
      <c r="U302" s="446">
        <v>45001</v>
      </c>
      <c r="V302" s="446">
        <v>45005</v>
      </c>
      <c r="W302" s="446">
        <v>45005</v>
      </c>
      <c r="X302" s="447" t="s">
        <v>8044</v>
      </c>
      <c r="Y302" s="420"/>
      <c r="Z302" s="224" t="str">
        <f t="shared" si="24"/>
        <v>AG. MEDIÇÃO</v>
      </c>
      <c r="AA302" s="207" t="str">
        <f t="shared" si="25"/>
        <v>ENTREGUE</v>
      </c>
      <c r="AB302" s="207" t="str">
        <f t="shared" si="26"/>
        <v>AG. MEDIÇÃO</v>
      </c>
      <c r="AC302" s="156">
        <f t="shared" ca="1" si="27"/>
        <v>3</v>
      </c>
      <c r="AD302" s="156" t="str">
        <f t="shared" ca="1" si="28"/>
        <v>NO PRAZO</v>
      </c>
      <c r="AE302" s="156">
        <f t="shared" ca="1" si="29"/>
        <v>0</v>
      </c>
    </row>
    <row r="303" spans="1:31" ht="36" hidden="1" customHeight="1">
      <c r="A303" s="414"/>
      <c r="B303" s="440" t="s">
        <v>2810</v>
      </c>
      <c r="C303" s="440" t="s">
        <v>79</v>
      </c>
      <c r="D303" s="440"/>
      <c r="E303" s="440"/>
      <c r="F303" s="440" t="s">
        <v>42</v>
      </c>
      <c r="G303" s="441" t="s">
        <v>2811</v>
      </c>
      <c r="H303" s="440" t="s">
        <v>2812</v>
      </c>
      <c r="I303" s="449"/>
      <c r="J303" s="443">
        <v>45017</v>
      </c>
      <c r="K303" s="429" t="s">
        <v>2493</v>
      </c>
      <c r="L303" s="444"/>
      <c r="M303" s="444"/>
      <c r="N303" s="441" t="s">
        <v>2572</v>
      </c>
      <c r="O303" s="445"/>
      <c r="P303" s="445"/>
      <c r="Q303" s="441">
        <v>200</v>
      </c>
      <c r="R303" s="445" t="s">
        <v>2813</v>
      </c>
      <c r="S303" s="446">
        <v>45118</v>
      </c>
      <c r="T303" s="446">
        <v>45020</v>
      </c>
      <c r="U303" s="446">
        <v>45021</v>
      </c>
      <c r="V303" s="446">
        <v>45034</v>
      </c>
      <c r="W303" s="447">
        <v>45034</v>
      </c>
      <c r="X303" s="447" t="s">
        <v>8044</v>
      </c>
      <c r="Y303" s="420"/>
      <c r="Z303" s="224" t="str">
        <f t="shared" si="24"/>
        <v>AG. MEDIÇÃO</v>
      </c>
      <c r="AA303" s="207" t="str">
        <f t="shared" si="25"/>
        <v>ENTREGUE</v>
      </c>
      <c r="AB303" s="207" t="str">
        <f t="shared" si="26"/>
        <v>AG. MEDIÇÃO</v>
      </c>
      <c r="AC303" s="156">
        <f t="shared" ca="1" si="27"/>
        <v>10</v>
      </c>
      <c r="AD303" s="156" t="str">
        <f t="shared" ca="1" si="28"/>
        <v>ATRASADO</v>
      </c>
      <c r="AE303" s="156">
        <f t="shared" ca="1" si="29"/>
        <v>7</v>
      </c>
    </row>
    <row r="304" spans="1:31" ht="36" hidden="1" customHeight="1">
      <c r="A304" s="414"/>
      <c r="B304" s="440" t="s">
        <v>2664</v>
      </c>
      <c r="C304" s="440" t="s">
        <v>479</v>
      </c>
      <c r="D304" s="440"/>
      <c r="E304" s="440"/>
      <c r="F304" s="440" t="s">
        <v>42</v>
      </c>
      <c r="G304" s="441" t="s">
        <v>2665</v>
      </c>
      <c r="H304" s="440" t="s">
        <v>2666</v>
      </c>
      <c r="I304" s="449"/>
      <c r="J304" s="443">
        <v>44986</v>
      </c>
      <c r="K304" s="429" t="s">
        <v>2493</v>
      </c>
      <c r="L304" s="444"/>
      <c r="M304" s="447" t="s">
        <v>714</v>
      </c>
      <c r="N304" s="441" t="s">
        <v>2572</v>
      </c>
      <c r="O304" s="441"/>
      <c r="P304" s="441" t="s">
        <v>2494</v>
      </c>
      <c r="Q304" s="441" t="s">
        <v>2494</v>
      </c>
      <c r="R304" s="445" t="s">
        <v>2574</v>
      </c>
      <c r="S304" s="446">
        <v>45066</v>
      </c>
      <c r="T304" s="446">
        <v>44974</v>
      </c>
      <c r="U304" s="446">
        <v>44995</v>
      </c>
      <c r="V304" s="447">
        <v>44999</v>
      </c>
      <c r="W304" s="447">
        <v>44999</v>
      </c>
      <c r="X304" s="447" t="s">
        <v>8044</v>
      </c>
      <c r="Y304" s="420"/>
      <c r="Z304" s="224" t="str">
        <f t="shared" si="24"/>
        <v>AG. MEDIÇÃO</v>
      </c>
      <c r="AA304" s="207" t="str">
        <f t="shared" si="25"/>
        <v>ENTREGUE</v>
      </c>
      <c r="AB304" s="207" t="str">
        <f t="shared" si="26"/>
        <v>AG. MEDIÇÃO</v>
      </c>
      <c r="AC304" s="156">
        <f t="shared" ca="1" si="27"/>
        <v>17</v>
      </c>
      <c r="AD304" s="156" t="str">
        <f t="shared" ca="1" si="28"/>
        <v>ATRASADO</v>
      </c>
      <c r="AE304" s="156">
        <f t="shared" ca="1" si="29"/>
        <v>14</v>
      </c>
    </row>
    <row r="305" spans="1:31" ht="36" hidden="1" customHeight="1">
      <c r="A305" s="414"/>
      <c r="B305" s="440" t="s">
        <v>2667</v>
      </c>
      <c r="C305" s="440" t="s">
        <v>425</v>
      </c>
      <c r="D305" s="440"/>
      <c r="E305" s="440"/>
      <c r="F305" s="440" t="s">
        <v>427</v>
      </c>
      <c r="G305" s="441" t="s">
        <v>2668</v>
      </c>
      <c r="H305" s="440" t="s">
        <v>2669</v>
      </c>
      <c r="I305" s="449"/>
      <c r="J305" s="443">
        <v>44986</v>
      </c>
      <c r="K305" s="429" t="s">
        <v>2493</v>
      </c>
      <c r="L305" s="444" t="s">
        <v>51</v>
      </c>
      <c r="M305" s="444" t="s">
        <v>634</v>
      </c>
      <c r="N305" s="441" t="s">
        <v>2572</v>
      </c>
      <c r="O305" s="441"/>
      <c r="P305" s="441"/>
      <c r="Q305" s="441">
        <v>250</v>
      </c>
      <c r="R305" s="445" t="s">
        <v>2670</v>
      </c>
      <c r="S305" s="447">
        <v>45082</v>
      </c>
      <c r="T305" s="446">
        <v>45001</v>
      </c>
      <c r="U305" s="446">
        <v>45001</v>
      </c>
      <c r="V305" s="446">
        <v>45012</v>
      </c>
      <c r="W305" s="446">
        <v>45012</v>
      </c>
      <c r="X305" s="447" t="s">
        <v>8044</v>
      </c>
      <c r="Y305" s="420"/>
      <c r="Z305" s="224" t="str">
        <f t="shared" si="24"/>
        <v>AG. MEDIÇÃO</v>
      </c>
      <c r="AA305" s="207" t="str">
        <f t="shared" si="25"/>
        <v>ENTREGUE</v>
      </c>
      <c r="AB305" s="207" t="str">
        <f t="shared" si="26"/>
        <v>AG. MEDIÇÃO</v>
      </c>
      <c r="AC305" s="156">
        <f t="shared" ca="1" si="27"/>
        <v>7</v>
      </c>
      <c r="AD305" s="156" t="str">
        <f t="shared" ca="1" si="28"/>
        <v>ATRASADO</v>
      </c>
      <c r="AE305" s="156">
        <f t="shared" ca="1" si="29"/>
        <v>4</v>
      </c>
    </row>
    <row r="306" spans="1:31" ht="36" hidden="1" customHeight="1">
      <c r="A306" s="414"/>
      <c r="B306" s="440" t="s">
        <v>3953</v>
      </c>
      <c r="C306" s="440" t="s">
        <v>648</v>
      </c>
      <c r="D306" s="440" t="s">
        <v>998</v>
      </c>
      <c r="E306" s="440" t="s">
        <v>997</v>
      </c>
      <c r="F306" s="440" t="s">
        <v>42</v>
      </c>
      <c r="G306" s="441" t="s">
        <v>3954</v>
      </c>
      <c r="H306" s="440" t="s">
        <v>3955</v>
      </c>
      <c r="I306" s="441" t="s">
        <v>3956</v>
      </c>
      <c r="J306" s="450">
        <v>45474</v>
      </c>
      <c r="K306" s="429" t="s">
        <v>2493</v>
      </c>
      <c r="L306" s="444"/>
      <c r="M306" s="444" t="s">
        <v>51</v>
      </c>
      <c r="N306" s="441" t="s">
        <v>2572</v>
      </c>
      <c r="O306" s="445" t="s">
        <v>85</v>
      </c>
      <c r="P306" s="445"/>
      <c r="Q306" s="441">
        <v>50</v>
      </c>
      <c r="R306" s="445" t="s">
        <v>3957</v>
      </c>
      <c r="S306" s="446">
        <v>45497</v>
      </c>
      <c r="T306" s="446">
        <v>45477</v>
      </c>
      <c r="U306" s="446">
        <v>45477</v>
      </c>
      <c r="V306" s="446">
        <v>45477</v>
      </c>
      <c r="W306" s="447">
        <v>45477</v>
      </c>
      <c r="X306" s="447" t="s">
        <v>8044</v>
      </c>
      <c r="Y306" s="420"/>
      <c r="Z306" s="224" t="str">
        <f t="shared" si="24"/>
        <v>AG. MEDIÇÃO</v>
      </c>
      <c r="AA306" s="207" t="str">
        <f t="shared" si="25"/>
        <v>ENTREGUE</v>
      </c>
      <c r="AB306" s="207" t="str">
        <f t="shared" si="26"/>
        <v>AG. MEDIÇÃO</v>
      </c>
      <c r="AC306" s="156">
        <f t="shared" ca="1" si="27"/>
        <v>0</v>
      </c>
      <c r="AD306" s="156" t="str">
        <f t="shared" ca="1" si="28"/>
        <v>NO PRAZO</v>
      </c>
      <c r="AE306" s="156">
        <f t="shared" ca="1" si="29"/>
        <v>-3</v>
      </c>
    </row>
    <row r="307" spans="1:31" ht="36" hidden="1" customHeight="1">
      <c r="A307" s="414"/>
      <c r="B307" s="440" t="s">
        <v>2814</v>
      </c>
      <c r="C307" s="440" t="s">
        <v>2815</v>
      </c>
      <c r="D307" s="440"/>
      <c r="E307" s="440"/>
      <c r="F307" s="440" t="s">
        <v>42</v>
      </c>
      <c r="G307" s="441" t="s">
        <v>2816</v>
      </c>
      <c r="H307" s="440" t="s">
        <v>2817</v>
      </c>
      <c r="I307" s="449"/>
      <c r="J307" s="443">
        <v>45017</v>
      </c>
      <c r="K307" s="429" t="s">
        <v>2493</v>
      </c>
      <c r="L307" s="444" t="s">
        <v>2818</v>
      </c>
      <c r="M307" s="445" t="s">
        <v>624</v>
      </c>
      <c r="N307" s="441" t="s">
        <v>2572</v>
      </c>
      <c r="O307" s="441"/>
      <c r="P307" s="441"/>
      <c r="Q307" s="441"/>
      <c r="R307" s="445" t="s">
        <v>2819</v>
      </c>
      <c r="S307" s="447">
        <v>45096</v>
      </c>
      <c r="T307" s="446">
        <v>44648</v>
      </c>
      <c r="U307" s="446">
        <v>45014</v>
      </c>
      <c r="V307" s="446">
        <v>45016</v>
      </c>
      <c r="W307" s="446">
        <v>45016</v>
      </c>
      <c r="X307" s="447" t="s">
        <v>8044</v>
      </c>
      <c r="Y307" s="420"/>
      <c r="Z307" s="224" t="str">
        <f t="shared" si="24"/>
        <v>AG. MEDIÇÃO</v>
      </c>
      <c r="AA307" s="207" t="str">
        <f t="shared" si="25"/>
        <v>ENTREGUE</v>
      </c>
      <c r="AB307" s="207" t="str">
        <f t="shared" si="26"/>
        <v>AG. MEDIÇÃO</v>
      </c>
      <c r="AC307" s="156">
        <f t="shared" ca="1" si="27"/>
        <v>264</v>
      </c>
      <c r="AD307" s="156" t="str">
        <f t="shared" ca="1" si="28"/>
        <v>ATRASADO</v>
      </c>
      <c r="AE307" s="156">
        <f t="shared" ca="1" si="29"/>
        <v>261</v>
      </c>
    </row>
    <row r="308" spans="1:31" ht="36" hidden="1" customHeight="1">
      <c r="A308" s="414"/>
      <c r="B308" s="440" t="s">
        <v>3672</v>
      </c>
      <c r="C308" s="440" t="s">
        <v>241</v>
      </c>
      <c r="D308" s="440" t="s">
        <v>1141</v>
      </c>
      <c r="E308" s="440" t="s">
        <v>398</v>
      </c>
      <c r="F308" s="440" t="s">
        <v>42</v>
      </c>
      <c r="G308" s="441" t="s">
        <v>3348</v>
      </c>
      <c r="H308" s="440" t="s">
        <v>3673</v>
      </c>
      <c r="I308" s="441" t="s">
        <v>3674</v>
      </c>
      <c r="J308" s="450">
        <v>45383</v>
      </c>
      <c r="K308" s="429" t="s">
        <v>2493</v>
      </c>
      <c r="L308" s="444" t="s">
        <v>2293</v>
      </c>
      <c r="M308" s="444" t="s">
        <v>132</v>
      </c>
      <c r="N308" s="441" t="s">
        <v>2572</v>
      </c>
      <c r="O308" s="445" t="s">
        <v>3350</v>
      </c>
      <c r="P308" s="445"/>
      <c r="Q308" s="441">
        <v>424</v>
      </c>
      <c r="R308" s="445" t="s">
        <v>3675</v>
      </c>
      <c r="S308" s="446">
        <v>45469</v>
      </c>
      <c r="T308" s="446">
        <v>45400</v>
      </c>
      <c r="U308" s="446">
        <v>45407</v>
      </c>
      <c r="V308" s="447">
        <v>45407</v>
      </c>
      <c r="W308" s="447">
        <v>45441</v>
      </c>
      <c r="X308" s="447" t="s">
        <v>8044</v>
      </c>
      <c r="Y308" s="420"/>
      <c r="Z308" s="224" t="str">
        <f t="shared" si="24"/>
        <v>AG. MEDIÇÃO</v>
      </c>
      <c r="AA308" s="207" t="str">
        <f t="shared" si="25"/>
        <v>ENTREGUE</v>
      </c>
      <c r="AB308" s="207" t="str">
        <f t="shared" si="26"/>
        <v>AG. MEDIÇÃO</v>
      </c>
      <c r="AC308" s="156">
        <f t="shared" ca="1" si="27"/>
        <v>29</v>
      </c>
      <c r="AD308" s="156" t="str">
        <f t="shared" ca="1" si="28"/>
        <v>ATRASADO</v>
      </c>
      <c r="AE308" s="156">
        <f t="shared" ca="1" si="29"/>
        <v>26</v>
      </c>
    </row>
    <row r="309" spans="1:31" ht="36" hidden="1" customHeight="1">
      <c r="A309" s="414"/>
      <c r="B309" s="440" t="s">
        <v>2820</v>
      </c>
      <c r="C309" s="440" t="s">
        <v>111</v>
      </c>
      <c r="D309" s="440"/>
      <c r="E309" s="440"/>
      <c r="F309" s="440" t="s">
        <v>42</v>
      </c>
      <c r="G309" s="441" t="s">
        <v>2821</v>
      </c>
      <c r="H309" s="440" t="s">
        <v>2822</v>
      </c>
      <c r="I309" s="449"/>
      <c r="J309" s="443">
        <v>45017</v>
      </c>
      <c r="K309" s="429" t="s">
        <v>2493</v>
      </c>
      <c r="L309" s="444"/>
      <c r="M309" s="444"/>
      <c r="N309" s="441" t="s">
        <v>2572</v>
      </c>
      <c r="O309" s="445" t="s">
        <v>2573</v>
      </c>
      <c r="P309" s="445"/>
      <c r="Q309" s="441">
        <v>531</v>
      </c>
      <c r="R309" s="445" t="s">
        <v>2823</v>
      </c>
      <c r="S309" s="446">
        <v>45118</v>
      </c>
      <c r="T309" s="446">
        <v>45029</v>
      </c>
      <c r="U309" s="446">
        <v>45030</v>
      </c>
      <c r="V309" s="446">
        <v>45034</v>
      </c>
      <c r="W309" s="447">
        <v>45034</v>
      </c>
      <c r="X309" s="447" t="s">
        <v>8044</v>
      </c>
      <c r="Y309" s="420"/>
      <c r="Z309" s="224" t="str">
        <f t="shared" si="24"/>
        <v>AG. MEDIÇÃO</v>
      </c>
      <c r="AA309" s="207" t="str">
        <f t="shared" si="25"/>
        <v>ENTREGUE</v>
      </c>
      <c r="AB309" s="207" t="str">
        <f t="shared" si="26"/>
        <v>AG. MEDIÇÃO</v>
      </c>
      <c r="AC309" s="156">
        <f t="shared" ca="1" si="27"/>
        <v>3</v>
      </c>
      <c r="AD309" s="156" t="str">
        <f t="shared" ca="1" si="28"/>
        <v>NO PRAZO</v>
      </c>
      <c r="AE309" s="156">
        <f t="shared" ca="1" si="29"/>
        <v>0</v>
      </c>
    </row>
    <row r="310" spans="1:31" ht="36" hidden="1" customHeight="1">
      <c r="A310" s="414"/>
      <c r="B310" s="440" t="s">
        <v>2671</v>
      </c>
      <c r="C310" s="440" t="s">
        <v>410</v>
      </c>
      <c r="D310" s="440"/>
      <c r="E310" s="440"/>
      <c r="F310" s="440" t="s">
        <v>42</v>
      </c>
      <c r="G310" s="441" t="s">
        <v>2672</v>
      </c>
      <c r="H310" s="440" t="s">
        <v>2673</v>
      </c>
      <c r="I310" s="449"/>
      <c r="J310" s="443">
        <v>44986</v>
      </c>
      <c r="K310" s="429" t="s">
        <v>2493</v>
      </c>
      <c r="L310" s="444" t="s">
        <v>2674</v>
      </c>
      <c r="M310" s="447" t="s">
        <v>628</v>
      </c>
      <c r="N310" s="441" t="s">
        <v>2572</v>
      </c>
      <c r="O310" s="441"/>
      <c r="P310" s="441"/>
      <c r="Q310" s="441">
        <v>980</v>
      </c>
      <c r="R310" s="445" t="s">
        <v>2675</v>
      </c>
      <c r="S310" s="447">
        <v>45082</v>
      </c>
      <c r="T310" s="446">
        <v>44974</v>
      </c>
      <c r="U310" s="446">
        <v>44995</v>
      </c>
      <c r="V310" s="447">
        <v>45016</v>
      </c>
      <c r="W310" s="447">
        <v>45014</v>
      </c>
      <c r="X310" s="447" t="s">
        <v>8044</v>
      </c>
      <c r="Y310" s="420"/>
      <c r="Z310" s="224" t="str">
        <f t="shared" si="24"/>
        <v>AG. MEDIÇÃO</v>
      </c>
      <c r="AA310" s="207" t="str">
        <f t="shared" si="25"/>
        <v>ENTREGUE</v>
      </c>
      <c r="AB310" s="207" t="str">
        <f t="shared" si="26"/>
        <v>AG. MEDIÇÃO</v>
      </c>
      <c r="AC310" s="156">
        <f t="shared" ca="1" si="27"/>
        <v>28</v>
      </c>
      <c r="AD310" s="156" t="str">
        <f t="shared" ca="1" si="28"/>
        <v>ATRASADO</v>
      </c>
      <c r="AE310" s="156">
        <f t="shared" ca="1" si="29"/>
        <v>25</v>
      </c>
    </row>
    <row r="311" spans="1:31" ht="36" hidden="1" customHeight="1">
      <c r="A311" s="414"/>
      <c r="B311" s="440" t="s">
        <v>3175</v>
      </c>
      <c r="C311" s="440" t="s">
        <v>3176</v>
      </c>
      <c r="D311" s="440"/>
      <c r="E311" s="440"/>
      <c r="F311" s="440" t="s">
        <v>2559</v>
      </c>
      <c r="G311" s="441" t="s">
        <v>3177</v>
      </c>
      <c r="H311" s="440" t="s">
        <v>3178</v>
      </c>
      <c r="I311" s="449"/>
      <c r="J311" s="450">
        <v>45229</v>
      </c>
      <c r="K311" s="429" t="s">
        <v>2493</v>
      </c>
      <c r="L311" s="444" t="s">
        <v>1380</v>
      </c>
      <c r="M311" s="444" t="s">
        <v>774</v>
      </c>
      <c r="N311" s="441" t="s">
        <v>2572</v>
      </c>
      <c r="O311" s="445" t="s">
        <v>85</v>
      </c>
      <c r="P311" s="445"/>
      <c r="Q311" s="441">
        <v>922</v>
      </c>
      <c r="R311" s="445" t="s">
        <v>3179</v>
      </c>
      <c r="S311" s="446">
        <v>45250</v>
      </c>
      <c r="T311" s="446">
        <v>45229</v>
      </c>
      <c r="U311" s="446"/>
      <c r="V311" s="446">
        <v>45230</v>
      </c>
      <c r="W311" s="446">
        <v>45232</v>
      </c>
      <c r="X311" s="447" t="s">
        <v>8044</v>
      </c>
      <c r="Y311" s="420"/>
      <c r="Z311" s="224" t="str">
        <f t="shared" si="24"/>
        <v>AG. MEDIÇÃO</v>
      </c>
      <c r="AA311" s="207" t="str">
        <f t="shared" si="25"/>
        <v>ENTREGUE</v>
      </c>
      <c r="AB311" s="207" t="str">
        <f t="shared" si="26"/>
        <v>AG. MEDIÇÃO</v>
      </c>
      <c r="AC311" s="156">
        <f t="shared" ca="1" si="27"/>
        <v>3</v>
      </c>
      <c r="AD311" s="156" t="str">
        <f t="shared" ca="1" si="28"/>
        <v>NO PRAZO</v>
      </c>
      <c r="AE311" s="156">
        <f t="shared" ca="1" si="29"/>
        <v>0</v>
      </c>
    </row>
    <row r="312" spans="1:31" ht="36" hidden="1" customHeight="1">
      <c r="A312" s="414"/>
      <c r="B312" s="440" t="s">
        <v>4592</v>
      </c>
      <c r="C312" s="440" t="s">
        <v>311</v>
      </c>
      <c r="D312" s="440"/>
      <c r="E312" s="440" t="s">
        <v>312</v>
      </c>
      <c r="F312" s="440" t="s">
        <v>42</v>
      </c>
      <c r="G312" s="441"/>
      <c r="H312" s="440" t="s">
        <v>4593</v>
      </c>
      <c r="I312" s="441"/>
      <c r="J312" s="450">
        <v>45597</v>
      </c>
      <c r="K312" s="429" t="s">
        <v>2493</v>
      </c>
      <c r="L312" s="444"/>
      <c r="M312" s="444" t="s">
        <v>51</v>
      </c>
      <c r="N312" s="441"/>
      <c r="O312" s="445"/>
      <c r="P312" s="445"/>
      <c r="Q312" s="445"/>
      <c r="R312" s="445" t="s">
        <v>4594</v>
      </c>
      <c r="S312" s="446">
        <v>45742</v>
      </c>
      <c r="T312" s="446"/>
      <c r="U312" s="446"/>
      <c r="V312" s="447"/>
      <c r="W312" s="447">
        <v>45735</v>
      </c>
      <c r="X312" s="447" t="s">
        <v>8044</v>
      </c>
      <c r="Y312" s="420"/>
      <c r="Z312" s="224" t="str">
        <f t="shared" si="24"/>
        <v>AG. MEDIÇÃO</v>
      </c>
      <c r="AA312" s="207" t="str">
        <f t="shared" si="25"/>
        <v>ENTREGUE</v>
      </c>
      <c r="AB312" s="207" t="str">
        <f t="shared" si="26"/>
        <v>AG. MEDIÇÃO</v>
      </c>
      <c r="AC312" s="156" t="str">
        <f t="shared" ca="1" si="27"/>
        <v>DATA ENTRADA</v>
      </c>
      <c r="AD312" s="156" t="str">
        <f t="shared" ca="1" si="28"/>
        <v>ATRASADO</v>
      </c>
      <c r="AE312" s="156" t="str">
        <f t="shared" ca="1" si="29"/>
        <v>DATA ENTRADA</v>
      </c>
    </row>
    <row r="313" spans="1:31" ht="36" hidden="1" customHeight="1">
      <c r="A313" s="414"/>
      <c r="B313" s="440" t="s">
        <v>5026</v>
      </c>
      <c r="C313" s="440" t="s">
        <v>311</v>
      </c>
      <c r="D313" s="440"/>
      <c r="E313" s="440" t="s">
        <v>312</v>
      </c>
      <c r="F313" s="440" t="s">
        <v>42</v>
      </c>
      <c r="G313" s="441" t="s">
        <v>1293</v>
      </c>
      <c r="H313" s="440" t="s">
        <v>4593</v>
      </c>
      <c r="I313" s="441"/>
      <c r="J313" s="450">
        <v>45717</v>
      </c>
      <c r="K313" s="429" t="s">
        <v>2493</v>
      </c>
      <c r="L313" s="444"/>
      <c r="M313" s="444" t="s">
        <v>5027</v>
      </c>
      <c r="N313" s="441"/>
      <c r="O313" s="445"/>
      <c r="P313" s="441"/>
      <c r="Q313" s="445"/>
      <c r="R313" s="445" t="s">
        <v>5028</v>
      </c>
      <c r="S313" s="446">
        <v>45741</v>
      </c>
      <c r="T313" s="446"/>
      <c r="U313" s="446"/>
      <c r="V313" s="447"/>
      <c r="W313" s="447"/>
      <c r="X313" s="447" t="s">
        <v>8044</v>
      </c>
      <c r="Y313" s="420"/>
      <c r="Z313" s="224" t="str">
        <f t="shared" si="24"/>
        <v>AG. MEDIÇÃO</v>
      </c>
      <c r="AA313" s="207" t="str">
        <f t="shared" si="25"/>
        <v>ENTREGUE</v>
      </c>
      <c r="AB313" s="207" t="str">
        <f t="shared" si="26"/>
        <v>AG. MEDIÇÃO</v>
      </c>
      <c r="AC313" s="156" t="str">
        <f t="shared" ca="1" si="27"/>
        <v>DATA ENTRADA</v>
      </c>
      <c r="AD313" s="156" t="str">
        <f t="shared" ca="1" si="28"/>
        <v>ATRASADO</v>
      </c>
      <c r="AE313" s="156" t="str">
        <f t="shared" ca="1" si="29"/>
        <v>DATA ENTRADA</v>
      </c>
    </row>
    <row r="314" spans="1:31" ht="36" hidden="1" customHeight="1">
      <c r="A314" s="414"/>
      <c r="B314" s="440" t="s">
        <v>5575</v>
      </c>
      <c r="C314" s="440" t="s">
        <v>4873</v>
      </c>
      <c r="D314" s="440"/>
      <c r="E314" s="440"/>
      <c r="F314" s="440" t="s">
        <v>5165</v>
      </c>
      <c r="G314" s="441"/>
      <c r="H314" s="440" t="s">
        <v>5576</v>
      </c>
      <c r="I314" s="441" t="s">
        <v>5577</v>
      </c>
      <c r="J314" s="450">
        <v>45839</v>
      </c>
      <c r="K314" s="429" t="s">
        <v>2493</v>
      </c>
      <c r="L314" s="444" t="s">
        <v>1764</v>
      </c>
      <c r="M314" s="444" t="s">
        <v>1764</v>
      </c>
      <c r="N314" s="441"/>
      <c r="O314" s="445"/>
      <c r="P314" s="441">
        <v>20</v>
      </c>
      <c r="Q314" s="445"/>
      <c r="R314" s="445" t="s">
        <v>5578</v>
      </c>
      <c r="S314" s="446">
        <v>45877</v>
      </c>
      <c r="T314" s="446">
        <v>45861</v>
      </c>
      <c r="U314" s="446"/>
      <c r="V314" s="447"/>
      <c r="W314" s="447">
        <v>45874</v>
      </c>
      <c r="X314" s="447" t="s">
        <v>8044</v>
      </c>
      <c r="Y314" s="420"/>
      <c r="Z314" s="224" t="str">
        <f t="shared" si="24"/>
        <v>AG. MEDIÇÃO</v>
      </c>
      <c r="AA314" s="207" t="str">
        <f t="shared" si="25"/>
        <v>ENTREGUE</v>
      </c>
      <c r="AB314" s="207" t="str">
        <f t="shared" si="26"/>
        <v>AG. MEDIÇÃO</v>
      </c>
      <c r="AC314" s="156">
        <f t="shared" ca="1" si="27"/>
        <v>9</v>
      </c>
      <c r="AD314" s="156" t="str">
        <f t="shared" ca="1" si="28"/>
        <v>ATRASADO</v>
      </c>
      <c r="AE314" s="156">
        <f t="shared" ca="1" si="29"/>
        <v>6</v>
      </c>
    </row>
    <row r="315" spans="1:31" ht="36" hidden="1" customHeight="1">
      <c r="A315" s="414"/>
      <c r="B315" s="440" t="s">
        <v>5115</v>
      </c>
      <c r="C315" s="440" t="s">
        <v>2531</v>
      </c>
      <c r="D315" s="440"/>
      <c r="E315" s="440"/>
      <c r="F315" s="440" t="s">
        <v>2498</v>
      </c>
      <c r="G315" s="441"/>
      <c r="H315" s="440" t="s">
        <v>5116</v>
      </c>
      <c r="I315" s="441" t="s">
        <v>5117</v>
      </c>
      <c r="J315" s="450">
        <v>45748</v>
      </c>
      <c r="K315" s="429" t="s">
        <v>2493</v>
      </c>
      <c r="L315" s="444" t="s">
        <v>2501</v>
      </c>
      <c r="M315" s="444" t="s">
        <v>2501</v>
      </c>
      <c r="N315" s="441"/>
      <c r="O315" s="445"/>
      <c r="P315" s="441" t="s">
        <v>3557</v>
      </c>
      <c r="Q315" s="445"/>
      <c r="R315" s="445" t="s">
        <v>4517</v>
      </c>
      <c r="S315" s="446">
        <v>45785</v>
      </c>
      <c r="T315" s="446">
        <v>45757</v>
      </c>
      <c r="U315" s="446">
        <v>45761</v>
      </c>
      <c r="V315" s="447"/>
      <c r="W315" s="447">
        <v>45770</v>
      </c>
      <c r="X315" s="447" t="s">
        <v>8044</v>
      </c>
      <c r="Y315" s="420"/>
      <c r="Z315" s="224" t="str">
        <f t="shared" si="24"/>
        <v>AG. MEDIÇÃO</v>
      </c>
      <c r="AA315" s="207" t="str">
        <f t="shared" si="25"/>
        <v>ENTREGUE</v>
      </c>
      <c r="AB315" s="207" t="str">
        <f t="shared" si="26"/>
        <v>AG. MEDIÇÃO</v>
      </c>
      <c r="AC315" s="156">
        <f t="shared" ca="1" si="27"/>
        <v>9</v>
      </c>
      <c r="AD315" s="156" t="str">
        <f t="shared" ca="1" si="28"/>
        <v>ATRASADO</v>
      </c>
      <c r="AE315" s="156">
        <f t="shared" ca="1" si="29"/>
        <v>6</v>
      </c>
    </row>
    <row r="316" spans="1:31" ht="36" hidden="1" customHeight="1">
      <c r="A316" s="414"/>
      <c r="B316" s="440" t="s">
        <v>5212</v>
      </c>
      <c r="C316" s="440" t="s">
        <v>2531</v>
      </c>
      <c r="D316" s="440"/>
      <c r="E316" s="440"/>
      <c r="F316" s="440" t="s">
        <v>2498</v>
      </c>
      <c r="G316" s="441"/>
      <c r="H316" s="440" t="s">
        <v>5213</v>
      </c>
      <c r="I316" s="441" t="s">
        <v>5214</v>
      </c>
      <c r="J316" s="450">
        <v>45778</v>
      </c>
      <c r="K316" s="429" t="s">
        <v>2493</v>
      </c>
      <c r="L316" s="444"/>
      <c r="M316" s="444" t="s">
        <v>2501</v>
      </c>
      <c r="N316" s="441" t="s">
        <v>2572</v>
      </c>
      <c r="O316" s="445" t="s">
        <v>3350</v>
      </c>
      <c r="P316" s="441" t="s">
        <v>2494</v>
      </c>
      <c r="Q316" s="445" t="s">
        <v>2494</v>
      </c>
      <c r="R316" s="445" t="s">
        <v>5215</v>
      </c>
      <c r="S316" s="446">
        <v>45826</v>
      </c>
      <c r="T316" s="446">
        <v>45797</v>
      </c>
      <c r="U316" s="446"/>
      <c r="V316" s="447"/>
      <c r="W316" s="447">
        <v>45800</v>
      </c>
      <c r="X316" s="447" t="s">
        <v>8044</v>
      </c>
      <c r="Y316" s="420"/>
      <c r="Z316" s="224" t="str">
        <f t="shared" si="24"/>
        <v>AG. MEDIÇÃO</v>
      </c>
      <c r="AA316" s="207" t="str">
        <f t="shared" si="25"/>
        <v>ENTREGUE</v>
      </c>
      <c r="AB316" s="207" t="str">
        <f t="shared" si="26"/>
        <v>AG. MEDIÇÃO</v>
      </c>
      <c r="AC316" s="156">
        <f t="shared" ca="1" si="27"/>
        <v>3</v>
      </c>
      <c r="AD316" s="156" t="str">
        <f t="shared" ca="1" si="28"/>
        <v>NO PRAZO</v>
      </c>
      <c r="AE316" s="156">
        <f t="shared" ca="1" si="29"/>
        <v>0</v>
      </c>
    </row>
    <row r="317" spans="1:31" ht="36" hidden="1" customHeight="1">
      <c r="A317" s="414"/>
      <c r="B317" s="440" t="s">
        <v>3798</v>
      </c>
      <c r="C317" s="440" t="s">
        <v>111</v>
      </c>
      <c r="D317" s="440" t="s">
        <v>369</v>
      </c>
      <c r="E317" s="440" t="s">
        <v>2504</v>
      </c>
      <c r="F317" s="440" t="s">
        <v>42</v>
      </c>
      <c r="G317" s="441" t="s">
        <v>3348</v>
      </c>
      <c r="H317" s="440" t="s">
        <v>3799</v>
      </c>
      <c r="I317" s="441" t="s">
        <v>3800</v>
      </c>
      <c r="J317" s="450">
        <v>45383</v>
      </c>
      <c r="K317" s="429" t="s">
        <v>2493</v>
      </c>
      <c r="L317" s="444" t="s">
        <v>1130</v>
      </c>
      <c r="M317" s="444" t="s">
        <v>827</v>
      </c>
      <c r="N317" s="441" t="s">
        <v>2572</v>
      </c>
      <c r="O317" s="445" t="s">
        <v>3350</v>
      </c>
      <c r="P317" s="445"/>
      <c r="Q317" s="441">
        <v>550</v>
      </c>
      <c r="R317" s="445" t="s">
        <v>3801</v>
      </c>
      <c r="S317" s="446">
        <v>45469</v>
      </c>
      <c r="T317" s="446">
        <v>45412</v>
      </c>
      <c r="U317" s="446">
        <v>45442</v>
      </c>
      <c r="V317" s="447">
        <v>45448</v>
      </c>
      <c r="W317" s="447">
        <v>45448</v>
      </c>
      <c r="X317" s="447" t="s">
        <v>8044</v>
      </c>
      <c r="Y317" s="420"/>
      <c r="Z317" s="224" t="str">
        <f t="shared" si="24"/>
        <v>AG. MEDIÇÃO</v>
      </c>
      <c r="AA317" s="207" t="str">
        <f t="shared" si="25"/>
        <v>ENTREGUE</v>
      </c>
      <c r="AB317" s="207" t="str">
        <f t="shared" si="26"/>
        <v>AG. MEDIÇÃO</v>
      </c>
      <c r="AC317" s="156">
        <f t="shared" ca="1" si="27"/>
        <v>26</v>
      </c>
      <c r="AD317" s="156" t="str">
        <f t="shared" ca="1" si="28"/>
        <v>ATRASADO</v>
      </c>
      <c r="AE317" s="156">
        <f t="shared" ca="1" si="29"/>
        <v>23</v>
      </c>
    </row>
    <row r="318" spans="1:31" ht="36" hidden="1" customHeight="1">
      <c r="A318" s="414"/>
      <c r="B318" s="440" t="s">
        <v>3071</v>
      </c>
      <c r="C318" s="440" t="s">
        <v>152</v>
      </c>
      <c r="D318" s="440"/>
      <c r="E318" s="440"/>
      <c r="F318" s="440" t="s">
        <v>42</v>
      </c>
      <c r="G318" s="441" t="s">
        <v>3072</v>
      </c>
      <c r="H318" s="440" t="s">
        <v>3073</v>
      </c>
      <c r="I318" s="449"/>
      <c r="J318" s="450">
        <v>45170</v>
      </c>
      <c r="K318" s="429" t="s">
        <v>2493</v>
      </c>
      <c r="L318" s="444"/>
      <c r="M318" s="444" t="s">
        <v>1155</v>
      </c>
      <c r="N318" s="441" t="s">
        <v>2572</v>
      </c>
      <c r="O318" s="445" t="s">
        <v>85</v>
      </c>
      <c r="P318" s="441" t="s">
        <v>2494</v>
      </c>
      <c r="Q318" s="441" t="s">
        <v>2494</v>
      </c>
      <c r="R318" s="445" t="s">
        <v>3074</v>
      </c>
      <c r="S318" s="446">
        <v>45198</v>
      </c>
      <c r="T318" s="446">
        <v>45187</v>
      </c>
      <c r="U318" s="446"/>
      <c r="V318" s="446">
        <v>45191</v>
      </c>
      <c r="W318" s="447">
        <v>45191</v>
      </c>
      <c r="X318" s="447" t="s">
        <v>8044</v>
      </c>
      <c r="Y318" s="420"/>
      <c r="Z318" s="224" t="str">
        <f t="shared" si="24"/>
        <v>AG. MEDIÇÃO</v>
      </c>
      <c r="AA318" s="207" t="str">
        <f t="shared" si="25"/>
        <v>ENTREGUE</v>
      </c>
      <c r="AB318" s="207" t="str">
        <f t="shared" si="26"/>
        <v>AG. MEDIÇÃO</v>
      </c>
      <c r="AC318" s="156">
        <f t="shared" ca="1" si="27"/>
        <v>4</v>
      </c>
      <c r="AD318" s="156" t="str">
        <f t="shared" ca="1" si="28"/>
        <v>ATRASADO</v>
      </c>
      <c r="AE318" s="156">
        <f t="shared" ca="1" si="29"/>
        <v>1</v>
      </c>
    </row>
    <row r="319" spans="1:31" ht="36" hidden="1" customHeight="1">
      <c r="A319" s="414"/>
      <c r="B319" s="440" t="s">
        <v>3832</v>
      </c>
      <c r="C319" s="440" t="s">
        <v>152</v>
      </c>
      <c r="D319" s="440" t="s">
        <v>322</v>
      </c>
      <c r="E319" s="440"/>
      <c r="F319" s="440" t="s">
        <v>42</v>
      </c>
      <c r="G319" s="441" t="s">
        <v>3348</v>
      </c>
      <c r="H319" s="440" t="s">
        <v>3833</v>
      </c>
      <c r="I319" s="441" t="s">
        <v>3834</v>
      </c>
      <c r="J319" s="450">
        <v>45413</v>
      </c>
      <c r="K319" s="429" t="s">
        <v>2493</v>
      </c>
      <c r="L319" s="444" t="s">
        <v>3835</v>
      </c>
      <c r="M319" s="444" t="s">
        <v>132</v>
      </c>
      <c r="N319" s="441" t="s">
        <v>2572</v>
      </c>
      <c r="O319" s="445" t="s">
        <v>85</v>
      </c>
      <c r="P319" s="445" t="s">
        <v>2494</v>
      </c>
      <c r="Q319" s="441" t="s">
        <v>2494</v>
      </c>
      <c r="R319" s="445" t="s">
        <v>3836</v>
      </c>
      <c r="S319" s="446">
        <v>45439</v>
      </c>
      <c r="T319" s="446"/>
      <c r="U319" s="446"/>
      <c r="V319" s="447">
        <v>45422</v>
      </c>
      <c r="W319" s="447">
        <v>45423</v>
      </c>
      <c r="X319" s="447" t="s">
        <v>8044</v>
      </c>
      <c r="Y319" s="420"/>
      <c r="Z319" s="224" t="str">
        <f t="shared" si="24"/>
        <v>AG. MEDIÇÃO</v>
      </c>
      <c r="AA319" s="207" t="str">
        <f t="shared" si="25"/>
        <v>ENTREGUE</v>
      </c>
      <c r="AB319" s="207" t="str">
        <f t="shared" si="26"/>
        <v>AG. MEDIÇÃO</v>
      </c>
      <c r="AC319" s="156" t="str">
        <f t="shared" ca="1" si="27"/>
        <v>DATA ENTRADA</v>
      </c>
      <c r="AD319" s="156" t="str">
        <f t="shared" ca="1" si="28"/>
        <v>ATRASADO</v>
      </c>
      <c r="AE319" s="156" t="str">
        <f t="shared" ca="1" si="29"/>
        <v>DATA ENTRADA</v>
      </c>
    </row>
    <row r="320" spans="1:31" ht="36" hidden="1" customHeight="1">
      <c r="A320" s="414"/>
      <c r="B320" s="440" t="s">
        <v>4595</v>
      </c>
      <c r="C320" s="440" t="s">
        <v>232</v>
      </c>
      <c r="D320" s="440" t="s">
        <v>2579</v>
      </c>
      <c r="E320" s="440" t="s">
        <v>389</v>
      </c>
      <c r="F320" s="440" t="s">
        <v>42</v>
      </c>
      <c r="G320" s="441"/>
      <c r="H320" s="440" t="s">
        <v>4596</v>
      </c>
      <c r="I320" s="441" t="s">
        <v>4597</v>
      </c>
      <c r="J320" s="450">
        <v>45597</v>
      </c>
      <c r="K320" s="429" t="s">
        <v>2493</v>
      </c>
      <c r="L320" s="444"/>
      <c r="M320" s="444" t="s">
        <v>714</v>
      </c>
      <c r="N320" s="441" t="s">
        <v>2572</v>
      </c>
      <c r="O320" s="445" t="s">
        <v>3350</v>
      </c>
      <c r="P320" s="441" t="s">
        <v>2494</v>
      </c>
      <c r="Q320" s="441" t="s">
        <v>2494</v>
      </c>
      <c r="R320" s="445" t="s">
        <v>4598</v>
      </c>
      <c r="S320" s="446">
        <v>45621</v>
      </c>
      <c r="T320" s="446">
        <v>45614</v>
      </c>
      <c r="U320" s="446">
        <v>45615</v>
      </c>
      <c r="V320" s="447"/>
      <c r="W320" s="447">
        <v>45615</v>
      </c>
      <c r="X320" s="447" t="s">
        <v>8044</v>
      </c>
      <c r="Y320" s="420"/>
      <c r="Z320" s="224" t="str">
        <f t="shared" si="24"/>
        <v>AG. MEDIÇÃO</v>
      </c>
      <c r="AA320" s="207" t="str">
        <f t="shared" si="25"/>
        <v>ENTREGUE</v>
      </c>
      <c r="AB320" s="207" t="str">
        <f t="shared" si="26"/>
        <v>AG. MEDIÇÃO</v>
      </c>
      <c r="AC320" s="156">
        <f t="shared" ca="1" si="27"/>
        <v>1</v>
      </c>
      <c r="AD320" s="156" t="str">
        <f t="shared" ca="1" si="28"/>
        <v>NO PRAZO</v>
      </c>
      <c r="AE320" s="156">
        <f t="shared" ca="1" si="29"/>
        <v>-2</v>
      </c>
    </row>
    <row r="321" spans="1:31" ht="36" hidden="1" customHeight="1">
      <c r="A321" s="414"/>
      <c r="B321" s="440" t="s">
        <v>4744</v>
      </c>
      <c r="C321" s="440" t="s">
        <v>248</v>
      </c>
      <c r="D321" s="440" t="s">
        <v>440</v>
      </c>
      <c r="E321" s="440" t="s">
        <v>249</v>
      </c>
      <c r="F321" s="440" t="s">
        <v>42</v>
      </c>
      <c r="G321" s="441" t="s">
        <v>4745</v>
      </c>
      <c r="H321" s="440" t="s">
        <v>4746</v>
      </c>
      <c r="I321" s="441" t="s">
        <v>4747</v>
      </c>
      <c r="J321" s="450">
        <v>45658</v>
      </c>
      <c r="K321" s="429" t="s">
        <v>2493</v>
      </c>
      <c r="L321" s="444" t="s">
        <v>1598</v>
      </c>
      <c r="M321" s="444" t="s">
        <v>1598</v>
      </c>
      <c r="N321" s="441" t="s">
        <v>2572</v>
      </c>
      <c r="O321" s="445" t="s">
        <v>3350</v>
      </c>
      <c r="P321" s="445">
        <v>620</v>
      </c>
      <c r="Q321" s="445">
        <v>709</v>
      </c>
      <c r="R321" s="445" t="s">
        <v>4748</v>
      </c>
      <c r="S321" s="446">
        <v>45700</v>
      </c>
      <c r="T321" s="446">
        <v>45688</v>
      </c>
      <c r="U321" s="446">
        <v>45692</v>
      </c>
      <c r="V321" s="447">
        <v>45696</v>
      </c>
      <c r="W321" s="447">
        <v>45699</v>
      </c>
      <c r="X321" s="447" t="s">
        <v>8044</v>
      </c>
      <c r="Y321" s="420"/>
      <c r="Z321" s="224" t="str">
        <f t="shared" si="24"/>
        <v>AG. MEDIÇÃO</v>
      </c>
      <c r="AA321" s="207" t="str">
        <f t="shared" si="25"/>
        <v>ENTREGUE</v>
      </c>
      <c r="AB321" s="207" t="str">
        <f t="shared" si="26"/>
        <v>AG. MEDIÇÃO</v>
      </c>
      <c r="AC321" s="156">
        <f t="shared" ca="1" si="27"/>
        <v>7</v>
      </c>
      <c r="AD321" s="156" t="str">
        <f t="shared" ca="1" si="28"/>
        <v>ATRASADO</v>
      </c>
      <c r="AE321" s="156">
        <f t="shared" ca="1" si="29"/>
        <v>4</v>
      </c>
    </row>
    <row r="322" spans="1:31" ht="36" hidden="1" customHeight="1">
      <c r="A322" s="414"/>
      <c r="B322" s="440" t="s">
        <v>3313</v>
      </c>
      <c r="C322" s="440" t="s">
        <v>425</v>
      </c>
      <c r="D322" s="440"/>
      <c r="E322" s="440"/>
      <c r="F322" s="440" t="s">
        <v>42</v>
      </c>
      <c r="G322" s="441" t="s">
        <v>3314</v>
      </c>
      <c r="H322" s="440" t="s">
        <v>3314</v>
      </c>
      <c r="I322" s="449"/>
      <c r="J322" s="450">
        <v>45261</v>
      </c>
      <c r="K322" s="429" t="s">
        <v>2493</v>
      </c>
      <c r="L322" s="462"/>
      <c r="M322" s="444" t="s">
        <v>774</v>
      </c>
      <c r="N322" s="441" t="s">
        <v>2572</v>
      </c>
      <c r="O322" s="445" t="s">
        <v>85</v>
      </c>
      <c r="P322" s="441" t="s">
        <v>2494</v>
      </c>
      <c r="Q322" s="441" t="s">
        <v>2494</v>
      </c>
      <c r="R322" s="445" t="s">
        <v>3315</v>
      </c>
      <c r="S322" s="446">
        <v>45300</v>
      </c>
      <c r="T322" s="446">
        <v>45272</v>
      </c>
      <c r="U322" s="446"/>
      <c r="V322" s="446">
        <v>45272</v>
      </c>
      <c r="W322" s="446">
        <v>45272</v>
      </c>
      <c r="X322" s="447" t="s">
        <v>8044</v>
      </c>
      <c r="Y322" s="420"/>
      <c r="Z322" s="224" t="str">
        <f t="shared" si="24"/>
        <v>AG. MEDIÇÃO</v>
      </c>
      <c r="AA322" s="207" t="str">
        <f t="shared" si="25"/>
        <v>ENTREGUE</v>
      </c>
      <c r="AB322" s="207" t="str">
        <f t="shared" si="26"/>
        <v>AG. MEDIÇÃO</v>
      </c>
      <c r="AC322" s="156">
        <f t="shared" ca="1" si="27"/>
        <v>0</v>
      </c>
      <c r="AD322" s="156" t="str">
        <f t="shared" ca="1" si="28"/>
        <v>NO PRAZO</v>
      </c>
      <c r="AE322" s="156">
        <f t="shared" ca="1" si="29"/>
        <v>-3</v>
      </c>
    </row>
    <row r="323" spans="1:31" ht="36" hidden="1" customHeight="1">
      <c r="A323" s="414"/>
      <c r="B323" s="440" t="s">
        <v>5745</v>
      </c>
      <c r="C323" s="440" t="s">
        <v>425</v>
      </c>
      <c r="D323" s="440" t="s">
        <v>633</v>
      </c>
      <c r="E323" s="440" t="s">
        <v>426</v>
      </c>
      <c r="F323" s="440" t="s">
        <v>427</v>
      </c>
      <c r="G323" s="441"/>
      <c r="H323" s="638" t="s">
        <v>5746</v>
      </c>
      <c r="I323" s="441" t="s">
        <v>5747</v>
      </c>
      <c r="J323" s="450">
        <v>45901</v>
      </c>
      <c r="K323" s="429" t="s">
        <v>2493</v>
      </c>
      <c r="L323" s="444"/>
      <c r="M323" s="444" t="s">
        <v>1155</v>
      </c>
      <c r="N323" s="441"/>
      <c r="O323" s="445"/>
      <c r="P323" s="441" t="s">
        <v>2494</v>
      </c>
      <c r="Q323" s="445" t="s">
        <v>2494</v>
      </c>
      <c r="R323" s="445" t="s">
        <v>5025</v>
      </c>
      <c r="S323" s="446">
        <v>46011</v>
      </c>
      <c r="T323" s="446">
        <v>45918</v>
      </c>
      <c r="U323" s="446"/>
      <c r="V323" s="447"/>
      <c r="W323" s="447">
        <v>45919</v>
      </c>
      <c r="X323" s="447">
        <v>46011</v>
      </c>
      <c r="Y323" s="420"/>
      <c r="Z323" s="224" t="str">
        <f t="shared" si="24"/>
        <v>AG. MEDIÇÃO</v>
      </c>
      <c r="AA323" s="207" t="str">
        <f t="shared" si="25"/>
        <v>ENTREGUE</v>
      </c>
      <c r="AB323" s="207" t="str">
        <f t="shared" si="26"/>
        <v>AG. MEDIÇÃO</v>
      </c>
      <c r="AC323" s="156">
        <f t="shared" ca="1" si="27"/>
        <v>1</v>
      </c>
      <c r="AD323" s="156" t="str">
        <f t="shared" ca="1" si="28"/>
        <v>NO PRAZO</v>
      </c>
      <c r="AE323" s="156">
        <f t="shared" ca="1" si="29"/>
        <v>-2</v>
      </c>
    </row>
    <row r="324" spans="1:31" ht="36" hidden="1" customHeight="1">
      <c r="A324" s="414"/>
      <c r="B324" s="440" t="s">
        <v>3063</v>
      </c>
      <c r="C324" s="440" t="s">
        <v>425</v>
      </c>
      <c r="D324" s="440"/>
      <c r="E324" s="440"/>
      <c r="F324" s="440" t="s">
        <v>427</v>
      </c>
      <c r="G324" s="441" t="s">
        <v>3064</v>
      </c>
      <c r="H324" s="440" t="s">
        <v>3065</v>
      </c>
      <c r="I324" s="449"/>
      <c r="J324" s="450">
        <v>45170</v>
      </c>
      <c r="K324" s="429" t="s">
        <v>2493</v>
      </c>
      <c r="L324" s="444"/>
      <c r="M324" s="444" t="s">
        <v>1155</v>
      </c>
      <c r="N324" s="441" t="s">
        <v>2572</v>
      </c>
      <c r="O324" s="445" t="s">
        <v>85</v>
      </c>
      <c r="P324" s="441" t="s">
        <v>2494</v>
      </c>
      <c r="Q324" s="441" t="s">
        <v>2494</v>
      </c>
      <c r="R324" s="445" t="s">
        <v>3066</v>
      </c>
      <c r="S324" s="446">
        <v>45198</v>
      </c>
      <c r="T324" s="446">
        <v>45175</v>
      </c>
      <c r="U324" s="446">
        <v>45177</v>
      </c>
      <c r="V324" s="446">
        <v>45177</v>
      </c>
      <c r="W324" s="446">
        <v>45177</v>
      </c>
      <c r="X324" s="447" t="s">
        <v>8044</v>
      </c>
      <c r="Y324" s="420"/>
      <c r="Z324" s="224" t="str">
        <f t="shared" si="24"/>
        <v>AG. MEDIÇÃO</v>
      </c>
      <c r="AA324" s="207" t="str">
        <f t="shared" si="25"/>
        <v>ENTREGUE</v>
      </c>
      <c r="AB324" s="207" t="str">
        <f t="shared" si="26"/>
        <v>AG. MEDIÇÃO</v>
      </c>
      <c r="AC324" s="156">
        <f t="shared" ca="1" si="27"/>
        <v>2</v>
      </c>
      <c r="AD324" s="156" t="str">
        <f t="shared" ca="1" si="28"/>
        <v>NO PRAZO</v>
      </c>
      <c r="AE324" s="156">
        <f t="shared" ca="1" si="29"/>
        <v>-1</v>
      </c>
    </row>
    <row r="325" spans="1:31" ht="36" hidden="1" customHeight="1">
      <c r="A325" s="414"/>
      <c r="B325" s="440" t="s">
        <v>5463</v>
      </c>
      <c r="C325" s="440" t="s">
        <v>555</v>
      </c>
      <c r="D325" s="440"/>
      <c r="E325" s="440" t="s">
        <v>556</v>
      </c>
      <c r="F325" s="440" t="s">
        <v>42</v>
      </c>
      <c r="G325" s="441"/>
      <c r="H325" s="440" t="s">
        <v>5464</v>
      </c>
      <c r="I325" s="441" t="s">
        <v>5465</v>
      </c>
      <c r="J325" s="450">
        <v>45809</v>
      </c>
      <c r="K325" s="429" t="s">
        <v>2493</v>
      </c>
      <c r="L325" s="444"/>
      <c r="M325" s="444" t="s">
        <v>62</v>
      </c>
      <c r="N325" s="441"/>
      <c r="O325" s="445"/>
      <c r="P325" s="441"/>
      <c r="Q325" s="445"/>
      <c r="R325" s="445" t="s">
        <v>5466</v>
      </c>
      <c r="S325" s="446" t="s">
        <v>2033</v>
      </c>
      <c r="T325" s="446">
        <v>45838</v>
      </c>
      <c r="U325" s="446"/>
      <c r="V325" s="447"/>
      <c r="W325" s="447">
        <v>45840</v>
      </c>
      <c r="X325" s="447" t="s">
        <v>8044</v>
      </c>
      <c r="Y325" s="420"/>
      <c r="Z325" s="224" t="str">
        <f t="shared" ref="Z325:Z388" si="30">IF(K325="CANCELADO","CANCELADO",IF(AA325="PENDENTE","AG. RELATÓRIO",IF(S325="SIM","AG. MEDIÇÃO",IF(S325&gt;0,"AG. MEDIÇÃO","PENDENTE"))))</f>
        <v>AG. MEDIÇÃO</v>
      </c>
      <c r="AA325" s="207" t="str">
        <f t="shared" ref="AA325:AA388" si="31">IF(K325="CANCELADO","CANCELADO",IF(X325="","PENDENTE","ENTREGUE"))</f>
        <v>ENTREGUE</v>
      </c>
      <c r="AB325" s="207" t="str">
        <f t="shared" ref="AB325:AB388" si="32">IF(K325="SEM SINAL","SEM SINAL",IF(K325="PARALISADO","PARALISADO",IF(Z325="PENDENTE","AG. MEDIÇÃO",IF(K325="CANCELADO","CANCELADO",Z325))))</f>
        <v>AG. MEDIÇÃO</v>
      </c>
      <c r="AC325" s="156">
        <f t="shared" ref="AC325:AC388" ca="1" si="33">IFERROR(IF(K325="CANCELADO","CANCELADO",IF(T325="","DATA ENTRADA",IF(AND(T325&gt;0,W325=""),NETWORKDAYS(T325,TODAY())-1,NETWORKDAYS(T325,W325)-1))),"CHECAR DATA")</f>
        <v>2</v>
      </c>
      <c r="AD325" s="156" t="str">
        <f t="shared" ref="AD325:AD388" ca="1" si="34">IF(AC325&lt;=3,"NO PRAZO","ATRASADO")</f>
        <v>NO PRAZO</v>
      </c>
      <c r="AE325" s="156">
        <f t="shared" ref="AE325:AE388" ca="1" si="35">IFERROR(AC325-3,AC325)</f>
        <v>-1</v>
      </c>
    </row>
    <row r="326" spans="1:31" ht="36" hidden="1" customHeight="1">
      <c r="A326" s="414"/>
      <c r="B326" s="440" t="s">
        <v>4611</v>
      </c>
      <c r="C326" s="440" t="s">
        <v>203</v>
      </c>
      <c r="D326" s="440" t="s">
        <v>203</v>
      </c>
      <c r="E326" s="440" t="s">
        <v>204</v>
      </c>
      <c r="F326" s="440" t="s">
        <v>42</v>
      </c>
      <c r="G326" s="441"/>
      <c r="H326" s="440" t="s">
        <v>4612</v>
      </c>
      <c r="I326" s="441" t="s">
        <v>4613</v>
      </c>
      <c r="J326" s="450">
        <v>45597</v>
      </c>
      <c r="K326" s="429" t="s">
        <v>2493</v>
      </c>
      <c r="L326" s="444" t="s">
        <v>714</v>
      </c>
      <c r="M326" s="444" t="s">
        <v>714</v>
      </c>
      <c r="N326" s="441" t="s">
        <v>2572</v>
      </c>
      <c r="O326" s="445" t="s">
        <v>4560</v>
      </c>
      <c r="P326" s="445"/>
      <c r="Q326" s="445">
        <v>67</v>
      </c>
      <c r="R326" s="445" t="s">
        <v>4614</v>
      </c>
      <c r="S326" s="446">
        <v>45649</v>
      </c>
      <c r="T326" s="446">
        <v>45617</v>
      </c>
      <c r="U326" s="446"/>
      <c r="V326" s="447"/>
      <c r="W326" s="447">
        <v>45636</v>
      </c>
      <c r="X326" s="447" t="s">
        <v>8044</v>
      </c>
      <c r="Y326" s="420"/>
      <c r="Z326" s="224" t="str">
        <f t="shared" si="30"/>
        <v>AG. MEDIÇÃO</v>
      </c>
      <c r="AA326" s="207" t="str">
        <f t="shared" si="31"/>
        <v>ENTREGUE</v>
      </c>
      <c r="AB326" s="207" t="str">
        <f t="shared" si="32"/>
        <v>AG. MEDIÇÃO</v>
      </c>
      <c r="AC326" s="156">
        <f t="shared" ca="1" si="33"/>
        <v>13</v>
      </c>
      <c r="AD326" s="156" t="str">
        <f t="shared" ca="1" si="34"/>
        <v>ATRASADO</v>
      </c>
      <c r="AE326" s="156">
        <f t="shared" ca="1" si="35"/>
        <v>10</v>
      </c>
    </row>
    <row r="327" spans="1:31" ht="36" hidden="1" customHeight="1">
      <c r="A327" s="414"/>
      <c r="B327" s="440" t="s">
        <v>5539</v>
      </c>
      <c r="C327" s="440" t="s">
        <v>1339</v>
      </c>
      <c r="D327" s="440" t="s">
        <v>1353</v>
      </c>
      <c r="E327" s="440" t="s">
        <v>1340</v>
      </c>
      <c r="F327" s="440" t="s">
        <v>5478</v>
      </c>
      <c r="G327" s="441"/>
      <c r="H327" s="440" t="s">
        <v>5540</v>
      </c>
      <c r="I327" s="441" t="s">
        <v>5541</v>
      </c>
      <c r="J327" s="450">
        <v>45839</v>
      </c>
      <c r="K327" s="429" t="s">
        <v>2493</v>
      </c>
      <c r="L327" s="444" t="s">
        <v>67</v>
      </c>
      <c r="M327" s="444" t="s">
        <v>1764</v>
      </c>
      <c r="N327" s="441"/>
      <c r="O327" s="445"/>
      <c r="P327" s="441"/>
      <c r="Q327" s="445">
        <v>1931</v>
      </c>
      <c r="R327" s="445" t="s">
        <v>5542</v>
      </c>
      <c r="S327" s="446">
        <v>45918</v>
      </c>
      <c r="T327" s="446">
        <v>45838</v>
      </c>
      <c r="U327" s="446" t="s">
        <v>5543</v>
      </c>
      <c r="V327" s="447">
        <v>45861</v>
      </c>
      <c r="W327" s="447">
        <v>45862</v>
      </c>
      <c r="X327" s="447">
        <v>45918</v>
      </c>
      <c r="Y327" s="420"/>
      <c r="Z327" s="224" t="str">
        <f t="shared" si="30"/>
        <v>AG. MEDIÇÃO</v>
      </c>
      <c r="AA327" s="207" t="str">
        <f t="shared" si="31"/>
        <v>ENTREGUE</v>
      </c>
      <c r="AB327" s="207" t="str">
        <f t="shared" si="32"/>
        <v>AG. MEDIÇÃO</v>
      </c>
      <c r="AC327" s="156">
        <f t="shared" ca="1" si="33"/>
        <v>18</v>
      </c>
      <c r="AD327" s="156" t="str">
        <f t="shared" ca="1" si="34"/>
        <v>ATRASADO</v>
      </c>
      <c r="AE327" s="156">
        <f t="shared" ca="1" si="35"/>
        <v>15</v>
      </c>
    </row>
    <row r="328" spans="1:31" ht="36" hidden="1" customHeight="1">
      <c r="A328" s="414"/>
      <c r="B328" s="440" t="s">
        <v>5482</v>
      </c>
      <c r="C328" s="440" t="s">
        <v>1339</v>
      </c>
      <c r="D328" s="440" t="s">
        <v>1353</v>
      </c>
      <c r="E328" s="440" t="s">
        <v>1340</v>
      </c>
      <c r="F328" s="440" t="s">
        <v>5478</v>
      </c>
      <c r="G328" s="441"/>
      <c r="H328" s="440" t="s">
        <v>5483</v>
      </c>
      <c r="I328" s="441"/>
      <c r="J328" s="450">
        <v>45839</v>
      </c>
      <c r="K328" s="429" t="s">
        <v>2493</v>
      </c>
      <c r="L328" s="444" t="s">
        <v>67</v>
      </c>
      <c r="M328" s="444" t="s">
        <v>2501</v>
      </c>
      <c r="N328" s="441"/>
      <c r="O328" s="445"/>
      <c r="P328" s="441"/>
      <c r="Q328" s="445"/>
      <c r="R328" s="445" t="s">
        <v>5484</v>
      </c>
      <c r="S328" s="446" t="s">
        <v>5485</v>
      </c>
      <c r="T328" s="446">
        <v>45839</v>
      </c>
      <c r="U328" s="446">
        <v>45845</v>
      </c>
      <c r="V328" s="447"/>
      <c r="W328" s="447"/>
      <c r="X328" s="447">
        <v>45908</v>
      </c>
      <c r="Y328" s="420"/>
      <c r="Z328" s="224" t="str">
        <f t="shared" si="30"/>
        <v>AG. MEDIÇÃO</v>
      </c>
      <c r="AA328" s="207" t="str">
        <f t="shared" si="31"/>
        <v>ENTREGUE</v>
      </c>
      <c r="AB328" s="207" t="str">
        <f t="shared" si="32"/>
        <v>AG. MEDIÇÃO</v>
      </c>
      <c r="AC328" s="156">
        <f t="shared" ca="1" si="33"/>
        <v>316</v>
      </c>
      <c r="AD328" s="156" t="str">
        <f t="shared" ca="1" si="34"/>
        <v>ATRASADO</v>
      </c>
      <c r="AE328" s="156">
        <f t="shared" ca="1" si="35"/>
        <v>313</v>
      </c>
    </row>
    <row r="329" spans="1:31" ht="36" hidden="1" customHeight="1">
      <c r="A329" s="414"/>
      <c r="B329" s="429" t="s">
        <v>8406</v>
      </c>
      <c r="C329" s="429" t="s">
        <v>425</v>
      </c>
      <c r="D329" s="429" t="s">
        <v>4422</v>
      </c>
      <c r="E329" s="429" t="s">
        <v>1551</v>
      </c>
      <c r="F329" s="429" t="s">
        <v>42</v>
      </c>
      <c r="G329" s="433"/>
      <c r="H329" s="429" t="s">
        <v>8429</v>
      </c>
      <c r="I329" s="433" t="s">
        <v>8523</v>
      </c>
      <c r="J329" s="599">
        <v>46235</v>
      </c>
      <c r="K329" s="429" t="s">
        <v>2493</v>
      </c>
      <c r="L329" s="436"/>
      <c r="M329" s="436" t="s">
        <v>62</v>
      </c>
      <c r="N329" s="433"/>
      <c r="O329" s="433" t="s">
        <v>85</v>
      </c>
      <c r="P329" s="429" t="s">
        <v>2494</v>
      </c>
      <c r="Q329" s="429" t="s">
        <v>2494</v>
      </c>
      <c r="R329" s="437" t="s">
        <v>8480</v>
      </c>
      <c r="S329" s="438">
        <v>46260</v>
      </c>
      <c r="T329" s="438">
        <v>46253</v>
      </c>
      <c r="U329" s="438"/>
      <c r="V329" s="438"/>
      <c r="W329" s="439">
        <v>46253</v>
      </c>
      <c r="X329" s="439">
        <v>46260</v>
      </c>
      <c r="Y329" s="420"/>
      <c r="Z329" s="224" t="str">
        <f t="shared" si="30"/>
        <v>AG. MEDIÇÃO</v>
      </c>
      <c r="AA329" s="207" t="str">
        <f t="shared" si="31"/>
        <v>ENTREGUE</v>
      </c>
      <c r="AB329" s="207" t="str">
        <f t="shared" si="32"/>
        <v>AG. MEDIÇÃO</v>
      </c>
      <c r="AC329" s="156">
        <f t="shared" ca="1" si="33"/>
        <v>0</v>
      </c>
      <c r="AD329" s="156" t="str">
        <f t="shared" ca="1" si="34"/>
        <v>NO PRAZO</v>
      </c>
      <c r="AE329" s="156">
        <f t="shared" ca="1" si="35"/>
        <v>-3</v>
      </c>
    </row>
    <row r="330" spans="1:31" ht="36" hidden="1" customHeight="1">
      <c r="A330" s="414"/>
      <c r="B330" s="440" t="s">
        <v>3409</v>
      </c>
      <c r="C330" s="440" t="s">
        <v>3410</v>
      </c>
      <c r="D330" s="440"/>
      <c r="E330" s="440"/>
      <c r="F330" s="440" t="s">
        <v>3411</v>
      </c>
      <c r="G330" s="441" t="s">
        <v>3412</v>
      </c>
      <c r="H330" s="440" t="s">
        <v>3413</v>
      </c>
      <c r="I330" s="441"/>
      <c r="J330" s="450">
        <v>45292</v>
      </c>
      <c r="K330" s="429" t="s">
        <v>2493</v>
      </c>
      <c r="L330" s="444" t="s">
        <v>1380</v>
      </c>
      <c r="M330" s="444" t="s">
        <v>51</v>
      </c>
      <c r="N330" s="441" t="s">
        <v>2572</v>
      </c>
      <c r="O330" s="445" t="s">
        <v>85</v>
      </c>
      <c r="P330" s="445"/>
      <c r="Q330" s="441">
        <v>1968</v>
      </c>
      <c r="R330" s="445" t="s">
        <v>3414</v>
      </c>
      <c r="S330" s="446">
        <v>45345</v>
      </c>
      <c r="T330" s="446">
        <v>45322</v>
      </c>
      <c r="U330" s="446">
        <v>45327</v>
      </c>
      <c r="V330" s="446">
        <v>45329</v>
      </c>
      <c r="W330" s="447">
        <v>45329</v>
      </c>
      <c r="X330" s="447" t="s">
        <v>8044</v>
      </c>
      <c r="Y330" s="420"/>
      <c r="Z330" s="224" t="str">
        <f t="shared" si="30"/>
        <v>AG. MEDIÇÃO</v>
      </c>
      <c r="AA330" s="207" t="str">
        <f t="shared" si="31"/>
        <v>ENTREGUE</v>
      </c>
      <c r="AB330" s="207" t="str">
        <f t="shared" si="32"/>
        <v>AG. MEDIÇÃO</v>
      </c>
      <c r="AC330" s="156">
        <f t="shared" ca="1" si="33"/>
        <v>5</v>
      </c>
      <c r="AD330" s="156" t="str">
        <f t="shared" ca="1" si="34"/>
        <v>ATRASADO</v>
      </c>
      <c r="AE330" s="156">
        <f t="shared" ca="1" si="35"/>
        <v>2</v>
      </c>
    </row>
    <row r="331" spans="1:31" ht="36" hidden="1" customHeight="1">
      <c r="A331" s="414"/>
      <c r="B331" s="429" t="s">
        <v>7703</v>
      </c>
      <c r="C331" s="430" t="s">
        <v>2249</v>
      </c>
      <c r="D331" s="431"/>
      <c r="E331" s="432" t="s">
        <v>6874</v>
      </c>
      <c r="F331" s="429" t="s">
        <v>42</v>
      </c>
      <c r="G331" s="434"/>
      <c r="H331" s="636" t="s">
        <v>7671</v>
      </c>
      <c r="I331" s="433"/>
      <c r="J331" s="432">
        <v>46143</v>
      </c>
      <c r="K331" s="429" t="s">
        <v>2493</v>
      </c>
      <c r="L331" s="436"/>
      <c r="M331" s="436" t="s">
        <v>7672</v>
      </c>
      <c r="N331" s="433"/>
      <c r="O331" s="437" t="s">
        <v>85</v>
      </c>
      <c r="P331" s="429" t="s">
        <v>2494</v>
      </c>
      <c r="Q331" s="436" t="s">
        <v>2494</v>
      </c>
      <c r="R331" s="437" t="s">
        <v>8538</v>
      </c>
      <c r="S331" s="438">
        <v>46261</v>
      </c>
      <c r="T331" s="438">
        <v>46180</v>
      </c>
      <c r="U331" s="438"/>
      <c r="V331" s="439"/>
      <c r="W331" s="439">
        <v>46183</v>
      </c>
      <c r="X331" s="439">
        <v>46261</v>
      </c>
      <c r="Y331" s="420"/>
      <c r="Z331" s="224" t="str">
        <f t="shared" si="30"/>
        <v>AG. MEDIÇÃO</v>
      </c>
      <c r="AA331" s="207" t="str">
        <f t="shared" si="31"/>
        <v>ENTREGUE</v>
      </c>
      <c r="AB331" s="207" t="str">
        <f t="shared" si="32"/>
        <v>AG. MEDIÇÃO</v>
      </c>
      <c r="AC331" s="156">
        <f t="shared" ca="1" si="33"/>
        <v>2</v>
      </c>
      <c r="AD331" s="156" t="str">
        <f t="shared" ca="1" si="34"/>
        <v>NO PRAZO</v>
      </c>
      <c r="AE331" s="156">
        <f t="shared" ca="1" si="35"/>
        <v>-1</v>
      </c>
    </row>
    <row r="332" spans="1:31" ht="36" hidden="1" customHeight="1">
      <c r="A332" s="414"/>
      <c r="B332" s="440" t="s">
        <v>3140</v>
      </c>
      <c r="C332" s="440" t="s">
        <v>479</v>
      </c>
      <c r="D332" s="440"/>
      <c r="E332" s="440"/>
      <c r="F332" s="440" t="s">
        <v>42</v>
      </c>
      <c r="G332" s="441" t="s">
        <v>3141</v>
      </c>
      <c r="H332" s="440" t="s">
        <v>3142</v>
      </c>
      <c r="I332" s="449"/>
      <c r="J332" s="450">
        <v>45200</v>
      </c>
      <c r="K332" s="429" t="s">
        <v>2493</v>
      </c>
      <c r="L332" s="444" t="s">
        <v>109</v>
      </c>
      <c r="M332" s="444" t="s">
        <v>774</v>
      </c>
      <c r="N332" s="441" t="s">
        <v>2572</v>
      </c>
      <c r="O332" s="445" t="s">
        <v>85</v>
      </c>
      <c r="P332" s="445"/>
      <c r="Q332" s="441">
        <v>180</v>
      </c>
      <c r="R332" s="445" t="s">
        <v>3143</v>
      </c>
      <c r="S332" s="446">
        <v>45229</v>
      </c>
      <c r="T332" s="446">
        <v>45219</v>
      </c>
      <c r="U332" s="446">
        <v>45218</v>
      </c>
      <c r="V332" s="446">
        <v>45223</v>
      </c>
      <c r="W332" s="447">
        <v>45223</v>
      </c>
      <c r="X332" s="447" t="s">
        <v>8044</v>
      </c>
      <c r="Y332" s="420"/>
      <c r="Z332" s="224" t="str">
        <f t="shared" si="30"/>
        <v>AG. MEDIÇÃO</v>
      </c>
      <c r="AA332" s="207" t="str">
        <f t="shared" si="31"/>
        <v>ENTREGUE</v>
      </c>
      <c r="AB332" s="207" t="str">
        <f t="shared" si="32"/>
        <v>AG. MEDIÇÃO</v>
      </c>
      <c r="AC332" s="156">
        <f t="shared" ca="1" si="33"/>
        <v>2</v>
      </c>
      <c r="AD332" s="156" t="str">
        <f t="shared" ca="1" si="34"/>
        <v>NO PRAZO</v>
      </c>
      <c r="AE332" s="156">
        <f t="shared" ca="1" si="35"/>
        <v>-1</v>
      </c>
    </row>
    <row r="333" spans="1:31" ht="36" hidden="1" customHeight="1">
      <c r="A333" s="414"/>
      <c r="B333" s="440" t="s">
        <v>3766</v>
      </c>
      <c r="C333" s="440" t="s">
        <v>88</v>
      </c>
      <c r="D333" s="440" t="s">
        <v>406</v>
      </c>
      <c r="E333" s="440" t="s">
        <v>3767</v>
      </c>
      <c r="F333" s="440" t="s">
        <v>42</v>
      </c>
      <c r="G333" s="441" t="s">
        <v>3348</v>
      </c>
      <c r="H333" s="440" t="s">
        <v>3768</v>
      </c>
      <c r="I333" s="441" t="s">
        <v>3769</v>
      </c>
      <c r="J333" s="450">
        <v>45383</v>
      </c>
      <c r="K333" s="429" t="s">
        <v>2493</v>
      </c>
      <c r="L333" s="444" t="s">
        <v>3770</v>
      </c>
      <c r="M333" s="444" t="s">
        <v>51</v>
      </c>
      <c r="N333" s="441" t="s">
        <v>2572</v>
      </c>
      <c r="O333" s="445" t="s">
        <v>85</v>
      </c>
      <c r="P333" s="445"/>
      <c r="Q333" s="445">
        <v>1431</v>
      </c>
      <c r="R333" s="445" t="s">
        <v>3771</v>
      </c>
      <c r="S333" s="446">
        <v>45497</v>
      </c>
      <c r="T333" s="446">
        <v>45412</v>
      </c>
      <c r="U333" s="446">
        <v>45454</v>
      </c>
      <c r="V333" s="447">
        <v>45482</v>
      </c>
      <c r="W333" s="447">
        <v>45482</v>
      </c>
      <c r="X333" s="447" t="s">
        <v>8044</v>
      </c>
      <c r="Y333" s="420"/>
      <c r="Z333" s="224" t="str">
        <f t="shared" si="30"/>
        <v>AG. MEDIÇÃO</v>
      </c>
      <c r="AA333" s="207" t="str">
        <f t="shared" si="31"/>
        <v>ENTREGUE</v>
      </c>
      <c r="AB333" s="207" t="str">
        <f t="shared" si="32"/>
        <v>AG. MEDIÇÃO</v>
      </c>
      <c r="AC333" s="156">
        <f t="shared" ca="1" si="33"/>
        <v>50</v>
      </c>
      <c r="AD333" s="156" t="str">
        <f t="shared" ca="1" si="34"/>
        <v>ATRASADO</v>
      </c>
      <c r="AE333" s="156">
        <f t="shared" ca="1" si="35"/>
        <v>47</v>
      </c>
    </row>
    <row r="334" spans="1:31" ht="36" hidden="1" customHeight="1">
      <c r="A334" s="414"/>
      <c r="B334" s="440" t="s">
        <v>2676</v>
      </c>
      <c r="C334" s="440" t="s">
        <v>111</v>
      </c>
      <c r="D334" s="440"/>
      <c r="E334" s="440"/>
      <c r="F334" s="440" t="s">
        <v>42</v>
      </c>
      <c r="G334" s="441" t="s">
        <v>2677</v>
      </c>
      <c r="H334" s="440" t="s">
        <v>2678</v>
      </c>
      <c r="I334" s="449"/>
      <c r="J334" s="443">
        <v>44986</v>
      </c>
      <c r="K334" s="429" t="s">
        <v>2493</v>
      </c>
      <c r="L334" s="444" t="s">
        <v>655</v>
      </c>
      <c r="M334" s="444" t="s">
        <v>628</v>
      </c>
      <c r="N334" s="441" t="s">
        <v>2572</v>
      </c>
      <c r="O334" s="441"/>
      <c r="P334" s="441"/>
      <c r="Q334" s="441">
        <v>850</v>
      </c>
      <c r="R334" s="445" t="s">
        <v>2679</v>
      </c>
      <c r="S334" s="446">
        <v>45066</v>
      </c>
      <c r="T334" s="446">
        <v>44998</v>
      </c>
      <c r="U334" s="446">
        <v>45001</v>
      </c>
      <c r="V334" s="446">
        <v>45005</v>
      </c>
      <c r="W334" s="446">
        <v>45001</v>
      </c>
      <c r="X334" s="447" t="s">
        <v>8044</v>
      </c>
      <c r="Y334" s="420"/>
      <c r="Z334" s="224" t="str">
        <f t="shared" si="30"/>
        <v>AG. MEDIÇÃO</v>
      </c>
      <c r="AA334" s="207" t="str">
        <f t="shared" si="31"/>
        <v>ENTREGUE</v>
      </c>
      <c r="AB334" s="207" t="str">
        <f t="shared" si="32"/>
        <v>AG. MEDIÇÃO</v>
      </c>
      <c r="AC334" s="156">
        <f t="shared" ca="1" si="33"/>
        <v>3</v>
      </c>
      <c r="AD334" s="156" t="str">
        <f t="shared" ca="1" si="34"/>
        <v>NO PRAZO</v>
      </c>
      <c r="AE334" s="156">
        <f t="shared" ca="1" si="35"/>
        <v>0</v>
      </c>
    </row>
    <row r="335" spans="1:31" ht="36" hidden="1" customHeight="1">
      <c r="A335" s="414"/>
      <c r="B335" s="440" t="s">
        <v>2575</v>
      </c>
      <c r="C335" s="440" t="s">
        <v>111</v>
      </c>
      <c r="D335" s="440"/>
      <c r="E335" s="440"/>
      <c r="F335" s="440" t="s">
        <v>42</v>
      </c>
      <c r="G335" s="441" t="s">
        <v>2576</v>
      </c>
      <c r="H335" s="440" t="s">
        <v>2577</v>
      </c>
      <c r="I335" s="442"/>
      <c r="J335" s="443">
        <v>44927</v>
      </c>
      <c r="K335" s="429" t="s">
        <v>2493</v>
      </c>
      <c r="L335" s="444"/>
      <c r="M335" s="444" t="s">
        <v>1155</v>
      </c>
      <c r="N335" s="441" t="s">
        <v>2572</v>
      </c>
      <c r="O335" s="445" t="s">
        <v>2573</v>
      </c>
      <c r="P335" s="441" t="s">
        <v>2494</v>
      </c>
      <c r="Q335" s="441" t="s">
        <v>2494</v>
      </c>
      <c r="R335" s="444" t="s">
        <v>2574</v>
      </c>
      <c r="S335" s="446" t="s">
        <v>288</v>
      </c>
      <c r="T335" s="446">
        <v>44928</v>
      </c>
      <c r="U335" s="446">
        <v>44928</v>
      </c>
      <c r="V335" s="447">
        <v>44942</v>
      </c>
      <c r="W335" s="447">
        <v>44942</v>
      </c>
      <c r="X335" s="447" t="s">
        <v>8044</v>
      </c>
      <c r="Y335" s="420"/>
      <c r="Z335" s="224" t="str">
        <f t="shared" si="30"/>
        <v>AG. MEDIÇÃO</v>
      </c>
      <c r="AA335" s="207" t="str">
        <f t="shared" si="31"/>
        <v>ENTREGUE</v>
      </c>
      <c r="AB335" s="207" t="str">
        <f t="shared" si="32"/>
        <v>AG. MEDIÇÃO</v>
      </c>
      <c r="AC335" s="156">
        <f t="shared" ca="1" si="33"/>
        <v>10</v>
      </c>
      <c r="AD335" s="156" t="str">
        <f t="shared" ca="1" si="34"/>
        <v>ATRASADO</v>
      </c>
      <c r="AE335" s="156">
        <f t="shared" ca="1" si="35"/>
        <v>7</v>
      </c>
    </row>
    <row r="336" spans="1:31" ht="36" hidden="1" customHeight="1">
      <c r="A336" s="414"/>
      <c r="B336" s="429" t="s">
        <v>7817</v>
      </c>
      <c r="C336" s="430" t="s">
        <v>555</v>
      </c>
      <c r="D336" s="430" t="s">
        <v>577</v>
      </c>
      <c r="E336" s="432" t="s">
        <v>556</v>
      </c>
      <c r="F336" s="429" t="s">
        <v>42</v>
      </c>
      <c r="G336" s="434"/>
      <c r="H336" s="636" t="s">
        <v>7827</v>
      </c>
      <c r="I336" s="433" t="s">
        <v>7717</v>
      </c>
      <c r="J336" s="432">
        <v>46174</v>
      </c>
      <c r="K336" s="429" t="s">
        <v>2493</v>
      </c>
      <c r="L336" s="436"/>
      <c r="M336" s="436" t="s">
        <v>77</v>
      </c>
      <c r="N336" s="433"/>
      <c r="O336" s="437" t="s">
        <v>85</v>
      </c>
      <c r="P336" s="433" t="s">
        <v>2494</v>
      </c>
      <c r="Q336" s="437" t="s">
        <v>2494</v>
      </c>
      <c r="R336" s="437" t="s">
        <v>8020</v>
      </c>
      <c r="S336" s="438">
        <v>46209</v>
      </c>
      <c r="T336" s="438">
        <v>46178</v>
      </c>
      <c r="U336" s="438"/>
      <c r="V336" s="439"/>
      <c r="W336" s="439">
        <v>46186</v>
      </c>
      <c r="X336" s="439">
        <v>46209</v>
      </c>
      <c r="Y336" s="420"/>
      <c r="Z336" s="224" t="str">
        <f t="shared" si="30"/>
        <v>AG. MEDIÇÃO</v>
      </c>
      <c r="AA336" s="207" t="str">
        <f t="shared" si="31"/>
        <v>ENTREGUE</v>
      </c>
      <c r="AB336" s="207" t="str">
        <f t="shared" si="32"/>
        <v>AG. MEDIÇÃO</v>
      </c>
      <c r="AC336" s="156">
        <f t="shared" ca="1" si="33"/>
        <v>5</v>
      </c>
      <c r="AD336" s="156" t="str">
        <f t="shared" ca="1" si="34"/>
        <v>ATRASADO</v>
      </c>
      <c r="AE336" s="156">
        <f t="shared" ca="1" si="35"/>
        <v>2</v>
      </c>
    </row>
    <row r="337" spans="1:31" ht="36" hidden="1" customHeight="1">
      <c r="A337" s="414"/>
      <c r="B337" s="440" t="s">
        <v>5798</v>
      </c>
      <c r="C337" s="440" t="s">
        <v>37</v>
      </c>
      <c r="D337" s="440" t="s">
        <v>937</v>
      </c>
      <c r="E337" s="440" t="s">
        <v>38</v>
      </c>
      <c r="F337" s="440" t="s">
        <v>42</v>
      </c>
      <c r="G337" s="441"/>
      <c r="H337" s="440" t="s">
        <v>5799</v>
      </c>
      <c r="I337" s="441" t="s">
        <v>5800</v>
      </c>
      <c r="J337" s="450">
        <v>45901</v>
      </c>
      <c r="K337" s="429" t="s">
        <v>2493</v>
      </c>
      <c r="L337" s="444" t="s">
        <v>50</v>
      </c>
      <c r="M337" s="444" t="s">
        <v>51</v>
      </c>
      <c r="N337" s="441"/>
      <c r="O337" s="445"/>
      <c r="P337" s="441"/>
      <c r="Q337" s="445"/>
      <c r="R337" s="445" t="s">
        <v>5797</v>
      </c>
      <c r="S337" s="446" t="s">
        <v>937</v>
      </c>
      <c r="T337" s="446">
        <v>45903</v>
      </c>
      <c r="U337" s="446"/>
      <c r="V337" s="447"/>
      <c r="W337" s="447"/>
      <c r="X337" s="447" t="s">
        <v>8044</v>
      </c>
      <c r="Y337" s="420"/>
      <c r="Z337" s="224" t="str">
        <f t="shared" si="30"/>
        <v>AG. MEDIÇÃO</v>
      </c>
      <c r="AA337" s="207" t="str">
        <f t="shared" si="31"/>
        <v>ENTREGUE</v>
      </c>
      <c r="AB337" s="207" t="str">
        <f t="shared" si="32"/>
        <v>AG. MEDIÇÃO</v>
      </c>
      <c r="AC337" s="156">
        <f t="shared" ca="1" si="33"/>
        <v>270</v>
      </c>
      <c r="AD337" s="156" t="str">
        <f t="shared" ca="1" si="34"/>
        <v>ATRASADO</v>
      </c>
      <c r="AE337" s="156">
        <f t="shared" ca="1" si="35"/>
        <v>267</v>
      </c>
    </row>
    <row r="338" spans="1:31" ht="36" hidden="1" customHeight="1">
      <c r="A338" s="414"/>
      <c r="B338" s="440" t="s">
        <v>3821</v>
      </c>
      <c r="C338" s="440" t="s">
        <v>606</v>
      </c>
      <c r="D338" s="440" t="s">
        <v>899</v>
      </c>
      <c r="E338" s="440"/>
      <c r="F338" s="440" t="s">
        <v>42</v>
      </c>
      <c r="G338" s="441" t="s">
        <v>3348</v>
      </c>
      <c r="H338" s="440" t="s">
        <v>3822</v>
      </c>
      <c r="I338" s="441" t="s">
        <v>2564</v>
      </c>
      <c r="J338" s="450">
        <v>45383</v>
      </c>
      <c r="K338" s="429" t="s">
        <v>2493</v>
      </c>
      <c r="L338" s="444"/>
      <c r="M338" s="444" t="s">
        <v>51</v>
      </c>
      <c r="N338" s="441" t="s">
        <v>2572</v>
      </c>
      <c r="O338" s="445" t="s">
        <v>85</v>
      </c>
      <c r="P338" s="441" t="s">
        <v>2494</v>
      </c>
      <c r="Q338" s="441" t="s">
        <v>2494</v>
      </c>
      <c r="R338" s="445" t="s">
        <v>3823</v>
      </c>
      <c r="S338" s="446">
        <v>45439</v>
      </c>
      <c r="T338" s="446">
        <v>45412</v>
      </c>
      <c r="U338" s="446">
        <v>45434</v>
      </c>
      <c r="V338" s="447">
        <v>45434</v>
      </c>
      <c r="W338" s="447">
        <v>45434</v>
      </c>
      <c r="X338" s="447" t="s">
        <v>8044</v>
      </c>
      <c r="Y338" s="420"/>
      <c r="Z338" s="224" t="str">
        <f t="shared" si="30"/>
        <v>AG. MEDIÇÃO</v>
      </c>
      <c r="AA338" s="207" t="str">
        <f t="shared" si="31"/>
        <v>ENTREGUE</v>
      </c>
      <c r="AB338" s="207" t="str">
        <f t="shared" si="32"/>
        <v>AG. MEDIÇÃO</v>
      </c>
      <c r="AC338" s="156">
        <f t="shared" ca="1" si="33"/>
        <v>16</v>
      </c>
      <c r="AD338" s="156" t="str">
        <f t="shared" ca="1" si="34"/>
        <v>ATRASADO</v>
      </c>
      <c r="AE338" s="156">
        <f t="shared" ca="1" si="35"/>
        <v>13</v>
      </c>
    </row>
    <row r="339" spans="1:31" ht="36" hidden="1" customHeight="1">
      <c r="A339" s="414"/>
      <c r="B339" s="440" t="s">
        <v>3916</v>
      </c>
      <c r="C339" s="440" t="s">
        <v>479</v>
      </c>
      <c r="D339" s="440" t="s">
        <v>479</v>
      </c>
      <c r="E339" s="440" t="s">
        <v>480</v>
      </c>
      <c r="F339" s="440" t="s">
        <v>42</v>
      </c>
      <c r="G339" s="441"/>
      <c r="H339" s="440" t="s">
        <v>3917</v>
      </c>
      <c r="I339" s="441" t="s">
        <v>3918</v>
      </c>
      <c r="J339" s="450">
        <v>45444</v>
      </c>
      <c r="K339" s="429" t="s">
        <v>2493</v>
      </c>
      <c r="L339" s="444" t="s">
        <v>50</v>
      </c>
      <c r="M339" s="444" t="s">
        <v>827</v>
      </c>
      <c r="N339" s="441" t="s">
        <v>2572</v>
      </c>
      <c r="O339" s="445" t="s">
        <v>85</v>
      </c>
      <c r="P339" s="445"/>
      <c r="Q339" s="445">
        <v>410</v>
      </c>
      <c r="R339" s="445" t="s">
        <v>3919</v>
      </c>
      <c r="S339" s="446">
        <v>45497</v>
      </c>
      <c r="T339" s="446">
        <v>45471</v>
      </c>
      <c r="U339" s="446">
        <v>45475</v>
      </c>
      <c r="V339" s="446">
        <v>45481</v>
      </c>
      <c r="W339" s="447">
        <v>45481</v>
      </c>
      <c r="X339" s="447" t="s">
        <v>8044</v>
      </c>
      <c r="Y339" s="420"/>
      <c r="Z339" s="224" t="str">
        <f t="shared" si="30"/>
        <v>AG. MEDIÇÃO</v>
      </c>
      <c r="AA339" s="207" t="str">
        <f t="shared" si="31"/>
        <v>ENTREGUE</v>
      </c>
      <c r="AB339" s="207" t="str">
        <f t="shared" si="32"/>
        <v>AG. MEDIÇÃO</v>
      </c>
      <c r="AC339" s="156">
        <f t="shared" ca="1" si="33"/>
        <v>6</v>
      </c>
      <c r="AD339" s="156" t="str">
        <f t="shared" ca="1" si="34"/>
        <v>ATRASADO</v>
      </c>
      <c r="AE339" s="156">
        <f t="shared" ca="1" si="35"/>
        <v>3</v>
      </c>
    </row>
    <row r="340" spans="1:31" ht="36" hidden="1" customHeight="1">
      <c r="A340" s="414"/>
      <c r="B340" s="440" t="s">
        <v>3846</v>
      </c>
      <c r="C340" s="440" t="s">
        <v>152</v>
      </c>
      <c r="D340" s="440"/>
      <c r="E340" s="440"/>
      <c r="F340" s="440" t="s">
        <v>42</v>
      </c>
      <c r="G340" s="441" t="s">
        <v>3348</v>
      </c>
      <c r="H340" s="440" t="s">
        <v>3847</v>
      </c>
      <c r="I340" s="441" t="s">
        <v>3848</v>
      </c>
      <c r="J340" s="450">
        <v>45413</v>
      </c>
      <c r="K340" s="429" t="s">
        <v>2493</v>
      </c>
      <c r="L340" s="444" t="s">
        <v>3835</v>
      </c>
      <c r="M340" s="444" t="s">
        <v>3637</v>
      </c>
      <c r="N340" s="441" t="s">
        <v>2572</v>
      </c>
      <c r="O340" s="445" t="s">
        <v>85</v>
      </c>
      <c r="P340" s="441" t="s">
        <v>2494</v>
      </c>
      <c r="Q340" s="441" t="s">
        <v>2494</v>
      </c>
      <c r="R340" s="445" t="s">
        <v>3849</v>
      </c>
      <c r="S340" s="446">
        <v>45439</v>
      </c>
      <c r="T340" s="446">
        <v>45432</v>
      </c>
      <c r="U340" s="446">
        <v>45433</v>
      </c>
      <c r="V340" s="447">
        <v>45433</v>
      </c>
      <c r="W340" s="447">
        <v>45433</v>
      </c>
      <c r="X340" s="447" t="s">
        <v>8044</v>
      </c>
      <c r="Y340" s="420"/>
      <c r="Z340" s="224" t="str">
        <f t="shared" si="30"/>
        <v>AG. MEDIÇÃO</v>
      </c>
      <c r="AA340" s="207" t="str">
        <f t="shared" si="31"/>
        <v>ENTREGUE</v>
      </c>
      <c r="AB340" s="207" t="str">
        <f t="shared" si="32"/>
        <v>AG. MEDIÇÃO</v>
      </c>
      <c r="AC340" s="156">
        <f t="shared" ca="1" si="33"/>
        <v>1</v>
      </c>
      <c r="AD340" s="156" t="str">
        <f t="shared" ca="1" si="34"/>
        <v>NO PRAZO</v>
      </c>
      <c r="AE340" s="156">
        <f t="shared" ca="1" si="35"/>
        <v>-2</v>
      </c>
    </row>
    <row r="341" spans="1:31" ht="36" hidden="1" customHeight="1">
      <c r="A341" s="414"/>
      <c r="B341" s="440" t="s">
        <v>5459</v>
      </c>
      <c r="C341" s="440" t="s">
        <v>248</v>
      </c>
      <c r="D341" s="440" t="s">
        <v>5060</v>
      </c>
      <c r="E341" s="440" t="s">
        <v>249</v>
      </c>
      <c r="F341" s="440" t="s">
        <v>42</v>
      </c>
      <c r="G341" s="441"/>
      <c r="H341" s="440" t="s">
        <v>5460</v>
      </c>
      <c r="I341" s="441" t="s">
        <v>5461</v>
      </c>
      <c r="J341" s="450">
        <v>45809</v>
      </c>
      <c r="K341" s="429" t="s">
        <v>2493</v>
      </c>
      <c r="L341" s="444"/>
      <c r="M341" s="444" t="s">
        <v>62</v>
      </c>
      <c r="N341" s="441"/>
      <c r="O341" s="445"/>
      <c r="P341" s="441" t="s">
        <v>2494</v>
      </c>
      <c r="Q341" s="445" t="s">
        <v>2494</v>
      </c>
      <c r="R341" s="445" t="s">
        <v>5462</v>
      </c>
      <c r="S341" s="446">
        <v>45848</v>
      </c>
      <c r="T341" s="446">
        <v>45838</v>
      </c>
      <c r="U341" s="446"/>
      <c r="V341" s="447"/>
      <c r="W341" s="447">
        <v>45840</v>
      </c>
      <c r="X341" s="447" t="s">
        <v>8044</v>
      </c>
      <c r="Y341" s="420"/>
      <c r="Z341" s="224" t="str">
        <f t="shared" si="30"/>
        <v>AG. MEDIÇÃO</v>
      </c>
      <c r="AA341" s="207" t="str">
        <f t="shared" si="31"/>
        <v>ENTREGUE</v>
      </c>
      <c r="AB341" s="207" t="str">
        <f t="shared" si="32"/>
        <v>AG. MEDIÇÃO</v>
      </c>
      <c r="AC341" s="156">
        <f t="shared" ca="1" si="33"/>
        <v>2</v>
      </c>
      <c r="AD341" s="156" t="str">
        <f t="shared" ca="1" si="34"/>
        <v>NO PRAZO</v>
      </c>
      <c r="AE341" s="156">
        <f t="shared" ca="1" si="35"/>
        <v>-1</v>
      </c>
    </row>
    <row r="342" spans="1:31" ht="36" hidden="1" customHeight="1">
      <c r="A342" s="414"/>
      <c r="B342" s="429" t="s">
        <v>7899</v>
      </c>
      <c r="C342" s="429" t="s">
        <v>425</v>
      </c>
      <c r="D342" s="429" t="s">
        <v>250</v>
      </c>
      <c r="E342" s="429" t="s">
        <v>426</v>
      </c>
      <c r="F342" s="429" t="s">
        <v>427</v>
      </c>
      <c r="G342" s="433"/>
      <c r="H342" s="429" t="s">
        <v>7919</v>
      </c>
      <c r="I342" s="433" t="s">
        <v>7920</v>
      </c>
      <c r="J342" s="432">
        <v>46174</v>
      </c>
      <c r="K342" s="429" t="s">
        <v>2493</v>
      </c>
      <c r="L342" s="436"/>
      <c r="M342" s="436" t="s">
        <v>77</v>
      </c>
      <c r="N342" s="437"/>
      <c r="O342" s="437" t="s">
        <v>85</v>
      </c>
      <c r="P342" s="437" t="s">
        <v>2494</v>
      </c>
      <c r="Q342" s="433" t="s">
        <v>2494</v>
      </c>
      <c r="R342" s="499" t="s">
        <v>4727</v>
      </c>
      <c r="S342" s="438">
        <v>46196</v>
      </c>
      <c r="T342" s="438">
        <v>46184</v>
      </c>
      <c r="U342" s="438"/>
      <c r="V342" s="438"/>
      <c r="W342" s="439">
        <v>46185</v>
      </c>
      <c r="X342" s="439">
        <v>46196</v>
      </c>
      <c r="Y342" s="420"/>
      <c r="Z342" s="224" t="str">
        <f t="shared" si="30"/>
        <v>AG. MEDIÇÃO</v>
      </c>
      <c r="AA342" s="207" t="str">
        <f t="shared" si="31"/>
        <v>ENTREGUE</v>
      </c>
      <c r="AB342" s="207" t="str">
        <f t="shared" si="32"/>
        <v>AG. MEDIÇÃO</v>
      </c>
      <c r="AC342" s="156">
        <f t="shared" ca="1" si="33"/>
        <v>1</v>
      </c>
      <c r="AD342" s="156" t="str">
        <f t="shared" ca="1" si="34"/>
        <v>NO PRAZO</v>
      </c>
      <c r="AE342" s="156">
        <f t="shared" ca="1" si="35"/>
        <v>-2</v>
      </c>
    </row>
    <row r="343" spans="1:31" ht="36" hidden="1" customHeight="1">
      <c r="A343" s="414"/>
      <c r="B343" s="440" t="s">
        <v>5369</v>
      </c>
      <c r="C343" s="440" t="s">
        <v>241</v>
      </c>
      <c r="D343" s="440" t="s">
        <v>1177</v>
      </c>
      <c r="E343" s="440" t="s">
        <v>242</v>
      </c>
      <c r="F343" s="440" t="s">
        <v>42</v>
      </c>
      <c r="G343" s="441" t="s">
        <v>5370</v>
      </c>
      <c r="H343" s="440" t="s">
        <v>5371</v>
      </c>
      <c r="I343" s="441" t="s">
        <v>5372</v>
      </c>
      <c r="J343" s="450">
        <v>45809</v>
      </c>
      <c r="K343" s="429" t="s">
        <v>2493</v>
      </c>
      <c r="L343" s="444"/>
      <c r="M343" s="444" t="s">
        <v>5373</v>
      </c>
      <c r="N343" s="441"/>
      <c r="O343" s="445"/>
      <c r="P343" s="441" t="s">
        <v>2494</v>
      </c>
      <c r="Q343" s="445" t="s">
        <v>2494</v>
      </c>
      <c r="R343" s="445" t="s">
        <v>5374</v>
      </c>
      <c r="S343" s="446">
        <v>45845</v>
      </c>
      <c r="T343" s="446">
        <v>45820</v>
      </c>
      <c r="U343" s="446"/>
      <c r="V343" s="447"/>
      <c r="W343" s="447">
        <v>45824</v>
      </c>
      <c r="X343" s="447" t="s">
        <v>8044</v>
      </c>
      <c r="Y343" s="420"/>
      <c r="Z343" s="224" t="str">
        <f t="shared" si="30"/>
        <v>AG. MEDIÇÃO</v>
      </c>
      <c r="AA343" s="207" t="str">
        <f t="shared" si="31"/>
        <v>ENTREGUE</v>
      </c>
      <c r="AB343" s="207" t="str">
        <f t="shared" si="32"/>
        <v>AG. MEDIÇÃO</v>
      </c>
      <c r="AC343" s="156">
        <f t="shared" ca="1" si="33"/>
        <v>2</v>
      </c>
      <c r="AD343" s="156" t="str">
        <f t="shared" ca="1" si="34"/>
        <v>NO PRAZO</v>
      </c>
      <c r="AE343" s="156">
        <f t="shared" ca="1" si="35"/>
        <v>-1</v>
      </c>
    </row>
    <row r="344" spans="1:31" ht="36" hidden="1" customHeight="1">
      <c r="A344" s="414"/>
      <c r="B344" s="440" t="s">
        <v>3772</v>
      </c>
      <c r="C344" s="440" t="s">
        <v>571</v>
      </c>
      <c r="D344" s="440" t="s">
        <v>3773</v>
      </c>
      <c r="E344" s="440" t="s">
        <v>572</v>
      </c>
      <c r="F344" s="440" t="s">
        <v>42</v>
      </c>
      <c r="G344" s="441" t="s">
        <v>3348</v>
      </c>
      <c r="H344" s="440" t="s">
        <v>3774</v>
      </c>
      <c r="I344" s="441" t="s">
        <v>3775</v>
      </c>
      <c r="J344" s="450">
        <v>45383</v>
      </c>
      <c r="K344" s="429" t="s">
        <v>2493</v>
      </c>
      <c r="L344" s="444" t="s">
        <v>1208</v>
      </c>
      <c r="M344" s="444" t="s">
        <v>827</v>
      </c>
      <c r="N344" s="441" t="s">
        <v>2572</v>
      </c>
      <c r="O344" s="445" t="s">
        <v>85</v>
      </c>
      <c r="P344" s="445"/>
      <c r="Q344" s="441">
        <v>345</v>
      </c>
      <c r="R344" s="445" t="s">
        <v>3776</v>
      </c>
      <c r="S344" s="446">
        <v>45469</v>
      </c>
      <c r="T344" s="446">
        <v>45412</v>
      </c>
      <c r="U344" s="446">
        <v>45449</v>
      </c>
      <c r="V344" s="447">
        <v>45464</v>
      </c>
      <c r="W344" s="447">
        <v>45464</v>
      </c>
      <c r="X344" s="447" t="s">
        <v>8044</v>
      </c>
      <c r="Y344" s="420"/>
      <c r="Z344" s="224" t="str">
        <f t="shared" si="30"/>
        <v>AG. MEDIÇÃO</v>
      </c>
      <c r="AA344" s="207" t="str">
        <f t="shared" si="31"/>
        <v>ENTREGUE</v>
      </c>
      <c r="AB344" s="207" t="str">
        <f t="shared" si="32"/>
        <v>AG. MEDIÇÃO</v>
      </c>
      <c r="AC344" s="156">
        <f t="shared" ca="1" si="33"/>
        <v>38</v>
      </c>
      <c r="AD344" s="156" t="str">
        <f t="shared" ca="1" si="34"/>
        <v>ATRASADO</v>
      </c>
      <c r="AE344" s="156">
        <f t="shared" ca="1" si="35"/>
        <v>35</v>
      </c>
    </row>
    <row r="345" spans="1:31" ht="36" hidden="1" customHeight="1">
      <c r="A345" s="414"/>
      <c r="B345" s="440" t="s">
        <v>2680</v>
      </c>
      <c r="C345" s="440" t="s">
        <v>2681</v>
      </c>
      <c r="D345" s="440"/>
      <c r="E345" s="440"/>
      <c r="F345" s="440" t="s">
        <v>42</v>
      </c>
      <c r="G345" s="441" t="s">
        <v>2682</v>
      </c>
      <c r="H345" s="440" t="s">
        <v>2683</v>
      </c>
      <c r="I345" s="449"/>
      <c r="J345" s="443">
        <v>44986</v>
      </c>
      <c r="K345" s="429" t="s">
        <v>2493</v>
      </c>
      <c r="L345" s="446" t="s">
        <v>650</v>
      </c>
      <c r="M345" s="444" t="s">
        <v>2684</v>
      </c>
      <c r="N345" s="441" t="s">
        <v>2572</v>
      </c>
      <c r="O345" s="441"/>
      <c r="P345" s="441"/>
      <c r="Q345" s="441">
        <v>250</v>
      </c>
      <c r="R345" s="445" t="s">
        <v>2685</v>
      </c>
      <c r="S345" s="447">
        <v>45082</v>
      </c>
      <c r="T345" s="446">
        <v>45005</v>
      </c>
      <c r="U345" s="446">
        <v>45005</v>
      </c>
      <c r="V345" s="446">
        <v>45015</v>
      </c>
      <c r="W345" s="447">
        <v>45014</v>
      </c>
      <c r="X345" s="447" t="s">
        <v>8044</v>
      </c>
      <c r="Y345" s="420"/>
      <c r="Z345" s="224" t="str">
        <f t="shared" si="30"/>
        <v>AG. MEDIÇÃO</v>
      </c>
      <c r="AA345" s="207" t="str">
        <f t="shared" si="31"/>
        <v>ENTREGUE</v>
      </c>
      <c r="AB345" s="207" t="str">
        <f t="shared" si="32"/>
        <v>AG. MEDIÇÃO</v>
      </c>
      <c r="AC345" s="156">
        <f t="shared" ca="1" si="33"/>
        <v>7</v>
      </c>
      <c r="AD345" s="156" t="str">
        <f t="shared" ca="1" si="34"/>
        <v>ATRASADO</v>
      </c>
      <c r="AE345" s="156">
        <f t="shared" ca="1" si="35"/>
        <v>4</v>
      </c>
    </row>
    <row r="346" spans="1:31" ht="36" hidden="1" customHeight="1">
      <c r="A346" s="414"/>
      <c r="B346" s="440" t="s">
        <v>2686</v>
      </c>
      <c r="C346" s="440" t="s">
        <v>2687</v>
      </c>
      <c r="D346" s="440"/>
      <c r="E346" s="440"/>
      <c r="F346" s="440" t="s">
        <v>42</v>
      </c>
      <c r="G346" s="441" t="s">
        <v>2688</v>
      </c>
      <c r="H346" s="440" t="s">
        <v>2689</v>
      </c>
      <c r="I346" s="441" t="s">
        <v>2690</v>
      </c>
      <c r="J346" s="443">
        <v>44986</v>
      </c>
      <c r="K346" s="429" t="s">
        <v>2493</v>
      </c>
      <c r="L346" s="444"/>
      <c r="M346" s="444"/>
      <c r="N346" s="441" t="s">
        <v>2572</v>
      </c>
      <c r="O346" s="441"/>
      <c r="P346" s="441"/>
      <c r="Q346" s="441">
        <v>496</v>
      </c>
      <c r="R346" s="445" t="s">
        <v>2691</v>
      </c>
      <c r="S346" s="447">
        <v>45066</v>
      </c>
      <c r="T346" s="446">
        <v>45002</v>
      </c>
      <c r="U346" s="446">
        <v>45006</v>
      </c>
      <c r="V346" s="446">
        <v>45008</v>
      </c>
      <c r="W346" s="447">
        <v>45007</v>
      </c>
      <c r="X346" s="447" t="s">
        <v>8044</v>
      </c>
      <c r="Y346" s="420"/>
      <c r="Z346" s="224" t="str">
        <f t="shared" si="30"/>
        <v>AG. MEDIÇÃO</v>
      </c>
      <c r="AA346" s="207" t="str">
        <f t="shared" si="31"/>
        <v>ENTREGUE</v>
      </c>
      <c r="AB346" s="207" t="str">
        <f t="shared" si="32"/>
        <v>AG. MEDIÇÃO</v>
      </c>
      <c r="AC346" s="156">
        <f t="shared" ca="1" si="33"/>
        <v>3</v>
      </c>
      <c r="AD346" s="156" t="str">
        <f t="shared" ca="1" si="34"/>
        <v>NO PRAZO</v>
      </c>
      <c r="AE346" s="156">
        <f t="shared" ca="1" si="35"/>
        <v>0</v>
      </c>
    </row>
    <row r="347" spans="1:31" ht="36" hidden="1" customHeight="1">
      <c r="A347" s="414"/>
      <c r="B347" s="440" t="s">
        <v>3748</v>
      </c>
      <c r="C347" s="440" t="s">
        <v>479</v>
      </c>
      <c r="D347" s="440" t="s">
        <v>479</v>
      </c>
      <c r="E347" s="440"/>
      <c r="F347" s="440" t="s">
        <v>42</v>
      </c>
      <c r="G347" s="441" t="s">
        <v>3348</v>
      </c>
      <c r="H347" s="440" t="s">
        <v>3749</v>
      </c>
      <c r="I347" s="441" t="s">
        <v>3750</v>
      </c>
      <c r="J347" s="450">
        <v>45383</v>
      </c>
      <c r="K347" s="429" t="s">
        <v>2493</v>
      </c>
      <c r="L347" s="444"/>
      <c r="M347" s="444" t="s">
        <v>132</v>
      </c>
      <c r="N347" s="441" t="s">
        <v>2572</v>
      </c>
      <c r="O347" s="445" t="s">
        <v>85</v>
      </c>
      <c r="P347" s="441" t="s">
        <v>2494</v>
      </c>
      <c r="Q347" s="441" t="s">
        <v>2494</v>
      </c>
      <c r="R347" s="445" t="s">
        <v>3751</v>
      </c>
      <c r="S347" s="446">
        <v>45439</v>
      </c>
      <c r="T347" s="446">
        <v>45408</v>
      </c>
      <c r="U347" s="446">
        <v>45426</v>
      </c>
      <c r="V347" s="447">
        <v>45434</v>
      </c>
      <c r="W347" s="447">
        <v>45434</v>
      </c>
      <c r="X347" s="447" t="s">
        <v>8044</v>
      </c>
      <c r="Y347" s="420"/>
      <c r="Z347" s="224" t="str">
        <f t="shared" si="30"/>
        <v>AG. MEDIÇÃO</v>
      </c>
      <c r="AA347" s="207" t="str">
        <f t="shared" si="31"/>
        <v>ENTREGUE</v>
      </c>
      <c r="AB347" s="207" t="str">
        <f t="shared" si="32"/>
        <v>AG. MEDIÇÃO</v>
      </c>
      <c r="AC347" s="156">
        <f t="shared" ca="1" si="33"/>
        <v>18</v>
      </c>
      <c r="AD347" s="156" t="str">
        <f t="shared" ca="1" si="34"/>
        <v>ATRASADO</v>
      </c>
      <c r="AE347" s="156">
        <f t="shared" ca="1" si="35"/>
        <v>15</v>
      </c>
    </row>
    <row r="348" spans="1:31" ht="36" hidden="1" customHeight="1">
      <c r="A348" s="414"/>
      <c r="B348" s="440" t="s">
        <v>2692</v>
      </c>
      <c r="C348" s="440" t="s">
        <v>594</v>
      </c>
      <c r="D348" s="440"/>
      <c r="E348" s="440"/>
      <c r="F348" s="440" t="s">
        <v>42</v>
      </c>
      <c r="G348" s="441" t="s">
        <v>2693</v>
      </c>
      <c r="H348" s="440" t="s">
        <v>2694</v>
      </c>
      <c r="I348" s="449"/>
      <c r="J348" s="443">
        <v>44986</v>
      </c>
      <c r="K348" s="429" t="s">
        <v>2493</v>
      </c>
      <c r="L348" s="444" t="s">
        <v>650</v>
      </c>
      <c r="M348" s="444" t="s">
        <v>2684</v>
      </c>
      <c r="N348" s="441" t="s">
        <v>2572</v>
      </c>
      <c r="O348" s="441"/>
      <c r="P348" s="441"/>
      <c r="Q348" s="441">
        <v>296</v>
      </c>
      <c r="R348" s="445" t="s">
        <v>2695</v>
      </c>
      <c r="S348" s="447">
        <v>45066</v>
      </c>
      <c r="T348" s="446">
        <v>44640</v>
      </c>
      <c r="U348" s="446">
        <v>45007</v>
      </c>
      <c r="V348" s="446">
        <v>45012</v>
      </c>
      <c r="W348" s="446">
        <v>45012</v>
      </c>
      <c r="X348" s="447" t="s">
        <v>8044</v>
      </c>
      <c r="Y348" s="420"/>
      <c r="Z348" s="224" t="str">
        <f t="shared" si="30"/>
        <v>AG. MEDIÇÃO</v>
      </c>
      <c r="AA348" s="207" t="str">
        <f t="shared" si="31"/>
        <v>ENTREGUE</v>
      </c>
      <c r="AB348" s="207" t="str">
        <f t="shared" si="32"/>
        <v>AG. MEDIÇÃO</v>
      </c>
      <c r="AC348" s="156">
        <f t="shared" ca="1" si="33"/>
        <v>265</v>
      </c>
      <c r="AD348" s="156" t="str">
        <f t="shared" ca="1" si="34"/>
        <v>ATRASADO</v>
      </c>
      <c r="AE348" s="156">
        <f t="shared" ca="1" si="35"/>
        <v>262</v>
      </c>
    </row>
    <row r="349" spans="1:31" ht="36" hidden="1" customHeight="1">
      <c r="A349" s="414"/>
      <c r="B349" s="440" t="s">
        <v>4670</v>
      </c>
      <c r="C349" s="440" t="s">
        <v>203</v>
      </c>
      <c r="D349" s="440" t="s">
        <v>886</v>
      </c>
      <c r="E349" s="440" t="s">
        <v>204</v>
      </c>
      <c r="F349" s="440" t="s">
        <v>42</v>
      </c>
      <c r="G349" s="441" t="s">
        <v>4671</v>
      </c>
      <c r="H349" s="637" t="s">
        <v>4672</v>
      </c>
      <c r="I349" s="441" t="s">
        <v>4673</v>
      </c>
      <c r="J349" s="450">
        <v>45627</v>
      </c>
      <c r="K349" s="429" t="s">
        <v>2493</v>
      </c>
      <c r="L349" s="444" t="s">
        <v>124</v>
      </c>
      <c r="M349" s="444" t="s">
        <v>200</v>
      </c>
      <c r="N349" s="441" t="s">
        <v>2572</v>
      </c>
      <c r="O349" s="445" t="s">
        <v>4674</v>
      </c>
      <c r="P349" s="445">
        <v>4000</v>
      </c>
      <c r="Q349" s="445">
        <v>2990</v>
      </c>
      <c r="R349" s="445" t="s">
        <v>4675</v>
      </c>
      <c r="S349" s="446">
        <v>45698</v>
      </c>
      <c r="T349" s="446">
        <v>45653</v>
      </c>
      <c r="U349" s="446">
        <v>45672</v>
      </c>
      <c r="V349" s="447">
        <v>45673</v>
      </c>
      <c r="W349" s="447">
        <v>45674</v>
      </c>
      <c r="X349" s="447" t="s">
        <v>8044</v>
      </c>
      <c r="Y349" s="420"/>
      <c r="Z349" s="224" t="str">
        <f t="shared" si="30"/>
        <v>AG. MEDIÇÃO</v>
      </c>
      <c r="AA349" s="207" t="str">
        <f t="shared" si="31"/>
        <v>ENTREGUE</v>
      </c>
      <c r="AB349" s="207" t="str">
        <f t="shared" si="32"/>
        <v>AG. MEDIÇÃO</v>
      </c>
      <c r="AC349" s="156">
        <f t="shared" ca="1" si="33"/>
        <v>15</v>
      </c>
      <c r="AD349" s="156" t="str">
        <f t="shared" ca="1" si="34"/>
        <v>ATRASADO</v>
      </c>
      <c r="AE349" s="156">
        <f t="shared" ca="1" si="35"/>
        <v>12</v>
      </c>
    </row>
    <row r="350" spans="1:31" ht="36" hidden="1" customHeight="1">
      <c r="A350" s="414"/>
      <c r="B350" s="440" t="s">
        <v>5801</v>
      </c>
      <c r="C350" s="440" t="s">
        <v>88</v>
      </c>
      <c r="D350" s="440"/>
      <c r="E350" s="440" t="s">
        <v>3767</v>
      </c>
      <c r="F350" s="440" t="s">
        <v>42</v>
      </c>
      <c r="G350" s="441" t="s">
        <v>5802</v>
      </c>
      <c r="H350" s="639" t="s">
        <v>3767</v>
      </c>
      <c r="I350" s="441" t="s">
        <v>5803</v>
      </c>
      <c r="J350" s="450">
        <v>45931</v>
      </c>
      <c r="K350" s="429" t="s">
        <v>2493</v>
      </c>
      <c r="L350" s="444" t="s">
        <v>634</v>
      </c>
      <c r="M350" s="444" t="s">
        <v>200</v>
      </c>
      <c r="N350" s="441"/>
      <c r="O350" s="445"/>
      <c r="P350" s="441"/>
      <c r="Q350" s="445">
        <v>1700</v>
      </c>
      <c r="R350" s="445" t="s">
        <v>5804</v>
      </c>
      <c r="S350" s="446"/>
      <c r="T350" s="446"/>
      <c r="U350" s="446"/>
      <c r="V350" s="447"/>
      <c r="W350" s="447"/>
      <c r="X350" s="447"/>
      <c r="Y350" s="420"/>
      <c r="Z350" s="224" t="str">
        <f t="shared" si="30"/>
        <v>AG. RELATÓRIO</v>
      </c>
      <c r="AA350" s="207" t="str">
        <f t="shared" si="31"/>
        <v>PENDENTE</v>
      </c>
      <c r="AB350" s="207" t="str">
        <f t="shared" si="32"/>
        <v>AG. RELATÓRIO</v>
      </c>
      <c r="AC350" s="156" t="str">
        <f t="shared" ca="1" si="33"/>
        <v>DATA ENTRADA</v>
      </c>
      <c r="AD350" s="156" t="str">
        <f t="shared" ca="1" si="34"/>
        <v>ATRASADO</v>
      </c>
      <c r="AE350" s="156" t="str">
        <f t="shared" ca="1" si="35"/>
        <v>DATA ENTRADA</v>
      </c>
    </row>
    <row r="351" spans="1:31" ht="36" hidden="1" customHeight="1">
      <c r="A351" s="414"/>
      <c r="B351" s="440" t="s">
        <v>5690</v>
      </c>
      <c r="C351" s="440" t="s">
        <v>641</v>
      </c>
      <c r="D351" s="440" t="s">
        <v>643</v>
      </c>
      <c r="E351" s="440" t="s">
        <v>642</v>
      </c>
      <c r="F351" s="440" t="s">
        <v>42</v>
      </c>
      <c r="G351" s="441" t="s">
        <v>5691</v>
      </c>
      <c r="H351" s="440" t="s">
        <v>5692</v>
      </c>
      <c r="I351" s="441" t="s">
        <v>5693</v>
      </c>
      <c r="J351" s="450">
        <v>45870</v>
      </c>
      <c r="K351" s="429" t="s">
        <v>2493</v>
      </c>
      <c r="L351" s="444" t="s">
        <v>200</v>
      </c>
      <c r="M351" s="444" t="s">
        <v>200</v>
      </c>
      <c r="N351" s="441"/>
      <c r="O351" s="445"/>
      <c r="P351" s="441">
        <v>735</v>
      </c>
      <c r="Q351" s="445">
        <v>970</v>
      </c>
      <c r="R351" s="445" t="s">
        <v>5694</v>
      </c>
      <c r="S351" s="446">
        <v>45993</v>
      </c>
      <c r="T351" s="446">
        <v>45891</v>
      </c>
      <c r="U351" s="446"/>
      <c r="V351" s="447"/>
      <c r="W351" s="447">
        <v>45898</v>
      </c>
      <c r="X351" s="447" t="s">
        <v>8044</v>
      </c>
      <c r="Y351" s="420"/>
      <c r="Z351" s="224" t="str">
        <f t="shared" si="30"/>
        <v>AG. MEDIÇÃO</v>
      </c>
      <c r="AA351" s="207" t="str">
        <f t="shared" si="31"/>
        <v>ENTREGUE</v>
      </c>
      <c r="AB351" s="207" t="str">
        <f t="shared" si="32"/>
        <v>AG. MEDIÇÃO</v>
      </c>
      <c r="AC351" s="156">
        <f t="shared" ca="1" si="33"/>
        <v>5</v>
      </c>
      <c r="AD351" s="156" t="str">
        <f t="shared" ca="1" si="34"/>
        <v>ATRASADO</v>
      </c>
      <c r="AE351" s="156">
        <f t="shared" ca="1" si="35"/>
        <v>2</v>
      </c>
    </row>
    <row r="352" spans="1:31" ht="36" hidden="1" customHeight="1">
      <c r="A352" s="414"/>
      <c r="B352" s="440" t="s">
        <v>5748</v>
      </c>
      <c r="C352" s="440" t="s">
        <v>1030</v>
      </c>
      <c r="D352" s="440" t="s">
        <v>1206</v>
      </c>
      <c r="E352" s="440"/>
      <c r="F352" s="440" t="s">
        <v>42</v>
      </c>
      <c r="G352" s="441"/>
      <c r="H352" s="484" t="s">
        <v>5749</v>
      </c>
      <c r="I352" s="441" t="s">
        <v>5750</v>
      </c>
      <c r="J352" s="450">
        <v>45901</v>
      </c>
      <c r="K352" s="429" t="s">
        <v>2493</v>
      </c>
      <c r="L352" s="444"/>
      <c r="M352" s="444" t="s">
        <v>1155</v>
      </c>
      <c r="N352" s="441"/>
      <c r="O352" s="445"/>
      <c r="P352" s="441"/>
      <c r="Q352" s="445"/>
      <c r="R352" s="445" t="s">
        <v>5751</v>
      </c>
      <c r="S352" s="446" t="s">
        <v>1206</v>
      </c>
      <c r="T352" s="446"/>
      <c r="U352" s="446"/>
      <c r="V352" s="447"/>
      <c r="W352" s="447">
        <v>45924</v>
      </c>
      <c r="X352" s="447" t="s">
        <v>8044</v>
      </c>
      <c r="Y352" s="420"/>
      <c r="Z352" s="224" t="str">
        <f t="shared" si="30"/>
        <v>AG. MEDIÇÃO</v>
      </c>
      <c r="AA352" s="207" t="str">
        <f t="shared" si="31"/>
        <v>ENTREGUE</v>
      </c>
      <c r="AB352" s="207" t="str">
        <f t="shared" si="32"/>
        <v>AG. MEDIÇÃO</v>
      </c>
      <c r="AC352" s="156" t="str">
        <f t="shared" ca="1" si="33"/>
        <v>DATA ENTRADA</v>
      </c>
      <c r="AD352" s="156" t="str">
        <f t="shared" ca="1" si="34"/>
        <v>ATRASADO</v>
      </c>
      <c r="AE352" s="156" t="str">
        <f t="shared" ca="1" si="35"/>
        <v>DATA ENTRADA</v>
      </c>
    </row>
    <row r="353" spans="1:31" ht="36" hidden="1" customHeight="1">
      <c r="A353" s="414"/>
      <c r="B353" s="440" t="s">
        <v>4905</v>
      </c>
      <c r="C353" s="440" t="s">
        <v>203</v>
      </c>
      <c r="D353" s="440"/>
      <c r="E353" s="440" t="s">
        <v>204</v>
      </c>
      <c r="F353" s="440" t="s">
        <v>42</v>
      </c>
      <c r="G353" s="441" t="s">
        <v>4906</v>
      </c>
      <c r="H353" s="440" t="s">
        <v>4907</v>
      </c>
      <c r="I353" s="441" t="s">
        <v>4908</v>
      </c>
      <c r="J353" s="450">
        <v>45717</v>
      </c>
      <c r="K353" s="429" t="s">
        <v>2493</v>
      </c>
      <c r="L353" s="444" t="s">
        <v>1208</v>
      </c>
      <c r="M353" s="444" t="s">
        <v>200</v>
      </c>
      <c r="N353" s="441"/>
      <c r="O353" s="464">
        <v>46048</v>
      </c>
      <c r="P353" s="441">
        <v>620</v>
      </c>
      <c r="Q353" s="445">
        <v>730</v>
      </c>
      <c r="R353" s="445" t="s">
        <v>4909</v>
      </c>
      <c r="S353" s="446">
        <v>45734</v>
      </c>
      <c r="T353" s="446">
        <v>45727</v>
      </c>
      <c r="U353" s="446">
        <v>45729</v>
      </c>
      <c r="V353" s="447">
        <v>45732</v>
      </c>
      <c r="W353" s="447">
        <v>45732</v>
      </c>
      <c r="X353" s="447">
        <v>46048</v>
      </c>
      <c r="Y353" s="420"/>
      <c r="Z353" s="224" t="str">
        <f t="shared" si="30"/>
        <v>AG. MEDIÇÃO</v>
      </c>
      <c r="AA353" s="207" t="str">
        <f t="shared" si="31"/>
        <v>ENTREGUE</v>
      </c>
      <c r="AB353" s="207" t="str">
        <f t="shared" si="32"/>
        <v>AG. MEDIÇÃO</v>
      </c>
      <c r="AC353" s="156">
        <f t="shared" ca="1" si="33"/>
        <v>3</v>
      </c>
      <c r="AD353" s="156" t="str">
        <f t="shared" ca="1" si="34"/>
        <v>NO PRAZO</v>
      </c>
      <c r="AE353" s="156">
        <f t="shared" ca="1" si="35"/>
        <v>0</v>
      </c>
    </row>
    <row r="354" spans="1:31" ht="36" hidden="1" customHeight="1">
      <c r="A354" s="414"/>
      <c r="B354" s="440" t="s">
        <v>3472</v>
      </c>
      <c r="C354" s="440"/>
      <c r="D354" s="440"/>
      <c r="E354" s="440"/>
      <c r="F354" s="440" t="s">
        <v>42</v>
      </c>
      <c r="G354" s="441" t="s">
        <v>3473</v>
      </c>
      <c r="H354" s="440" t="s">
        <v>3474</v>
      </c>
      <c r="I354" s="441"/>
      <c r="J354" s="450">
        <v>45352</v>
      </c>
      <c r="K354" s="429" t="s">
        <v>2493</v>
      </c>
      <c r="L354" s="444" t="s">
        <v>3221</v>
      </c>
      <c r="M354" s="444"/>
      <c r="N354" s="441" t="s">
        <v>2572</v>
      </c>
      <c r="O354" s="445" t="s">
        <v>85</v>
      </c>
      <c r="P354" s="445"/>
      <c r="Q354" s="441">
        <v>234</v>
      </c>
      <c r="R354" s="445" t="s">
        <v>3475</v>
      </c>
      <c r="S354" s="446">
        <v>45377</v>
      </c>
      <c r="T354" s="446">
        <v>45364</v>
      </c>
      <c r="U354" s="446">
        <v>45364</v>
      </c>
      <c r="V354" s="446"/>
      <c r="W354" s="447">
        <v>45364</v>
      </c>
      <c r="X354" s="447" t="s">
        <v>8044</v>
      </c>
      <c r="Y354" s="420"/>
      <c r="Z354" s="224" t="str">
        <f t="shared" si="30"/>
        <v>AG. MEDIÇÃO</v>
      </c>
      <c r="AA354" s="207" t="str">
        <f t="shared" si="31"/>
        <v>ENTREGUE</v>
      </c>
      <c r="AB354" s="207" t="str">
        <f t="shared" si="32"/>
        <v>AG. MEDIÇÃO</v>
      </c>
      <c r="AC354" s="156">
        <f t="shared" ca="1" si="33"/>
        <v>0</v>
      </c>
      <c r="AD354" s="156" t="str">
        <f t="shared" ca="1" si="34"/>
        <v>NO PRAZO</v>
      </c>
      <c r="AE354" s="156">
        <f t="shared" ca="1" si="35"/>
        <v>-3</v>
      </c>
    </row>
    <row r="355" spans="1:31" ht="36" hidden="1" customHeight="1">
      <c r="A355" s="414"/>
      <c r="B355" s="466" t="s">
        <v>6725</v>
      </c>
      <c r="C355" s="466" t="s">
        <v>248</v>
      </c>
      <c r="D355" s="466" t="s">
        <v>2048</v>
      </c>
      <c r="E355" s="466" t="s">
        <v>249</v>
      </c>
      <c r="F355" s="466" t="s">
        <v>42</v>
      </c>
      <c r="G355" s="475"/>
      <c r="H355" s="488" t="s">
        <v>6729</v>
      </c>
      <c r="I355" s="475" t="s">
        <v>6730</v>
      </c>
      <c r="J355" s="476">
        <v>45992</v>
      </c>
      <c r="K355" s="429" t="s">
        <v>2493</v>
      </c>
      <c r="L355" s="477" t="s">
        <v>147</v>
      </c>
      <c r="M355" s="477" t="s">
        <v>259</v>
      </c>
      <c r="N355" s="475"/>
      <c r="O355" s="479"/>
      <c r="P355" s="479">
        <v>170</v>
      </c>
      <c r="Q355" s="475">
        <v>168</v>
      </c>
      <c r="R355" s="479" t="s">
        <v>7004</v>
      </c>
      <c r="S355" s="480">
        <v>46059</v>
      </c>
      <c r="T355" s="480">
        <v>46013</v>
      </c>
      <c r="U355" s="480"/>
      <c r="V355" s="481"/>
      <c r="W355" s="481">
        <v>46380</v>
      </c>
      <c r="X355" s="481">
        <v>46059</v>
      </c>
      <c r="Y355" s="420"/>
      <c r="Z355" s="224" t="str">
        <f t="shared" si="30"/>
        <v>AG. MEDIÇÃO</v>
      </c>
      <c r="AA355" s="207" t="str">
        <f t="shared" si="31"/>
        <v>ENTREGUE</v>
      </c>
      <c r="AB355" s="207" t="str">
        <f t="shared" si="32"/>
        <v>AG. MEDIÇÃO</v>
      </c>
      <c r="AC355" s="156">
        <f t="shared" ca="1" si="33"/>
        <v>263</v>
      </c>
      <c r="AD355" s="156" t="str">
        <f t="shared" ca="1" si="34"/>
        <v>ATRASADO</v>
      </c>
      <c r="AE355" s="156">
        <f t="shared" ca="1" si="35"/>
        <v>260</v>
      </c>
    </row>
    <row r="356" spans="1:31" ht="36" hidden="1" customHeight="1">
      <c r="A356" s="414"/>
      <c r="B356" s="440" t="s">
        <v>5216</v>
      </c>
      <c r="C356" s="440" t="s">
        <v>979</v>
      </c>
      <c r="D356" s="440" t="s">
        <v>1280</v>
      </c>
      <c r="E356" s="440" t="s">
        <v>980</v>
      </c>
      <c r="F356" s="440" t="s">
        <v>982</v>
      </c>
      <c r="G356" s="441"/>
      <c r="H356" s="440" t="s">
        <v>5217</v>
      </c>
      <c r="I356" s="441" t="s">
        <v>5218</v>
      </c>
      <c r="J356" s="450">
        <v>45778</v>
      </c>
      <c r="K356" s="429" t="s">
        <v>2493</v>
      </c>
      <c r="L356" s="444" t="s">
        <v>239</v>
      </c>
      <c r="M356" s="444" t="s">
        <v>1764</v>
      </c>
      <c r="N356" s="441"/>
      <c r="O356" s="445"/>
      <c r="P356" s="441"/>
      <c r="Q356" s="445"/>
      <c r="R356" s="445" t="s">
        <v>5219</v>
      </c>
      <c r="S356" s="446" t="s">
        <v>5175</v>
      </c>
      <c r="T356" s="446">
        <v>45786</v>
      </c>
      <c r="U356" s="446"/>
      <c r="V356" s="447"/>
      <c r="W356" s="447">
        <v>45797</v>
      </c>
      <c r="X356" s="447" t="s">
        <v>8044</v>
      </c>
      <c r="Y356" s="420"/>
      <c r="Z356" s="224" t="str">
        <f t="shared" si="30"/>
        <v>AG. MEDIÇÃO</v>
      </c>
      <c r="AA356" s="207" t="str">
        <f t="shared" si="31"/>
        <v>ENTREGUE</v>
      </c>
      <c r="AB356" s="207" t="str">
        <f t="shared" si="32"/>
        <v>AG. MEDIÇÃO</v>
      </c>
      <c r="AC356" s="156">
        <f t="shared" ca="1" si="33"/>
        <v>7</v>
      </c>
      <c r="AD356" s="156" t="str">
        <f t="shared" ca="1" si="34"/>
        <v>ATRASADO</v>
      </c>
      <c r="AE356" s="156">
        <f t="shared" ca="1" si="35"/>
        <v>4</v>
      </c>
    </row>
    <row r="357" spans="1:31" ht="36" hidden="1" customHeight="1">
      <c r="A357" s="414"/>
      <c r="B357" s="440" t="s">
        <v>2998</v>
      </c>
      <c r="C357" s="440" t="s">
        <v>592</v>
      </c>
      <c r="D357" s="440"/>
      <c r="E357" s="440"/>
      <c r="F357" s="440" t="s">
        <v>42</v>
      </c>
      <c r="G357" s="441" t="s">
        <v>2999</v>
      </c>
      <c r="H357" s="440" t="s">
        <v>3000</v>
      </c>
      <c r="I357" s="449"/>
      <c r="J357" s="443">
        <v>45108</v>
      </c>
      <c r="K357" s="429" t="s">
        <v>2493</v>
      </c>
      <c r="L357" s="444" t="s">
        <v>864</v>
      </c>
      <c r="M357" s="444" t="s">
        <v>864</v>
      </c>
      <c r="N357" s="441" t="s">
        <v>2572</v>
      </c>
      <c r="O357" s="445" t="s">
        <v>2573</v>
      </c>
      <c r="P357" s="445"/>
      <c r="Q357" s="441">
        <v>249</v>
      </c>
      <c r="R357" s="445" t="s">
        <v>3001</v>
      </c>
      <c r="S357" s="446">
        <v>45175</v>
      </c>
      <c r="T357" s="446">
        <v>45120</v>
      </c>
      <c r="U357" s="446">
        <v>45121</v>
      </c>
      <c r="V357" s="446">
        <v>45124</v>
      </c>
      <c r="W357" s="447">
        <v>45124</v>
      </c>
      <c r="X357" s="447" t="s">
        <v>8044</v>
      </c>
      <c r="Y357" s="420"/>
      <c r="Z357" s="224" t="str">
        <f t="shared" si="30"/>
        <v>AG. MEDIÇÃO</v>
      </c>
      <c r="AA357" s="207" t="str">
        <f t="shared" si="31"/>
        <v>ENTREGUE</v>
      </c>
      <c r="AB357" s="207" t="str">
        <f t="shared" si="32"/>
        <v>AG. MEDIÇÃO</v>
      </c>
      <c r="AC357" s="156">
        <f t="shared" ca="1" si="33"/>
        <v>2</v>
      </c>
      <c r="AD357" s="156" t="str">
        <f t="shared" ca="1" si="34"/>
        <v>NO PRAZO</v>
      </c>
      <c r="AE357" s="156">
        <f t="shared" ca="1" si="35"/>
        <v>-1</v>
      </c>
    </row>
    <row r="358" spans="1:31" ht="36" hidden="1" customHeight="1">
      <c r="A358" s="414"/>
      <c r="B358" s="440" t="s">
        <v>3806</v>
      </c>
      <c r="C358" s="440" t="s">
        <v>328</v>
      </c>
      <c r="D358" s="440" t="s">
        <v>330</v>
      </c>
      <c r="E358" s="440"/>
      <c r="F358" s="440" t="s">
        <v>42</v>
      </c>
      <c r="G358" s="441" t="s">
        <v>3348</v>
      </c>
      <c r="H358" s="440" t="s">
        <v>3807</v>
      </c>
      <c r="I358" s="441" t="s">
        <v>3808</v>
      </c>
      <c r="J358" s="450">
        <v>45383</v>
      </c>
      <c r="K358" s="429" t="s">
        <v>2493</v>
      </c>
      <c r="L358" s="444"/>
      <c r="M358" s="444" t="s">
        <v>132</v>
      </c>
      <c r="N358" s="441" t="s">
        <v>2572</v>
      </c>
      <c r="O358" s="445" t="s">
        <v>85</v>
      </c>
      <c r="P358" s="441" t="s">
        <v>2494</v>
      </c>
      <c r="Q358" s="441" t="s">
        <v>2494</v>
      </c>
      <c r="R358" s="445" t="s">
        <v>3809</v>
      </c>
      <c r="S358" s="446">
        <v>45439</v>
      </c>
      <c r="T358" s="446">
        <v>45412</v>
      </c>
      <c r="U358" s="447">
        <v>45426</v>
      </c>
      <c r="V358" s="447">
        <v>45426</v>
      </c>
      <c r="W358" s="447">
        <v>45426</v>
      </c>
      <c r="X358" s="447" t="s">
        <v>8044</v>
      </c>
      <c r="Y358" s="420"/>
      <c r="Z358" s="224" t="str">
        <f t="shared" si="30"/>
        <v>AG. MEDIÇÃO</v>
      </c>
      <c r="AA358" s="207" t="str">
        <f t="shared" si="31"/>
        <v>ENTREGUE</v>
      </c>
      <c r="AB358" s="207" t="str">
        <f t="shared" si="32"/>
        <v>AG. MEDIÇÃO</v>
      </c>
      <c r="AC358" s="156">
        <f t="shared" ca="1" si="33"/>
        <v>10</v>
      </c>
      <c r="AD358" s="156" t="str">
        <f t="shared" ca="1" si="34"/>
        <v>ATRASADO</v>
      </c>
      <c r="AE358" s="156">
        <f t="shared" ca="1" si="35"/>
        <v>7</v>
      </c>
    </row>
    <row r="359" spans="1:31" ht="36" hidden="1" customHeight="1">
      <c r="A359" s="414"/>
      <c r="B359" s="440" t="s">
        <v>3737</v>
      </c>
      <c r="C359" s="440" t="s">
        <v>353</v>
      </c>
      <c r="D359" s="440" t="s">
        <v>377</v>
      </c>
      <c r="E359" s="440"/>
      <c r="F359" s="440" t="s">
        <v>42</v>
      </c>
      <c r="G359" s="441" t="s">
        <v>3348</v>
      </c>
      <c r="H359" s="440" t="s">
        <v>3738</v>
      </c>
      <c r="I359" s="441" t="s">
        <v>3739</v>
      </c>
      <c r="J359" s="450">
        <v>45383</v>
      </c>
      <c r="K359" s="429" t="s">
        <v>2493</v>
      </c>
      <c r="L359" s="444" t="s">
        <v>3696</v>
      </c>
      <c r="M359" s="444" t="s">
        <v>132</v>
      </c>
      <c r="N359" s="441" t="s">
        <v>2572</v>
      </c>
      <c r="O359" s="445" t="s">
        <v>85</v>
      </c>
      <c r="P359" s="445"/>
      <c r="Q359" s="441">
        <v>83</v>
      </c>
      <c r="R359" s="445" t="s">
        <v>3740</v>
      </c>
      <c r="S359" s="446">
        <v>45469</v>
      </c>
      <c r="T359" s="446">
        <v>45405</v>
      </c>
      <c r="U359" s="446">
        <v>45450</v>
      </c>
      <c r="V359" s="447">
        <v>45457</v>
      </c>
      <c r="W359" s="447">
        <v>45457</v>
      </c>
      <c r="X359" s="447" t="s">
        <v>8044</v>
      </c>
      <c r="Y359" s="420"/>
      <c r="Z359" s="224" t="str">
        <f t="shared" si="30"/>
        <v>AG. MEDIÇÃO</v>
      </c>
      <c r="AA359" s="207" t="str">
        <f t="shared" si="31"/>
        <v>ENTREGUE</v>
      </c>
      <c r="AB359" s="207" t="str">
        <f t="shared" si="32"/>
        <v>AG. MEDIÇÃO</v>
      </c>
      <c r="AC359" s="156">
        <f t="shared" ca="1" si="33"/>
        <v>38</v>
      </c>
      <c r="AD359" s="156" t="str">
        <f t="shared" ca="1" si="34"/>
        <v>ATRASADO</v>
      </c>
      <c r="AE359" s="156">
        <f t="shared" ca="1" si="35"/>
        <v>35</v>
      </c>
    </row>
    <row r="360" spans="1:31" ht="36" hidden="1" customHeight="1">
      <c r="A360" s="414"/>
      <c r="B360" s="466" t="s">
        <v>2487</v>
      </c>
      <c r="C360" s="466" t="s">
        <v>2488</v>
      </c>
      <c r="D360" s="466"/>
      <c r="E360" s="466" t="s">
        <v>2489</v>
      </c>
      <c r="F360" s="466" t="s">
        <v>2490</v>
      </c>
      <c r="G360" s="475"/>
      <c r="H360" s="466" t="s">
        <v>2491</v>
      </c>
      <c r="I360" s="475" t="s">
        <v>2492</v>
      </c>
      <c r="J360" s="476">
        <v>45932</v>
      </c>
      <c r="K360" s="429" t="s">
        <v>2493</v>
      </c>
      <c r="L360" s="477"/>
      <c r="M360" s="477"/>
      <c r="N360" s="475"/>
      <c r="O360" s="479"/>
      <c r="P360" s="475" t="s">
        <v>2494</v>
      </c>
      <c r="Q360" s="479" t="s">
        <v>2494</v>
      </c>
      <c r="R360" s="479"/>
      <c r="S360" s="480"/>
      <c r="T360" s="480"/>
      <c r="U360" s="480"/>
      <c r="V360" s="481"/>
      <c r="W360" s="481"/>
      <c r="X360" s="481"/>
      <c r="Y360" s="420"/>
      <c r="Z360" s="224" t="str">
        <f t="shared" si="30"/>
        <v>AG. RELATÓRIO</v>
      </c>
      <c r="AA360" s="207" t="str">
        <f t="shared" si="31"/>
        <v>PENDENTE</v>
      </c>
      <c r="AB360" s="207" t="str">
        <f t="shared" si="32"/>
        <v>AG. RELATÓRIO</v>
      </c>
      <c r="AC360" s="156" t="str">
        <f t="shared" ca="1" si="33"/>
        <v>DATA ENTRADA</v>
      </c>
      <c r="AD360" s="156" t="str">
        <f t="shared" ca="1" si="34"/>
        <v>ATRASADO</v>
      </c>
      <c r="AE360" s="156" t="str">
        <f t="shared" ca="1" si="35"/>
        <v>DATA ENTRADA</v>
      </c>
    </row>
    <row r="361" spans="1:31" ht="36" hidden="1" customHeight="1">
      <c r="A361" s="414"/>
      <c r="B361" s="429" t="s">
        <v>7015</v>
      </c>
      <c r="C361" s="430" t="s">
        <v>5265</v>
      </c>
      <c r="D361" s="431"/>
      <c r="E361" s="432" t="s">
        <v>7051</v>
      </c>
      <c r="F361" s="429" t="s">
        <v>5165</v>
      </c>
      <c r="G361" s="434"/>
      <c r="H361" s="636" t="s">
        <v>7049</v>
      </c>
      <c r="I361" s="433" t="s">
        <v>7050</v>
      </c>
      <c r="J361" s="432">
        <v>46054</v>
      </c>
      <c r="K361" s="429" t="s">
        <v>2493</v>
      </c>
      <c r="L361" s="487"/>
      <c r="M361" s="436"/>
      <c r="N361" s="433"/>
      <c r="O361" s="437"/>
      <c r="P361" s="433">
        <v>490</v>
      </c>
      <c r="Q361" s="437">
        <v>892</v>
      </c>
      <c r="R361" s="437" t="s">
        <v>7052</v>
      </c>
      <c r="S361" s="438">
        <v>46094</v>
      </c>
      <c r="T361" s="438">
        <v>46072</v>
      </c>
      <c r="U361" s="438"/>
      <c r="V361" s="439"/>
      <c r="W361" s="439">
        <v>46073</v>
      </c>
      <c r="X361" s="439">
        <v>46066</v>
      </c>
      <c r="Y361" s="420"/>
      <c r="Z361" s="224" t="str">
        <f t="shared" si="30"/>
        <v>AG. MEDIÇÃO</v>
      </c>
      <c r="AA361" s="207" t="str">
        <f t="shared" si="31"/>
        <v>ENTREGUE</v>
      </c>
      <c r="AB361" s="207" t="str">
        <f t="shared" si="32"/>
        <v>AG. MEDIÇÃO</v>
      </c>
      <c r="AC361" s="156">
        <f t="shared" ca="1" si="33"/>
        <v>1</v>
      </c>
      <c r="AD361" s="156" t="str">
        <f t="shared" ca="1" si="34"/>
        <v>NO PRAZO</v>
      </c>
      <c r="AE361" s="156">
        <f t="shared" ca="1" si="35"/>
        <v>-2</v>
      </c>
    </row>
    <row r="362" spans="1:31" ht="36" hidden="1" customHeight="1">
      <c r="A362" s="414"/>
      <c r="B362" s="440" t="s">
        <v>3837</v>
      </c>
      <c r="C362" s="440" t="s">
        <v>111</v>
      </c>
      <c r="D362" s="440" t="s">
        <v>360</v>
      </c>
      <c r="E362" s="440"/>
      <c r="F362" s="440" t="s">
        <v>42</v>
      </c>
      <c r="G362" s="441" t="s">
        <v>3348</v>
      </c>
      <c r="H362" s="440" t="s">
        <v>3838</v>
      </c>
      <c r="I362" s="441" t="s">
        <v>3839</v>
      </c>
      <c r="J362" s="450">
        <v>45413</v>
      </c>
      <c r="K362" s="429" t="s">
        <v>2493</v>
      </c>
      <c r="L362" s="444" t="s">
        <v>1380</v>
      </c>
      <c r="M362" s="444" t="s">
        <v>132</v>
      </c>
      <c r="N362" s="441" t="s">
        <v>2572</v>
      </c>
      <c r="O362" s="445" t="s">
        <v>85</v>
      </c>
      <c r="P362" s="445"/>
      <c r="Q362" s="441">
        <v>674</v>
      </c>
      <c r="R362" s="445" t="s">
        <v>3840</v>
      </c>
      <c r="S362" s="446">
        <v>45439</v>
      </c>
      <c r="T362" s="446">
        <v>45425</v>
      </c>
      <c r="U362" s="446">
        <v>45426</v>
      </c>
      <c r="V362" s="447">
        <v>45426</v>
      </c>
      <c r="W362" s="447">
        <v>45426</v>
      </c>
      <c r="X362" s="447" t="s">
        <v>8044</v>
      </c>
      <c r="Y362" s="420"/>
      <c r="Z362" s="224" t="str">
        <f t="shared" si="30"/>
        <v>AG. MEDIÇÃO</v>
      </c>
      <c r="AA362" s="207" t="str">
        <f t="shared" si="31"/>
        <v>ENTREGUE</v>
      </c>
      <c r="AB362" s="207" t="str">
        <f t="shared" si="32"/>
        <v>AG. MEDIÇÃO</v>
      </c>
      <c r="AC362" s="156">
        <f t="shared" ca="1" si="33"/>
        <v>1</v>
      </c>
      <c r="AD362" s="156" t="str">
        <f t="shared" ca="1" si="34"/>
        <v>NO PRAZO</v>
      </c>
      <c r="AE362" s="156">
        <f t="shared" ca="1" si="35"/>
        <v>-2</v>
      </c>
    </row>
    <row r="363" spans="1:31" ht="36" hidden="1" customHeight="1">
      <c r="A363" s="414"/>
      <c r="B363" s="440" t="s">
        <v>3810</v>
      </c>
      <c r="C363" s="440" t="s">
        <v>54</v>
      </c>
      <c r="D363" s="440" t="s">
        <v>286</v>
      </c>
      <c r="E363" s="440"/>
      <c r="F363" s="440" t="s">
        <v>42</v>
      </c>
      <c r="G363" s="441" t="s">
        <v>3348</v>
      </c>
      <c r="H363" s="440" t="s">
        <v>3811</v>
      </c>
      <c r="I363" s="441" t="s">
        <v>3812</v>
      </c>
      <c r="J363" s="450">
        <v>45383</v>
      </c>
      <c r="K363" s="429" t="s">
        <v>2493</v>
      </c>
      <c r="L363" s="444" t="s">
        <v>1130</v>
      </c>
      <c r="M363" s="444" t="s">
        <v>132</v>
      </c>
      <c r="N363" s="441" t="s">
        <v>2572</v>
      </c>
      <c r="O363" s="445" t="s">
        <v>85</v>
      </c>
      <c r="P363" s="445"/>
      <c r="Q363" s="441">
        <v>661</v>
      </c>
      <c r="R363" s="445" t="s">
        <v>3813</v>
      </c>
      <c r="S363" s="446">
        <v>45469</v>
      </c>
      <c r="T363" s="446">
        <v>45412</v>
      </c>
      <c r="U363" s="446">
        <v>45426</v>
      </c>
      <c r="V363" s="447">
        <v>45427</v>
      </c>
      <c r="W363" s="447">
        <v>45448</v>
      </c>
      <c r="X363" s="447" t="s">
        <v>8044</v>
      </c>
      <c r="Y363" s="420"/>
      <c r="Z363" s="224" t="str">
        <f t="shared" si="30"/>
        <v>AG. MEDIÇÃO</v>
      </c>
      <c r="AA363" s="207" t="str">
        <f t="shared" si="31"/>
        <v>ENTREGUE</v>
      </c>
      <c r="AB363" s="207" t="str">
        <f t="shared" si="32"/>
        <v>AG. MEDIÇÃO</v>
      </c>
      <c r="AC363" s="156">
        <f t="shared" ca="1" si="33"/>
        <v>26</v>
      </c>
      <c r="AD363" s="156" t="str">
        <f t="shared" ca="1" si="34"/>
        <v>ATRASADO</v>
      </c>
      <c r="AE363" s="156">
        <f t="shared" ca="1" si="35"/>
        <v>23</v>
      </c>
    </row>
    <row r="364" spans="1:31" ht="36" hidden="1" customHeight="1">
      <c r="A364" s="414"/>
      <c r="B364" s="429" t="s">
        <v>8081</v>
      </c>
      <c r="C364" s="429" t="s">
        <v>731</v>
      </c>
      <c r="D364" s="429"/>
      <c r="E364" s="429" t="s">
        <v>732</v>
      </c>
      <c r="F364" s="429" t="s">
        <v>427</v>
      </c>
      <c r="G364" s="433" t="s">
        <v>8326</v>
      </c>
      <c r="H364" s="429" t="s">
        <v>8250</v>
      </c>
      <c r="I364" s="433" t="s">
        <v>8094</v>
      </c>
      <c r="J364" s="432">
        <v>46204</v>
      </c>
      <c r="K364" s="429" t="s">
        <v>2493</v>
      </c>
      <c r="L364" s="436" t="s">
        <v>109</v>
      </c>
      <c r="M364" s="436" t="s">
        <v>62</v>
      </c>
      <c r="N364" s="437"/>
      <c r="O364" s="437" t="s">
        <v>85</v>
      </c>
      <c r="P364" s="437">
        <v>650</v>
      </c>
      <c r="Q364" s="433">
        <v>802</v>
      </c>
      <c r="R364" s="499" t="s">
        <v>8397</v>
      </c>
      <c r="S364" s="438">
        <v>46221</v>
      </c>
      <c r="T364" s="438">
        <v>46230</v>
      </c>
      <c r="U364" s="438"/>
      <c r="V364" s="438"/>
      <c r="W364" s="439">
        <v>46226</v>
      </c>
      <c r="X364" s="439">
        <v>46221</v>
      </c>
      <c r="Y364" s="420"/>
      <c r="Z364" s="224" t="str">
        <f t="shared" si="30"/>
        <v>AG. MEDIÇÃO</v>
      </c>
      <c r="AA364" s="207" t="str">
        <f t="shared" si="31"/>
        <v>ENTREGUE</v>
      </c>
      <c r="AB364" s="207" t="str">
        <f t="shared" si="32"/>
        <v>AG. MEDIÇÃO</v>
      </c>
      <c r="AC364" s="156">
        <f t="shared" ca="1" si="33"/>
        <v>-4</v>
      </c>
      <c r="AD364" s="156" t="str">
        <f t="shared" ca="1" si="34"/>
        <v>NO PRAZO</v>
      </c>
      <c r="AE364" s="156">
        <f t="shared" ca="1" si="35"/>
        <v>-7</v>
      </c>
    </row>
    <row r="365" spans="1:31" ht="36" hidden="1" customHeight="1">
      <c r="A365" s="414"/>
      <c r="B365" s="440" t="s">
        <v>5730</v>
      </c>
      <c r="C365" s="440" t="s">
        <v>425</v>
      </c>
      <c r="D365" s="440" t="s">
        <v>256</v>
      </c>
      <c r="E365" s="440" t="s">
        <v>426</v>
      </c>
      <c r="F365" s="440" t="s">
        <v>427</v>
      </c>
      <c r="G365" s="441"/>
      <c r="H365" s="440" t="s">
        <v>5731</v>
      </c>
      <c r="I365" s="441" t="s">
        <v>5732</v>
      </c>
      <c r="J365" s="450">
        <v>45901</v>
      </c>
      <c r="K365" s="429" t="s">
        <v>2493</v>
      </c>
      <c r="L365" s="444" t="s">
        <v>94</v>
      </c>
      <c r="M365" s="444" t="s">
        <v>94</v>
      </c>
      <c r="N365" s="441"/>
      <c r="O365" s="445" t="s">
        <v>85</v>
      </c>
      <c r="P365" s="441">
        <v>200</v>
      </c>
      <c r="Q365" s="445">
        <v>176</v>
      </c>
      <c r="R365" s="445" t="s">
        <v>5733</v>
      </c>
      <c r="S365" s="446">
        <v>45999</v>
      </c>
      <c r="T365" s="446">
        <v>45902</v>
      </c>
      <c r="U365" s="446"/>
      <c r="V365" s="447"/>
      <c r="W365" s="447">
        <v>45917</v>
      </c>
      <c r="X365" s="447">
        <v>45999</v>
      </c>
      <c r="Y365" s="420"/>
      <c r="Z365" s="224" t="str">
        <f t="shared" si="30"/>
        <v>AG. MEDIÇÃO</v>
      </c>
      <c r="AA365" s="207" t="str">
        <f t="shared" si="31"/>
        <v>ENTREGUE</v>
      </c>
      <c r="AB365" s="207" t="str">
        <f t="shared" si="32"/>
        <v>AG. MEDIÇÃO</v>
      </c>
      <c r="AC365" s="156">
        <f t="shared" ca="1" si="33"/>
        <v>11</v>
      </c>
      <c r="AD365" s="156" t="str">
        <f t="shared" ca="1" si="34"/>
        <v>ATRASADO</v>
      </c>
      <c r="AE365" s="156">
        <f t="shared" ca="1" si="35"/>
        <v>8</v>
      </c>
    </row>
    <row r="366" spans="1:31" ht="36" hidden="1" customHeight="1">
      <c r="A366" s="414"/>
      <c r="B366" s="440" t="s">
        <v>2696</v>
      </c>
      <c r="C366" s="440" t="s">
        <v>440</v>
      </c>
      <c r="D366" s="440"/>
      <c r="E366" s="440"/>
      <c r="F366" s="440" t="s">
        <v>427</v>
      </c>
      <c r="G366" s="441" t="s">
        <v>2697</v>
      </c>
      <c r="H366" s="440" t="s">
        <v>2698</v>
      </c>
      <c r="I366" s="442"/>
      <c r="J366" s="450">
        <v>44986</v>
      </c>
      <c r="K366" s="429" t="s">
        <v>2493</v>
      </c>
      <c r="L366" s="444" t="s">
        <v>1380</v>
      </c>
      <c r="M366" s="444" t="s">
        <v>827</v>
      </c>
      <c r="N366" s="441" t="s">
        <v>2572</v>
      </c>
      <c r="O366" s="445" t="s">
        <v>85</v>
      </c>
      <c r="P366" s="441"/>
      <c r="Q366" s="441">
        <v>339</v>
      </c>
      <c r="R366" s="445" t="s">
        <v>2699</v>
      </c>
      <c r="S366" s="447">
        <v>45083</v>
      </c>
      <c r="T366" s="446">
        <v>45001</v>
      </c>
      <c r="U366" s="446">
        <v>45001</v>
      </c>
      <c r="V366" s="447">
        <v>45001</v>
      </c>
      <c r="W366" s="447">
        <v>45001</v>
      </c>
      <c r="X366" s="447" t="s">
        <v>8044</v>
      </c>
      <c r="Y366" s="420"/>
      <c r="Z366" s="224" t="str">
        <f t="shared" si="30"/>
        <v>AG. MEDIÇÃO</v>
      </c>
      <c r="AA366" s="207" t="str">
        <f t="shared" si="31"/>
        <v>ENTREGUE</v>
      </c>
      <c r="AB366" s="207" t="str">
        <f t="shared" si="32"/>
        <v>AG. MEDIÇÃO</v>
      </c>
      <c r="AC366" s="156">
        <f t="shared" ca="1" si="33"/>
        <v>0</v>
      </c>
      <c r="AD366" s="156" t="str">
        <f t="shared" ca="1" si="34"/>
        <v>NO PRAZO</v>
      </c>
      <c r="AE366" s="156">
        <f t="shared" ca="1" si="35"/>
        <v>-3</v>
      </c>
    </row>
    <row r="367" spans="1:31" ht="36" hidden="1" customHeight="1">
      <c r="A367" s="414"/>
      <c r="B367" s="440" t="s">
        <v>2700</v>
      </c>
      <c r="C367" s="440" t="s">
        <v>440</v>
      </c>
      <c r="D367" s="440"/>
      <c r="E367" s="440"/>
      <c r="F367" s="440" t="s">
        <v>427</v>
      </c>
      <c r="G367" s="441" t="s">
        <v>2701</v>
      </c>
      <c r="H367" s="440" t="s">
        <v>2702</v>
      </c>
      <c r="I367" s="442"/>
      <c r="J367" s="450">
        <v>44986</v>
      </c>
      <c r="K367" s="429" t="s">
        <v>2493</v>
      </c>
      <c r="L367" s="444" t="s">
        <v>1380</v>
      </c>
      <c r="M367" s="444" t="s">
        <v>827</v>
      </c>
      <c r="N367" s="441" t="s">
        <v>2572</v>
      </c>
      <c r="O367" s="445" t="s">
        <v>85</v>
      </c>
      <c r="P367" s="441" t="s">
        <v>2494</v>
      </c>
      <c r="Q367" s="441" t="s">
        <v>2494</v>
      </c>
      <c r="R367" s="445" t="s">
        <v>2703</v>
      </c>
      <c r="S367" s="446">
        <v>45083</v>
      </c>
      <c r="T367" s="446">
        <v>45001</v>
      </c>
      <c r="U367" s="446">
        <v>45001</v>
      </c>
      <c r="V367" s="447">
        <v>45001</v>
      </c>
      <c r="W367" s="447">
        <v>45001</v>
      </c>
      <c r="X367" s="447" t="s">
        <v>8044</v>
      </c>
      <c r="Y367" s="420"/>
      <c r="Z367" s="224" t="str">
        <f t="shared" si="30"/>
        <v>AG. MEDIÇÃO</v>
      </c>
      <c r="AA367" s="207" t="str">
        <f t="shared" si="31"/>
        <v>ENTREGUE</v>
      </c>
      <c r="AB367" s="207" t="str">
        <f t="shared" si="32"/>
        <v>AG. MEDIÇÃO</v>
      </c>
      <c r="AC367" s="156">
        <f t="shared" ca="1" si="33"/>
        <v>0</v>
      </c>
      <c r="AD367" s="156" t="str">
        <f t="shared" ca="1" si="34"/>
        <v>NO PRAZO</v>
      </c>
      <c r="AE367" s="156">
        <f t="shared" ca="1" si="35"/>
        <v>-3</v>
      </c>
    </row>
    <row r="368" spans="1:31" ht="36" hidden="1" customHeight="1">
      <c r="A368" s="414"/>
      <c r="B368" s="440" t="s">
        <v>3228</v>
      </c>
      <c r="C368" s="440" t="s">
        <v>203</v>
      </c>
      <c r="D368" s="440"/>
      <c r="E368" s="440"/>
      <c r="F368" s="440" t="s">
        <v>42</v>
      </c>
      <c r="G368" s="441" t="s">
        <v>3229</v>
      </c>
      <c r="H368" s="440" t="s">
        <v>3230</v>
      </c>
      <c r="I368" s="449"/>
      <c r="J368" s="450">
        <v>45231</v>
      </c>
      <c r="K368" s="429" t="s">
        <v>2493</v>
      </c>
      <c r="L368" s="444" t="s">
        <v>1130</v>
      </c>
      <c r="M368" s="444" t="s">
        <v>3231</v>
      </c>
      <c r="N368" s="441" t="s">
        <v>2572</v>
      </c>
      <c r="O368" s="445" t="s">
        <v>85</v>
      </c>
      <c r="P368" s="445"/>
      <c r="Q368" s="441">
        <v>280</v>
      </c>
      <c r="R368" s="445" t="s">
        <v>3232</v>
      </c>
      <c r="S368" s="446">
        <v>45260</v>
      </c>
      <c r="T368" s="446">
        <v>45252</v>
      </c>
      <c r="U368" s="446"/>
      <c r="V368" s="446">
        <v>45253</v>
      </c>
      <c r="W368" s="446">
        <v>45253</v>
      </c>
      <c r="X368" s="447" t="s">
        <v>8044</v>
      </c>
      <c r="Y368" s="420"/>
      <c r="Z368" s="224" t="str">
        <f t="shared" si="30"/>
        <v>AG. MEDIÇÃO</v>
      </c>
      <c r="AA368" s="207" t="str">
        <f t="shared" si="31"/>
        <v>ENTREGUE</v>
      </c>
      <c r="AB368" s="207" t="str">
        <f t="shared" si="32"/>
        <v>AG. MEDIÇÃO</v>
      </c>
      <c r="AC368" s="156">
        <f t="shared" ca="1" si="33"/>
        <v>1</v>
      </c>
      <c r="AD368" s="156" t="str">
        <f t="shared" ca="1" si="34"/>
        <v>NO PRAZO</v>
      </c>
      <c r="AE368" s="156">
        <f t="shared" ca="1" si="35"/>
        <v>-2</v>
      </c>
    </row>
    <row r="369" spans="1:31" ht="36" hidden="1" customHeight="1">
      <c r="A369" s="414"/>
      <c r="B369" s="440" t="s">
        <v>5514</v>
      </c>
      <c r="C369" s="440" t="s">
        <v>425</v>
      </c>
      <c r="D369" s="440"/>
      <c r="E369" s="440" t="s">
        <v>5515</v>
      </c>
      <c r="F369" s="440" t="s">
        <v>427</v>
      </c>
      <c r="G369" s="441" t="s">
        <v>5516</v>
      </c>
      <c r="H369" s="440" t="s">
        <v>5517</v>
      </c>
      <c r="I369" s="441" t="s">
        <v>5518</v>
      </c>
      <c r="J369" s="450">
        <v>45839</v>
      </c>
      <c r="K369" s="429" t="s">
        <v>2493</v>
      </c>
      <c r="L369" s="444"/>
      <c r="M369" s="444" t="s">
        <v>1155</v>
      </c>
      <c r="N369" s="441"/>
      <c r="O369" s="445"/>
      <c r="P369" s="441" t="s">
        <v>2494</v>
      </c>
      <c r="Q369" s="445" t="s">
        <v>2494</v>
      </c>
      <c r="R369" s="445" t="s">
        <v>2861</v>
      </c>
      <c r="S369" s="446">
        <v>45849</v>
      </c>
      <c r="T369" s="446">
        <v>45847</v>
      </c>
      <c r="U369" s="446"/>
      <c r="V369" s="447"/>
      <c r="W369" s="447">
        <v>45848</v>
      </c>
      <c r="X369" s="447" t="s">
        <v>8044</v>
      </c>
      <c r="Y369" s="420"/>
      <c r="Z369" s="224" t="str">
        <f t="shared" si="30"/>
        <v>AG. MEDIÇÃO</v>
      </c>
      <c r="AA369" s="207" t="str">
        <f t="shared" si="31"/>
        <v>ENTREGUE</v>
      </c>
      <c r="AB369" s="207" t="str">
        <f t="shared" si="32"/>
        <v>AG. MEDIÇÃO</v>
      </c>
      <c r="AC369" s="156">
        <f t="shared" ca="1" si="33"/>
        <v>1</v>
      </c>
      <c r="AD369" s="156" t="str">
        <f t="shared" ca="1" si="34"/>
        <v>NO PRAZO</v>
      </c>
      <c r="AE369" s="156">
        <f t="shared" ca="1" si="35"/>
        <v>-2</v>
      </c>
    </row>
    <row r="370" spans="1:31" ht="36" hidden="1" customHeight="1">
      <c r="A370" s="414"/>
      <c r="B370" s="466" t="s">
        <v>2558</v>
      </c>
      <c r="C370" s="489" t="s">
        <v>2302</v>
      </c>
      <c r="D370" s="489" t="s">
        <v>2304</v>
      </c>
      <c r="E370" s="476" t="s">
        <v>2303</v>
      </c>
      <c r="F370" s="466" t="s">
        <v>2559</v>
      </c>
      <c r="G370" s="475"/>
      <c r="H370" s="489" t="s">
        <v>2560</v>
      </c>
      <c r="I370" s="475" t="s">
        <v>6967</v>
      </c>
      <c r="J370" s="476">
        <v>45992</v>
      </c>
      <c r="K370" s="429" t="s">
        <v>2493</v>
      </c>
      <c r="L370" s="477" t="s">
        <v>50</v>
      </c>
      <c r="M370" s="465" t="s">
        <v>200</v>
      </c>
      <c r="N370" s="475"/>
      <c r="O370" s="479"/>
      <c r="P370" s="475">
        <v>350</v>
      </c>
      <c r="Q370" s="479">
        <v>487</v>
      </c>
      <c r="R370" s="479" t="s">
        <v>6972</v>
      </c>
      <c r="S370" s="480">
        <v>46105</v>
      </c>
      <c r="T370" s="480">
        <v>45994</v>
      </c>
      <c r="U370" s="480"/>
      <c r="V370" s="481"/>
      <c r="W370" s="481">
        <v>46003</v>
      </c>
      <c r="X370" s="447" t="s">
        <v>8044</v>
      </c>
      <c r="Y370" s="420"/>
      <c r="Z370" s="224" t="str">
        <f t="shared" si="30"/>
        <v>AG. MEDIÇÃO</v>
      </c>
      <c r="AA370" s="207" t="str">
        <f t="shared" si="31"/>
        <v>ENTREGUE</v>
      </c>
      <c r="AB370" s="207" t="str">
        <f t="shared" si="32"/>
        <v>AG. MEDIÇÃO</v>
      </c>
      <c r="AC370" s="156">
        <f t="shared" ca="1" si="33"/>
        <v>7</v>
      </c>
      <c r="AD370" s="156" t="str">
        <f t="shared" ca="1" si="34"/>
        <v>ATRASADO</v>
      </c>
      <c r="AE370" s="156">
        <f t="shared" ca="1" si="35"/>
        <v>4</v>
      </c>
    </row>
    <row r="371" spans="1:31" ht="36" hidden="1" customHeight="1">
      <c r="A371" s="414"/>
      <c r="B371" s="466" t="s">
        <v>6842</v>
      </c>
      <c r="C371" s="430" t="s">
        <v>2359</v>
      </c>
      <c r="D371" s="431"/>
      <c r="E371" s="432" t="s">
        <v>2360</v>
      </c>
      <c r="F371" s="429" t="s">
        <v>427</v>
      </c>
      <c r="G371" s="434"/>
      <c r="H371" s="636" t="s">
        <v>6873</v>
      </c>
      <c r="I371" s="433"/>
      <c r="J371" s="432">
        <v>46023</v>
      </c>
      <c r="K371" s="429" t="s">
        <v>2493</v>
      </c>
      <c r="L371" s="436" t="s">
        <v>94</v>
      </c>
      <c r="M371" s="436" t="s">
        <v>94</v>
      </c>
      <c r="N371" s="433"/>
      <c r="O371" s="437"/>
      <c r="P371" s="437">
        <v>900</v>
      </c>
      <c r="Q371" s="437">
        <v>1333</v>
      </c>
      <c r="R371" s="437" t="s">
        <v>7081</v>
      </c>
      <c r="S371" s="438">
        <v>46105</v>
      </c>
      <c r="T371" s="438">
        <v>46037</v>
      </c>
      <c r="U371" s="438"/>
      <c r="V371" s="439"/>
      <c r="W371" s="439">
        <v>46065</v>
      </c>
      <c r="X371" s="447" t="s">
        <v>8044</v>
      </c>
      <c r="Y371" s="420"/>
      <c r="Z371" s="224" t="str">
        <f t="shared" si="30"/>
        <v>AG. MEDIÇÃO</v>
      </c>
      <c r="AA371" s="207" t="str">
        <f t="shared" si="31"/>
        <v>ENTREGUE</v>
      </c>
      <c r="AB371" s="207" t="str">
        <f t="shared" si="32"/>
        <v>AG. MEDIÇÃO</v>
      </c>
      <c r="AC371" s="156">
        <f t="shared" ca="1" si="33"/>
        <v>20</v>
      </c>
      <c r="AD371" s="156" t="str">
        <f t="shared" ca="1" si="34"/>
        <v>ATRASADO</v>
      </c>
      <c r="AE371" s="156">
        <f t="shared" ca="1" si="35"/>
        <v>17</v>
      </c>
    </row>
    <row r="372" spans="1:31" ht="36" hidden="1" customHeight="1">
      <c r="A372" s="414"/>
      <c r="B372" s="429" t="s">
        <v>6934</v>
      </c>
      <c r="C372" s="430" t="s">
        <v>2249</v>
      </c>
      <c r="D372" s="431"/>
      <c r="E372" s="432" t="s">
        <v>6874</v>
      </c>
      <c r="F372" s="429" t="s">
        <v>42</v>
      </c>
      <c r="G372" s="434"/>
      <c r="H372" s="636" t="s">
        <v>6932</v>
      </c>
      <c r="I372" s="433"/>
      <c r="J372" s="432">
        <v>46023</v>
      </c>
      <c r="K372" s="429" t="s">
        <v>2493</v>
      </c>
      <c r="L372" s="487"/>
      <c r="M372" s="436" t="s">
        <v>7176</v>
      </c>
      <c r="N372" s="433"/>
      <c r="O372" s="437"/>
      <c r="P372" s="433">
        <v>50</v>
      </c>
      <c r="Q372" s="437">
        <v>50</v>
      </c>
      <c r="R372" s="437" t="s">
        <v>8070</v>
      </c>
      <c r="S372" s="438">
        <v>46212</v>
      </c>
      <c r="T372" s="438">
        <v>46096</v>
      </c>
      <c r="U372" s="438"/>
      <c r="V372" s="439"/>
      <c r="W372" s="439">
        <v>46099</v>
      </c>
      <c r="X372" s="439" t="s">
        <v>8044</v>
      </c>
      <c r="Y372" s="420"/>
      <c r="Z372" s="224" t="str">
        <f t="shared" si="30"/>
        <v>AG. MEDIÇÃO</v>
      </c>
      <c r="AA372" s="207" t="str">
        <f t="shared" si="31"/>
        <v>ENTREGUE</v>
      </c>
      <c r="AB372" s="207" t="str">
        <f t="shared" si="32"/>
        <v>AG. MEDIÇÃO</v>
      </c>
      <c r="AC372" s="156">
        <f t="shared" ca="1" si="33"/>
        <v>2</v>
      </c>
      <c r="AD372" s="156" t="str">
        <f t="shared" ca="1" si="34"/>
        <v>NO PRAZO</v>
      </c>
      <c r="AE372" s="156">
        <f t="shared" ca="1" si="35"/>
        <v>-1</v>
      </c>
    </row>
    <row r="373" spans="1:31" ht="36" hidden="1" customHeight="1">
      <c r="A373" s="414"/>
      <c r="B373" s="440" t="s">
        <v>5154</v>
      </c>
      <c r="C373" s="440" t="s">
        <v>380</v>
      </c>
      <c r="D373" s="440"/>
      <c r="E373" s="440"/>
      <c r="F373" s="440" t="s">
        <v>42</v>
      </c>
      <c r="G373" s="441" t="s">
        <v>5155</v>
      </c>
      <c r="H373" s="440" t="s">
        <v>5156</v>
      </c>
      <c r="I373" s="441" t="s">
        <v>5157</v>
      </c>
      <c r="J373" s="450">
        <v>45748</v>
      </c>
      <c r="K373" s="429" t="s">
        <v>2493</v>
      </c>
      <c r="L373" s="444" t="s">
        <v>1208</v>
      </c>
      <c r="M373" s="444" t="s">
        <v>1760</v>
      </c>
      <c r="N373" s="441"/>
      <c r="O373" s="445"/>
      <c r="P373" s="441"/>
      <c r="Q373" s="445">
        <v>500</v>
      </c>
      <c r="R373" s="445" t="s">
        <v>5158</v>
      </c>
      <c r="S373" s="446">
        <v>45785</v>
      </c>
      <c r="T373" s="446">
        <v>45777</v>
      </c>
      <c r="U373" s="446"/>
      <c r="V373" s="447"/>
      <c r="W373" s="447">
        <v>45782</v>
      </c>
      <c r="X373" s="447" t="s">
        <v>8044</v>
      </c>
      <c r="Y373" s="420"/>
      <c r="Z373" s="224" t="str">
        <f t="shared" si="30"/>
        <v>AG. MEDIÇÃO</v>
      </c>
      <c r="AA373" s="207" t="str">
        <f t="shared" si="31"/>
        <v>ENTREGUE</v>
      </c>
      <c r="AB373" s="207" t="str">
        <f t="shared" si="32"/>
        <v>AG. MEDIÇÃO</v>
      </c>
      <c r="AC373" s="156">
        <f t="shared" ca="1" si="33"/>
        <v>3</v>
      </c>
      <c r="AD373" s="156" t="str">
        <f t="shared" ca="1" si="34"/>
        <v>NO PRAZO</v>
      </c>
      <c r="AE373" s="156">
        <f t="shared" ca="1" si="35"/>
        <v>0</v>
      </c>
    </row>
    <row r="374" spans="1:31" ht="36" hidden="1" customHeight="1">
      <c r="A374" s="414"/>
      <c r="B374" s="440" t="s">
        <v>5176</v>
      </c>
      <c r="C374" s="440" t="s">
        <v>203</v>
      </c>
      <c r="D374" s="440" t="s">
        <v>1756</v>
      </c>
      <c r="E374" s="440" t="s">
        <v>204</v>
      </c>
      <c r="F374" s="440" t="s">
        <v>42</v>
      </c>
      <c r="G374" s="441" t="s">
        <v>5177</v>
      </c>
      <c r="H374" s="440" t="s">
        <v>5178</v>
      </c>
      <c r="I374" s="441" t="s">
        <v>5179</v>
      </c>
      <c r="J374" s="450">
        <v>45778</v>
      </c>
      <c r="K374" s="429" t="s">
        <v>2493</v>
      </c>
      <c r="L374" s="444" t="s">
        <v>50</v>
      </c>
      <c r="M374" s="444" t="s">
        <v>1478</v>
      </c>
      <c r="N374" s="441"/>
      <c r="O374" s="445"/>
      <c r="P374" s="441"/>
      <c r="Q374" s="445"/>
      <c r="R374" s="445" t="s">
        <v>5174</v>
      </c>
      <c r="S374" s="446" t="s">
        <v>5175</v>
      </c>
      <c r="T374" s="446">
        <v>45784</v>
      </c>
      <c r="U374" s="446"/>
      <c r="V374" s="447"/>
      <c r="W374" s="447">
        <v>45791</v>
      </c>
      <c r="X374" s="447" t="s">
        <v>8044</v>
      </c>
      <c r="Y374" s="420"/>
      <c r="Z374" s="224" t="str">
        <f t="shared" si="30"/>
        <v>AG. MEDIÇÃO</v>
      </c>
      <c r="AA374" s="207" t="str">
        <f t="shared" si="31"/>
        <v>ENTREGUE</v>
      </c>
      <c r="AB374" s="207" t="str">
        <f t="shared" si="32"/>
        <v>AG. MEDIÇÃO</v>
      </c>
      <c r="AC374" s="156">
        <f t="shared" ca="1" si="33"/>
        <v>5</v>
      </c>
      <c r="AD374" s="156" t="str">
        <f t="shared" ca="1" si="34"/>
        <v>ATRASADO</v>
      </c>
      <c r="AE374" s="156">
        <f t="shared" ca="1" si="35"/>
        <v>2</v>
      </c>
    </row>
    <row r="375" spans="1:31" ht="36" hidden="1" customHeight="1">
      <c r="A375" s="414"/>
      <c r="B375" s="440" t="s">
        <v>4447</v>
      </c>
      <c r="C375" s="440" t="s">
        <v>425</v>
      </c>
      <c r="D375" s="440" t="s">
        <v>4422</v>
      </c>
      <c r="E375" s="440" t="s">
        <v>1551</v>
      </c>
      <c r="F375" s="440" t="s">
        <v>42</v>
      </c>
      <c r="G375" s="441"/>
      <c r="H375" s="440" t="s">
        <v>4448</v>
      </c>
      <c r="I375" s="441" t="s">
        <v>4449</v>
      </c>
      <c r="J375" s="450">
        <v>45536</v>
      </c>
      <c r="K375" s="429" t="s">
        <v>2493</v>
      </c>
      <c r="L375" s="444" t="s">
        <v>76</v>
      </c>
      <c r="M375" s="444" t="s">
        <v>132</v>
      </c>
      <c r="N375" s="441" t="s">
        <v>2572</v>
      </c>
      <c r="O375" s="445" t="s">
        <v>3350</v>
      </c>
      <c r="P375" s="445">
        <v>100</v>
      </c>
      <c r="Q375" s="445">
        <v>260</v>
      </c>
      <c r="R375" s="445" t="s">
        <v>4450</v>
      </c>
      <c r="S375" s="446">
        <v>45575</v>
      </c>
      <c r="T375" s="446">
        <v>45547</v>
      </c>
      <c r="U375" s="446">
        <v>45548</v>
      </c>
      <c r="V375" s="447">
        <v>45553</v>
      </c>
      <c r="W375" s="447">
        <v>45554</v>
      </c>
      <c r="X375" s="447" t="s">
        <v>8044</v>
      </c>
      <c r="Y375" s="420"/>
      <c r="Z375" s="224" t="str">
        <f t="shared" si="30"/>
        <v>AG. MEDIÇÃO</v>
      </c>
      <c r="AA375" s="207" t="str">
        <f t="shared" si="31"/>
        <v>ENTREGUE</v>
      </c>
      <c r="AB375" s="207" t="str">
        <f t="shared" si="32"/>
        <v>AG. MEDIÇÃO</v>
      </c>
      <c r="AC375" s="156">
        <f t="shared" ca="1" si="33"/>
        <v>5</v>
      </c>
      <c r="AD375" s="156" t="str">
        <f t="shared" ca="1" si="34"/>
        <v>ATRASADO</v>
      </c>
      <c r="AE375" s="156">
        <f t="shared" ca="1" si="35"/>
        <v>2</v>
      </c>
    </row>
    <row r="376" spans="1:31" ht="36" hidden="1" customHeight="1">
      <c r="A376" s="414"/>
      <c r="B376" s="466" t="s">
        <v>5840</v>
      </c>
      <c r="C376" s="488"/>
      <c r="D376" s="489"/>
      <c r="E376" s="476"/>
      <c r="F376" s="466" t="s">
        <v>5841</v>
      </c>
      <c r="G376" s="482"/>
      <c r="H376" s="647" t="s">
        <v>5842</v>
      </c>
      <c r="I376" s="475" t="s">
        <v>5843</v>
      </c>
      <c r="J376" s="476">
        <v>45992</v>
      </c>
      <c r="K376" s="429" t="s">
        <v>2493</v>
      </c>
      <c r="L376" s="465"/>
      <c r="M376" s="465" t="s">
        <v>5844</v>
      </c>
      <c r="N376" s="475"/>
      <c r="O376" s="479"/>
      <c r="P376" s="475" t="s">
        <v>2494</v>
      </c>
      <c r="Q376" s="475" t="s">
        <v>2494</v>
      </c>
      <c r="R376" s="479" t="s">
        <v>6775</v>
      </c>
      <c r="S376" s="480">
        <v>46062</v>
      </c>
      <c r="T376" s="480">
        <v>45999</v>
      </c>
      <c r="U376" s="480"/>
      <c r="V376" s="481"/>
      <c r="W376" s="481">
        <v>46007</v>
      </c>
      <c r="X376" s="481">
        <v>46062</v>
      </c>
      <c r="Y376" s="420"/>
      <c r="Z376" s="224" t="str">
        <f t="shared" si="30"/>
        <v>AG. MEDIÇÃO</v>
      </c>
      <c r="AA376" s="207" t="str">
        <f t="shared" si="31"/>
        <v>ENTREGUE</v>
      </c>
      <c r="AB376" s="207" t="str">
        <f t="shared" si="32"/>
        <v>AG. MEDIÇÃO</v>
      </c>
      <c r="AC376" s="156">
        <f t="shared" ca="1" si="33"/>
        <v>6</v>
      </c>
      <c r="AD376" s="156" t="str">
        <f t="shared" ca="1" si="34"/>
        <v>ATRASADO</v>
      </c>
      <c r="AE376" s="156">
        <f t="shared" ca="1" si="35"/>
        <v>3</v>
      </c>
    </row>
    <row r="377" spans="1:31" ht="36" hidden="1" customHeight="1">
      <c r="A377" s="414"/>
      <c r="B377" s="440" t="s">
        <v>4571</v>
      </c>
      <c r="C377" s="440" t="s">
        <v>232</v>
      </c>
      <c r="D377" s="440" t="s">
        <v>232</v>
      </c>
      <c r="E377" s="440" t="s">
        <v>389</v>
      </c>
      <c r="F377" s="440" t="s">
        <v>42</v>
      </c>
      <c r="G377" s="441"/>
      <c r="H377" s="440" t="s">
        <v>4572</v>
      </c>
      <c r="I377" s="441" t="s">
        <v>4573</v>
      </c>
      <c r="J377" s="450">
        <v>45597</v>
      </c>
      <c r="K377" s="429" t="s">
        <v>2493</v>
      </c>
      <c r="L377" s="444" t="s">
        <v>50</v>
      </c>
      <c r="M377" s="444" t="s">
        <v>132</v>
      </c>
      <c r="N377" s="441" t="s">
        <v>2572</v>
      </c>
      <c r="O377" s="445" t="s">
        <v>3350</v>
      </c>
      <c r="P377" s="445"/>
      <c r="Q377" s="445"/>
      <c r="R377" s="445" t="s">
        <v>4574</v>
      </c>
      <c r="S377" s="446">
        <v>45632</v>
      </c>
      <c r="T377" s="446">
        <v>45609</v>
      </c>
      <c r="U377" s="446">
        <v>45609</v>
      </c>
      <c r="V377" s="447"/>
      <c r="W377" s="447">
        <v>45616</v>
      </c>
      <c r="X377" s="447" t="s">
        <v>8044</v>
      </c>
      <c r="Y377" s="420"/>
      <c r="Z377" s="224" t="str">
        <f t="shared" si="30"/>
        <v>AG. MEDIÇÃO</v>
      </c>
      <c r="AA377" s="207" t="str">
        <f t="shared" si="31"/>
        <v>ENTREGUE</v>
      </c>
      <c r="AB377" s="207" t="str">
        <f t="shared" si="32"/>
        <v>AG. MEDIÇÃO</v>
      </c>
      <c r="AC377" s="156">
        <f t="shared" ca="1" si="33"/>
        <v>5</v>
      </c>
      <c r="AD377" s="156" t="str">
        <f t="shared" ca="1" si="34"/>
        <v>ATRASADO</v>
      </c>
      <c r="AE377" s="156">
        <f t="shared" ca="1" si="35"/>
        <v>2</v>
      </c>
    </row>
    <row r="378" spans="1:31" ht="36" hidden="1" customHeight="1">
      <c r="A378" s="414"/>
      <c r="B378" s="440" t="s">
        <v>3496</v>
      </c>
      <c r="C378" s="440" t="s">
        <v>496</v>
      </c>
      <c r="D378" s="440"/>
      <c r="E378" s="440"/>
      <c r="F378" s="440" t="s">
        <v>2559</v>
      </c>
      <c r="G378" s="441" t="s">
        <v>3497</v>
      </c>
      <c r="H378" s="440" t="s">
        <v>3497</v>
      </c>
      <c r="I378" s="441"/>
      <c r="J378" s="450">
        <v>45352</v>
      </c>
      <c r="K378" s="429" t="s">
        <v>2493</v>
      </c>
      <c r="L378" s="444" t="s">
        <v>1121</v>
      </c>
      <c r="M378" s="444" t="s">
        <v>51</v>
      </c>
      <c r="N378" s="441" t="s">
        <v>2572</v>
      </c>
      <c r="O378" s="445" t="s">
        <v>85</v>
      </c>
      <c r="P378" s="445"/>
      <c r="Q378" s="441">
        <v>750</v>
      </c>
      <c r="R378" s="445" t="s">
        <v>3498</v>
      </c>
      <c r="S378" s="446">
        <v>45377</v>
      </c>
      <c r="T378" s="446">
        <v>45362</v>
      </c>
      <c r="U378" s="446">
        <v>45363</v>
      </c>
      <c r="V378" s="446">
        <v>45363</v>
      </c>
      <c r="W378" s="447">
        <v>45364</v>
      </c>
      <c r="X378" s="447" t="s">
        <v>8044</v>
      </c>
      <c r="Y378" s="420"/>
      <c r="Z378" s="224" t="str">
        <f t="shared" si="30"/>
        <v>AG. MEDIÇÃO</v>
      </c>
      <c r="AA378" s="207" t="str">
        <f t="shared" si="31"/>
        <v>ENTREGUE</v>
      </c>
      <c r="AB378" s="207" t="str">
        <f t="shared" si="32"/>
        <v>AG. MEDIÇÃO</v>
      </c>
      <c r="AC378" s="156">
        <f t="shared" ca="1" si="33"/>
        <v>2</v>
      </c>
      <c r="AD378" s="156" t="str">
        <f t="shared" ca="1" si="34"/>
        <v>NO PRAZO</v>
      </c>
      <c r="AE378" s="156">
        <f t="shared" ca="1" si="35"/>
        <v>-1</v>
      </c>
    </row>
    <row r="379" spans="1:31" ht="36" hidden="1" customHeight="1">
      <c r="A379" s="414"/>
      <c r="B379" s="429" t="s">
        <v>6843</v>
      </c>
      <c r="C379" s="430" t="s">
        <v>2249</v>
      </c>
      <c r="D379" s="431"/>
      <c r="E379" s="432" t="s">
        <v>6874</v>
      </c>
      <c r="F379" s="429" t="s">
        <v>42</v>
      </c>
      <c r="G379" s="434"/>
      <c r="H379" s="636" t="s">
        <v>7117</v>
      </c>
      <c r="I379" s="433"/>
      <c r="J379" s="432">
        <v>46023</v>
      </c>
      <c r="K379" s="429" t="s">
        <v>2493</v>
      </c>
      <c r="L379" s="436" t="s">
        <v>67</v>
      </c>
      <c r="M379" s="436" t="s">
        <v>132</v>
      </c>
      <c r="N379" s="433"/>
      <c r="O379" s="437"/>
      <c r="P379" s="437">
        <v>3600</v>
      </c>
      <c r="Q379" s="437">
        <v>5287</v>
      </c>
      <c r="R379" s="437" t="s">
        <v>7591</v>
      </c>
      <c r="S379" s="438">
        <v>46212</v>
      </c>
      <c r="T379" s="438">
        <v>46084</v>
      </c>
      <c r="U379" s="438"/>
      <c r="V379" s="439"/>
      <c r="W379" s="439">
        <v>46162</v>
      </c>
      <c r="X379" s="439" t="s">
        <v>8044</v>
      </c>
      <c r="Y379" s="420"/>
      <c r="Z379" s="224" t="str">
        <f t="shared" si="30"/>
        <v>AG. MEDIÇÃO</v>
      </c>
      <c r="AA379" s="207" t="str">
        <f t="shared" si="31"/>
        <v>ENTREGUE</v>
      </c>
      <c r="AB379" s="207" t="str">
        <f t="shared" si="32"/>
        <v>AG. MEDIÇÃO</v>
      </c>
      <c r="AC379" s="156">
        <f t="shared" ca="1" si="33"/>
        <v>56</v>
      </c>
      <c r="AD379" s="156" t="str">
        <f t="shared" ca="1" si="34"/>
        <v>ATRASADO</v>
      </c>
      <c r="AE379" s="156">
        <f t="shared" ca="1" si="35"/>
        <v>53</v>
      </c>
    </row>
    <row r="380" spans="1:31" ht="36" hidden="1" customHeight="1">
      <c r="A380" s="414"/>
      <c r="B380" s="429" t="s">
        <v>7939</v>
      </c>
      <c r="C380" s="429" t="s">
        <v>731</v>
      </c>
      <c r="D380" s="429"/>
      <c r="E380" s="429" t="s">
        <v>732</v>
      </c>
      <c r="F380" s="429" t="s">
        <v>427</v>
      </c>
      <c r="G380" s="433"/>
      <c r="H380" s="429" t="s">
        <v>7981</v>
      </c>
      <c r="I380" s="433" t="s">
        <v>7980</v>
      </c>
      <c r="J380" s="432">
        <v>46174</v>
      </c>
      <c r="K380" s="429" t="s">
        <v>2493</v>
      </c>
      <c r="L380" s="436" t="s">
        <v>94</v>
      </c>
      <c r="M380" s="436" t="s">
        <v>8151</v>
      </c>
      <c r="N380" s="437"/>
      <c r="O380" s="437" t="s">
        <v>85</v>
      </c>
      <c r="P380" s="437">
        <v>500</v>
      </c>
      <c r="Q380" s="433">
        <v>253</v>
      </c>
      <c r="R380" s="499" t="s">
        <v>8071</v>
      </c>
      <c r="S380" s="438">
        <v>46213</v>
      </c>
      <c r="T380" s="438">
        <v>46202</v>
      </c>
      <c r="U380" s="438"/>
      <c r="V380" s="438"/>
      <c r="W380" s="439">
        <v>46206</v>
      </c>
      <c r="X380" s="439">
        <v>46213</v>
      </c>
      <c r="Y380" s="420"/>
      <c r="Z380" s="224" t="str">
        <f t="shared" si="30"/>
        <v>AG. MEDIÇÃO</v>
      </c>
      <c r="AA380" s="207" t="str">
        <f t="shared" si="31"/>
        <v>ENTREGUE</v>
      </c>
      <c r="AB380" s="207" t="str">
        <f t="shared" si="32"/>
        <v>AG. MEDIÇÃO</v>
      </c>
      <c r="AC380" s="156">
        <f t="shared" ca="1" si="33"/>
        <v>4</v>
      </c>
      <c r="AD380" s="156" t="str">
        <f t="shared" ca="1" si="34"/>
        <v>ATRASADO</v>
      </c>
      <c r="AE380" s="156">
        <f t="shared" ca="1" si="35"/>
        <v>1</v>
      </c>
    </row>
    <row r="381" spans="1:31" ht="36" hidden="1" customHeight="1">
      <c r="A381" s="414"/>
      <c r="B381" s="440" t="s">
        <v>3763</v>
      </c>
      <c r="C381" s="440" t="s">
        <v>648</v>
      </c>
      <c r="D381" s="440"/>
      <c r="E381" s="440"/>
      <c r="F381" s="440" t="s">
        <v>42</v>
      </c>
      <c r="G381" s="441" t="s">
        <v>3348</v>
      </c>
      <c r="H381" s="440" t="s">
        <v>3764</v>
      </c>
      <c r="I381" s="441"/>
      <c r="J381" s="450">
        <v>45383</v>
      </c>
      <c r="K381" s="429" t="s">
        <v>2493</v>
      </c>
      <c r="L381" s="444"/>
      <c r="M381" s="444" t="s">
        <v>132</v>
      </c>
      <c r="N381" s="441" t="s">
        <v>2572</v>
      </c>
      <c r="O381" s="445" t="s">
        <v>85</v>
      </c>
      <c r="P381" s="441" t="s">
        <v>2494</v>
      </c>
      <c r="Q381" s="441" t="s">
        <v>2494</v>
      </c>
      <c r="R381" s="445" t="s">
        <v>3765</v>
      </c>
      <c r="S381" s="446">
        <v>45439</v>
      </c>
      <c r="T381" s="446">
        <v>45412</v>
      </c>
      <c r="U381" s="446"/>
      <c r="V381" s="447">
        <v>45433</v>
      </c>
      <c r="W381" s="447">
        <v>45433</v>
      </c>
      <c r="X381" s="447" t="s">
        <v>8044</v>
      </c>
      <c r="Y381" s="420"/>
      <c r="Z381" s="224" t="str">
        <f t="shared" si="30"/>
        <v>AG. MEDIÇÃO</v>
      </c>
      <c r="AA381" s="207" t="str">
        <f t="shared" si="31"/>
        <v>ENTREGUE</v>
      </c>
      <c r="AB381" s="207" t="str">
        <f t="shared" si="32"/>
        <v>AG. MEDIÇÃO</v>
      </c>
      <c r="AC381" s="156">
        <f t="shared" ca="1" si="33"/>
        <v>15</v>
      </c>
      <c r="AD381" s="156" t="str">
        <f t="shared" ca="1" si="34"/>
        <v>ATRASADO</v>
      </c>
      <c r="AE381" s="156">
        <f t="shared" ca="1" si="35"/>
        <v>12</v>
      </c>
    </row>
    <row r="382" spans="1:31" ht="36" hidden="1" customHeight="1">
      <c r="A382" s="414"/>
      <c r="B382" s="440" t="s">
        <v>3782</v>
      </c>
      <c r="C382" s="440" t="s">
        <v>373</v>
      </c>
      <c r="D382" s="440" t="s">
        <v>2902</v>
      </c>
      <c r="E382" s="440"/>
      <c r="F382" s="440" t="s">
        <v>42</v>
      </c>
      <c r="G382" s="441" t="s">
        <v>3348</v>
      </c>
      <c r="H382" s="440" t="s">
        <v>3783</v>
      </c>
      <c r="I382" s="441" t="s">
        <v>3784</v>
      </c>
      <c r="J382" s="450">
        <v>45383</v>
      </c>
      <c r="K382" s="429" t="s">
        <v>2493</v>
      </c>
      <c r="L382" s="444" t="s">
        <v>3624</v>
      </c>
      <c r="M382" s="444" t="s">
        <v>132</v>
      </c>
      <c r="N382" s="441" t="s">
        <v>2572</v>
      </c>
      <c r="O382" s="445" t="s">
        <v>85</v>
      </c>
      <c r="P382" s="445"/>
      <c r="Q382" s="441">
        <v>471</v>
      </c>
      <c r="R382" s="445" t="s">
        <v>3785</v>
      </c>
      <c r="S382" s="446">
        <v>45469</v>
      </c>
      <c r="T382" s="446">
        <v>45412</v>
      </c>
      <c r="U382" s="446">
        <v>45427</v>
      </c>
      <c r="V382" s="447">
        <v>45456</v>
      </c>
      <c r="W382" s="447">
        <v>45456</v>
      </c>
      <c r="X382" s="447" t="s">
        <v>8044</v>
      </c>
      <c r="Y382" s="420"/>
      <c r="Z382" s="224" t="str">
        <f t="shared" si="30"/>
        <v>AG. MEDIÇÃO</v>
      </c>
      <c r="AA382" s="207" t="str">
        <f t="shared" si="31"/>
        <v>ENTREGUE</v>
      </c>
      <c r="AB382" s="207" t="str">
        <f t="shared" si="32"/>
        <v>AG. MEDIÇÃO</v>
      </c>
      <c r="AC382" s="156">
        <f t="shared" ca="1" si="33"/>
        <v>32</v>
      </c>
      <c r="AD382" s="156" t="str">
        <f t="shared" ca="1" si="34"/>
        <v>ATRASADO</v>
      </c>
      <c r="AE382" s="156">
        <f t="shared" ca="1" si="35"/>
        <v>29</v>
      </c>
    </row>
    <row r="383" spans="1:31" ht="36" hidden="1" customHeight="1">
      <c r="A383" s="414"/>
      <c r="B383" s="440" t="s">
        <v>2704</v>
      </c>
      <c r="C383" s="440" t="s">
        <v>425</v>
      </c>
      <c r="D383" s="440"/>
      <c r="E383" s="440"/>
      <c r="F383" s="440" t="s">
        <v>427</v>
      </c>
      <c r="G383" s="441" t="s">
        <v>2705</v>
      </c>
      <c r="H383" s="440" t="s">
        <v>2706</v>
      </c>
      <c r="I383" s="449"/>
      <c r="J383" s="443">
        <v>44986</v>
      </c>
      <c r="K383" s="429" t="s">
        <v>2493</v>
      </c>
      <c r="L383" s="444"/>
      <c r="M383" s="444"/>
      <c r="N383" s="441" t="s">
        <v>2572</v>
      </c>
      <c r="O383" s="441"/>
      <c r="P383" s="441" t="s">
        <v>2494</v>
      </c>
      <c r="Q383" s="441" t="s">
        <v>2494</v>
      </c>
      <c r="R383" s="445" t="s">
        <v>2707</v>
      </c>
      <c r="S383" s="446">
        <v>45066</v>
      </c>
      <c r="T383" s="446">
        <v>45001</v>
      </c>
      <c r="U383" s="446">
        <v>45001</v>
      </c>
      <c r="V383" s="446">
        <v>45012</v>
      </c>
      <c r="W383" s="447">
        <v>45006</v>
      </c>
      <c r="X383" s="447" t="s">
        <v>8044</v>
      </c>
      <c r="Y383" s="420"/>
      <c r="Z383" s="224" t="str">
        <f t="shared" si="30"/>
        <v>AG. MEDIÇÃO</v>
      </c>
      <c r="AA383" s="207" t="str">
        <f t="shared" si="31"/>
        <v>ENTREGUE</v>
      </c>
      <c r="AB383" s="207" t="str">
        <f t="shared" si="32"/>
        <v>AG. MEDIÇÃO</v>
      </c>
      <c r="AC383" s="156">
        <f t="shared" ca="1" si="33"/>
        <v>3</v>
      </c>
      <c r="AD383" s="156" t="str">
        <f t="shared" ca="1" si="34"/>
        <v>NO PRAZO</v>
      </c>
      <c r="AE383" s="156">
        <f t="shared" ca="1" si="35"/>
        <v>0</v>
      </c>
    </row>
    <row r="384" spans="1:31" ht="36" hidden="1" customHeight="1">
      <c r="A384" s="414"/>
      <c r="B384" s="440" t="s">
        <v>2708</v>
      </c>
      <c r="C384" s="440" t="s">
        <v>425</v>
      </c>
      <c r="D384" s="440"/>
      <c r="E384" s="440"/>
      <c r="F384" s="440" t="s">
        <v>427</v>
      </c>
      <c r="G384" s="441" t="s">
        <v>2705</v>
      </c>
      <c r="H384" s="440" t="s">
        <v>2709</v>
      </c>
      <c r="I384" s="449"/>
      <c r="J384" s="443">
        <v>44986</v>
      </c>
      <c r="K384" s="429" t="s">
        <v>2493</v>
      </c>
      <c r="L384" s="444"/>
      <c r="M384" s="444"/>
      <c r="N384" s="441" t="s">
        <v>2572</v>
      </c>
      <c r="O384" s="441"/>
      <c r="P384" s="441" t="s">
        <v>2494</v>
      </c>
      <c r="Q384" s="441" t="s">
        <v>2494</v>
      </c>
      <c r="R384" s="445" t="s">
        <v>2707</v>
      </c>
      <c r="S384" s="446">
        <v>45066</v>
      </c>
      <c r="T384" s="446">
        <v>45001</v>
      </c>
      <c r="U384" s="446">
        <v>45001</v>
      </c>
      <c r="V384" s="446">
        <v>45012</v>
      </c>
      <c r="W384" s="447">
        <v>45006</v>
      </c>
      <c r="X384" s="447" t="s">
        <v>8044</v>
      </c>
      <c r="Y384" s="420"/>
      <c r="Z384" s="224" t="str">
        <f t="shared" si="30"/>
        <v>AG. MEDIÇÃO</v>
      </c>
      <c r="AA384" s="207" t="str">
        <f t="shared" si="31"/>
        <v>ENTREGUE</v>
      </c>
      <c r="AB384" s="207" t="str">
        <f t="shared" si="32"/>
        <v>AG. MEDIÇÃO</v>
      </c>
      <c r="AC384" s="156">
        <f t="shared" ca="1" si="33"/>
        <v>3</v>
      </c>
      <c r="AD384" s="156" t="str">
        <f t="shared" ca="1" si="34"/>
        <v>NO PRAZO</v>
      </c>
      <c r="AE384" s="156">
        <f t="shared" ca="1" si="35"/>
        <v>0</v>
      </c>
    </row>
    <row r="385" spans="1:31" ht="36" hidden="1" customHeight="1">
      <c r="A385" s="414"/>
      <c r="B385" s="440" t="s">
        <v>2710</v>
      </c>
      <c r="C385" s="440" t="s">
        <v>425</v>
      </c>
      <c r="D385" s="440"/>
      <c r="E385" s="440"/>
      <c r="F385" s="440" t="s">
        <v>427</v>
      </c>
      <c r="G385" s="441" t="s">
        <v>2705</v>
      </c>
      <c r="H385" s="440" t="s">
        <v>2711</v>
      </c>
      <c r="I385" s="449"/>
      <c r="J385" s="443">
        <v>44986</v>
      </c>
      <c r="K385" s="429" t="s">
        <v>2493</v>
      </c>
      <c r="L385" s="444"/>
      <c r="M385" s="444"/>
      <c r="N385" s="441" t="s">
        <v>2572</v>
      </c>
      <c r="O385" s="441"/>
      <c r="P385" s="441" t="s">
        <v>2494</v>
      </c>
      <c r="Q385" s="441" t="s">
        <v>2494</v>
      </c>
      <c r="R385" s="445" t="s">
        <v>2707</v>
      </c>
      <c r="S385" s="446">
        <v>45066</v>
      </c>
      <c r="T385" s="446">
        <v>45001</v>
      </c>
      <c r="U385" s="446">
        <v>45001</v>
      </c>
      <c r="V385" s="446">
        <v>45012</v>
      </c>
      <c r="W385" s="447">
        <v>45006</v>
      </c>
      <c r="X385" s="447" t="s">
        <v>8044</v>
      </c>
      <c r="Y385" s="420"/>
      <c r="Z385" s="224" t="str">
        <f t="shared" si="30"/>
        <v>AG. MEDIÇÃO</v>
      </c>
      <c r="AA385" s="207" t="str">
        <f t="shared" si="31"/>
        <v>ENTREGUE</v>
      </c>
      <c r="AB385" s="207" t="str">
        <f t="shared" si="32"/>
        <v>AG. MEDIÇÃO</v>
      </c>
      <c r="AC385" s="156">
        <f t="shared" ca="1" si="33"/>
        <v>3</v>
      </c>
      <c r="AD385" s="156" t="str">
        <f t="shared" ca="1" si="34"/>
        <v>NO PRAZO</v>
      </c>
      <c r="AE385" s="156">
        <f t="shared" ca="1" si="35"/>
        <v>0</v>
      </c>
    </row>
    <row r="386" spans="1:31" ht="36" hidden="1" customHeight="1">
      <c r="A386" s="414"/>
      <c r="B386" s="440" t="s">
        <v>2712</v>
      </c>
      <c r="C386" s="440" t="s">
        <v>425</v>
      </c>
      <c r="D386" s="440"/>
      <c r="E386" s="440"/>
      <c r="F386" s="440" t="s">
        <v>427</v>
      </c>
      <c r="G386" s="441" t="s">
        <v>2705</v>
      </c>
      <c r="H386" s="440" t="s">
        <v>2713</v>
      </c>
      <c r="I386" s="449"/>
      <c r="J386" s="443">
        <v>44986</v>
      </c>
      <c r="K386" s="429" t="s">
        <v>2493</v>
      </c>
      <c r="L386" s="444" t="s">
        <v>2472</v>
      </c>
      <c r="M386" s="444" t="s">
        <v>2472</v>
      </c>
      <c r="N386" s="441" t="s">
        <v>2572</v>
      </c>
      <c r="O386" s="441"/>
      <c r="P386" s="441"/>
      <c r="Q386" s="441">
        <v>200</v>
      </c>
      <c r="R386" s="445" t="s">
        <v>2714</v>
      </c>
      <c r="S386" s="446">
        <v>45066</v>
      </c>
      <c r="T386" s="446">
        <v>45001</v>
      </c>
      <c r="U386" s="446">
        <v>45001</v>
      </c>
      <c r="V386" s="446">
        <v>45012</v>
      </c>
      <c r="W386" s="447">
        <v>45006</v>
      </c>
      <c r="X386" s="447" t="s">
        <v>8044</v>
      </c>
      <c r="Y386" s="420"/>
      <c r="Z386" s="224" t="str">
        <f t="shared" si="30"/>
        <v>AG. MEDIÇÃO</v>
      </c>
      <c r="AA386" s="207" t="str">
        <f t="shared" si="31"/>
        <v>ENTREGUE</v>
      </c>
      <c r="AB386" s="207" t="str">
        <f t="shared" si="32"/>
        <v>AG. MEDIÇÃO</v>
      </c>
      <c r="AC386" s="156">
        <f t="shared" ca="1" si="33"/>
        <v>3</v>
      </c>
      <c r="AD386" s="156" t="str">
        <f t="shared" ca="1" si="34"/>
        <v>NO PRAZO</v>
      </c>
      <c r="AE386" s="156">
        <f t="shared" ca="1" si="35"/>
        <v>0</v>
      </c>
    </row>
    <row r="387" spans="1:31" ht="36" hidden="1" customHeight="1">
      <c r="A387" s="414"/>
      <c r="B387" s="466" t="s">
        <v>2495</v>
      </c>
      <c r="C387" s="466" t="s">
        <v>2496</v>
      </c>
      <c r="D387" s="466"/>
      <c r="E387" s="466" t="s">
        <v>2497</v>
      </c>
      <c r="F387" s="466" t="s">
        <v>2498</v>
      </c>
      <c r="G387" s="475"/>
      <c r="H387" s="466" t="s">
        <v>2499</v>
      </c>
      <c r="I387" s="475" t="s">
        <v>2500</v>
      </c>
      <c r="J387" s="476">
        <v>45933</v>
      </c>
      <c r="K387" s="429" t="s">
        <v>2493</v>
      </c>
      <c r="L387" s="477" t="s">
        <v>2501</v>
      </c>
      <c r="M387" s="477" t="s">
        <v>2501</v>
      </c>
      <c r="N387" s="475"/>
      <c r="O387" s="479"/>
      <c r="P387" s="475">
        <v>72</v>
      </c>
      <c r="Q387" s="475"/>
      <c r="R387" s="479"/>
      <c r="S387" s="480"/>
      <c r="T387" s="480">
        <v>45938</v>
      </c>
      <c r="U387" s="480"/>
      <c r="V387" s="481"/>
      <c r="W387" s="481"/>
      <c r="X387" s="481"/>
      <c r="Y387" s="420"/>
      <c r="Z387" s="224" t="str">
        <f t="shared" si="30"/>
        <v>AG. RELATÓRIO</v>
      </c>
      <c r="AA387" s="207" t="str">
        <f t="shared" si="31"/>
        <v>PENDENTE</v>
      </c>
      <c r="AB387" s="207" t="str">
        <f t="shared" si="32"/>
        <v>AG. RELATÓRIO</v>
      </c>
      <c r="AC387" s="156">
        <f t="shared" ca="1" si="33"/>
        <v>245</v>
      </c>
      <c r="AD387" s="156" t="str">
        <f t="shared" ca="1" si="34"/>
        <v>ATRASADO</v>
      </c>
      <c r="AE387" s="156">
        <f t="shared" ca="1" si="35"/>
        <v>242</v>
      </c>
    </row>
    <row r="388" spans="1:31" ht="36" hidden="1" customHeight="1">
      <c r="A388" s="414"/>
      <c r="B388" s="429" t="s">
        <v>8097</v>
      </c>
      <c r="C388" s="618" t="s">
        <v>111</v>
      </c>
      <c r="D388" s="618" t="s">
        <v>360</v>
      </c>
      <c r="E388" s="618" t="s">
        <v>2504</v>
      </c>
      <c r="F388" s="618" t="s">
        <v>42</v>
      </c>
      <c r="G388" s="433"/>
      <c r="H388" s="429" t="s">
        <v>8100</v>
      </c>
      <c r="I388" s="433" t="s">
        <v>8104</v>
      </c>
      <c r="J388" s="432">
        <v>46204</v>
      </c>
      <c r="K388" s="429" t="s">
        <v>2493</v>
      </c>
      <c r="L388" s="436"/>
      <c r="M388" s="436" t="s">
        <v>8105</v>
      </c>
      <c r="N388" s="437"/>
      <c r="O388" s="437" t="s">
        <v>85</v>
      </c>
      <c r="P388" s="437" t="s">
        <v>2494</v>
      </c>
      <c r="Q388" s="433" t="s">
        <v>2494</v>
      </c>
      <c r="R388" s="499" t="s">
        <v>8106</v>
      </c>
      <c r="S388" s="438">
        <v>46218</v>
      </c>
      <c r="T388" s="438">
        <v>46207</v>
      </c>
      <c r="U388" s="438"/>
      <c r="V388" s="438"/>
      <c r="W388" s="439">
        <v>46207</v>
      </c>
      <c r="X388" s="439">
        <v>46218</v>
      </c>
      <c r="Y388" s="420"/>
      <c r="Z388" s="224" t="str">
        <f t="shared" si="30"/>
        <v>AG. MEDIÇÃO</v>
      </c>
      <c r="AA388" s="207" t="str">
        <f t="shared" si="31"/>
        <v>ENTREGUE</v>
      </c>
      <c r="AB388" s="207" t="str">
        <f t="shared" si="32"/>
        <v>AG. MEDIÇÃO</v>
      </c>
      <c r="AC388" s="156">
        <f t="shared" ca="1" si="33"/>
        <v>-1</v>
      </c>
      <c r="AD388" s="156" t="str">
        <f t="shared" ca="1" si="34"/>
        <v>NO PRAZO</v>
      </c>
      <c r="AE388" s="156">
        <f t="shared" ca="1" si="35"/>
        <v>-4</v>
      </c>
    </row>
    <row r="389" spans="1:31" ht="36" hidden="1" customHeight="1">
      <c r="A389" s="414"/>
      <c r="B389" s="440" t="s">
        <v>3830</v>
      </c>
      <c r="C389" s="440" t="s">
        <v>79</v>
      </c>
      <c r="D389" s="440"/>
      <c r="E389" s="440"/>
      <c r="F389" s="440" t="s">
        <v>42</v>
      </c>
      <c r="G389" s="441" t="s">
        <v>3348</v>
      </c>
      <c r="H389" s="440" t="s">
        <v>3831</v>
      </c>
      <c r="I389" s="441"/>
      <c r="J389" s="450">
        <v>45413</v>
      </c>
      <c r="K389" s="429" t="s">
        <v>2493</v>
      </c>
      <c r="L389" s="444"/>
      <c r="M389" s="444" t="s">
        <v>132</v>
      </c>
      <c r="N389" s="441" t="s">
        <v>2572</v>
      </c>
      <c r="O389" s="445" t="s">
        <v>85</v>
      </c>
      <c r="P389" s="441" t="s">
        <v>2494</v>
      </c>
      <c r="Q389" s="441" t="s">
        <v>2494</v>
      </c>
      <c r="R389" s="445" t="s">
        <v>3127</v>
      </c>
      <c r="S389" s="446">
        <v>45439</v>
      </c>
      <c r="T389" s="446">
        <v>45414</v>
      </c>
      <c r="U389" s="446">
        <v>45426</v>
      </c>
      <c r="V389" s="447">
        <v>45426</v>
      </c>
      <c r="W389" s="447">
        <v>45426</v>
      </c>
      <c r="X389" s="447" t="s">
        <v>8044</v>
      </c>
      <c r="Y389" s="420"/>
      <c r="Z389" s="224" t="str">
        <f t="shared" ref="Z389:Z452" si="36">IF(K389="CANCELADO","CANCELADO",IF(AA389="PENDENTE","AG. RELATÓRIO",IF(S389="SIM","AG. MEDIÇÃO",IF(S389&gt;0,"AG. MEDIÇÃO","PENDENTE"))))</f>
        <v>AG. MEDIÇÃO</v>
      </c>
      <c r="AA389" s="207" t="str">
        <f t="shared" ref="AA389:AA452" si="37">IF(K389="CANCELADO","CANCELADO",IF(X389="","PENDENTE","ENTREGUE"))</f>
        <v>ENTREGUE</v>
      </c>
      <c r="AB389" s="207" t="str">
        <f t="shared" ref="AB389:AB452" si="38">IF(K389="SEM SINAL","SEM SINAL",IF(K389="PARALISADO","PARALISADO",IF(Z389="PENDENTE","AG. MEDIÇÃO",IF(K389="CANCELADO","CANCELADO",Z389))))</f>
        <v>AG. MEDIÇÃO</v>
      </c>
      <c r="AC389" s="156">
        <f t="shared" ref="AC389:AC452" ca="1" si="39">IFERROR(IF(K389="CANCELADO","CANCELADO",IF(T389="","DATA ENTRADA",IF(AND(T389&gt;0,W389=""),NETWORKDAYS(T389,TODAY())-1,NETWORKDAYS(T389,W389)-1))),"CHECAR DATA")</f>
        <v>8</v>
      </c>
      <c r="AD389" s="156" t="str">
        <f t="shared" ref="AD389:AD452" ca="1" si="40">IF(AC389&lt;=3,"NO PRAZO","ATRASADO")</f>
        <v>ATRASADO</v>
      </c>
      <c r="AE389" s="156">
        <f t="shared" ref="AE389:AE452" ca="1" si="41">IFERROR(AC389-3,AC389)</f>
        <v>5</v>
      </c>
    </row>
    <row r="390" spans="1:31" ht="36" hidden="1" customHeight="1">
      <c r="A390" s="414"/>
      <c r="B390" s="440" t="s">
        <v>5773</v>
      </c>
      <c r="C390" s="440" t="s">
        <v>425</v>
      </c>
      <c r="D390" s="440"/>
      <c r="E390" s="440" t="s">
        <v>426</v>
      </c>
      <c r="F390" s="440" t="s">
        <v>427</v>
      </c>
      <c r="G390" s="441"/>
      <c r="H390" s="639" t="s">
        <v>5774</v>
      </c>
      <c r="I390" s="441" t="s">
        <v>5775</v>
      </c>
      <c r="J390" s="450">
        <v>45931</v>
      </c>
      <c r="K390" s="429" t="s">
        <v>2493</v>
      </c>
      <c r="L390" s="444"/>
      <c r="M390" s="444" t="s">
        <v>1155</v>
      </c>
      <c r="N390" s="441"/>
      <c r="O390" s="445"/>
      <c r="P390" s="441" t="s">
        <v>2494</v>
      </c>
      <c r="Q390" s="445" t="s">
        <v>2494</v>
      </c>
      <c r="R390" s="445" t="s">
        <v>4727</v>
      </c>
      <c r="S390" s="446">
        <v>45951</v>
      </c>
      <c r="T390" s="446">
        <v>45946</v>
      </c>
      <c r="U390" s="446">
        <v>45946</v>
      </c>
      <c r="V390" s="447">
        <v>45951</v>
      </c>
      <c r="W390" s="447">
        <v>45951</v>
      </c>
      <c r="X390" s="447">
        <v>45951</v>
      </c>
      <c r="Y390" s="420"/>
      <c r="Z390" s="224" t="str">
        <f t="shared" si="36"/>
        <v>AG. MEDIÇÃO</v>
      </c>
      <c r="AA390" s="207" t="str">
        <f t="shared" si="37"/>
        <v>ENTREGUE</v>
      </c>
      <c r="AB390" s="207" t="str">
        <f t="shared" si="38"/>
        <v>AG. MEDIÇÃO</v>
      </c>
      <c r="AC390" s="156">
        <f t="shared" ca="1" si="39"/>
        <v>3</v>
      </c>
      <c r="AD390" s="156" t="str">
        <f t="shared" ca="1" si="40"/>
        <v>NO PRAZO</v>
      </c>
      <c r="AE390" s="156">
        <f t="shared" ca="1" si="41"/>
        <v>0</v>
      </c>
    </row>
    <row r="391" spans="1:31" ht="36" hidden="1" customHeight="1">
      <c r="A391" s="414"/>
      <c r="B391" s="440" t="s">
        <v>3881</v>
      </c>
      <c r="C391" s="440"/>
      <c r="D391" s="440"/>
      <c r="E391" s="440"/>
      <c r="F391" s="440" t="s">
        <v>42</v>
      </c>
      <c r="G391" s="441" t="s">
        <v>3882</v>
      </c>
      <c r="H391" s="440" t="s">
        <v>3883</v>
      </c>
      <c r="I391" s="441"/>
      <c r="J391" s="450">
        <v>45444</v>
      </c>
      <c r="K391" s="429" t="s">
        <v>2493</v>
      </c>
      <c r="L391" s="444"/>
      <c r="M391" s="444" t="s">
        <v>109</v>
      </c>
      <c r="N391" s="441" t="s">
        <v>2572</v>
      </c>
      <c r="O391" s="445" t="s">
        <v>85</v>
      </c>
      <c r="P391" s="441" t="s">
        <v>2494</v>
      </c>
      <c r="Q391" s="441" t="s">
        <v>2494</v>
      </c>
      <c r="R391" s="445" t="s">
        <v>3884</v>
      </c>
      <c r="S391" s="446">
        <v>45469</v>
      </c>
      <c r="T391" s="446">
        <v>45460</v>
      </c>
      <c r="U391" s="446">
        <v>45460</v>
      </c>
      <c r="V391" s="446">
        <v>45460</v>
      </c>
      <c r="W391" s="447">
        <v>45460</v>
      </c>
      <c r="X391" s="447" t="s">
        <v>8044</v>
      </c>
      <c r="Y391" s="420"/>
      <c r="Z391" s="224" t="str">
        <f t="shared" si="36"/>
        <v>AG. MEDIÇÃO</v>
      </c>
      <c r="AA391" s="207" t="str">
        <f t="shared" si="37"/>
        <v>ENTREGUE</v>
      </c>
      <c r="AB391" s="207" t="str">
        <f t="shared" si="38"/>
        <v>AG. MEDIÇÃO</v>
      </c>
      <c r="AC391" s="156">
        <f t="shared" ca="1" si="39"/>
        <v>0</v>
      </c>
      <c r="AD391" s="156" t="str">
        <f t="shared" ca="1" si="40"/>
        <v>NO PRAZO</v>
      </c>
      <c r="AE391" s="156">
        <f t="shared" ca="1" si="41"/>
        <v>-3</v>
      </c>
    </row>
    <row r="392" spans="1:31" ht="36" hidden="1" customHeight="1">
      <c r="A392" s="414"/>
      <c r="B392" s="429" t="s">
        <v>8079</v>
      </c>
      <c r="C392" s="429" t="s">
        <v>88</v>
      </c>
      <c r="D392" s="429"/>
      <c r="E392" s="429"/>
      <c r="F392" s="429" t="s">
        <v>42</v>
      </c>
      <c r="G392" s="433" t="s">
        <v>8087</v>
      </c>
      <c r="H392" s="429" t="s">
        <v>8088</v>
      </c>
      <c r="I392" s="433" t="s">
        <v>8089</v>
      </c>
      <c r="J392" s="432">
        <v>46204</v>
      </c>
      <c r="K392" s="429" t="s">
        <v>2493</v>
      </c>
      <c r="L392" s="436" t="s">
        <v>94</v>
      </c>
      <c r="M392" s="436" t="s">
        <v>94</v>
      </c>
      <c r="N392" s="437"/>
      <c r="O392" s="437"/>
      <c r="P392" s="437">
        <v>600</v>
      </c>
      <c r="Q392" s="433">
        <v>309</v>
      </c>
      <c r="R392" s="499" t="s">
        <v>8112</v>
      </c>
      <c r="S392" s="438">
        <v>46220</v>
      </c>
      <c r="T392" s="438">
        <v>46216</v>
      </c>
      <c r="U392" s="438"/>
      <c r="V392" s="438"/>
      <c r="W392" s="439">
        <v>46217</v>
      </c>
      <c r="X392" s="439">
        <v>46220</v>
      </c>
      <c r="Y392" s="420"/>
      <c r="Z392" s="224" t="str">
        <f t="shared" si="36"/>
        <v>AG. MEDIÇÃO</v>
      </c>
      <c r="AA392" s="207" t="str">
        <f t="shared" si="37"/>
        <v>ENTREGUE</v>
      </c>
      <c r="AB392" s="207" t="str">
        <f t="shared" si="38"/>
        <v>AG. MEDIÇÃO</v>
      </c>
      <c r="AC392" s="156">
        <f t="shared" ca="1" si="39"/>
        <v>1</v>
      </c>
      <c r="AD392" s="156" t="str">
        <f t="shared" ca="1" si="40"/>
        <v>NO PRAZO</v>
      </c>
      <c r="AE392" s="156">
        <f t="shared" ca="1" si="41"/>
        <v>-2</v>
      </c>
    </row>
    <row r="393" spans="1:31" ht="36" hidden="1" customHeight="1">
      <c r="A393" s="414"/>
      <c r="B393" s="440" t="s">
        <v>5614</v>
      </c>
      <c r="C393" s="440" t="s">
        <v>88</v>
      </c>
      <c r="D393" s="440" t="s">
        <v>2018</v>
      </c>
      <c r="E393" s="440" t="s">
        <v>89</v>
      </c>
      <c r="F393" s="440" t="s">
        <v>42</v>
      </c>
      <c r="G393" s="441"/>
      <c r="H393" s="440" t="s">
        <v>5615</v>
      </c>
      <c r="I393" s="441" t="s">
        <v>5616</v>
      </c>
      <c r="J393" s="450">
        <v>45839</v>
      </c>
      <c r="K393" s="429" t="s">
        <v>2493</v>
      </c>
      <c r="L393" s="444"/>
      <c r="M393" s="444"/>
      <c r="N393" s="441"/>
      <c r="O393" s="445"/>
      <c r="P393" s="441"/>
      <c r="Q393" s="445"/>
      <c r="R393" s="445" t="s">
        <v>5617</v>
      </c>
      <c r="S393" s="446" t="s">
        <v>2018</v>
      </c>
      <c r="T393" s="446">
        <v>45868</v>
      </c>
      <c r="U393" s="446"/>
      <c r="V393" s="447">
        <v>45881</v>
      </c>
      <c r="W393" s="447"/>
      <c r="X393" s="447">
        <v>45885</v>
      </c>
      <c r="Y393" s="420"/>
      <c r="Z393" s="224" t="str">
        <f t="shared" si="36"/>
        <v>AG. MEDIÇÃO</v>
      </c>
      <c r="AA393" s="207" t="str">
        <f t="shared" si="37"/>
        <v>ENTREGUE</v>
      </c>
      <c r="AB393" s="207" t="str">
        <f t="shared" si="38"/>
        <v>AG. MEDIÇÃO</v>
      </c>
      <c r="AC393" s="156">
        <f t="shared" ca="1" si="39"/>
        <v>295</v>
      </c>
      <c r="AD393" s="156" t="str">
        <f t="shared" ca="1" si="40"/>
        <v>ATRASADO</v>
      </c>
      <c r="AE393" s="156">
        <f t="shared" ca="1" si="41"/>
        <v>292</v>
      </c>
    </row>
    <row r="394" spans="1:31" ht="36" hidden="1" customHeight="1">
      <c r="A394" s="414"/>
      <c r="B394" s="440" t="s">
        <v>3814</v>
      </c>
      <c r="C394" s="440" t="s">
        <v>232</v>
      </c>
      <c r="D394" s="440" t="s">
        <v>1064</v>
      </c>
      <c r="E394" s="440" t="s">
        <v>389</v>
      </c>
      <c r="F394" s="440" t="s">
        <v>42</v>
      </c>
      <c r="G394" s="441" t="s">
        <v>3348</v>
      </c>
      <c r="H394" s="440" t="s">
        <v>3815</v>
      </c>
      <c r="I394" s="441" t="s">
        <v>3816</v>
      </c>
      <c r="J394" s="450">
        <v>45383</v>
      </c>
      <c r="K394" s="429" t="s">
        <v>2493</v>
      </c>
      <c r="L394" s="444" t="s">
        <v>1319</v>
      </c>
      <c r="M394" s="444" t="s">
        <v>109</v>
      </c>
      <c r="N394" s="441" t="s">
        <v>2572</v>
      </c>
      <c r="O394" s="445" t="s">
        <v>85</v>
      </c>
      <c r="P394" s="445"/>
      <c r="Q394" s="441">
        <v>909</v>
      </c>
      <c r="R394" s="445" t="s">
        <v>3817</v>
      </c>
      <c r="S394" s="446">
        <v>45469</v>
      </c>
      <c r="T394" s="446">
        <v>45412</v>
      </c>
      <c r="U394" s="446">
        <v>45454</v>
      </c>
      <c r="V394" s="447">
        <v>45461</v>
      </c>
      <c r="W394" s="447">
        <v>45461</v>
      </c>
      <c r="X394" s="447" t="s">
        <v>8044</v>
      </c>
      <c r="Y394" s="420"/>
      <c r="Z394" s="224" t="str">
        <f t="shared" si="36"/>
        <v>AG. MEDIÇÃO</v>
      </c>
      <c r="AA394" s="207" t="str">
        <f t="shared" si="37"/>
        <v>ENTREGUE</v>
      </c>
      <c r="AB394" s="207" t="str">
        <f t="shared" si="38"/>
        <v>AG. MEDIÇÃO</v>
      </c>
      <c r="AC394" s="156">
        <f t="shared" ca="1" si="39"/>
        <v>35</v>
      </c>
      <c r="AD394" s="156" t="str">
        <f t="shared" ca="1" si="40"/>
        <v>ATRASADO</v>
      </c>
      <c r="AE394" s="156">
        <f t="shared" ca="1" si="41"/>
        <v>32</v>
      </c>
    </row>
    <row r="395" spans="1:31" ht="36" hidden="1" customHeight="1">
      <c r="A395" s="414"/>
      <c r="B395" s="440" t="s">
        <v>5536</v>
      </c>
      <c r="C395" s="440" t="s">
        <v>449</v>
      </c>
      <c r="D395" s="440" t="s">
        <v>1298</v>
      </c>
      <c r="E395" s="440" t="s">
        <v>4925</v>
      </c>
      <c r="F395" s="440" t="s">
        <v>42</v>
      </c>
      <c r="G395" s="441"/>
      <c r="H395" s="440" t="s">
        <v>5537</v>
      </c>
      <c r="I395" s="441" t="s">
        <v>5538</v>
      </c>
      <c r="J395" s="450">
        <v>45839</v>
      </c>
      <c r="K395" s="429" t="s">
        <v>2493</v>
      </c>
      <c r="L395" s="444"/>
      <c r="M395" s="444"/>
      <c r="N395" s="441"/>
      <c r="O395" s="445"/>
      <c r="P395" s="441"/>
      <c r="Q395" s="445"/>
      <c r="R395" s="445" t="s">
        <v>5527</v>
      </c>
      <c r="S395" s="446" t="s">
        <v>5528</v>
      </c>
      <c r="T395" s="446">
        <v>45852</v>
      </c>
      <c r="U395" s="446"/>
      <c r="V395" s="447"/>
      <c r="W395" s="447">
        <v>45855</v>
      </c>
      <c r="X395" s="447" t="s">
        <v>8044</v>
      </c>
      <c r="Y395" s="420"/>
      <c r="Z395" s="224" t="str">
        <f t="shared" si="36"/>
        <v>AG. MEDIÇÃO</v>
      </c>
      <c r="AA395" s="207" t="str">
        <f t="shared" si="37"/>
        <v>ENTREGUE</v>
      </c>
      <c r="AB395" s="207" t="str">
        <f t="shared" si="38"/>
        <v>AG. MEDIÇÃO</v>
      </c>
      <c r="AC395" s="156">
        <f t="shared" ca="1" si="39"/>
        <v>3</v>
      </c>
      <c r="AD395" s="156" t="str">
        <f t="shared" ca="1" si="40"/>
        <v>NO PRAZO</v>
      </c>
      <c r="AE395" s="156">
        <f t="shared" ca="1" si="41"/>
        <v>0</v>
      </c>
    </row>
    <row r="396" spans="1:31" ht="27" hidden="1" customHeight="1">
      <c r="A396" s="414"/>
      <c r="B396" s="440" t="s">
        <v>5524</v>
      </c>
      <c r="C396" s="440" t="s">
        <v>449</v>
      </c>
      <c r="D396" s="440" t="s">
        <v>1298</v>
      </c>
      <c r="E396" s="440" t="s">
        <v>4925</v>
      </c>
      <c r="F396" s="440" t="s">
        <v>42</v>
      </c>
      <c r="G396" s="441"/>
      <c r="H396" s="440" t="s">
        <v>5525</v>
      </c>
      <c r="I396" s="441" t="s">
        <v>5526</v>
      </c>
      <c r="J396" s="450">
        <v>45839</v>
      </c>
      <c r="K396" s="429" t="s">
        <v>2493</v>
      </c>
      <c r="L396" s="444"/>
      <c r="M396" s="444"/>
      <c r="N396" s="441"/>
      <c r="O396" s="445"/>
      <c r="P396" s="441"/>
      <c r="Q396" s="445"/>
      <c r="R396" s="445" t="s">
        <v>5527</v>
      </c>
      <c r="S396" s="446" t="s">
        <v>5528</v>
      </c>
      <c r="T396" s="446">
        <v>45852</v>
      </c>
      <c r="U396" s="446"/>
      <c r="V396" s="447"/>
      <c r="W396" s="447">
        <v>45855</v>
      </c>
      <c r="X396" s="447" t="s">
        <v>8044</v>
      </c>
      <c r="Y396" s="420"/>
      <c r="Z396" s="224" t="str">
        <f t="shared" si="36"/>
        <v>AG. MEDIÇÃO</v>
      </c>
      <c r="AA396" s="207" t="str">
        <f t="shared" si="37"/>
        <v>ENTREGUE</v>
      </c>
      <c r="AB396" s="207" t="str">
        <f t="shared" si="38"/>
        <v>AG. MEDIÇÃO</v>
      </c>
      <c r="AC396" s="156">
        <f t="shared" ca="1" si="39"/>
        <v>3</v>
      </c>
      <c r="AD396" s="156" t="str">
        <f t="shared" ca="1" si="40"/>
        <v>NO PRAZO</v>
      </c>
      <c r="AE396" s="156">
        <f t="shared" ca="1" si="41"/>
        <v>0</v>
      </c>
    </row>
    <row r="397" spans="1:31" ht="35.25" hidden="1" customHeight="1">
      <c r="A397" s="414"/>
      <c r="B397" s="429" t="s">
        <v>8126</v>
      </c>
      <c r="C397" s="429" t="s">
        <v>425</v>
      </c>
      <c r="D397" s="429" t="s">
        <v>1458</v>
      </c>
      <c r="E397" s="429" t="s">
        <v>1551</v>
      </c>
      <c r="F397" s="429" t="s">
        <v>42</v>
      </c>
      <c r="G397" s="433"/>
      <c r="H397" s="429" t="s">
        <v>8156</v>
      </c>
      <c r="I397" s="433" t="s">
        <v>8157</v>
      </c>
      <c r="J397" s="432">
        <v>46204</v>
      </c>
      <c r="K397" s="429" t="s">
        <v>2493</v>
      </c>
      <c r="L397" s="436" t="s">
        <v>7910</v>
      </c>
      <c r="M397" s="436" t="s">
        <v>7910</v>
      </c>
      <c r="N397" s="437"/>
      <c r="O397" s="437" t="s">
        <v>85</v>
      </c>
      <c r="P397" s="437">
        <v>80</v>
      </c>
      <c r="Q397" s="433">
        <v>80</v>
      </c>
      <c r="R397" s="499" t="s">
        <v>8373</v>
      </c>
      <c r="S397" s="438">
        <v>46247</v>
      </c>
      <c r="T397" s="438">
        <v>46225</v>
      </c>
      <c r="U397" s="438"/>
      <c r="V397" s="438"/>
      <c r="W397" s="439">
        <v>46225</v>
      </c>
      <c r="X397" s="439">
        <v>46247</v>
      </c>
      <c r="Y397" s="420"/>
      <c r="Z397" s="224" t="str">
        <f t="shared" si="36"/>
        <v>AG. MEDIÇÃO</v>
      </c>
      <c r="AA397" s="207" t="str">
        <f t="shared" si="37"/>
        <v>ENTREGUE</v>
      </c>
      <c r="AB397" s="207" t="str">
        <f t="shared" si="38"/>
        <v>AG. MEDIÇÃO</v>
      </c>
      <c r="AC397" s="156">
        <f t="shared" ca="1" si="39"/>
        <v>0</v>
      </c>
      <c r="AD397" s="156" t="str">
        <f t="shared" ca="1" si="40"/>
        <v>NO PRAZO</v>
      </c>
      <c r="AE397" s="156">
        <f t="shared" ca="1" si="41"/>
        <v>-3</v>
      </c>
    </row>
    <row r="398" spans="1:31" ht="27" hidden="1" customHeight="1">
      <c r="A398" s="414"/>
      <c r="B398" s="429" t="s">
        <v>7278</v>
      </c>
      <c r="C398" s="429" t="s">
        <v>353</v>
      </c>
      <c r="D398" s="429" t="s">
        <v>355</v>
      </c>
      <c r="E398" s="429" t="s">
        <v>354</v>
      </c>
      <c r="F398" s="429" t="s">
        <v>42</v>
      </c>
      <c r="G398" s="433" t="s">
        <v>7217</v>
      </c>
      <c r="H398" s="652" t="s">
        <v>7193</v>
      </c>
      <c r="I398" s="433" t="s">
        <v>7218</v>
      </c>
      <c r="J398" s="432">
        <v>46082</v>
      </c>
      <c r="K398" s="429" t="s">
        <v>2493</v>
      </c>
      <c r="L398" s="436"/>
      <c r="M398" s="436" t="s">
        <v>62</v>
      </c>
      <c r="N398" s="433"/>
      <c r="O398" s="437"/>
      <c r="P398" s="433" t="s">
        <v>2494</v>
      </c>
      <c r="Q398" s="437" t="s">
        <v>2494</v>
      </c>
      <c r="R398" s="437" t="s">
        <v>7235</v>
      </c>
      <c r="S398" s="438">
        <v>46114</v>
      </c>
      <c r="T398" s="438">
        <v>46111</v>
      </c>
      <c r="U398" s="438">
        <v>46111</v>
      </c>
      <c r="V398" s="439"/>
      <c r="W398" s="439">
        <v>46114</v>
      </c>
      <c r="X398" s="439">
        <v>46114</v>
      </c>
      <c r="Y398" s="420"/>
      <c r="Z398" s="224" t="str">
        <f t="shared" si="36"/>
        <v>AG. MEDIÇÃO</v>
      </c>
      <c r="AA398" s="207" t="str">
        <f t="shared" si="37"/>
        <v>ENTREGUE</v>
      </c>
      <c r="AB398" s="207" t="str">
        <f t="shared" si="38"/>
        <v>AG. MEDIÇÃO</v>
      </c>
      <c r="AC398" s="156">
        <f t="shared" ca="1" si="39"/>
        <v>3</v>
      </c>
      <c r="AD398" s="156" t="str">
        <f t="shared" ca="1" si="40"/>
        <v>NO PRAZO</v>
      </c>
      <c r="AE398" s="156">
        <f t="shared" ca="1" si="41"/>
        <v>0</v>
      </c>
    </row>
    <row r="399" spans="1:31" ht="36" hidden="1" customHeight="1">
      <c r="A399" s="414"/>
      <c r="B399" s="440" t="s">
        <v>3626</v>
      </c>
      <c r="C399" s="440" t="s">
        <v>425</v>
      </c>
      <c r="D399" s="440"/>
      <c r="E399" s="440"/>
      <c r="F399" s="440" t="s">
        <v>2559</v>
      </c>
      <c r="G399" s="441" t="s">
        <v>3627</v>
      </c>
      <c r="H399" s="440" t="s">
        <v>3628</v>
      </c>
      <c r="I399" s="441"/>
      <c r="J399" s="450">
        <v>45383</v>
      </c>
      <c r="K399" s="429" t="s">
        <v>2493</v>
      </c>
      <c r="L399" s="444" t="s">
        <v>1208</v>
      </c>
      <c r="M399" s="444" t="s">
        <v>51</v>
      </c>
      <c r="N399" s="441" t="s">
        <v>2572</v>
      </c>
      <c r="O399" s="445" t="s">
        <v>85</v>
      </c>
      <c r="P399" s="445"/>
      <c r="Q399" s="441">
        <v>770</v>
      </c>
      <c r="R399" s="445" t="s">
        <v>3629</v>
      </c>
      <c r="S399" s="446">
        <v>45405</v>
      </c>
      <c r="T399" s="446">
        <v>45393</v>
      </c>
      <c r="U399" s="446">
        <v>45399</v>
      </c>
      <c r="V399" s="446"/>
      <c r="W399" s="447">
        <v>45402</v>
      </c>
      <c r="X399" s="447" t="s">
        <v>8044</v>
      </c>
      <c r="Y399" s="420"/>
      <c r="Z399" s="224" t="str">
        <f t="shared" si="36"/>
        <v>AG. MEDIÇÃO</v>
      </c>
      <c r="AA399" s="207" t="str">
        <f t="shared" si="37"/>
        <v>ENTREGUE</v>
      </c>
      <c r="AB399" s="207" t="str">
        <f t="shared" si="38"/>
        <v>AG. MEDIÇÃO</v>
      </c>
      <c r="AC399" s="156">
        <f t="shared" ca="1" si="39"/>
        <v>6</v>
      </c>
      <c r="AD399" s="156" t="str">
        <f t="shared" ca="1" si="40"/>
        <v>ATRASADO</v>
      </c>
      <c r="AE399" s="156">
        <f t="shared" ca="1" si="41"/>
        <v>3</v>
      </c>
    </row>
    <row r="400" spans="1:31" ht="36" hidden="1" customHeight="1">
      <c r="A400" s="414"/>
      <c r="B400" s="429" t="s">
        <v>7885</v>
      </c>
      <c r="C400" s="429" t="s">
        <v>2359</v>
      </c>
      <c r="D400" s="429" t="s">
        <v>2361</v>
      </c>
      <c r="E400" s="429" t="s">
        <v>2360</v>
      </c>
      <c r="F400" s="429" t="s">
        <v>427</v>
      </c>
      <c r="G400" s="433"/>
      <c r="H400" s="429" t="s">
        <v>7890</v>
      </c>
      <c r="I400" s="433" t="s">
        <v>8056</v>
      </c>
      <c r="J400" s="432">
        <v>46174</v>
      </c>
      <c r="K400" s="429" t="s">
        <v>2493</v>
      </c>
      <c r="L400" s="436"/>
      <c r="M400" s="436" t="s">
        <v>62</v>
      </c>
      <c r="N400" s="437"/>
      <c r="O400" s="437" t="s">
        <v>85</v>
      </c>
      <c r="P400" s="433" t="s">
        <v>2494</v>
      </c>
      <c r="Q400" s="437" t="s">
        <v>2494</v>
      </c>
      <c r="R400" s="499" t="s">
        <v>8057</v>
      </c>
      <c r="S400" s="438">
        <v>46211</v>
      </c>
      <c r="T400" s="438">
        <v>46192</v>
      </c>
      <c r="U400" s="438"/>
      <c r="V400" s="438"/>
      <c r="W400" s="439">
        <v>46197</v>
      </c>
      <c r="X400" s="439">
        <v>46211</v>
      </c>
      <c r="Y400" s="420"/>
      <c r="Z400" s="224" t="str">
        <f t="shared" si="36"/>
        <v>AG. MEDIÇÃO</v>
      </c>
      <c r="AA400" s="207" t="str">
        <f t="shared" si="37"/>
        <v>ENTREGUE</v>
      </c>
      <c r="AB400" s="207" t="str">
        <f t="shared" si="38"/>
        <v>AG. MEDIÇÃO</v>
      </c>
      <c r="AC400" s="156">
        <f t="shared" ca="1" si="39"/>
        <v>3</v>
      </c>
      <c r="AD400" s="156" t="str">
        <f t="shared" ca="1" si="40"/>
        <v>NO PRAZO</v>
      </c>
      <c r="AE400" s="156">
        <f t="shared" ca="1" si="41"/>
        <v>0</v>
      </c>
    </row>
    <row r="401" spans="1:31" ht="38.25" hidden="1" customHeight="1">
      <c r="A401" s="414"/>
      <c r="B401" s="440" t="s">
        <v>3017</v>
      </c>
      <c r="C401" s="440" t="s">
        <v>3018</v>
      </c>
      <c r="D401" s="440"/>
      <c r="E401" s="440"/>
      <c r="F401" s="440" t="s">
        <v>42</v>
      </c>
      <c r="G401" s="441" t="s">
        <v>3019</v>
      </c>
      <c r="H401" s="440" t="s">
        <v>3020</v>
      </c>
      <c r="I401" s="449"/>
      <c r="J401" s="443">
        <v>45139</v>
      </c>
      <c r="K401" s="429" t="s">
        <v>2493</v>
      </c>
      <c r="L401" s="444"/>
      <c r="M401" s="444" t="s">
        <v>774</v>
      </c>
      <c r="N401" s="441" t="s">
        <v>2572</v>
      </c>
      <c r="O401" s="445" t="s">
        <v>85</v>
      </c>
      <c r="P401" s="441" t="s">
        <v>2494</v>
      </c>
      <c r="Q401" s="441" t="s">
        <v>2494</v>
      </c>
      <c r="R401" s="445" t="s">
        <v>3021</v>
      </c>
      <c r="S401" s="446">
        <v>45184</v>
      </c>
      <c r="T401" s="446">
        <v>45167</v>
      </c>
      <c r="U401" s="446">
        <v>45169</v>
      </c>
      <c r="V401" s="446">
        <v>45169</v>
      </c>
      <c r="W401" s="447" t="s">
        <v>3022</v>
      </c>
      <c r="X401" s="447" t="s">
        <v>8044</v>
      </c>
      <c r="Y401" s="420"/>
      <c r="Z401" s="224" t="str">
        <f t="shared" si="36"/>
        <v>AG. MEDIÇÃO</v>
      </c>
      <c r="AA401" s="207" t="str">
        <f t="shared" si="37"/>
        <v>ENTREGUE</v>
      </c>
      <c r="AB401" s="207" t="str">
        <f t="shared" si="38"/>
        <v>AG. MEDIÇÃO</v>
      </c>
      <c r="AC401" s="156" t="str">
        <f t="shared" ca="1" si="39"/>
        <v>CHECAR DATA</v>
      </c>
      <c r="AD401" s="156" t="str">
        <f t="shared" ca="1" si="40"/>
        <v>ATRASADO</v>
      </c>
      <c r="AE401" s="156" t="str">
        <f t="shared" ca="1" si="41"/>
        <v>CHECAR DATA</v>
      </c>
    </row>
    <row r="402" spans="1:31" ht="36" hidden="1" customHeight="1">
      <c r="A402" s="414"/>
      <c r="B402" s="440" t="s">
        <v>5519</v>
      </c>
      <c r="C402" s="440" t="s">
        <v>336</v>
      </c>
      <c r="D402" s="440"/>
      <c r="E402" s="440"/>
      <c r="F402" s="440" t="s">
        <v>42</v>
      </c>
      <c r="G402" s="441"/>
      <c r="H402" s="440" t="s">
        <v>5520</v>
      </c>
      <c r="I402" s="441" t="s">
        <v>5521</v>
      </c>
      <c r="J402" s="450">
        <v>45839</v>
      </c>
      <c r="K402" s="429" t="s">
        <v>2493</v>
      </c>
      <c r="L402" s="444" t="s">
        <v>147</v>
      </c>
      <c r="M402" s="444" t="s">
        <v>1155</v>
      </c>
      <c r="N402" s="441" t="s">
        <v>2572</v>
      </c>
      <c r="O402" s="445"/>
      <c r="P402" s="441">
        <v>195</v>
      </c>
      <c r="Q402" s="445"/>
      <c r="R402" s="445" t="s">
        <v>5522</v>
      </c>
      <c r="S402" s="446">
        <v>45852</v>
      </c>
      <c r="T402" s="446">
        <v>45848</v>
      </c>
      <c r="U402" s="446">
        <v>45849</v>
      </c>
      <c r="V402" s="447" t="s">
        <v>5523</v>
      </c>
      <c r="W402" s="447">
        <v>45849</v>
      </c>
      <c r="X402" s="447" t="s">
        <v>8044</v>
      </c>
      <c r="Y402" s="420"/>
      <c r="Z402" s="224" t="str">
        <f t="shared" si="36"/>
        <v>AG. MEDIÇÃO</v>
      </c>
      <c r="AA402" s="207" t="str">
        <f t="shared" si="37"/>
        <v>ENTREGUE</v>
      </c>
      <c r="AB402" s="207" t="str">
        <f t="shared" si="38"/>
        <v>AG. MEDIÇÃO</v>
      </c>
      <c r="AC402" s="156">
        <f t="shared" ca="1" si="39"/>
        <v>1</v>
      </c>
      <c r="AD402" s="156" t="str">
        <f t="shared" ca="1" si="40"/>
        <v>NO PRAZO</v>
      </c>
      <c r="AE402" s="156">
        <f t="shared" ca="1" si="41"/>
        <v>-2</v>
      </c>
    </row>
    <row r="403" spans="1:31" ht="45" hidden="1" customHeight="1">
      <c r="A403" s="414"/>
      <c r="B403" s="440" t="s">
        <v>2892</v>
      </c>
      <c r="C403" s="440" t="s">
        <v>2893</v>
      </c>
      <c r="D403" s="440"/>
      <c r="E403" s="440"/>
      <c r="F403" s="440" t="s">
        <v>42</v>
      </c>
      <c r="G403" s="441" t="s">
        <v>2894</v>
      </c>
      <c r="H403" s="440" t="s">
        <v>2895</v>
      </c>
      <c r="I403" s="449"/>
      <c r="J403" s="450">
        <v>45078</v>
      </c>
      <c r="K403" s="429" t="s">
        <v>2493</v>
      </c>
      <c r="L403" s="444"/>
      <c r="M403" s="444"/>
      <c r="N403" s="441" t="s">
        <v>2572</v>
      </c>
      <c r="O403" s="441" t="s">
        <v>2573</v>
      </c>
      <c r="P403" s="441" t="s">
        <v>2494</v>
      </c>
      <c r="Q403" s="441" t="s">
        <v>2494</v>
      </c>
      <c r="R403" s="445" t="s">
        <v>2896</v>
      </c>
      <c r="S403" s="446">
        <v>45103</v>
      </c>
      <c r="T403" s="446">
        <v>45099</v>
      </c>
      <c r="U403" s="446">
        <v>45100</v>
      </c>
      <c r="V403" s="446">
        <v>45101</v>
      </c>
      <c r="W403" s="447">
        <v>45101</v>
      </c>
      <c r="X403" s="447" t="s">
        <v>8044</v>
      </c>
      <c r="Y403" s="420"/>
      <c r="Z403" s="224" t="str">
        <f t="shared" si="36"/>
        <v>AG. MEDIÇÃO</v>
      </c>
      <c r="AA403" s="207" t="str">
        <f t="shared" si="37"/>
        <v>ENTREGUE</v>
      </c>
      <c r="AB403" s="207" t="str">
        <f t="shared" si="38"/>
        <v>AG. MEDIÇÃO</v>
      </c>
      <c r="AC403" s="156">
        <f t="shared" ca="1" si="39"/>
        <v>1</v>
      </c>
      <c r="AD403" s="156" t="str">
        <f t="shared" ca="1" si="40"/>
        <v>NO PRAZO</v>
      </c>
      <c r="AE403" s="156">
        <f t="shared" ca="1" si="41"/>
        <v>-2</v>
      </c>
    </row>
    <row r="404" spans="1:31" ht="36" hidden="1" customHeight="1">
      <c r="A404" s="414"/>
      <c r="B404" s="440" t="s">
        <v>4021</v>
      </c>
      <c r="C404" s="440" t="s">
        <v>111</v>
      </c>
      <c r="D404" s="440" t="s">
        <v>360</v>
      </c>
      <c r="E404" s="440" t="s">
        <v>2504</v>
      </c>
      <c r="F404" s="440" t="s">
        <v>42</v>
      </c>
      <c r="G404" s="441"/>
      <c r="H404" s="440" t="s">
        <v>4022</v>
      </c>
      <c r="I404" s="441" t="s">
        <v>4023</v>
      </c>
      <c r="J404" s="450">
        <v>45474</v>
      </c>
      <c r="K404" s="429" t="s">
        <v>2493</v>
      </c>
      <c r="L404" s="444"/>
      <c r="M404" s="444" t="s">
        <v>51</v>
      </c>
      <c r="N404" s="441" t="s">
        <v>2572</v>
      </c>
      <c r="O404" s="445" t="s">
        <v>85</v>
      </c>
      <c r="P404" s="441" t="s">
        <v>2494</v>
      </c>
      <c r="Q404" s="441" t="s">
        <v>2494</v>
      </c>
      <c r="R404" s="445" t="s">
        <v>3386</v>
      </c>
      <c r="S404" s="446">
        <v>45497</v>
      </c>
      <c r="T404" s="446">
        <v>45488</v>
      </c>
      <c r="U404" s="446">
        <v>45488</v>
      </c>
      <c r="V404" s="447">
        <v>45488</v>
      </c>
      <c r="W404" s="447">
        <v>45488</v>
      </c>
      <c r="X404" s="447" t="s">
        <v>8044</v>
      </c>
      <c r="Y404" s="420"/>
      <c r="Z404" s="224" t="str">
        <f t="shared" si="36"/>
        <v>AG. MEDIÇÃO</v>
      </c>
      <c r="AA404" s="207" t="str">
        <f t="shared" si="37"/>
        <v>ENTREGUE</v>
      </c>
      <c r="AB404" s="207" t="str">
        <f t="shared" si="38"/>
        <v>AG. MEDIÇÃO</v>
      </c>
      <c r="AC404" s="156">
        <f t="shared" ca="1" si="39"/>
        <v>0</v>
      </c>
      <c r="AD404" s="156" t="str">
        <f t="shared" ca="1" si="40"/>
        <v>NO PRAZO</v>
      </c>
      <c r="AE404" s="156">
        <f t="shared" ca="1" si="41"/>
        <v>-3</v>
      </c>
    </row>
    <row r="405" spans="1:31" ht="36" hidden="1" customHeight="1">
      <c r="A405" s="414"/>
      <c r="B405" s="466" t="s">
        <v>6841</v>
      </c>
      <c r="C405" s="430" t="s">
        <v>6861</v>
      </c>
      <c r="D405" s="431"/>
      <c r="E405" s="432"/>
      <c r="F405" s="429" t="s">
        <v>2498</v>
      </c>
      <c r="G405" s="434"/>
      <c r="H405" s="636" t="s">
        <v>6859</v>
      </c>
      <c r="I405" s="433" t="s">
        <v>6860</v>
      </c>
      <c r="J405" s="432">
        <v>46023</v>
      </c>
      <c r="K405" s="429" t="s">
        <v>2493</v>
      </c>
      <c r="L405" s="487"/>
      <c r="M405" s="436" t="s">
        <v>6871</v>
      </c>
      <c r="N405" s="433"/>
      <c r="O405" s="437"/>
      <c r="P405" s="437" t="s">
        <v>2494</v>
      </c>
      <c r="Q405" s="437" t="s">
        <v>2494</v>
      </c>
      <c r="R405" s="437" t="s">
        <v>6875</v>
      </c>
      <c r="S405" s="438">
        <v>46052</v>
      </c>
      <c r="T405" s="438">
        <v>46036</v>
      </c>
      <c r="U405" s="438"/>
      <c r="V405" s="439"/>
      <c r="W405" s="439">
        <v>46040</v>
      </c>
      <c r="X405" s="439">
        <v>46052</v>
      </c>
      <c r="Y405" s="420"/>
      <c r="Z405" s="224" t="str">
        <f t="shared" si="36"/>
        <v>AG. MEDIÇÃO</v>
      </c>
      <c r="AA405" s="207" t="str">
        <f t="shared" si="37"/>
        <v>ENTREGUE</v>
      </c>
      <c r="AB405" s="207" t="str">
        <f t="shared" si="38"/>
        <v>AG. MEDIÇÃO</v>
      </c>
      <c r="AC405" s="156">
        <f t="shared" ca="1" si="39"/>
        <v>2</v>
      </c>
      <c r="AD405" s="156" t="str">
        <f t="shared" ca="1" si="40"/>
        <v>NO PRAZO</v>
      </c>
      <c r="AE405" s="156">
        <f t="shared" ca="1" si="41"/>
        <v>-1</v>
      </c>
    </row>
    <row r="406" spans="1:31" ht="27" hidden="1" customHeight="1">
      <c r="A406" s="414"/>
      <c r="B406" s="440" t="s">
        <v>5627</v>
      </c>
      <c r="C406" s="440" t="s">
        <v>2531</v>
      </c>
      <c r="D406" s="440"/>
      <c r="E406" s="440"/>
      <c r="F406" s="440" t="s">
        <v>2498</v>
      </c>
      <c r="G406" s="441"/>
      <c r="H406" s="440" t="s">
        <v>5628</v>
      </c>
      <c r="I406" s="441" t="s">
        <v>5629</v>
      </c>
      <c r="J406" s="450">
        <v>45870</v>
      </c>
      <c r="K406" s="429" t="s">
        <v>2493</v>
      </c>
      <c r="L406" s="444" t="s">
        <v>2141</v>
      </c>
      <c r="M406" s="444" t="s">
        <v>2501</v>
      </c>
      <c r="N406" s="441"/>
      <c r="O406" s="445"/>
      <c r="P406" s="441">
        <v>327</v>
      </c>
      <c r="Q406" s="445">
        <v>339</v>
      </c>
      <c r="R406" s="445" t="s">
        <v>5630</v>
      </c>
      <c r="S406" s="446">
        <v>45918</v>
      </c>
      <c r="T406" s="446">
        <v>45870</v>
      </c>
      <c r="U406" s="446"/>
      <c r="V406" s="447"/>
      <c r="W406" s="447">
        <v>45918</v>
      </c>
      <c r="X406" s="447">
        <v>45918</v>
      </c>
      <c r="Y406" s="420"/>
      <c r="Z406" s="224" t="str">
        <f t="shared" si="36"/>
        <v>AG. MEDIÇÃO</v>
      </c>
      <c r="AA406" s="207" t="str">
        <f t="shared" si="37"/>
        <v>ENTREGUE</v>
      </c>
      <c r="AB406" s="207" t="str">
        <f t="shared" si="38"/>
        <v>AG. MEDIÇÃO</v>
      </c>
      <c r="AC406" s="156">
        <f t="shared" ca="1" si="39"/>
        <v>34</v>
      </c>
      <c r="AD406" s="156" t="str">
        <f t="shared" ca="1" si="40"/>
        <v>ATRASADO</v>
      </c>
      <c r="AE406" s="156">
        <f t="shared" ca="1" si="41"/>
        <v>31</v>
      </c>
    </row>
    <row r="407" spans="1:31" ht="36" hidden="1" customHeight="1">
      <c r="A407" s="414"/>
      <c r="B407" s="440" t="s">
        <v>5739</v>
      </c>
      <c r="C407" s="440" t="s">
        <v>4873</v>
      </c>
      <c r="D407" s="440"/>
      <c r="E407" s="440"/>
      <c r="F407" s="440" t="s">
        <v>4875</v>
      </c>
      <c r="G407" s="441"/>
      <c r="H407" s="440" t="s">
        <v>5740</v>
      </c>
      <c r="I407" s="441"/>
      <c r="J407" s="450">
        <v>45901</v>
      </c>
      <c r="K407" s="429" t="s">
        <v>2493</v>
      </c>
      <c r="L407" s="444"/>
      <c r="M407" s="444" t="s">
        <v>1764</v>
      </c>
      <c r="N407" s="441" t="s">
        <v>2556</v>
      </c>
      <c r="O407" s="445" t="s">
        <v>85</v>
      </c>
      <c r="P407" s="441" t="s">
        <v>2494</v>
      </c>
      <c r="Q407" s="445" t="s">
        <v>2494</v>
      </c>
      <c r="R407" s="445" t="s">
        <v>5741</v>
      </c>
      <c r="S407" s="446">
        <v>45915</v>
      </c>
      <c r="T407" s="446">
        <v>45909</v>
      </c>
      <c r="U407" s="446">
        <v>45915</v>
      </c>
      <c r="V407" s="447"/>
      <c r="W407" s="447">
        <v>45915</v>
      </c>
      <c r="X407" s="447">
        <v>45915</v>
      </c>
      <c r="Y407" s="420"/>
      <c r="Z407" s="224" t="str">
        <f t="shared" si="36"/>
        <v>AG. MEDIÇÃO</v>
      </c>
      <c r="AA407" s="207" t="str">
        <f t="shared" si="37"/>
        <v>ENTREGUE</v>
      </c>
      <c r="AB407" s="207" t="str">
        <f t="shared" si="38"/>
        <v>AG. MEDIÇÃO</v>
      </c>
      <c r="AC407" s="156">
        <f t="shared" ca="1" si="39"/>
        <v>4</v>
      </c>
      <c r="AD407" s="156" t="str">
        <f t="shared" ca="1" si="40"/>
        <v>ATRASADO</v>
      </c>
      <c r="AE407" s="156">
        <f t="shared" ca="1" si="41"/>
        <v>1</v>
      </c>
    </row>
    <row r="408" spans="1:31" ht="36" hidden="1" customHeight="1">
      <c r="A408" s="414"/>
      <c r="B408" s="429" t="s">
        <v>7737</v>
      </c>
      <c r="C408" s="430" t="s">
        <v>606</v>
      </c>
      <c r="D408" s="431" t="s">
        <v>608</v>
      </c>
      <c r="E408" s="432" t="s">
        <v>607</v>
      </c>
      <c r="F408" s="429" t="s">
        <v>42</v>
      </c>
      <c r="G408" s="434" t="s">
        <v>7673</v>
      </c>
      <c r="H408" s="636" t="s">
        <v>7674</v>
      </c>
      <c r="I408" s="433" t="s">
        <v>7675</v>
      </c>
      <c r="J408" s="432">
        <v>46174</v>
      </c>
      <c r="K408" s="429" t="s">
        <v>2493</v>
      </c>
      <c r="L408" s="436"/>
      <c r="M408" s="436" t="s">
        <v>62</v>
      </c>
      <c r="N408" s="433"/>
      <c r="O408" s="437" t="s">
        <v>85</v>
      </c>
      <c r="P408" s="433" t="s">
        <v>2494</v>
      </c>
      <c r="Q408" s="437" t="s">
        <v>2494</v>
      </c>
      <c r="R408" s="437" t="s">
        <v>7003</v>
      </c>
      <c r="S408" s="438">
        <v>46205</v>
      </c>
      <c r="T408" s="438">
        <v>46174</v>
      </c>
      <c r="U408" s="438"/>
      <c r="V408" s="439"/>
      <c r="W408" s="439">
        <v>46176</v>
      </c>
      <c r="X408" s="439">
        <v>46205</v>
      </c>
      <c r="Y408" s="420"/>
      <c r="Z408" s="224" t="str">
        <f t="shared" si="36"/>
        <v>AG. MEDIÇÃO</v>
      </c>
      <c r="AA408" s="207" t="str">
        <f t="shared" si="37"/>
        <v>ENTREGUE</v>
      </c>
      <c r="AB408" s="207" t="str">
        <f t="shared" si="38"/>
        <v>AG. MEDIÇÃO</v>
      </c>
      <c r="AC408" s="156">
        <f t="shared" ca="1" si="39"/>
        <v>2</v>
      </c>
      <c r="AD408" s="156" t="str">
        <f t="shared" ca="1" si="40"/>
        <v>NO PRAZO</v>
      </c>
      <c r="AE408" s="156">
        <f t="shared" ca="1" si="41"/>
        <v>-1</v>
      </c>
    </row>
    <row r="409" spans="1:31" ht="36" hidden="1" customHeight="1">
      <c r="A409" s="414"/>
      <c r="B409" s="429" t="s">
        <v>7775</v>
      </c>
      <c r="C409" s="430" t="s">
        <v>232</v>
      </c>
      <c r="D409" s="430" t="s">
        <v>1801</v>
      </c>
      <c r="E409" s="432" t="s">
        <v>389</v>
      </c>
      <c r="F409" s="429" t="s">
        <v>42</v>
      </c>
      <c r="G409" s="434" t="s">
        <v>7744</v>
      </c>
      <c r="H409" s="636" t="s">
        <v>7745</v>
      </c>
      <c r="I409" s="433" t="s">
        <v>7746</v>
      </c>
      <c r="J409" s="432">
        <v>46174</v>
      </c>
      <c r="K409" s="429" t="s">
        <v>2493</v>
      </c>
      <c r="L409" s="436"/>
      <c r="M409" s="436" t="s">
        <v>132</v>
      </c>
      <c r="N409" s="433"/>
      <c r="O409" s="437"/>
      <c r="P409" s="433" t="s">
        <v>2494</v>
      </c>
      <c r="Q409" s="437" t="s">
        <v>2494</v>
      </c>
      <c r="R409" s="437" t="s">
        <v>4662</v>
      </c>
      <c r="S409" s="438">
        <v>46183</v>
      </c>
      <c r="T409" s="438">
        <v>46181</v>
      </c>
      <c r="U409" s="438"/>
      <c r="V409" s="439"/>
      <c r="W409" s="439">
        <v>46183</v>
      </c>
      <c r="X409" s="439">
        <v>46183</v>
      </c>
      <c r="Y409" s="420"/>
      <c r="Z409" s="224" t="str">
        <f t="shared" si="36"/>
        <v>AG. MEDIÇÃO</v>
      </c>
      <c r="AA409" s="207" t="str">
        <f t="shared" si="37"/>
        <v>ENTREGUE</v>
      </c>
      <c r="AB409" s="207" t="str">
        <f t="shared" si="38"/>
        <v>AG. MEDIÇÃO</v>
      </c>
      <c r="AC409" s="156">
        <f t="shared" ca="1" si="39"/>
        <v>2</v>
      </c>
      <c r="AD409" s="156" t="str">
        <f t="shared" ca="1" si="40"/>
        <v>NO PRAZO</v>
      </c>
      <c r="AE409" s="156">
        <f t="shared" ca="1" si="41"/>
        <v>-1</v>
      </c>
    </row>
    <row r="410" spans="1:31" ht="41.25" hidden="1" customHeight="1">
      <c r="A410" s="414"/>
      <c r="B410" s="440" t="s">
        <v>5081</v>
      </c>
      <c r="C410" s="440" t="s">
        <v>830</v>
      </c>
      <c r="D410" s="440"/>
      <c r="E410" s="440" t="s">
        <v>675</v>
      </c>
      <c r="F410" s="440" t="s">
        <v>833</v>
      </c>
      <c r="G410" s="441" t="s">
        <v>7006</v>
      </c>
      <c r="H410" s="440" t="s">
        <v>7007</v>
      </c>
      <c r="I410" s="441" t="s">
        <v>5082</v>
      </c>
      <c r="J410" s="450">
        <v>45717</v>
      </c>
      <c r="K410" s="429" t="s">
        <v>2493</v>
      </c>
      <c r="L410" s="444" t="s">
        <v>200</v>
      </c>
      <c r="M410" s="444" t="s">
        <v>200</v>
      </c>
      <c r="N410" s="441"/>
      <c r="O410" s="445"/>
      <c r="P410" s="441">
        <v>3560</v>
      </c>
      <c r="Q410" s="445">
        <v>3640</v>
      </c>
      <c r="R410" s="445" t="s">
        <v>7008</v>
      </c>
      <c r="S410" s="446">
        <v>45785</v>
      </c>
      <c r="T410" s="446">
        <v>45744</v>
      </c>
      <c r="U410" s="446">
        <v>45754</v>
      </c>
      <c r="V410" s="447">
        <v>45757</v>
      </c>
      <c r="W410" s="447">
        <v>45782</v>
      </c>
      <c r="X410" s="447" t="s">
        <v>8044</v>
      </c>
      <c r="Y410" s="420"/>
      <c r="Z410" s="224" t="str">
        <f t="shared" si="36"/>
        <v>AG. MEDIÇÃO</v>
      </c>
      <c r="AA410" s="207" t="str">
        <f t="shared" si="37"/>
        <v>ENTREGUE</v>
      </c>
      <c r="AB410" s="207" t="str">
        <f t="shared" si="38"/>
        <v>AG. MEDIÇÃO</v>
      </c>
      <c r="AC410" s="156">
        <f t="shared" ca="1" si="39"/>
        <v>26</v>
      </c>
      <c r="AD410" s="156" t="str">
        <f t="shared" ca="1" si="40"/>
        <v>ATRASADO</v>
      </c>
      <c r="AE410" s="156">
        <f t="shared" ca="1" si="41"/>
        <v>23</v>
      </c>
    </row>
    <row r="411" spans="1:31" ht="36" hidden="1" customHeight="1">
      <c r="A411" s="414"/>
      <c r="B411" s="440" t="s">
        <v>4489</v>
      </c>
      <c r="C411" s="440" t="s">
        <v>54</v>
      </c>
      <c r="D411" s="440" t="s">
        <v>286</v>
      </c>
      <c r="E411" s="440" t="s">
        <v>55</v>
      </c>
      <c r="F411" s="440" t="s">
        <v>42</v>
      </c>
      <c r="G411" s="441" t="s">
        <v>4490</v>
      </c>
      <c r="H411" s="440" t="s">
        <v>4491</v>
      </c>
      <c r="I411" s="441" t="s">
        <v>4492</v>
      </c>
      <c r="J411" s="450">
        <v>45579</v>
      </c>
      <c r="K411" s="429" t="s">
        <v>2493</v>
      </c>
      <c r="L411" s="444"/>
      <c r="M411" s="444" t="s">
        <v>774</v>
      </c>
      <c r="N411" s="441" t="s">
        <v>2572</v>
      </c>
      <c r="O411" s="445" t="s">
        <v>3350</v>
      </c>
      <c r="P411" s="441" t="s">
        <v>2494</v>
      </c>
      <c r="Q411" s="441" t="s">
        <v>2494</v>
      </c>
      <c r="R411" s="445" t="s">
        <v>4493</v>
      </c>
      <c r="S411" s="446">
        <v>45588</v>
      </c>
      <c r="T411" s="446">
        <v>45579</v>
      </c>
      <c r="U411" s="446">
        <v>45580</v>
      </c>
      <c r="V411" s="447">
        <v>45580</v>
      </c>
      <c r="W411" s="447">
        <v>45580</v>
      </c>
      <c r="X411" s="447" t="s">
        <v>8044</v>
      </c>
      <c r="Y411" s="420"/>
      <c r="Z411" s="224" t="str">
        <f t="shared" si="36"/>
        <v>AG. MEDIÇÃO</v>
      </c>
      <c r="AA411" s="207" t="str">
        <f t="shared" si="37"/>
        <v>ENTREGUE</v>
      </c>
      <c r="AB411" s="207" t="str">
        <f t="shared" si="38"/>
        <v>AG. MEDIÇÃO</v>
      </c>
      <c r="AC411" s="156">
        <f t="shared" ca="1" si="39"/>
        <v>1</v>
      </c>
      <c r="AD411" s="156" t="str">
        <f t="shared" ca="1" si="40"/>
        <v>NO PRAZO</v>
      </c>
      <c r="AE411" s="156">
        <f t="shared" ca="1" si="41"/>
        <v>-2</v>
      </c>
    </row>
    <row r="412" spans="1:31" ht="36" hidden="1" customHeight="1">
      <c r="A412" s="414"/>
      <c r="B412" s="440" t="s">
        <v>3259</v>
      </c>
      <c r="C412" s="440" t="s">
        <v>111</v>
      </c>
      <c r="D412" s="440"/>
      <c r="E412" s="440"/>
      <c r="F412" s="440" t="s">
        <v>42</v>
      </c>
      <c r="G412" s="441" t="s">
        <v>3260</v>
      </c>
      <c r="H412" s="440" t="s">
        <v>3261</v>
      </c>
      <c r="I412" s="441" t="s">
        <v>3262</v>
      </c>
      <c r="J412" s="450">
        <v>45231</v>
      </c>
      <c r="K412" s="429" t="s">
        <v>2493</v>
      </c>
      <c r="L412" s="444" t="s">
        <v>1204</v>
      </c>
      <c r="M412" s="444" t="s">
        <v>714</v>
      </c>
      <c r="N412" s="441" t="s">
        <v>2572</v>
      </c>
      <c r="O412" s="445" t="s">
        <v>85</v>
      </c>
      <c r="P412" s="445"/>
      <c r="Q412" s="441">
        <v>315</v>
      </c>
      <c r="R412" s="445" t="s">
        <v>3263</v>
      </c>
      <c r="S412" s="446">
        <v>45273</v>
      </c>
      <c r="T412" s="446">
        <v>45254</v>
      </c>
      <c r="U412" s="446">
        <v>45260</v>
      </c>
      <c r="V412" s="446">
        <v>45264</v>
      </c>
      <c r="W412" s="446">
        <v>45270</v>
      </c>
      <c r="X412" s="447" t="s">
        <v>8044</v>
      </c>
      <c r="Y412" s="420"/>
      <c r="Z412" s="224" t="str">
        <f t="shared" si="36"/>
        <v>AG. MEDIÇÃO</v>
      </c>
      <c r="AA412" s="207" t="str">
        <f t="shared" si="37"/>
        <v>ENTREGUE</v>
      </c>
      <c r="AB412" s="207" t="str">
        <f t="shared" si="38"/>
        <v>AG. MEDIÇÃO</v>
      </c>
      <c r="AC412" s="156">
        <f t="shared" ca="1" si="39"/>
        <v>10</v>
      </c>
      <c r="AD412" s="156" t="str">
        <f t="shared" ca="1" si="40"/>
        <v>ATRASADO</v>
      </c>
      <c r="AE412" s="156">
        <f t="shared" ca="1" si="41"/>
        <v>7</v>
      </c>
    </row>
    <row r="413" spans="1:31" ht="36" hidden="1" customHeight="1">
      <c r="A413" s="414"/>
      <c r="B413" s="440" t="s">
        <v>3224</v>
      </c>
      <c r="C413" s="440" t="s">
        <v>267</v>
      </c>
      <c r="D413" s="440"/>
      <c r="E413" s="440"/>
      <c r="F413" s="440" t="s">
        <v>42</v>
      </c>
      <c r="G413" s="441" t="s">
        <v>3225</v>
      </c>
      <c r="H413" s="440" t="s">
        <v>3226</v>
      </c>
      <c r="I413" s="449"/>
      <c r="J413" s="450">
        <v>45231</v>
      </c>
      <c r="K413" s="429" t="s">
        <v>2493</v>
      </c>
      <c r="L413" s="444"/>
      <c r="M413" s="444" t="s">
        <v>714</v>
      </c>
      <c r="N413" s="441" t="s">
        <v>2572</v>
      </c>
      <c r="O413" s="445" t="s">
        <v>85</v>
      </c>
      <c r="P413" s="441" t="s">
        <v>2494</v>
      </c>
      <c r="Q413" s="441" t="s">
        <v>2494</v>
      </c>
      <c r="R413" s="445" t="s">
        <v>3227</v>
      </c>
      <c r="S413" s="446">
        <v>45250</v>
      </c>
      <c r="T413" s="446">
        <v>45244</v>
      </c>
      <c r="U413" s="446"/>
      <c r="V413" s="446">
        <v>45246</v>
      </c>
      <c r="W413" s="446">
        <v>45246</v>
      </c>
      <c r="X413" s="447" t="s">
        <v>8044</v>
      </c>
      <c r="Y413" s="420"/>
      <c r="Z413" s="224" t="str">
        <f t="shared" si="36"/>
        <v>AG. MEDIÇÃO</v>
      </c>
      <c r="AA413" s="207" t="str">
        <f t="shared" si="37"/>
        <v>ENTREGUE</v>
      </c>
      <c r="AB413" s="207" t="str">
        <f t="shared" si="38"/>
        <v>AG. MEDIÇÃO</v>
      </c>
      <c r="AC413" s="156">
        <f t="shared" ca="1" si="39"/>
        <v>2</v>
      </c>
      <c r="AD413" s="156" t="str">
        <f t="shared" ca="1" si="40"/>
        <v>NO PRAZO</v>
      </c>
      <c r="AE413" s="156">
        <f t="shared" ca="1" si="41"/>
        <v>-1</v>
      </c>
    </row>
    <row r="414" spans="1:31" ht="36" hidden="1" customHeight="1">
      <c r="A414" s="414"/>
      <c r="B414" s="440" t="s">
        <v>2960</v>
      </c>
      <c r="C414" s="440" t="s">
        <v>267</v>
      </c>
      <c r="D414" s="440"/>
      <c r="E414" s="440"/>
      <c r="F414" s="440" t="s">
        <v>42</v>
      </c>
      <c r="G414" s="441" t="s">
        <v>2961</v>
      </c>
      <c r="H414" s="440" t="s">
        <v>2962</v>
      </c>
      <c r="I414" s="449"/>
      <c r="J414" s="443">
        <v>45108</v>
      </c>
      <c r="K414" s="429" t="s">
        <v>2493</v>
      </c>
      <c r="L414" s="444"/>
      <c r="M414" s="444" t="s">
        <v>864</v>
      </c>
      <c r="N414" s="441" t="s">
        <v>2572</v>
      </c>
      <c r="O414" s="445" t="s">
        <v>2573</v>
      </c>
      <c r="P414" s="441" t="s">
        <v>2494</v>
      </c>
      <c r="Q414" s="441" t="s">
        <v>2494</v>
      </c>
      <c r="R414" s="445" t="s">
        <v>2963</v>
      </c>
      <c r="S414" s="446">
        <v>45133</v>
      </c>
      <c r="T414" s="446">
        <v>45120</v>
      </c>
      <c r="U414" s="446">
        <v>45120</v>
      </c>
      <c r="V414" s="446">
        <v>45121</v>
      </c>
      <c r="W414" s="447">
        <v>45121</v>
      </c>
      <c r="X414" s="447" t="s">
        <v>8044</v>
      </c>
      <c r="Y414" s="420"/>
      <c r="Z414" s="224" t="str">
        <f t="shared" si="36"/>
        <v>AG. MEDIÇÃO</v>
      </c>
      <c r="AA414" s="207" t="str">
        <f t="shared" si="37"/>
        <v>ENTREGUE</v>
      </c>
      <c r="AB414" s="207" t="str">
        <f t="shared" si="38"/>
        <v>AG. MEDIÇÃO</v>
      </c>
      <c r="AC414" s="156">
        <f t="shared" ca="1" si="39"/>
        <v>1</v>
      </c>
      <c r="AD414" s="156" t="str">
        <f t="shared" ca="1" si="40"/>
        <v>NO PRAZO</v>
      </c>
      <c r="AE414" s="156">
        <f t="shared" ca="1" si="41"/>
        <v>-2</v>
      </c>
    </row>
    <row r="415" spans="1:31" ht="36" hidden="1" customHeight="1">
      <c r="A415" s="414"/>
      <c r="B415" s="440" t="s">
        <v>4401</v>
      </c>
      <c r="C415" s="440" t="s">
        <v>232</v>
      </c>
      <c r="D415" s="440" t="s">
        <v>2579</v>
      </c>
      <c r="E415" s="440" t="s">
        <v>389</v>
      </c>
      <c r="F415" s="440" t="s">
        <v>42</v>
      </c>
      <c r="G415" s="441" t="s">
        <v>4402</v>
      </c>
      <c r="H415" s="440" t="s">
        <v>4403</v>
      </c>
      <c r="I415" s="441" t="s">
        <v>4404</v>
      </c>
      <c r="J415" s="450">
        <v>45536</v>
      </c>
      <c r="K415" s="429" t="s">
        <v>2493</v>
      </c>
      <c r="L415" s="444"/>
      <c r="M415" s="444" t="s">
        <v>51</v>
      </c>
      <c r="N415" s="441" t="s">
        <v>2572</v>
      </c>
      <c r="O415" s="445" t="s">
        <v>85</v>
      </c>
      <c r="P415" s="441" t="s">
        <v>2494</v>
      </c>
      <c r="Q415" s="441" t="s">
        <v>2494</v>
      </c>
      <c r="R415" s="445" t="s">
        <v>3999</v>
      </c>
      <c r="S415" s="446">
        <v>45555</v>
      </c>
      <c r="T415" s="446">
        <v>45547</v>
      </c>
      <c r="U415" s="446">
        <v>45548</v>
      </c>
      <c r="V415" s="447">
        <v>45553</v>
      </c>
      <c r="W415" s="447">
        <v>45553</v>
      </c>
      <c r="X415" s="447" t="s">
        <v>8044</v>
      </c>
      <c r="Y415" s="420"/>
      <c r="Z415" s="224" t="str">
        <f t="shared" si="36"/>
        <v>AG. MEDIÇÃO</v>
      </c>
      <c r="AA415" s="207" t="str">
        <f t="shared" si="37"/>
        <v>ENTREGUE</v>
      </c>
      <c r="AB415" s="207" t="str">
        <f t="shared" si="38"/>
        <v>AG. MEDIÇÃO</v>
      </c>
      <c r="AC415" s="156">
        <f t="shared" ca="1" si="39"/>
        <v>4</v>
      </c>
      <c r="AD415" s="156" t="str">
        <f t="shared" ca="1" si="40"/>
        <v>ATRASADO</v>
      </c>
      <c r="AE415" s="156">
        <f t="shared" ca="1" si="41"/>
        <v>1</v>
      </c>
    </row>
    <row r="416" spans="1:31" ht="36" hidden="1" customHeight="1">
      <c r="A416" s="414"/>
      <c r="B416" s="429" t="s">
        <v>7843</v>
      </c>
      <c r="C416" s="430" t="s">
        <v>79</v>
      </c>
      <c r="D416" s="430" t="s">
        <v>79</v>
      </c>
      <c r="E416" s="432" t="s">
        <v>619</v>
      </c>
      <c r="F416" s="429" t="s">
        <v>42</v>
      </c>
      <c r="G416" s="434" t="s">
        <v>7864</v>
      </c>
      <c r="H416" s="636" t="s">
        <v>7863</v>
      </c>
      <c r="I416" s="433" t="s">
        <v>7806</v>
      </c>
      <c r="J416" s="432">
        <v>46174</v>
      </c>
      <c r="K416" s="429" t="s">
        <v>2493</v>
      </c>
      <c r="L416" s="436" t="s">
        <v>124</v>
      </c>
      <c r="M416" s="436" t="s">
        <v>77</v>
      </c>
      <c r="N416" s="433"/>
      <c r="O416" s="437" t="s">
        <v>85</v>
      </c>
      <c r="P416" s="433">
        <v>133</v>
      </c>
      <c r="Q416" s="437">
        <v>125</v>
      </c>
      <c r="R416" s="437" t="s">
        <v>8323</v>
      </c>
      <c r="S416" s="438">
        <v>46244</v>
      </c>
      <c r="T416" s="438">
        <v>46191</v>
      </c>
      <c r="U416" s="438"/>
      <c r="V416" s="439"/>
      <c r="W416" s="439">
        <v>46198</v>
      </c>
      <c r="X416" s="439">
        <v>46244</v>
      </c>
      <c r="Y416" s="420"/>
      <c r="Z416" s="224" t="str">
        <f t="shared" si="36"/>
        <v>AG. MEDIÇÃO</v>
      </c>
      <c r="AA416" s="207" t="str">
        <f t="shared" si="37"/>
        <v>ENTREGUE</v>
      </c>
      <c r="AB416" s="207" t="str">
        <f t="shared" si="38"/>
        <v>AG. MEDIÇÃO</v>
      </c>
      <c r="AC416" s="156">
        <f t="shared" ca="1" si="39"/>
        <v>5</v>
      </c>
      <c r="AD416" s="156" t="str">
        <f t="shared" ca="1" si="40"/>
        <v>ATRASADO</v>
      </c>
      <c r="AE416" s="156">
        <f t="shared" ca="1" si="41"/>
        <v>2</v>
      </c>
    </row>
    <row r="417" spans="1:31" ht="36" hidden="1" customHeight="1">
      <c r="A417" s="414"/>
      <c r="B417" s="429" t="s">
        <v>7793</v>
      </c>
      <c r="C417" s="430" t="s">
        <v>79</v>
      </c>
      <c r="D417" s="430" t="s">
        <v>79</v>
      </c>
      <c r="E417" s="432" t="s">
        <v>619</v>
      </c>
      <c r="F417" s="429" t="s">
        <v>42</v>
      </c>
      <c r="G417" s="434"/>
      <c r="H417" s="636" t="s">
        <v>7807</v>
      </c>
      <c r="I417" s="433" t="s">
        <v>7806</v>
      </c>
      <c r="J417" s="432">
        <v>46174</v>
      </c>
      <c r="K417" s="429" t="s">
        <v>2493</v>
      </c>
      <c r="L417" s="436"/>
      <c r="M417" s="436" t="s">
        <v>62</v>
      </c>
      <c r="N417" s="433"/>
      <c r="O417" s="437" t="s">
        <v>85</v>
      </c>
      <c r="P417" s="433" t="s">
        <v>2494</v>
      </c>
      <c r="Q417" s="437" t="s">
        <v>2494</v>
      </c>
      <c r="R417" s="437" t="s">
        <v>8031</v>
      </c>
      <c r="S417" s="438">
        <v>46210</v>
      </c>
      <c r="T417" s="438">
        <v>46188</v>
      </c>
      <c r="U417" s="438"/>
      <c r="V417" s="439"/>
      <c r="W417" s="439">
        <v>46189</v>
      </c>
      <c r="X417" s="439">
        <v>46210</v>
      </c>
      <c r="Y417" s="420"/>
      <c r="Z417" s="224" t="str">
        <f t="shared" si="36"/>
        <v>AG. MEDIÇÃO</v>
      </c>
      <c r="AA417" s="207" t="str">
        <f t="shared" si="37"/>
        <v>ENTREGUE</v>
      </c>
      <c r="AB417" s="207" t="str">
        <f t="shared" si="38"/>
        <v>AG. MEDIÇÃO</v>
      </c>
      <c r="AC417" s="156">
        <f t="shared" ca="1" si="39"/>
        <v>1</v>
      </c>
      <c r="AD417" s="156" t="str">
        <f t="shared" ca="1" si="40"/>
        <v>NO PRAZO</v>
      </c>
      <c r="AE417" s="156">
        <f t="shared" ca="1" si="41"/>
        <v>-2</v>
      </c>
    </row>
    <row r="418" spans="1:31" ht="36" hidden="1" customHeight="1">
      <c r="A418" s="414"/>
      <c r="B418" s="440" t="s">
        <v>3336</v>
      </c>
      <c r="C418" s="440" t="s">
        <v>88</v>
      </c>
      <c r="D418" s="440"/>
      <c r="E418" s="440"/>
      <c r="F418" s="440" t="s">
        <v>42</v>
      </c>
      <c r="G418" s="441" t="s">
        <v>3337</v>
      </c>
      <c r="H418" s="440" t="s">
        <v>3338</v>
      </c>
      <c r="I418" s="449"/>
      <c r="J418" s="450">
        <v>45231</v>
      </c>
      <c r="K418" s="429" t="s">
        <v>2493</v>
      </c>
      <c r="L418" s="444" t="s">
        <v>1204</v>
      </c>
      <c r="M418" s="444" t="s">
        <v>774</v>
      </c>
      <c r="N418" s="441" t="s">
        <v>2572</v>
      </c>
      <c r="O418" s="445" t="s">
        <v>2573</v>
      </c>
      <c r="P418" s="445"/>
      <c r="Q418" s="441">
        <v>310</v>
      </c>
      <c r="R418" s="445" t="s">
        <v>3339</v>
      </c>
      <c r="S418" s="446">
        <v>45273</v>
      </c>
      <c r="T418" s="446">
        <v>45254</v>
      </c>
      <c r="U418" s="446">
        <v>45260</v>
      </c>
      <c r="V418" s="446">
        <v>45262</v>
      </c>
      <c r="W418" s="446">
        <v>45267</v>
      </c>
      <c r="X418" s="447" t="s">
        <v>8044</v>
      </c>
      <c r="Y418" s="420"/>
      <c r="Z418" s="224" t="str">
        <f t="shared" si="36"/>
        <v>AG. MEDIÇÃO</v>
      </c>
      <c r="AA418" s="207" t="str">
        <f t="shared" si="37"/>
        <v>ENTREGUE</v>
      </c>
      <c r="AB418" s="207" t="str">
        <f t="shared" si="38"/>
        <v>AG. MEDIÇÃO</v>
      </c>
      <c r="AC418" s="156">
        <f t="shared" ca="1" si="39"/>
        <v>9</v>
      </c>
      <c r="AD418" s="156" t="str">
        <f t="shared" ca="1" si="40"/>
        <v>ATRASADO</v>
      </c>
      <c r="AE418" s="156">
        <f t="shared" ca="1" si="41"/>
        <v>6</v>
      </c>
    </row>
    <row r="419" spans="1:31" ht="36" hidden="1" customHeight="1">
      <c r="A419" s="414"/>
      <c r="B419" s="429" t="s">
        <v>7279</v>
      </c>
      <c r="C419" s="429" t="s">
        <v>410</v>
      </c>
      <c r="D419" s="429" t="s">
        <v>7208</v>
      </c>
      <c r="E419" s="429" t="s">
        <v>7209</v>
      </c>
      <c r="F419" s="429" t="s">
        <v>42</v>
      </c>
      <c r="G419" s="433"/>
      <c r="H419" s="652" t="s">
        <v>7221</v>
      </c>
      <c r="I419" s="433" t="s">
        <v>7220</v>
      </c>
      <c r="J419" s="432">
        <v>46113</v>
      </c>
      <c r="K419" s="429" t="s">
        <v>2493</v>
      </c>
      <c r="L419" s="436" t="s">
        <v>200</v>
      </c>
      <c r="M419" s="487" t="s">
        <v>200</v>
      </c>
      <c r="N419" s="433"/>
      <c r="O419" s="437"/>
      <c r="P419" s="433">
        <v>142</v>
      </c>
      <c r="Q419" s="437">
        <v>149</v>
      </c>
      <c r="R419" s="437" t="s">
        <v>7304</v>
      </c>
      <c r="S419" s="438">
        <v>46132</v>
      </c>
      <c r="T419" s="438">
        <v>46113</v>
      </c>
      <c r="U419" s="438"/>
      <c r="V419" s="439"/>
      <c r="W419" s="439">
        <v>46126</v>
      </c>
      <c r="X419" s="439">
        <v>46132</v>
      </c>
      <c r="Y419" s="420"/>
      <c r="Z419" s="224" t="str">
        <f t="shared" si="36"/>
        <v>AG. MEDIÇÃO</v>
      </c>
      <c r="AA419" s="207" t="str">
        <f t="shared" si="37"/>
        <v>ENTREGUE</v>
      </c>
      <c r="AB419" s="207" t="str">
        <f t="shared" si="38"/>
        <v>AG. MEDIÇÃO</v>
      </c>
      <c r="AC419" s="156">
        <f t="shared" ca="1" si="39"/>
        <v>9</v>
      </c>
      <c r="AD419" s="156" t="str">
        <f t="shared" ca="1" si="40"/>
        <v>ATRASADO</v>
      </c>
      <c r="AE419" s="156">
        <f t="shared" ca="1" si="41"/>
        <v>6</v>
      </c>
    </row>
    <row r="420" spans="1:31" ht="36" hidden="1" customHeight="1">
      <c r="A420" s="414"/>
      <c r="B420" s="429" t="s">
        <v>7546</v>
      </c>
      <c r="C420" s="430" t="s">
        <v>241</v>
      </c>
      <c r="D420" s="431"/>
      <c r="E420" s="432"/>
      <c r="F420" s="429" t="s">
        <v>42</v>
      </c>
      <c r="G420" s="434" t="s">
        <v>7529</v>
      </c>
      <c r="H420" s="636" t="s">
        <v>7530</v>
      </c>
      <c r="I420" s="433" t="s">
        <v>7531</v>
      </c>
      <c r="J420" s="432">
        <v>46143</v>
      </c>
      <c r="K420" s="429" t="s">
        <v>2493</v>
      </c>
      <c r="L420" s="487"/>
      <c r="M420" s="436" t="s">
        <v>62</v>
      </c>
      <c r="N420" s="433"/>
      <c r="O420" s="437"/>
      <c r="P420" s="433" t="s">
        <v>2494</v>
      </c>
      <c r="Q420" s="437" t="s">
        <v>2494</v>
      </c>
      <c r="R420" s="437" t="s">
        <v>2861</v>
      </c>
      <c r="S420" s="438">
        <v>46160</v>
      </c>
      <c r="T420" s="438">
        <v>46155</v>
      </c>
      <c r="U420" s="438"/>
      <c r="V420" s="439"/>
      <c r="W420" s="439">
        <v>46156</v>
      </c>
      <c r="X420" s="439">
        <v>46160</v>
      </c>
      <c r="Y420" s="420"/>
      <c r="Z420" s="224" t="str">
        <f t="shared" si="36"/>
        <v>AG. MEDIÇÃO</v>
      </c>
      <c r="AA420" s="207" t="str">
        <f t="shared" si="37"/>
        <v>ENTREGUE</v>
      </c>
      <c r="AB420" s="207" t="str">
        <f t="shared" si="38"/>
        <v>AG. MEDIÇÃO</v>
      </c>
      <c r="AC420" s="156">
        <f t="shared" ca="1" si="39"/>
        <v>1</v>
      </c>
      <c r="AD420" s="156" t="str">
        <f t="shared" ca="1" si="40"/>
        <v>NO PRAZO</v>
      </c>
      <c r="AE420" s="156">
        <f t="shared" ca="1" si="41"/>
        <v>-2</v>
      </c>
    </row>
    <row r="421" spans="1:31" ht="36" hidden="1" customHeight="1">
      <c r="A421" s="414"/>
      <c r="B421" s="429" t="s">
        <v>8174</v>
      </c>
      <c r="C421" s="429" t="s">
        <v>126</v>
      </c>
      <c r="D421" s="429"/>
      <c r="E421" s="429"/>
      <c r="F421" s="429" t="s">
        <v>42</v>
      </c>
      <c r="G421" s="433" t="s">
        <v>8187</v>
      </c>
      <c r="H421" s="429" t="s">
        <v>8188</v>
      </c>
      <c r="I421" s="433" t="s">
        <v>8189</v>
      </c>
      <c r="J421" s="432">
        <v>46204</v>
      </c>
      <c r="K421" s="429" t="s">
        <v>2493</v>
      </c>
      <c r="L421" s="436"/>
      <c r="M421" s="436" t="s">
        <v>62</v>
      </c>
      <c r="N421" s="437"/>
      <c r="O421" s="437" t="s">
        <v>85</v>
      </c>
      <c r="P421" s="437" t="s">
        <v>2494</v>
      </c>
      <c r="Q421" s="433" t="s">
        <v>2494</v>
      </c>
      <c r="R421" s="499" t="s">
        <v>8190</v>
      </c>
      <c r="S421" s="438">
        <v>46252</v>
      </c>
      <c r="T421" s="438">
        <v>46219</v>
      </c>
      <c r="U421" s="438"/>
      <c r="V421" s="438"/>
      <c r="W421" s="439">
        <v>46226</v>
      </c>
      <c r="X421" s="439">
        <v>46252</v>
      </c>
      <c r="Y421" s="420"/>
      <c r="Z421" s="224" t="str">
        <f t="shared" si="36"/>
        <v>AG. MEDIÇÃO</v>
      </c>
      <c r="AA421" s="207" t="str">
        <f t="shared" si="37"/>
        <v>ENTREGUE</v>
      </c>
      <c r="AB421" s="207" t="str">
        <f t="shared" si="38"/>
        <v>AG. MEDIÇÃO</v>
      </c>
      <c r="AC421" s="156">
        <f t="shared" ca="1" si="39"/>
        <v>5</v>
      </c>
      <c r="AD421" s="156" t="str">
        <f t="shared" ca="1" si="40"/>
        <v>ATRASADO</v>
      </c>
      <c r="AE421" s="156">
        <f t="shared" ca="1" si="41"/>
        <v>2</v>
      </c>
    </row>
    <row r="422" spans="1:31" ht="36" hidden="1" customHeight="1">
      <c r="A422" s="414"/>
      <c r="B422" s="440" t="s">
        <v>3214</v>
      </c>
      <c r="C422" s="440" t="s">
        <v>232</v>
      </c>
      <c r="D422" s="440"/>
      <c r="E422" s="440"/>
      <c r="F422" s="440" t="s">
        <v>42</v>
      </c>
      <c r="G422" s="441" t="s">
        <v>3215</v>
      </c>
      <c r="H422" s="440" t="s">
        <v>3216</v>
      </c>
      <c r="I422" s="449"/>
      <c r="J422" s="450">
        <v>45231</v>
      </c>
      <c r="K422" s="429" t="s">
        <v>2493</v>
      </c>
      <c r="L422" s="444"/>
      <c r="M422" s="444" t="s">
        <v>774</v>
      </c>
      <c r="N422" s="441" t="s">
        <v>2572</v>
      </c>
      <c r="O422" s="445" t="s">
        <v>85</v>
      </c>
      <c r="P422" s="441" t="s">
        <v>2494</v>
      </c>
      <c r="Q422" s="441" t="s">
        <v>2494</v>
      </c>
      <c r="R422" s="445" t="s">
        <v>3217</v>
      </c>
      <c r="S422" s="446">
        <v>45250</v>
      </c>
      <c r="T422" s="446">
        <v>45244</v>
      </c>
      <c r="U422" s="446"/>
      <c r="V422" s="446">
        <v>45246</v>
      </c>
      <c r="W422" s="446">
        <v>45246</v>
      </c>
      <c r="X422" s="447" t="s">
        <v>8044</v>
      </c>
      <c r="Y422" s="420"/>
      <c r="Z422" s="224" t="str">
        <f t="shared" si="36"/>
        <v>AG. MEDIÇÃO</v>
      </c>
      <c r="AA422" s="207" t="str">
        <f t="shared" si="37"/>
        <v>ENTREGUE</v>
      </c>
      <c r="AB422" s="207" t="str">
        <f t="shared" si="38"/>
        <v>AG. MEDIÇÃO</v>
      </c>
      <c r="AC422" s="156">
        <f t="shared" ca="1" si="39"/>
        <v>2</v>
      </c>
      <c r="AD422" s="156" t="str">
        <f t="shared" ca="1" si="40"/>
        <v>NO PRAZO</v>
      </c>
      <c r="AE422" s="156">
        <f t="shared" ca="1" si="41"/>
        <v>-1</v>
      </c>
    </row>
    <row r="423" spans="1:31" ht="36" hidden="1" customHeight="1">
      <c r="A423" s="414"/>
      <c r="B423" s="429" t="s">
        <v>7613</v>
      </c>
      <c r="C423" s="430" t="s">
        <v>232</v>
      </c>
      <c r="D423" s="430"/>
      <c r="E423" s="432"/>
      <c r="F423" s="429" t="s">
        <v>42</v>
      </c>
      <c r="G423" s="434"/>
      <c r="H423" s="636" t="s">
        <v>7558</v>
      </c>
      <c r="I423" s="433" t="s">
        <v>7559</v>
      </c>
      <c r="J423" s="432">
        <v>46143</v>
      </c>
      <c r="K423" s="429" t="s">
        <v>2493</v>
      </c>
      <c r="L423" s="487"/>
      <c r="M423" s="436" t="s">
        <v>62</v>
      </c>
      <c r="N423" s="433"/>
      <c r="O423" s="437"/>
      <c r="P423" s="433" t="s">
        <v>2494</v>
      </c>
      <c r="Q423" s="437" t="s">
        <v>2494</v>
      </c>
      <c r="R423" s="437" t="s">
        <v>7560</v>
      </c>
      <c r="S423" s="438">
        <v>46162</v>
      </c>
      <c r="T423" s="438">
        <v>46158</v>
      </c>
      <c r="U423" s="438"/>
      <c r="V423" s="439"/>
      <c r="W423" s="439">
        <v>46157</v>
      </c>
      <c r="X423" s="439">
        <v>46162</v>
      </c>
      <c r="Y423" s="420"/>
      <c r="Z423" s="224" t="str">
        <f t="shared" si="36"/>
        <v>AG. MEDIÇÃO</v>
      </c>
      <c r="AA423" s="207" t="str">
        <f t="shared" si="37"/>
        <v>ENTREGUE</v>
      </c>
      <c r="AB423" s="207" t="str">
        <f t="shared" si="38"/>
        <v>AG. MEDIÇÃO</v>
      </c>
      <c r="AC423" s="156">
        <f t="shared" ca="1" si="39"/>
        <v>-2</v>
      </c>
      <c r="AD423" s="156" t="str">
        <f t="shared" ca="1" si="40"/>
        <v>NO PRAZO</v>
      </c>
      <c r="AE423" s="156">
        <f t="shared" ca="1" si="41"/>
        <v>-5</v>
      </c>
    </row>
    <row r="424" spans="1:31" ht="36" hidden="1" customHeight="1">
      <c r="A424" s="414"/>
      <c r="B424" s="440" t="s">
        <v>3094</v>
      </c>
      <c r="C424" s="440" t="s">
        <v>425</v>
      </c>
      <c r="D424" s="440"/>
      <c r="E424" s="440"/>
      <c r="F424" s="440" t="s">
        <v>2559</v>
      </c>
      <c r="G424" s="441" t="s">
        <v>3095</v>
      </c>
      <c r="H424" s="440" t="s">
        <v>3096</v>
      </c>
      <c r="I424" s="449"/>
      <c r="J424" s="450">
        <v>45170</v>
      </c>
      <c r="K424" s="429" t="s">
        <v>2493</v>
      </c>
      <c r="L424" s="444"/>
      <c r="M424" s="444" t="s">
        <v>3097</v>
      </c>
      <c r="N424" s="441" t="s">
        <v>2572</v>
      </c>
      <c r="O424" s="445" t="s">
        <v>85</v>
      </c>
      <c r="P424" s="441" t="s">
        <v>2494</v>
      </c>
      <c r="Q424" s="441" t="s">
        <v>2494</v>
      </c>
      <c r="R424" s="445" t="s">
        <v>3098</v>
      </c>
      <c r="S424" s="446">
        <v>45229</v>
      </c>
      <c r="T424" s="446">
        <v>45197</v>
      </c>
      <c r="U424" s="446"/>
      <c r="V424" s="446">
        <v>45205</v>
      </c>
      <c r="W424" s="447">
        <v>45209</v>
      </c>
      <c r="X424" s="447" t="s">
        <v>8044</v>
      </c>
      <c r="Y424" s="420"/>
      <c r="Z424" s="224" t="str">
        <f t="shared" si="36"/>
        <v>AG. MEDIÇÃO</v>
      </c>
      <c r="AA424" s="207" t="str">
        <f t="shared" si="37"/>
        <v>ENTREGUE</v>
      </c>
      <c r="AB424" s="207" t="str">
        <f t="shared" si="38"/>
        <v>AG. MEDIÇÃO</v>
      </c>
      <c r="AC424" s="156">
        <f t="shared" ca="1" si="39"/>
        <v>8</v>
      </c>
      <c r="AD424" s="156" t="str">
        <f t="shared" ca="1" si="40"/>
        <v>ATRASADO</v>
      </c>
      <c r="AE424" s="156">
        <f t="shared" ca="1" si="41"/>
        <v>5</v>
      </c>
    </row>
    <row r="425" spans="1:31" ht="36" hidden="1" customHeight="1">
      <c r="A425" s="414"/>
      <c r="B425" s="440" t="s">
        <v>5679</v>
      </c>
      <c r="C425" s="440" t="s">
        <v>126</v>
      </c>
      <c r="D425" s="440" t="s">
        <v>1689</v>
      </c>
      <c r="E425" s="440" t="s">
        <v>127</v>
      </c>
      <c r="F425" s="440" t="s">
        <v>42</v>
      </c>
      <c r="G425" s="441"/>
      <c r="H425" s="440" t="s">
        <v>5680</v>
      </c>
      <c r="I425" s="441" t="s">
        <v>5681</v>
      </c>
      <c r="J425" s="450">
        <v>45870</v>
      </c>
      <c r="K425" s="429" t="s">
        <v>2493</v>
      </c>
      <c r="L425" s="444"/>
      <c r="M425" s="444" t="s">
        <v>1155</v>
      </c>
      <c r="N425" s="441" t="s">
        <v>2572</v>
      </c>
      <c r="O425" s="445"/>
      <c r="P425" s="441" t="s">
        <v>2494</v>
      </c>
      <c r="Q425" s="445" t="s">
        <v>2494</v>
      </c>
      <c r="R425" s="445" t="s">
        <v>3127</v>
      </c>
      <c r="S425" s="446">
        <v>45908</v>
      </c>
      <c r="T425" s="446">
        <v>45889</v>
      </c>
      <c r="U425" s="446"/>
      <c r="V425" s="447"/>
      <c r="W425" s="447">
        <v>45901</v>
      </c>
      <c r="X425" s="447">
        <v>45908</v>
      </c>
      <c r="Y425" s="420"/>
      <c r="Z425" s="224" t="str">
        <f t="shared" si="36"/>
        <v>AG. MEDIÇÃO</v>
      </c>
      <c r="AA425" s="207" t="str">
        <f t="shared" si="37"/>
        <v>ENTREGUE</v>
      </c>
      <c r="AB425" s="207" t="str">
        <f t="shared" si="38"/>
        <v>AG. MEDIÇÃO</v>
      </c>
      <c r="AC425" s="156">
        <f t="shared" ca="1" si="39"/>
        <v>8</v>
      </c>
      <c r="AD425" s="156" t="str">
        <f t="shared" ca="1" si="40"/>
        <v>ATRASADO</v>
      </c>
      <c r="AE425" s="156">
        <f t="shared" ca="1" si="41"/>
        <v>5</v>
      </c>
    </row>
    <row r="426" spans="1:31" ht="36" hidden="1" customHeight="1">
      <c r="A426" s="414"/>
      <c r="B426" s="429" t="s">
        <v>7643</v>
      </c>
      <c r="C426" s="430" t="s">
        <v>600</v>
      </c>
      <c r="D426" s="430"/>
      <c r="E426" s="432"/>
      <c r="F426" s="429" t="s">
        <v>42</v>
      </c>
      <c r="G426" s="434"/>
      <c r="H426" s="636" t="s">
        <v>7565</v>
      </c>
      <c r="I426" s="433" t="s">
        <v>7566</v>
      </c>
      <c r="J426" s="432">
        <v>46143</v>
      </c>
      <c r="K426" s="429" t="s">
        <v>2493</v>
      </c>
      <c r="L426" s="487"/>
      <c r="M426" s="436" t="s">
        <v>62</v>
      </c>
      <c r="N426" s="433"/>
      <c r="O426" s="437"/>
      <c r="P426" s="433" t="s">
        <v>2494</v>
      </c>
      <c r="Q426" s="437" t="s">
        <v>2494</v>
      </c>
      <c r="R426" s="437" t="s">
        <v>7567</v>
      </c>
      <c r="S426" s="438">
        <v>46162</v>
      </c>
      <c r="T426" s="438">
        <v>46158</v>
      </c>
      <c r="U426" s="438"/>
      <c r="V426" s="439"/>
      <c r="W426" s="439">
        <v>46159</v>
      </c>
      <c r="X426" s="439">
        <v>46162</v>
      </c>
      <c r="Y426" s="420"/>
      <c r="Z426" s="224" t="str">
        <f t="shared" si="36"/>
        <v>AG. MEDIÇÃO</v>
      </c>
      <c r="AA426" s="207" t="str">
        <f t="shared" si="37"/>
        <v>ENTREGUE</v>
      </c>
      <c r="AB426" s="207" t="str">
        <f t="shared" si="38"/>
        <v>AG. MEDIÇÃO</v>
      </c>
      <c r="AC426" s="156">
        <f t="shared" ca="1" si="39"/>
        <v>-1</v>
      </c>
      <c r="AD426" s="156" t="str">
        <f t="shared" ca="1" si="40"/>
        <v>NO PRAZO</v>
      </c>
      <c r="AE426" s="156">
        <f t="shared" ca="1" si="41"/>
        <v>-4</v>
      </c>
    </row>
    <row r="427" spans="1:31" ht="36" hidden="1" customHeight="1">
      <c r="A427" s="414"/>
      <c r="B427" s="429" t="s">
        <v>8357</v>
      </c>
      <c r="C427" s="429" t="s">
        <v>600</v>
      </c>
      <c r="D427" s="429" t="s">
        <v>1936</v>
      </c>
      <c r="E427" s="429" t="s">
        <v>601</v>
      </c>
      <c r="F427" s="429" t="s">
        <v>42</v>
      </c>
      <c r="G427" s="433" t="s">
        <v>8371</v>
      </c>
      <c r="H427" s="429" t="s">
        <v>8372</v>
      </c>
      <c r="I427" s="585" t="s">
        <v>8130</v>
      </c>
      <c r="J427" s="599">
        <v>46235</v>
      </c>
      <c r="K427" s="429" t="s">
        <v>2493</v>
      </c>
      <c r="L427" s="436"/>
      <c r="M427" s="436" t="s">
        <v>62</v>
      </c>
      <c r="N427" s="433"/>
      <c r="O427" s="437" t="s">
        <v>85</v>
      </c>
      <c r="P427" s="437" t="s">
        <v>2494</v>
      </c>
      <c r="Q427" s="437" t="s">
        <v>2494</v>
      </c>
      <c r="R427" s="437" t="s">
        <v>8478</v>
      </c>
      <c r="S427" s="438">
        <v>46259</v>
      </c>
      <c r="T427" s="438">
        <v>46247</v>
      </c>
      <c r="U427" s="438"/>
      <c r="V427" s="439"/>
      <c r="W427" s="439">
        <v>46251</v>
      </c>
      <c r="X427" s="439">
        <v>46259</v>
      </c>
      <c r="Y427" s="420"/>
      <c r="Z427" s="224" t="str">
        <f t="shared" si="36"/>
        <v>AG. MEDIÇÃO</v>
      </c>
      <c r="AA427" s="207" t="str">
        <f t="shared" si="37"/>
        <v>ENTREGUE</v>
      </c>
      <c r="AB427" s="207" t="str">
        <f t="shared" si="38"/>
        <v>AG. MEDIÇÃO</v>
      </c>
      <c r="AC427" s="156">
        <f t="shared" ca="1" si="39"/>
        <v>2</v>
      </c>
      <c r="AD427" s="156" t="str">
        <f t="shared" ca="1" si="40"/>
        <v>NO PRAZO</v>
      </c>
      <c r="AE427" s="156">
        <f t="shared" ca="1" si="41"/>
        <v>-1</v>
      </c>
    </row>
    <row r="428" spans="1:31" ht="36" hidden="1" customHeight="1">
      <c r="A428" s="414"/>
      <c r="B428" s="429" t="s">
        <v>8099</v>
      </c>
      <c r="C428" s="429" t="s">
        <v>600</v>
      </c>
      <c r="D428" s="429" t="s">
        <v>1936</v>
      </c>
      <c r="E428" s="429" t="s">
        <v>601</v>
      </c>
      <c r="F428" s="429" t="s">
        <v>42</v>
      </c>
      <c r="G428" s="433" t="s">
        <v>8131</v>
      </c>
      <c r="H428" s="429" t="s">
        <v>8129</v>
      </c>
      <c r="I428" s="433" t="s">
        <v>8130</v>
      </c>
      <c r="J428" s="432">
        <v>46204</v>
      </c>
      <c r="K428" s="429" t="s">
        <v>2493</v>
      </c>
      <c r="L428" s="436"/>
      <c r="M428" s="436" t="s">
        <v>62</v>
      </c>
      <c r="N428" s="437"/>
      <c r="O428" s="437" t="s">
        <v>85</v>
      </c>
      <c r="P428" s="437" t="s">
        <v>2494</v>
      </c>
      <c r="Q428" s="433" t="s">
        <v>2494</v>
      </c>
      <c r="R428" s="499" t="s">
        <v>8467</v>
      </c>
      <c r="S428" s="439">
        <v>46252</v>
      </c>
      <c r="T428" s="438">
        <v>46224</v>
      </c>
      <c r="U428" s="438"/>
      <c r="V428" s="438"/>
      <c r="W428" s="439">
        <v>46227</v>
      </c>
      <c r="X428" s="439">
        <v>46252</v>
      </c>
      <c r="Y428" s="420"/>
      <c r="Z428" s="224" t="str">
        <f t="shared" si="36"/>
        <v>AG. MEDIÇÃO</v>
      </c>
      <c r="AA428" s="207" t="str">
        <f t="shared" si="37"/>
        <v>ENTREGUE</v>
      </c>
      <c r="AB428" s="207" t="str">
        <f t="shared" si="38"/>
        <v>AG. MEDIÇÃO</v>
      </c>
      <c r="AC428" s="156">
        <f t="shared" ca="1" si="39"/>
        <v>3</v>
      </c>
      <c r="AD428" s="156" t="str">
        <f t="shared" ca="1" si="40"/>
        <v>NO PRAZO</v>
      </c>
      <c r="AE428" s="156">
        <f t="shared" ca="1" si="41"/>
        <v>0</v>
      </c>
    </row>
    <row r="429" spans="1:31" ht="36" hidden="1" customHeight="1">
      <c r="A429" s="414"/>
      <c r="B429" s="429" t="s">
        <v>8275</v>
      </c>
      <c r="C429" s="429" t="s">
        <v>600</v>
      </c>
      <c r="D429" s="429" t="s">
        <v>1936</v>
      </c>
      <c r="E429" s="429" t="s">
        <v>601</v>
      </c>
      <c r="F429" s="429" t="s">
        <v>42</v>
      </c>
      <c r="G429" s="562" t="s">
        <v>8289</v>
      </c>
      <c r="H429" s="562" t="s">
        <v>8285</v>
      </c>
      <c r="I429" s="570" t="s">
        <v>8287</v>
      </c>
      <c r="J429" s="432">
        <v>46235</v>
      </c>
      <c r="K429" s="429" t="s">
        <v>2493</v>
      </c>
      <c r="L429" s="436"/>
      <c r="M429" s="436" t="s">
        <v>62</v>
      </c>
      <c r="N429" s="437"/>
      <c r="O429" s="437" t="s">
        <v>85</v>
      </c>
      <c r="P429" s="437" t="s">
        <v>2494</v>
      </c>
      <c r="Q429" s="437" t="s">
        <v>2494</v>
      </c>
      <c r="R429" s="499" t="s">
        <v>8458</v>
      </c>
      <c r="S429" s="438">
        <v>46254</v>
      </c>
      <c r="T429" s="438">
        <v>46240</v>
      </c>
      <c r="U429" s="438"/>
      <c r="V429" s="438"/>
      <c r="W429" s="438">
        <v>46241</v>
      </c>
      <c r="X429" s="439">
        <v>46254</v>
      </c>
      <c r="Y429" s="420"/>
      <c r="Z429" s="224" t="str">
        <f t="shared" si="36"/>
        <v>AG. MEDIÇÃO</v>
      </c>
      <c r="AA429" s="207" t="str">
        <f t="shared" si="37"/>
        <v>ENTREGUE</v>
      </c>
      <c r="AB429" s="207" t="str">
        <f t="shared" si="38"/>
        <v>AG. MEDIÇÃO</v>
      </c>
      <c r="AC429" s="156">
        <f t="shared" ca="1" si="39"/>
        <v>1</v>
      </c>
      <c r="AD429" s="156" t="str">
        <f t="shared" ca="1" si="40"/>
        <v>NO PRAZO</v>
      </c>
      <c r="AE429" s="156">
        <f t="shared" ca="1" si="41"/>
        <v>-2</v>
      </c>
    </row>
    <row r="430" spans="1:31" ht="36" hidden="1" customHeight="1">
      <c r="A430" s="414"/>
      <c r="B430" s="429" t="s">
        <v>8101</v>
      </c>
      <c r="C430" s="429" t="s">
        <v>600</v>
      </c>
      <c r="D430" s="429" t="s">
        <v>1936</v>
      </c>
      <c r="E430" s="429" t="s">
        <v>601</v>
      </c>
      <c r="F430" s="429" t="s">
        <v>42</v>
      </c>
      <c r="G430" s="433" t="s">
        <v>8132</v>
      </c>
      <c r="H430" s="429" t="s">
        <v>8133</v>
      </c>
      <c r="I430" s="433" t="s">
        <v>8130</v>
      </c>
      <c r="J430" s="432">
        <v>46204</v>
      </c>
      <c r="K430" s="429" t="s">
        <v>2493</v>
      </c>
      <c r="L430" s="604"/>
      <c r="M430" s="436" t="s">
        <v>62</v>
      </c>
      <c r="N430" s="437"/>
      <c r="O430" s="437" t="s">
        <v>85</v>
      </c>
      <c r="P430" s="437" t="s">
        <v>2494</v>
      </c>
      <c r="Q430" s="433" t="s">
        <v>2494</v>
      </c>
      <c r="R430" s="499" t="s">
        <v>8220</v>
      </c>
      <c r="S430" s="439">
        <v>46252</v>
      </c>
      <c r="T430" s="438">
        <v>46224</v>
      </c>
      <c r="U430" s="438"/>
      <c r="V430" s="438"/>
      <c r="W430" s="439">
        <v>46227</v>
      </c>
      <c r="X430" s="439">
        <v>46252</v>
      </c>
      <c r="Y430" s="420"/>
      <c r="Z430" s="224" t="str">
        <f t="shared" si="36"/>
        <v>AG. MEDIÇÃO</v>
      </c>
      <c r="AA430" s="207" t="str">
        <f t="shared" si="37"/>
        <v>ENTREGUE</v>
      </c>
      <c r="AB430" s="207" t="str">
        <f t="shared" si="38"/>
        <v>AG. MEDIÇÃO</v>
      </c>
      <c r="AC430" s="156">
        <f t="shared" ca="1" si="39"/>
        <v>3</v>
      </c>
      <c r="AD430" s="156" t="str">
        <f t="shared" ca="1" si="40"/>
        <v>NO PRAZO</v>
      </c>
      <c r="AE430" s="156">
        <f t="shared" ca="1" si="41"/>
        <v>0</v>
      </c>
    </row>
    <row r="431" spans="1:31" ht="36" hidden="1" customHeight="1">
      <c r="A431" s="414"/>
      <c r="B431" s="429" t="s">
        <v>7286</v>
      </c>
      <c r="C431" s="429" t="s">
        <v>315</v>
      </c>
      <c r="D431" s="429" t="s">
        <v>1210</v>
      </c>
      <c r="E431" s="429" t="s">
        <v>316</v>
      </c>
      <c r="F431" s="429" t="s">
        <v>42</v>
      </c>
      <c r="G431" s="433"/>
      <c r="H431" s="652" t="s">
        <v>7299</v>
      </c>
      <c r="I431" s="433" t="s">
        <v>7300</v>
      </c>
      <c r="J431" s="432">
        <v>46113</v>
      </c>
      <c r="K431" s="429" t="s">
        <v>2493</v>
      </c>
      <c r="L431" s="436"/>
      <c r="M431" s="436" t="s">
        <v>62</v>
      </c>
      <c r="N431" s="433"/>
      <c r="O431" s="437"/>
      <c r="P431" s="433" t="s">
        <v>2494</v>
      </c>
      <c r="Q431" s="437" t="s">
        <v>2494</v>
      </c>
      <c r="R431" s="437" t="s">
        <v>5053</v>
      </c>
      <c r="S431" s="438">
        <v>46132</v>
      </c>
      <c r="T431" s="438">
        <v>46129</v>
      </c>
      <c r="U431" s="438">
        <v>46130</v>
      </c>
      <c r="V431" s="439"/>
      <c r="W431" s="439">
        <v>46130</v>
      </c>
      <c r="X431" s="439">
        <v>46132</v>
      </c>
      <c r="Y431" s="420"/>
      <c r="Z431" s="224" t="str">
        <f t="shared" si="36"/>
        <v>AG. MEDIÇÃO</v>
      </c>
      <c r="AA431" s="207" t="str">
        <f t="shared" si="37"/>
        <v>ENTREGUE</v>
      </c>
      <c r="AB431" s="207" t="str">
        <f t="shared" si="38"/>
        <v>AG. MEDIÇÃO</v>
      </c>
      <c r="AC431" s="156">
        <f t="shared" ca="1" si="39"/>
        <v>0</v>
      </c>
      <c r="AD431" s="156" t="str">
        <f t="shared" ca="1" si="40"/>
        <v>NO PRAZO</v>
      </c>
      <c r="AE431" s="156">
        <f t="shared" ca="1" si="41"/>
        <v>-3</v>
      </c>
    </row>
    <row r="432" spans="1:31" ht="36" hidden="1" customHeight="1">
      <c r="A432" s="414"/>
      <c r="B432" s="429" t="s">
        <v>8343</v>
      </c>
      <c r="C432" s="429" t="s">
        <v>315</v>
      </c>
      <c r="D432" s="429" t="s">
        <v>1210</v>
      </c>
      <c r="E432" s="429" t="s">
        <v>316</v>
      </c>
      <c r="F432" s="429" t="s">
        <v>42</v>
      </c>
      <c r="G432" s="562"/>
      <c r="H432" s="562" t="s">
        <v>8356</v>
      </c>
      <c r="I432" s="585" t="s">
        <v>7300</v>
      </c>
      <c r="J432" s="432">
        <v>46235</v>
      </c>
      <c r="K432" s="429" t="s">
        <v>2493</v>
      </c>
      <c r="L432" s="436"/>
      <c r="M432" s="436" t="s">
        <v>62</v>
      </c>
      <c r="N432" s="437"/>
      <c r="O432" s="437" t="s">
        <v>85</v>
      </c>
      <c r="P432" s="437" t="s">
        <v>2494</v>
      </c>
      <c r="Q432" s="437" t="s">
        <v>2494</v>
      </c>
      <c r="R432" s="499" t="s">
        <v>8466</v>
      </c>
      <c r="S432" s="438">
        <v>46254</v>
      </c>
      <c r="T432" s="438">
        <v>46244</v>
      </c>
      <c r="U432" s="438"/>
      <c r="V432" s="438"/>
      <c r="W432" s="438">
        <v>46248</v>
      </c>
      <c r="X432" s="439">
        <v>46254</v>
      </c>
      <c r="Y432" s="420"/>
      <c r="Z432" s="224" t="str">
        <f t="shared" si="36"/>
        <v>AG. MEDIÇÃO</v>
      </c>
      <c r="AA432" s="207" t="str">
        <f t="shared" si="37"/>
        <v>ENTREGUE</v>
      </c>
      <c r="AB432" s="207" t="str">
        <f t="shared" si="38"/>
        <v>AG. MEDIÇÃO</v>
      </c>
      <c r="AC432" s="156">
        <f t="shared" ca="1" si="39"/>
        <v>4</v>
      </c>
      <c r="AD432" s="156" t="str">
        <f t="shared" ca="1" si="40"/>
        <v>ATRASADO</v>
      </c>
      <c r="AE432" s="156">
        <f t="shared" ca="1" si="41"/>
        <v>1</v>
      </c>
    </row>
    <row r="433" spans="1:31" ht="36" hidden="1" customHeight="1">
      <c r="A433" s="414"/>
      <c r="B433" s="429" t="s">
        <v>7372</v>
      </c>
      <c r="C433" s="429" t="s">
        <v>315</v>
      </c>
      <c r="D433" s="429" t="s">
        <v>1210</v>
      </c>
      <c r="E433" s="429" t="s">
        <v>316</v>
      </c>
      <c r="F433" s="429" t="s">
        <v>42</v>
      </c>
      <c r="G433" s="433" t="s">
        <v>7355</v>
      </c>
      <c r="H433" s="652" t="s">
        <v>7386</v>
      </c>
      <c r="I433" s="433" t="s">
        <v>7356</v>
      </c>
      <c r="J433" s="432">
        <v>46113</v>
      </c>
      <c r="K433" s="429" t="s">
        <v>2493</v>
      </c>
      <c r="L433" s="436"/>
      <c r="M433" s="436" t="s">
        <v>62</v>
      </c>
      <c r="N433" s="433"/>
      <c r="O433" s="437"/>
      <c r="P433" s="433" t="s">
        <v>2494</v>
      </c>
      <c r="Q433" s="437" t="s">
        <v>2494</v>
      </c>
      <c r="R433" s="437" t="s">
        <v>7550</v>
      </c>
      <c r="S433" s="438">
        <v>46161</v>
      </c>
      <c r="T433" s="438">
        <v>46136</v>
      </c>
      <c r="U433" s="438"/>
      <c r="V433" s="439"/>
      <c r="W433" s="439">
        <v>46139</v>
      </c>
      <c r="X433" s="439">
        <v>46161</v>
      </c>
      <c r="Y433" s="420"/>
      <c r="Z433" s="224" t="str">
        <f t="shared" si="36"/>
        <v>AG. MEDIÇÃO</v>
      </c>
      <c r="AA433" s="207" t="str">
        <f t="shared" si="37"/>
        <v>ENTREGUE</v>
      </c>
      <c r="AB433" s="207" t="str">
        <f t="shared" si="38"/>
        <v>AG. MEDIÇÃO</v>
      </c>
      <c r="AC433" s="156">
        <f t="shared" ca="1" si="39"/>
        <v>1</v>
      </c>
      <c r="AD433" s="156" t="str">
        <f t="shared" ca="1" si="40"/>
        <v>NO PRAZO</v>
      </c>
      <c r="AE433" s="156">
        <f t="shared" ca="1" si="41"/>
        <v>-2</v>
      </c>
    </row>
    <row r="434" spans="1:31" ht="36" hidden="1" customHeight="1">
      <c r="A434" s="414"/>
      <c r="B434" s="429" t="s">
        <v>7698</v>
      </c>
      <c r="C434" s="430" t="s">
        <v>315</v>
      </c>
      <c r="D434" s="431"/>
      <c r="E434" s="432"/>
      <c r="F434" s="429" t="s">
        <v>42</v>
      </c>
      <c r="G434" s="434"/>
      <c r="H434" s="636" t="s">
        <v>7656</v>
      </c>
      <c r="I434" s="433" t="s">
        <v>7620</v>
      </c>
      <c r="J434" s="432">
        <v>46143</v>
      </c>
      <c r="K434" s="429" t="s">
        <v>2493</v>
      </c>
      <c r="L434" s="436" t="s">
        <v>124</v>
      </c>
      <c r="M434" s="436" t="s">
        <v>62</v>
      </c>
      <c r="N434" s="433"/>
      <c r="O434" s="437" t="s">
        <v>85</v>
      </c>
      <c r="P434" s="433">
        <v>153</v>
      </c>
      <c r="Q434" s="437">
        <v>161</v>
      </c>
      <c r="R434" s="437" t="s">
        <v>8322</v>
      </c>
      <c r="S434" s="438">
        <v>46244</v>
      </c>
      <c r="T434" s="438">
        <v>46170</v>
      </c>
      <c r="U434" s="438"/>
      <c r="V434" s="439"/>
      <c r="W434" s="439">
        <v>46172</v>
      </c>
      <c r="X434" s="439">
        <v>46241</v>
      </c>
      <c r="Y434" s="420"/>
      <c r="Z434" s="224" t="str">
        <f t="shared" si="36"/>
        <v>AG. MEDIÇÃO</v>
      </c>
      <c r="AA434" s="207" t="str">
        <f t="shared" si="37"/>
        <v>ENTREGUE</v>
      </c>
      <c r="AB434" s="207" t="str">
        <f t="shared" si="38"/>
        <v>AG. MEDIÇÃO</v>
      </c>
      <c r="AC434" s="156">
        <f t="shared" ca="1" si="39"/>
        <v>1</v>
      </c>
      <c r="AD434" s="156" t="str">
        <f t="shared" ca="1" si="40"/>
        <v>NO PRAZO</v>
      </c>
      <c r="AE434" s="156">
        <f t="shared" ca="1" si="41"/>
        <v>-2</v>
      </c>
    </row>
    <row r="435" spans="1:31" ht="36" hidden="1" customHeight="1">
      <c r="A435" s="414"/>
      <c r="B435" s="440" t="s">
        <v>5273</v>
      </c>
      <c r="C435" s="440" t="s">
        <v>315</v>
      </c>
      <c r="D435" s="440" t="s">
        <v>315</v>
      </c>
      <c r="E435" s="440" t="s">
        <v>316</v>
      </c>
      <c r="F435" s="440" t="s">
        <v>42</v>
      </c>
      <c r="G435" s="441"/>
      <c r="H435" s="440" t="s">
        <v>5274</v>
      </c>
      <c r="I435" s="441" t="s">
        <v>5275</v>
      </c>
      <c r="J435" s="450">
        <v>45778</v>
      </c>
      <c r="K435" s="429" t="s">
        <v>2493</v>
      </c>
      <c r="L435" s="444" t="s">
        <v>1208</v>
      </c>
      <c r="M435" s="444" t="s">
        <v>5276</v>
      </c>
      <c r="N435" s="441"/>
      <c r="O435" s="445"/>
      <c r="P435" s="441">
        <v>84</v>
      </c>
      <c r="Q435" s="445">
        <v>100</v>
      </c>
      <c r="R435" s="445" t="s">
        <v>5277</v>
      </c>
      <c r="S435" s="446">
        <v>45826</v>
      </c>
      <c r="T435" s="446">
        <v>45807</v>
      </c>
      <c r="U435" s="446"/>
      <c r="V435" s="447"/>
      <c r="W435" s="447">
        <v>45811</v>
      </c>
      <c r="X435" s="447" t="s">
        <v>8044</v>
      </c>
      <c r="Y435" s="420"/>
      <c r="Z435" s="224" t="str">
        <f t="shared" si="36"/>
        <v>AG. MEDIÇÃO</v>
      </c>
      <c r="AA435" s="207" t="str">
        <f t="shared" si="37"/>
        <v>ENTREGUE</v>
      </c>
      <c r="AB435" s="207" t="str">
        <f t="shared" si="38"/>
        <v>AG. MEDIÇÃO</v>
      </c>
      <c r="AC435" s="156">
        <f t="shared" ca="1" si="39"/>
        <v>2</v>
      </c>
      <c r="AD435" s="156" t="str">
        <f t="shared" ca="1" si="40"/>
        <v>NO PRAZO</v>
      </c>
      <c r="AE435" s="156">
        <f t="shared" ca="1" si="41"/>
        <v>-1</v>
      </c>
    </row>
    <row r="436" spans="1:31" ht="36" hidden="1" customHeight="1">
      <c r="A436" s="414"/>
      <c r="B436" s="429" t="s">
        <v>7370</v>
      </c>
      <c r="C436" s="429" t="s">
        <v>328</v>
      </c>
      <c r="D436" s="429"/>
      <c r="E436" s="429"/>
      <c r="F436" s="429" t="s">
        <v>42</v>
      </c>
      <c r="G436" s="433"/>
      <c r="H436" s="652" t="s">
        <v>7328</v>
      </c>
      <c r="I436" s="433" t="s">
        <v>7327</v>
      </c>
      <c r="J436" s="432">
        <v>46113</v>
      </c>
      <c r="K436" s="429" t="s">
        <v>2493</v>
      </c>
      <c r="L436" s="436"/>
      <c r="M436" s="436" t="s">
        <v>62</v>
      </c>
      <c r="N436" s="433"/>
      <c r="O436" s="437"/>
      <c r="P436" s="433" t="s">
        <v>2494</v>
      </c>
      <c r="Q436" s="437" t="s">
        <v>2494</v>
      </c>
      <c r="R436" s="437" t="s">
        <v>2861</v>
      </c>
      <c r="S436" s="438">
        <v>46157</v>
      </c>
      <c r="T436" s="438">
        <v>46135</v>
      </c>
      <c r="U436" s="438"/>
      <c r="V436" s="439"/>
      <c r="W436" s="439">
        <v>46138</v>
      </c>
      <c r="X436" s="439">
        <v>46157</v>
      </c>
      <c r="Y436" s="420"/>
      <c r="Z436" s="224" t="str">
        <f t="shared" si="36"/>
        <v>AG. MEDIÇÃO</v>
      </c>
      <c r="AA436" s="207" t="str">
        <f t="shared" si="37"/>
        <v>ENTREGUE</v>
      </c>
      <c r="AB436" s="207" t="str">
        <f t="shared" si="38"/>
        <v>AG. MEDIÇÃO</v>
      </c>
      <c r="AC436" s="156">
        <f t="shared" ca="1" si="39"/>
        <v>1</v>
      </c>
      <c r="AD436" s="156" t="str">
        <f t="shared" ca="1" si="40"/>
        <v>NO PRAZO</v>
      </c>
      <c r="AE436" s="156">
        <f t="shared" ca="1" si="41"/>
        <v>-2</v>
      </c>
    </row>
    <row r="437" spans="1:31" ht="36" hidden="1" customHeight="1">
      <c r="A437" s="414"/>
      <c r="B437" s="440" t="s">
        <v>3741</v>
      </c>
      <c r="C437" s="440" t="s">
        <v>232</v>
      </c>
      <c r="D437" s="440" t="s">
        <v>2687</v>
      </c>
      <c r="E437" s="440" t="s">
        <v>389</v>
      </c>
      <c r="F437" s="440" t="s">
        <v>42</v>
      </c>
      <c r="G437" s="441" t="s">
        <v>3348</v>
      </c>
      <c r="H437" s="440" t="s">
        <v>3742</v>
      </c>
      <c r="I437" s="441" t="s">
        <v>3743</v>
      </c>
      <c r="J437" s="450">
        <v>45383</v>
      </c>
      <c r="K437" s="429" t="s">
        <v>2493</v>
      </c>
      <c r="L437" s="444" t="s">
        <v>3696</v>
      </c>
      <c r="M437" s="444" t="s">
        <v>827</v>
      </c>
      <c r="N437" s="441" t="s">
        <v>2572</v>
      </c>
      <c r="O437" s="445" t="s">
        <v>85</v>
      </c>
      <c r="P437" s="445"/>
      <c r="Q437" s="441">
        <v>347</v>
      </c>
      <c r="R437" s="445" t="s">
        <v>3744</v>
      </c>
      <c r="S437" s="446">
        <v>45469</v>
      </c>
      <c r="T437" s="446">
        <v>45408</v>
      </c>
      <c r="U437" s="446">
        <v>45449</v>
      </c>
      <c r="V437" s="447">
        <v>45454</v>
      </c>
      <c r="W437" s="447">
        <v>45454</v>
      </c>
      <c r="X437" s="447" t="s">
        <v>8044</v>
      </c>
      <c r="Y437" s="420"/>
      <c r="Z437" s="224" t="str">
        <f t="shared" si="36"/>
        <v>AG. MEDIÇÃO</v>
      </c>
      <c r="AA437" s="207" t="str">
        <f t="shared" si="37"/>
        <v>ENTREGUE</v>
      </c>
      <c r="AB437" s="207" t="str">
        <f t="shared" si="38"/>
        <v>AG. MEDIÇÃO</v>
      </c>
      <c r="AC437" s="156">
        <f t="shared" ca="1" si="39"/>
        <v>32</v>
      </c>
      <c r="AD437" s="156" t="str">
        <f t="shared" ca="1" si="40"/>
        <v>ATRASADO</v>
      </c>
      <c r="AE437" s="156">
        <f t="shared" ca="1" si="41"/>
        <v>29</v>
      </c>
    </row>
    <row r="438" spans="1:31" ht="36" hidden="1" customHeight="1">
      <c r="A438" s="414"/>
      <c r="B438" s="440" t="s">
        <v>5406</v>
      </c>
      <c r="C438" s="440" t="s">
        <v>5407</v>
      </c>
      <c r="D438" s="440"/>
      <c r="E438" s="440" t="s">
        <v>389</v>
      </c>
      <c r="F438" s="440" t="s">
        <v>42</v>
      </c>
      <c r="G438" s="441" t="s">
        <v>5408</v>
      </c>
      <c r="H438" s="440" t="s">
        <v>5409</v>
      </c>
      <c r="I438" s="441" t="s">
        <v>5410</v>
      </c>
      <c r="J438" s="450">
        <v>45809</v>
      </c>
      <c r="K438" s="429" t="s">
        <v>2493</v>
      </c>
      <c r="L438" s="444"/>
      <c r="M438" s="444" t="s">
        <v>1155</v>
      </c>
      <c r="N438" s="441"/>
      <c r="O438" s="445"/>
      <c r="P438" s="441" t="s">
        <v>2494</v>
      </c>
      <c r="Q438" s="445" t="s">
        <v>2494</v>
      </c>
      <c r="R438" s="445" t="s">
        <v>5411</v>
      </c>
      <c r="S438" s="446">
        <v>45845</v>
      </c>
      <c r="T438" s="446">
        <v>45826</v>
      </c>
      <c r="U438" s="446"/>
      <c r="V438" s="447"/>
      <c r="W438" s="447">
        <v>45832</v>
      </c>
      <c r="X438" s="447" t="s">
        <v>8044</v>
      </c>
      <c r="Y438" s="420"/>
      <c r="Z438" s="224" t="str">
        <f t="shared" si="36"/>
        <v>AG. MEDIÇÃO</v>
      </c>
      <c r="AA438" s="207" t="str">
        <f t="shared" si="37"/>
        <v>ENTREGUE</v>
      </c>
      <c r="AB438" s="207" t="str">
        <f t="shared" si="38"/>
        <v>AG. MEDIÇÃO</v>
      </c>
      <c r="AC438" s="156">
        <f t="shared" ca="1" si="39"/>
        <v>4</v>
      </c>
      <c r="AD438" s="156" t="str">
        <f t="shared" ca="1" si="40"/>
        <v>ATRASADO</v>
      </c>
      <c r="AE438" s="156">
        <f t="shared" ca="1" si="41"/>
        <v>1</v>
      </c>
    </row>
    <row r="439" spans="1:31" ht="36" hidden="1" customHeight="1">
      <c r="A439" s="414"/>
      <c r="B439" s="429" t="s">
        <v>7841</v>
      </c>
      <c r="C439" s="430" t="s">
        <v>79</v>
      </c>
      <c r="D439" s="430" t="s">
        <v>1483</v>
      </c>
      <c r="E439" s="432" t="s">
        <v>619</v>
      </c>
      <c r="F439" s="429" t="s">
        <v>42</v>
      </c>
      <c r="G439" s="434" t="s">
        <v>7854</v>
      </c>
      <c r="H439" s="636" t="s">
        <v>7855</v>
      </c>
      <c r="I439" s="433" t="s">
        <v>7856</v>
      </c>
      <c r="J439" s="432">
        <v>46174</v>
      </c>
      <c r="K439" s="429" t="s">
        <v>2493</v>
      </c>
      <c r="L439" s="436"/>
      <c r="M439" s="436" t="s">
        <v>77</v>
      </c>
      <c r="N439" s="433"/>
      <c r="O439" s="437" t="s">
        <v>85</v>
      </c>
      <c r="P439" s="433" t="s">
        <v>2494</v>
      </c>
      <c r="Q439" s="437" t="s">
        <v>2494</v>
      </c>
      <c r="R439" s="437" t="s">
        <v>7874</v>
      </c>
      <c r="S439" s="438">
        <v>46195</v>
      </c>
      <c r="T439" s="438">
        <v>46189</v>
      </c>
      <c r="U439" s="438"/>
      <c r="V439" s="439"/>
      <c r="W439" s="439">
        <v>46191</v>
      </c>
      <c r="X439" s="439">
        <v>46195</v>
      </c>
      <c r="Y439" s="420"/>
      <c r="Z439" s="224" t="str">
        <f t="shared" si="36"/>
        <v>AG. MEDIÇÃO</v>
      </c>
      <c r="AA439" s="207" t="str">
        <f t="shared" si="37"/>
        <v>ENTREGUE</v>
      </c>
      <c r="AB439" s="207" t="str">
        <f t="shared" si="38"/>
        <v>AG. MEDIÇÃO</v>
      </c>
      <c r="AC439" s="156">
        <f t="shared" ca="1" si="39"/>
        <v>2</v>
      </c>
      <c r="AD439" s="156" t="str">
        <f t="shared" ca="1" si="40"/>
        <v>NO PRAZO</v>
      </c>
      <c r="AE439" s="156">
        <f t="shared" ca="1" si="41"/>
        <v>-1</v>
      </c>
    </row>
    <row r="440" spans="1:31" ht="36" hidden="1" customHeight="1">
      <c r="A440" s="414"/>
      <c r="B440" s="429" t="s">
        <v>8123</v>
      </c>
      <c r="C440" s="429" t="s">
        <v>79</v>
      </c>
      <c r="D440" s="429" t="s">
        <v>1483</v>
      </c>
      <c r="E440" s="429" t="s">
        <v>619</v>
      </c>
      <c r="F440" s="429" t="s">
        <v>42</v>
      </c>
      <c r="G440" s="433"/>
      <c r="H440" s="429" t="s">
        <v>8141</v>
      </c>
      <c r="I440" s="433" t="s">
        <v>7757</v>
      </c>
      <c r="J440" s="432">
        <v>46204</v>
      </c>
      <c r="K440" s="429" t="s">
        <v>2493</v>
      </c>
      <c r="L440" s="436"/>
      <c r="M440" s="436" t="s">
        <v>62</v>
      </c>
      <c r="N440" s="437"/>
      <c r="O440" s="437" t="s">
        <v>85</v>
      </c>
      <c r="P440" s="437" t="s">
        <v>2494</v>
      </c>
      <c r="Q440" s="433" t="s">
        <v>2494</v>
      </c>
      <c r="R440" s="499" t="s">
        <v>8142</v>
      </c>
      <c r="S440" s="438">
        <v>46221</v>
      </c>
      <c r="T440" s="438">
        <v>46219</v>
      </c>
      <c r="U440" s="438"/>
      <c r="V440" s="438"/>
      <c r="W440" s="439">
        <v>46221</v>
      </c>
      <c r="X440" s="439">
        <v>46221</v>
      </c>
      <c r="Y440" s="420"/>
      <c r="Z440" s="224" t="str">
        <f t="shared" si="36"/>
        <v>AG. MEDIÇÃO</v>
      </c>
      <c r="AA440" s="207" t="str">
        <f t="shared" si="37"/>
        <v>ENTREGUE</v>
      </c>
      <c r="AB440" s="207" t="str">
        <f t="shared" si="38"/>
        <v>AG. MEDIÇÃO</v>
      </c>
      <c r="AC440" s="156">
        <f t="shared" ca="1" si="39"/>
        <v>1</v>
      </c>
      <c r="AD440" s="156" t="str">
        <f t="shared" ca="1" si="40"/>
        <v>NO PRAZO</v>
      </c>
      <c r="AE440" s="156">
        <f t="shared" ca="1" si="41"/>
        <v>-2</v>
      </c>
    </row>
    <row r="441" spans="1:31" ht="36" hidden="1" customHeight="1">
      <c r="A441" s="414"/>
      <c r="B441" s="429" t="s">
        <v>8125</v>
      </c>
      <c r="C441" s="618" t="s">
        <v>79</v>
      </c>
      <c r="D441" s="618" t="s">
        <v>1483</v>
      </c>
      <c r="E441" s="618" t="s">
        <v>619</v>
      </c>
      <c r="F441" s="618" t="s">
        <v>42</v>
      </c>
      <c r="G441" s="433"/>
      <c r="H441" s="429" t="s">
        <v>8150</v>
      </c>
      <c r="I441" s="433" t="s">
        <v>7757</v>
      </c>
      <c r="J441" s="432">
        <v>46204</v>
      </c>
      <c r="K441" s="429" t="s">
        <v>2493</v>
      </c>
      <c r="L441" s="436" t="s">
        <v>94</v>
      </c>
      <c r="M441" s="436" t="s">
        <v>94</v>
      </c>
      <c r="N441" s="437"/>
      <c r="O441" s="437" t="s">
        <v>85</v>
      </c>
      <c r="P441" s="437">
        <v>653</v>
      </c>
      <c r="Q441" s="433">
        <v>653</v>
      </c>
      <c r="R441" s="499" t="s">
        <v>8214</v>
      </c>
      <c r="S441" s="438">
        <v>46227</v>
      </c>
      <c r="T441" s="438">
        <v>46220</v>
      </c>
      <c r="U441" s="438"/>
      <c r="V441" s="438"/>
      <c r="W441" s="439">
        <v>46221</v>
      </c>
      <c r="X441" s="439">
        <v>46227</v>
      </c>
      <c r="Y441" s="420"/>
      <c r="Z441" s="224" t="str">
        <f t="shared" si="36"/>
        <v>AG. MEDIÇÃO</v>
      </c>
      <c r="AA441" s="207" t="str">
        <f t="shared" si="37"/>
        <v>ENTREGUE</v>
      </c>
      <c r="AB441" s="207" t="str">
        <f t="shared" si="38"/>
        <v>AG. MEDIÇÃO</v>
      </c>
      <c r="AC441" s="156">
        <f t="shared" ca="1" si="39"/>
        <v>0</v>
      </c>
      <c r="AD441" s="156" t="str">
        <f t="shared" ca="1" si="40"/>
        <v>NO PRAZO</v>
      </c>
      <c r="AE441" s="156">
        <f t="shared" ca="1" si="41"/>
        <v>-3</v>
      </c>
    </row>
    <row r="442" spans="1:31" ht="36" hidden="1" customHeight="1">
      <c r="A442" s="414"/>
      <c r="B442" s="429" t="s">
        <v>8238</v>
      </c>
      <c r="C442" s="429" t="s">
        <v>2249</v>
      </c>
      <c r="D442" s="429" t="s">
        <v>1989</v>
      </c>
      <c r="E442" s="429" t="s">
        <v>6874</v>
      </c>
      <c r="F442" s="429" t="s">
        <v>42</v>
      </c>
      <c r="G442" s="562" t="s">
        <v>8243</v>
      </c>
      <c r="H442" s="562" t="s">
        <v>8244</v>
      </c>
      <c r="I442" s="565" t="s">
        <v>8245</v>
      </c>
      <c r="J442" s="432">
        <v>46204</v>
      </c>
      <c r="K442" s="429" t="s">
        <v>2493</v>
      </c>
      <c r="L442" s="436"/>
      <c r="M442" s="436" t="s">
        <v>62</v>
      </c>
      <c r="N442" s="437"/>
      <c r="O442" s="437" t="s">
        <v>85</v>
      </c>
      <c r="P442" s="436" t="s">
        <v>2494</v>
      </c>
      <c r="Q442" s="436" t="s">
        <v>2494</v>
      </c>
      <c r="R442" s="499" t="s">
        <v>8469</v>
      </c>
      <c r="S442" s="438">
        <v>46261</v>
      </c>
      <c r="T442" s="438">
        <v>46232</v>
      </c>
      <c r="U442" s="438"/>
      <c r="V442" s="438">
        <v>46233</v>
      </c>
      <c r="W442" s="438">
        <v>46232</v>
      </c>
      <c r="X442" s="439">
        <v>46261</v>
      </c>
      <c r="Y442" s="420"/>
      <c r="Z442" s="224" t="str">
        <f t="shared" si="36"/>
        <v>AG. MEDIÇÃO</v>
      </c>
      <c r="AA442" s="207" t="str">
        <f t="shared" si="37"/>
        <v>ENTREGUE</v>
      </c>
      <c r="AB442" s="207" t="str">
        <f t="shared" si="38"/>
        <v>AG. MEDIÇÃO</v>
      </c>
      <c r="AC442" s="156">
        <f t="shared" ca="1" si="39"/>
        <v>0</v>
      </c>
      <c r="AD442" s="156" t="str">
        <f t="shared" ca="1" si="40"/>
        <v>NO PRAZO</v>
      </c>
      <c r="AE442" s="156">
        <f t="shared" ca="1" si="41"/>
        <v>-3</v>
      </c>
    </row>
    <row r="443" spans="1:31" ht="36" hidden="1" customHeight="1">
      <c r="A443" s="414"/>
      <c r="B443" s="466" t="s">
        <v>2540</v>
      </c>
      <c r="C443" s="466" t="s">
        <v>606</v>
      </c>
      <c r="D443" s="466" t="s">
        <v>899</v>
      </c>
      <c r="E443" s="489" t="s">
        <v>607</v>
      </c>
      <c r="F443" s="466" t="s">
        <v>42</v>
      </c>
      <c r="G443" s="475" t="s">
        <v>6970</v>
      </c>
      <c r="H443" s="645" t="s">
        <v>6971</v>
      </c>
      <c r="I443" s="475" t="s">
        <v>2541</v>
      </c>
      <c r="J443" s="476">
        <v>45987</v>
      </c>
      <c r="K443" s="429" t="s">
        <v>2493</v>
      </c>
      <c r="L443" s="477"/>
      <c r="M443" s="477" t="s">
        <v>1155</v>
      </c>
      <c r="N443" s="475"/>
      <c r="O443" s="479"/>
      <c r="P443" s="475" t="s">
        <v>2494</v>
      </c>
      <c r="Q443" s="475" t="s">
        <v>2494</v>
      </c>
      <c r="R443" s="479"/>
      <c r="S443" s="480"/>
      <c r="T443" s="480">
        <v>45973</v>
      </c>
      <c r="U443" s="480"/>
      <c r="V443" s="481"/>
      <c r="W443" s="481">
        <v>45974</v>
      </c>
      <c r="X443" s="481"/>
      <c r="Y443" s="420"/>
      <c r="Z443" s="224" t="str">
        <f t="shared" si="36"/>
        <v>AG. RELATÓRIO</v>
      </c>
      <c r="AA443" s="207" t="str">
        <f t="shared" si="37"/>
        <v>PENDENTE</v>
      </c>
      <c r="AB443" s="207" t="str">
        <f t="shared" si="38"/>
        <v>AG. RELATÓRIO</v>
      </c>
      <c r="AC443" s="156">
        <f t="shared" ca="1" si="39"/>
        <v>1</v>
      </c>
      <c r="AD443" s="156" t="str">
        <f t="shared" ca="1" si="40"/>
        <v>NO PRAZO</v>
      </c>
      <c r="AE443" s="156">
        <f t="shared" ca="1" si="41"/>
        <v>-2</v>
      </c>
    </row>
    <row r="444" spans="1:31" ht="36" hidden="1" customHeight="1">
      <c r="A444" s="414"/>
      <c r="B444" s="429" t="s">
        <v>8171</v>
      </c>
      <c r="C444" s="618" t="s">
        <v>79</v>
      </c>
      <c r="D444" s="618" t="s">
        <v>6893</v>
      </c>
      <c r="E444" s="618" t="s">
        <v>619</v>
      </c>
      <c r="F444" s="618" t="s">
        <v>42</v>
      </c>
      <c r="G444" s="433"/>
      <c r="H444" s="429" t="s">
        <v>8181</v>
      </c>
      <c r="I444" s="433" t="s">
        <v>8182</v>
      </c>
      <c r="J444" s="432">
        <v>46204</v>
      </c>
      <c r="K444" s="429" t="s">
        <v>2493</v>
      </c>
      <c r="L444" s="436"/>
      <c r="M444" s="436" t="s">
        <v>62</v>
      </c>
      <c r="N444" s="437"/>
      <c r="O444" s="437" t="s">
        <v>85</v>
      </c>
      <c r="P444" s="437" t="s">
        <v>2494</v>
      </c>
      <c r="Q444" s="433" t="s">
        <v>2494</v>
      </c>
      <c r="R444" s="499" t="s">
        <v>7306</v>
      </c>
      <c r="S444" s="438">
        <v>46252</v>
      </c>
      <c r="T444" s="438">
        <v>46224</v>
      </c>
      <c r="U444" s="438"/>
      <c r="V444" s="438"/>
      <c r="W444" s="439">
        <v>46226</v>
      </c>
      <c r="X444" s="439">
        <v>46252</v>
      </c>
      <c r="Y444" s="420"/>
      <c r="Z444" s="224" t="str">
        <f t="shared" si="36"/>
        <v>AG. MEDIÇÃO</v>
      </c>
      <c r="AA444" s="207" t="str">
        <f t="shared" si="37"/>
        <v>ENTREGUE</v>
      </c>
      <c r="AB444" s="207" t="str">
        <f t="shared" si="38"/>
        <v>AG. MEDIÇÃO</v>
      </c>
      <c r="AC444" s="156">
        <f t="shared" ca="1" si="39"/>
        <v>2</v>
      </c>
      <c r="AD444" s="156" t="str">
        <f t="shared" ca="1" si="40"/>
        <v>NO PRAZO</v>
      </c>
      <c r="AE444" s="156">
        <f t="shared" ca="1" si="41"/>
        <v>-1</v>
      </c>
    </row>
    <row r="445" spans="1:31" ht="36" hidden="1" customHeight="1">
      <c r="A445" s="414"/>
      <c r="B445" s="440" t="s">
        <v>3050</v>
      </c>
      <c r="C445" s="461" t="s">
        <v>88</v>
      </c>
      <c r="D445" s="461"/>
      <c r="E445" s="461"/>
      <c r="F445" s="461" t="s">
        <v>42</v>
      </c>
      <c r="G445" s="441" t="s">
        <v>3051</v>
      </c>
      <c r="H445" s="440" t="s">
        <v>3052</v>
      </c>
      <c r="I445" s="449"/>
      <c r="J445" s="450">
        <v>45170</v>
      </c>
      <c r="K445" s="429" t="s">
        <v>2493</v>
      </c>
      <c r="L445" s="444" t="s">
        <v>1092</v>
      </c>
      <c r="M445" s="444" t="s">
        <v>827</v>
      </c>
      <c r="N445" s="441" t="s">
        <v>2572</v>
      </c>
      <c r="O445" s="445" t="s">
        <v>2573</v>
      </c>
      <c r="P445" s="445"/>
      <c r="Q445" s="441">
        <v>452</v>
      </c>
      <c r="R445" s="445" t="s">
        <v>3053</v>
      </c>
      <c r="S445" s="446">
        <v>45203</v>
      </c>
      <c r="T445" s="446">
        <v>45175</v>
      </c>
      <c r="U445" s="446">
        <v>45183</v>
      </c>
      <c r="V445" s="446">
        <v>45185</v>
      </c>
      <c r="W445" s="447">
        <v>45185</v>
      </c>
      <c r="X445" s="447" t="s">
        <v>8044</v>
      </c>
      <c r="Y445" s="420"/>
      <c r="Z445" s="224" t="str">
        <f t="shared" si="36"/>
        <v>AG. MEDIÇÃO</v>
      </c>
      <c r="AA445" s="207" t="str">
        <f t="shared" si="37"/>
        <v>ENTREGUE</v>
      </c>
      <c r="AB445" s="207" t="str">
        <f t="shared" si="38"/>
        <v>AG. MEDIÇÃO</v>
      </c>
      <c r="AC445" s="156">
        <f t="shared" ca="1" si="39"/>
        <v>7</v>
      </c>
      <c r="AD445" s="156" t="str">
        <f t="shared" ca="1" si="40"/>
        <v>ATRASADO</v>
      </c>
      <c r="AE445" s="156">
        <f t="shared" ca="1" si="41"/>
        <v>4</v>
      </c>
    </row>
    <row r="446" spans="1:31" ht="36" hidden="1" customHeight="1">
      <c r="A446" s="414"/>
      <c r="B446" s="440" t="s">
        <v>3911</v>
      </c>
      <c r="C446" s="440" t="s">
        <v>328</v>
      </c>
      <c r="D446" s="440" t="s">
        <v>330</v>
      </c>
      <c r="E446" s="440" t="s">
        <v>329</v>
      </c>
      <c r="F446" s="440" t="s">
        <v>42</v>
      </c>
      <c r="G446" s="441" t="s">
        <v>3912</v>
      </c>
      <c r="H446" s="440" t="s">
        <v>3913</v>
      </c>
      <c r="I446" s="441" t="s">
        <v>3914</v>
      </c>
      <c r="J446" s="450">
        <v>45444</v>
      </c>
      <c r="K446" s="429" t="s">
        <v>2493</v>
      </c>
      <c r="L446" s="444" t="s">
        <v>67</v>
      </c>
      <c r="M446" s="444" t="s">
        <v>827</v>
      </c>
      <c r="N446" s="441" t="s">
        <v>2572</v>
      </c>
      <c r="O446" s="445" t="s">
        <v>85</v>
      </c>
      <c r="P446" s="445"/>
      <c r="Q446" s="441">
        <v>220</v>
      </c>
      <c r="R446" s="445" t="s">
        <v>3915</v>
      </c>
      <c r="S446" s="446">
        <v>45497</v>
      </c>
      <c r="T446" s="446">
        <v>45470</v>
      </c>
      <c r="U446" s="446">
        <v>45471</v>
      </c>
      <c r="V446" s="446">
        <v>45474</v>
      </c>
      <c r="W446" s="447">
        <v>45474</v>
      </c>
      <c r="X446" s="447" t="s">
        <v>8044</v>
      </c>
      <c r="Y446" s="420"/>
      <c r="Z446" s="224" t="str">
        <f t="shared" si="36"/>
        <v>AG. MEDIÇÃO</v>
      </c>
      <c r="AA446" s="207" t="str">
        <f t="shared" si="37"/>
        <v>ENTREGUE</v>
      </c>
      <c r="AB446" s="207" t="str">
        <f t="shared" si="38"/>
        <v>AG. MEDIÇÃO</v>
      </c>
      <c r="AC446" s="156">
        <f t="shared" ca="1" si="39"/>
        <v>2</v>
      </c>
      <c r="AD446" s="156" t="str">
        <f t="shared" ca="1" si="40"/>
        <v>NO PRAZO</v>
      </c>
      <c r="AE446" s="156">
        <f t="shared" ca="1" si="41"/>
        <v>-1</v>
      </c>
    </row>
    <row r="447" spans="1:31" ht="36" hidden="1" customHeight="1">
      <c r="A447" s="414"/>
      <c r="B447" s="440" t="s">
        <v>3128</v>
      </c>
      <c r="C447" s="461" t="s">
        <v>425</v>
      </c>
      <c r="D447" s="461"/>
      <c r="E447" s="461"/>
      <c r="F447" s="440" t="s">
        <v>42</v>
      </c>
      <c r="G447" s="441" t="s">
        <v>3129</v>
      </c>
      <c r="H447" s="440" t="s">
        <v>3130</v>
      </c>
      <c r="I447" s="449"/>
      <c r="J447" s="450">
        <v>45200</v>
      </c>
      <c r="K447" s="429" t="s">
        <v>2493</v>
      </c>
      <c r="L447" s="444"/>
      <c r="M447" s="444" t="s">
        <v>634</v>
      </c>
      <c r="N447" s="441" t="s">
        <v>2572</v>
      </c>
      <c r="O447" s="445" t="s">
        <v>2573</v>
      </c>
      <c r="P447" s="441" t="s">
        <v>2494</v>
      </c>
      <c r="Q447" s="441" t="s">
        <v>2494</v>
      </c>
      <c r="R447" s="445" t="s">
        <v>3131</v>
      </c>
      <c r="S447" s="446">
        <v>45223</v>
      </c>
      <c r="T447" s="446">
        <v>45211</v>
      </c>
      <c r="U447" s="446">
        <v>45216</v>
      </c>
      <c r="V447" s="446">
        <v>45216</v>
      </c>
      <c r="W447" s="447">
        <v>45216</v>
      </c>
      <c r="X447" s="447" t="s">
        <v>8044</v>
      </c>
      <c r="Y447" s="420"/>
      <c r="Z447" s="224" t="str">
        <f t="shared" si="36"/>
        <v>AG. MEDIÇÃO</v>
      </c>
      <c r="AA447" s="207" t="str">
        <f t="shared" si="37"/>
        <v>ENTREGUE</v>
      </c>
      <c r="AB447" s="207" t="str">
        <f t="shared" si="38"/>
        <v>AG. MEDIÇÃO</v>
      </c>
      <c r="AC447" s="156">
        <f t="shared" ca="1" si="39"/>
        <v>3</v>
      </c>
      <c r="AD447" s="156" t="str">
        <f t="shared" ca="1" si="40"/>
        <v>NO PRAZO</v>
      </c>
      <c r="AE447" s="156">
        <f t="shared" ca="1" si="41"/>
        <v>0</v>
      </c>
    </row>
    <row r="448" spans="1:31" ht="36" hidden="1" customHeight="1">
      <c r="A448" s="414"/>
      <c r="B448" s="429" t="s">
        <v>7796</v>
      </c>
      <c r="C448" s="430" t="s">
        <v>79</v>
      </c>
      <c r="D448" s="431" t="s">
        <v>1076</v>
      </c>
      <c r="E448" s="432" t="s">
        <v>619</v>
      </c>
      <c r="F448" s="429" t="s">
        <v>42</v>
      </c>
      <c r="G448" s="434" t="s">
        <v>7813</v>
      </c>
      <c r="H448" s="636" t="s">
        <v>7814</v>
      </c>
      <c r="I448" s="433" t="s">
        <v>7815</v>
      </c>
      <c r="J448" s="432">
        <v>46174</v>
      </c>
      <c r="K448" s="429" t="s">
        <v>2493</v>
      </c>
      <c r="L448" s="436"/>
      <c r="M448" s="436" t="s">
        <v>62</v>
      </c>
      <c r="N448" s="433"/>
      <c r="O448" s="437" t="s">
        <v>85</v>
      </c>
      <c r="P448" s="433" t="s">
        <v>2494</v>
      </c>
      <c r="Q448" s="437" t="s">
        <v>2494</v>
      </c>
      <c r="R448" s="437" t="s">
        <v>8028</v>
      </c>
      <c r="S448" s="438">
        <v>46210</v>
      </c>
      <c r="T448" s="438">
        <v>46183</v>
      </c>
      <c r="U448" s="438"/>
      <c r="V448" s="439"/>
      <c r="W448" s="439">
        <v>46188</v>
      </c>
      <c r="X448" s="439">
        <v>46210</v>
      </c>
      <c r="Y448" s="420"/>
      <c r="Z448" s="224" t="str">
        <f t="shared" si="36"/>
        <v>AG. MEDIÇÃO</v>
      </c>
      <c r="AA448" s="207" t="str">
        <f t="shared" si="37"/>
        <v>ENTREGUE</v>
      </c>
      <c r="AB448" s="207" t="str">
        <f t="shared" si="38"/>
        <v>AG. MEDIÇÃO</v>
      </c>
      <c r="AC448" s="156">
        <f t="shared" ca="1" si="39"/>
        <v>3</v>
      </c>
      <c r="AD448" s="156" t="str">
        <f t="shared" ca="1" si="40"/>
        <v>NO PRAZO</v>
      </c>
      <c r="AE448" s="156">
        <f t="shared" ca="1" si="41"/>
        <v>0</v>
      </c>
    </row>
    <row r="449" spans="1:31" ht="36" hidden="1" customHeight="1">
      <c r="A449" s="414"/>
      <c r="B449" s="429" t="s">
        <v>7797</v>
      </c>
      <c r="C449" s="430" t="s">
        <v>79</v>
      </c>
      <c r="D449" s="430" t="s">
        <v>1483</v>
      </c>
      <c r="E449" s="432" t="s">
        <v>619</v>
      </c>
      <c r="F449" s="429" t="s">
        <v>42</v>
      </c>
      <c r="G449" s="434"/>
      <c r="H449" s="636" t="s">
        <v>7826</v>
      </c>
      <c r="I449" s="433" t="s">
        <v>7757</v>
      </c>
      <c r="J449" s="432">
        <v>46174</v>
      </c>
      <c r="K449" s="429" t="s">
        <v>2493</v>
      </c>
      <c r="L449" s="436"/>
      <c r="M449" s="436" t="s">
        <v>62</v>
      </c>
      <c r="N449" s="433"/>
      <c r="O449" s="437" t="s">
        <v>85</v>
      </c>
      <c r="P449" s="433" t="s">
        <v>2494</v>
      </c>
      <c r="Q449" s="437" t="s">
        <v>2494</v>
      </c>
      <c r="R449" s="437" t="s">
        <v>8026</v>
      </c>
      <c r="S449" s="438">
        <v>46210</v>
      </c>
      <c r="T449" s="438">
        <v>46182</v>
      </c>
      <c r="U449" s="438"/>
      <c r="V449" s="439"/>
      <c r="W449" s="439">
        <v>46184</v>
      </c>
      <c r="X449" s="439">
        <v>46210</v>
      </c>
      <c r="Y449" s="420"/>
      <c r="Z449" s="224" t="str">
        <f t="shared" si="36"/>
        <v>AG. MEDIÇÃO</v>
      </c>
      <c r="AA449" s="207" t="str">
        <f t="shared" si="37"/>
        <v>ENTREGUE</v>
      </c>
      <c r="AB449" s="207" t="str">
        <f t="shared" si="38"/>
        <v>AG. MEDIÇÃO</v>
      </c>
      <c r="AC449" s="156">
        <f t="shared" ca="1" si="39"/>
        <v>2</v>
      </c>
      <c r="AD449" s="156" t="str">
        <f t="shared" ca="1" si="40"/>
        <v>NO PRAZO</v>
      </c>
      <c r="AE449" s="156">
        <f t="shared" ca="1" si="41"/>
        <v>-1</v>
      </c>
    </row>
    <row r="450" spans="1:31" ht="36" hidden="1" customHeight="1">
      <c r="A450" s="414"/>
      <c r="B450" s="429" t="s">
        <v>7778</v>
      </c>
      <c r="C450" s="430" t="s">
        <v>79</v>
      </c>
      <c r="D450" s="659" t="s">
        <v>1483</v>
      </c>
      <c r="E450" s="633" t="s">
        <v>619</v>
      </c>
      <c r="F450" s="618" t="s">
        <v>42</v>
      </c>
      <c r="G450" s="434" t="s">
        <v>7755</v>
      </c>
      <c r="H450" s="636" t="s">
        <v>7756</v>
      </c>
      <c r="I450" s="433" t="s">
        <v>7757</v>
      </c>
      <c r="J450" s="432">
        <v>46174</v>
      </c>
      <c r="K450" s="429" t="s">
        <v>2493</v>
      </c>
      <c r="L450" s="436"/>
      <c r="M450" s="436" t="s">
        <v>62</v>
      </c>
      <c r="N450" s="433"/>
      <c r="O450" s="437" t="s">
        <v>85</v>
      </c>
      <c r="P450" s="433" t="s">
        <v>2494</v>
      </c>
      <c r="Q450" s="437" t="s">
        <v>2494</v>
      </c>
      <c r="R450" s="437" t="s">
        <v>7958</v>
      </c>
      <c r="S450" s="438">
        <v>46210</v>
      </c>
      <c r="T450" s="438">
        <v>46182</v>
      </c>
      <c r="U450" s="438"/>
      <c r="V450" s="439"/>
      <c r="W450" s="439">
        <v>46184</v>
      </c>
      <c r="X450" s="439">
        <v>46210</v>
      </c>
      <c r="Y450" s="420"/>
      <c r="Z450" s="224" t="str">
        <f t="shared" si="36"/>
        <v>AG. MEDIÇÃO</v>
      </c>
      <c r="AA450" s="207" t="str">
        <f t="shared" si="37"/>
        <v>ENTREGUE</v>
      </c>
      <c r="AB450" s="207" t="str">
        <f t="shared" si="38"/>
        <v>AG. MEDIÇÃO</v>
      </c>
      <c r="AC450" s="156">
        <f t="shared" ca="1" si="39"/>
        <v>2</v>
      </c>
      <c r="AD450" s="156" t="str">
        <f t="shared" ca="1" si="40"/>
        <v>NO PRAZO</v>
      </c>
      <c r="AE450" s="156">
        <f t="shared" ca="1" si="41"/>
        <v>-1</v>
      </c>
    </row>
    <row r="451" spans="1:31" ht="36" hidden="1" customHeight="1">
      <c r="A451" s="414"/>
      <c r="B451" s="429" t="s">
        <v>7358</v>
      </c>
      <c r="C451" s="429" t="s">
        <v>88</v>
      </c>
      <c r="D451" s="618" t="s">
        <v>1394</v>
      </c>
      <c r="E451" s="618" t="s">
        <v>89</v>
      </c>
      <c r="F451" s="618" t="s">
        <v>42</v>
      </c>
      <c r="G451" s="433"/>
      <c r="H451" s="652" t="s">
        <v>7313</v>
      </c>
      <c r="I451" s="433" t="s">
        <v>7314</v>
      </c>
      <c r="J451" s="432">
        <v>46113</v>
      </c>
      <c r="K451" s="429" t="s">
        <v>2493</v>
      </c>
      <c r="L451" s="436"/>
      <c r="M451" s="436" t="s">
        <v>62</v>
      </c>
      <c r="N451" s="433"/>
      <c r="O451" s="437"/>
      <c r="P451" s="433" t="s">
        <v>2494</v>
      </c>
      <c r="Q451" s="437" t="s">
        <v>2494</v>
      </c>
      <c r="R451" s="437" t="s">
        <v>7537</v>
      </c>
      <c r="S451" s="438">
        <v>46157</v>
      </c>
      <c r="T451" s="438">
        <v>46132</v>
      </c>
      <c r="U451" s="438"/>
      <c r="V451" s="439"/>
      <c r="W451" s="439">
        <v>46135</v>
      </c>
      <c r="X451" s="439">
        <v>46157</v>
      </c>
      <c r="Y451" s="420"/>
      <c r="Z451" s="224" t="str">
        <f t="shared" si="36"/>
        <v>AG. MEDIÇÃO</v>
      </c>
      <c r="AA451" s="207" t="str">
        <f t="shared" si="37"/>
        <v>ENTREGUE</v>
      </c>
      <c r="AB451" s="207" t="str">
        <f t="shared" si="38"/>
        <v>AG. MEDIÇÃO</v>
      </c>
      <c r="AC451" s="156">
        <f t="shared" ca="1" si="39"/>
        <v>3</v>
      </c>
      <c r="AD451" s="156" t="str">
        <f t="shared" ca="1" si="40"/>
        <v>NO PRAZO</v>
      </c>
      <c r="AE451" s="156">
        <f t="shared" ca="1" si="41"/>
        <v>0</v>
      </c>
    </row>
    <row r="452" spans="1:31" ht="36" hidden="1" customHeight="1">
      <c r="A452" s="414"/>
      <c r="B452" s="429" t="s">
        <v>8363</v>
      </c>
      <c r="C452" s="429" t="s">
        <v>571</v>
      </c>
      <c r="D452" s="429" t="s">
        <v>1874</v>
      </c>
      <c r="E452" s="429" t="s">
        <v>8517</v>
      </c>
      <c r="F452" s="429" t="s">
        <v>42</v>
      </c>
      <c r="G452" s="433" t="s">
        <v>8393</v>
      </c>
      <c r="H452" s="429" t="s">
        <v>8394</v>
      </c>
      <c r="I452" s="433" t="s">
        <v>8395</v>
      </c>
      <c r="J452" s="599">
        <v>46235</v>
      </c>
      <c r="K452" s="429" t="s">
        <v>2493</v>
      </c>
      <c r="L452" s="436"/>
      <c r="M452" s="436" t="s">
        <v>62</v>
      </c>
      <c r="N452" s="433"/>
      <c r="O452" s="433" t="s">
        <v>85</v>
      </c>
      <c r="P452" s="433" t="s">
        <v>2494</v>
      </c>
      <c r="Q452" s="433" t="s">
        <v>2494</v>
      </c>
      <c r="R452" s="437" t="s">
        <v>7003</v>
      </c>
      <c r="S452" s="438">
        <v>46259</v>
      </c>
      <c r="T452" s="438">
        <v>46251</v>
      </c>
      <c r="U452" s="438"/>
      <c r="V452" s="438"/>
      <c r="W452" s="439">
        <v>46252</v>
      </c>
      <c r="X452" s="439">
        <v>46259</v>
      </c>
      <c r="Y452" s="420"/>
      <c r="Z452" s="224" t="str">
        <f t="shared" si="36"/>
        <v>AG. MEDIÇÃO</v>
      </c>
      <c r="AA452" s="207" t="str">
        <f t="shared" si="37"/>
        <v>ENTREGUE</v>
      </c>
      <c r="AB452" s="207" t="str">
        <f t="shared" si="38"/>
        <v>AG. MEDIÇÃO</v>
      </c>
      <c r="AC452" s="156">
        <f t="shared" ca="1" si="39"/>
        <v>1</v>
      </c>
      <c r="AD452" s="156" t="str">
        <f t="shared" ca="1" si="40"/>
        <v>NO PRAZO</v>
      </c>
      <c r="AE452" s="156">
        <f t="shared" ca="1" si="41"/>
        <v>-2</v>
      </c>
    </row>
    <row r="453" spans="1:31" ht="36" hidden="1" customHeight="1">
      <c r="A453" s="414"/>
      <c r="B453" s="429" t="s">
        <v>7644</v>
      </c>
      <c r="C453" s="430" t="s">
        <v>1412</v>
      </c>
      <c r="D453" s="431"/>
      <c r="E453" s="432" t="s">
        <v>1413</v>
      </c>
      <c r="F453" s="429" t="s">
        <v>1415</v>
      </c>
      <c r="G453" s="434" t="s">
        <v>4886</v>
      </c>
      <c r="H453" s="636" t="s">
        <v>7617</v>
      </c>
      <c r="I453" s="433" t="s">
        <v>7618</v>
      </c>
      <c r="J453" s="432">
        <v>46143</v>
      </c>
      <c r="K453" s="429" t="s">
        <v>2493</v>
      </c>
      <c r="L453" s="487"/>
      <c r="M453" s="436" t="s">
        <v>77</v>
      </c>
      <c r="N453" s="433"/>
      <c r="O453" s="437"/>
      <c r="P453" s="433" t="s">
        <v>2494</v>
      </c>
      <c r="Q453" s="437" t="s">
        <v>2494</v>
      </c>
      <c r="R453" s="437" t="s">
        <v>5793</v>
      </c>
      <c r="S453" s="438">
        <v>46181</v>
      </c>
      <c r="T453" s="438">
        <v>46157</v>
      </c>
      <c r="U453" s="438"/>
      <c r="V453" s="439"/>
      <c r="W453" s="439">
        <v>46160</v>
      </c>
      <c r="X453" s="439">
        <v>46181</v>
      </c>
      <c r="Y453" s="420"/>
      <c r="Z453" s="224" t="str">
        <f t="shared" ref="Z453:Z516" si="42">IF(K453="CANCELADO","CANCELADO",IF(AA453="PENDENTE","AG. RELATÓRIO",IF(S453="SIM","AG. MEDIÇÃO",IF(S453&gt;0,"AG. MEDIÇÃO","PENDENTE"))))</f>
        <v>AG. MEDIÇÃO</v>
      </c>
      <c r="AA453" s="207" t="str">
        <f t="shared" ref="AA453:AA516" si="43">IF(K453="CANCELADO","CANCELADO",IF(X453="","PENDENTE","ENTREGUE"))</f>
        <v>ENTREGUE</v>
      </c>
      <c r="AB453" s="207" t="str">
        <f t="shared" ref="AB453:AB516" si="44">IF(K453="SEM SINAL","SEM SINAL",IF(K453="PARALISADO","PARALISADO",IF(Z453="PENDENTE","AG. MEDIÇÃO",IF(K453="CANCELADO","CANCELADO",Z453))))</f>
        <v>AG. MEDIÇÃO</v>
      </c>
      <c r="AC453" s="156">
        <f t="shared" ref="AC453:AC516" ca="1" si="45">IFERROR(IF(K453="CANCELADO","CANCELADO",IF(T453="","DATA ENTRADA",IF(AND(T453&gt;0,W453=""),NETWORKDAYS(T453,TODAY())-1,NETWORKDAYS(T453,W453)-1))),"CHECAR DATA")</f>
        <v>1</v>
      </c>
      <c r="AD453" s="156" t="str">
        <f t="shared" ref="AD453:AD516" ca="1" si="46">IF(AC453&lt;=3,"NO PRAZO","ATRASADO")</f>
        <v>NO PRAZO</v>
      </c>
      <c r="AE453" s="156">
        <f t="shared" ref="AE453:AE516" ca="1" si="47">IFERROR(AC453-3,AC453)</f>
        <v>-2</v>
      </c>
    </row>
    <row r="454" spans="1:31" ht="36" hidden="1" customHeight="1">
      <c r="A454" s="414"/>
      <c r="B454" s="429" t="s">
        <v>7612</v>
      </c>
      <c r="C454" s="430" t="s">
        <v>126</v>
      </c>
      <c r="D454" s="431"/>
      <c r="E454" s="432"/>
      <c r="F454" s="429" t="s">
        <v>42</v>
      </c>
      <c r="G454" s="434"/>
      <c r="H454" s="636" t="s">
        <v>7593</v>
      </c>
      <c r="I454" s="433" t="s">
        <v>2547</v>
      </c>
      <c r="J454" s="432">
        <v>46143</v>
      </c>
      <c r="K454" s="429" t="s">
        <v>2493</v>
      </c>
      <c r="L454" s="487"/>
      <c r="M454" s="436" t="s">
        <v>62</v>
      </c>
      <c r="N454" s="433"/>
      <c r="O454" s="437"/>
      <c r="P454" s="433" t="s">
        <v>2494</v>
      </c>
      <c r="Q454" s="437" t="s">
        <v>2494</v>
      </c>
      <c r="R454" s="437" t="s">
        <v>7730</v>
      </c>
      <c r="S454" s="438">
        <v>46181</v>
      </c>
      <c r="T454" s="438">
        <v>46167</v>
      </c>
      <c r="U454" s="438"/>
      <c r="V454" s="439"/>
      <c r="W454" s="439">
        <v>46170</v>
      </c>
      <c r="X454" s="439">
        <v>46181</v>
      </c>
      <c r="Y454" s="420"/>
      <c r="Z454" s="224" t="str">
        <f t="shared" si="42"/>
        <v>AG. MEDIÇÃO</v>
      </c>
      <c r="AA454" s="207" t="str">
        <f t="shared" si="43"/>
        <v>ENTREGUE</v>
      </c>
      <c r="AB454" s="207" t="str">
        <f t="shared" si="44"/>
        <v>AG. MEDIÇÃO</v>
      </c>
      <c r="AC454" s="156">
        <f t="shared" ca="1" si="45"/>
        <v>3</v>
      </c>
      <c r="AD454" s="156" t="str">
        <f t="shared" ca="1" si="46"/>
        <v>NO PRAZO</v>
      </c>
      <c r="AE454" s="156">
        <f t="shared" ca="1" si="47"/>
        <v>0</v>
      </c>
    </row>
    <row r="455" spans="1:31" ht="36" hidden="1" customHeight="1">
      <c r="A455" s="414"/>
      <c r="B455" s="440" t="s">
        <v>5734</v>
      </c>
      <c r="C455" s="440" t="s">
        <v>410</v>
      </c>
      <c r="D455" s="440" t="s">
        <v>412</v>
      </c>
      <c r="E455" s="440" t="s">
        <v>411</v>
      </c>
      <c r="F455" s="440" t="s">
        <v>42</v>
      </c>
      <c r="G455" s="441"/>
      <c r="H455" s="440" t="s">
        <v>5735</v>
      </c>
      <c r="I455" s="441" t="s">
        <v>5736</v>
      </c>
      <c r="J455" s="450">
        <v>45901</v>
      </c>
      <c r="K455" s="429" t="s">
        <v>2493</v>
      </c>
      <c r="L455" s="444" t="s">
        <v>50</v>
      </c>
      <c r="M455" s="444" t="s">
        <v>1155</v>
      </c>
      <c r="N455" s="441"/>
      <c r="O455" s="445"/>
      <c r="P455" s="441"/>
      <c r="Q455" s="445"/>
      <c r="R455" s="445" t="s">
        <v>5737</v>
      </c>
      <c r="S455" s="446" t="s">
        <v>5738</v>
      </c>
      <c r="T455" s="446"/>
      <c r="U455" s="446"/>
      <c r="V455" s="447"/>
      <c r="W455" s="447">
        <v>45916</v>
      </c>
      <c r="X455" s="447" t="s">
        <v>8044</v>
      </c>
      <c r="Y455" s="420"/>
      <c r="Z455" s="224" t="str">
        <f t="shared" si="42"/>
        <v>AG. MEDIÇÃO</v>
      </c>
      <c r="AA455" s="207" t="str">
        <f t="shared" si="43"/>
        <v>ENTREGUE</v>
      </c>
      <c r="AB455" s="207" t="str">
        <f t="shared" si="44"/>
        <v>AG. MEDIÇÃO</v>
      </c>
      <c r="AC455" s="156" t="str">
        <f t="shared" ca="1" si="45"/>
        <v>DATA ENTRADA</v>
      </c>
      <c r="AD455" s="156" t="str">
        <f t="shared" ca="1" si="46"/>
        <v>ATRASADO</v>
      </c>
      <c r="AE455" s="156" t="str">
        <f t="shared" ca="1" si="47"/>
        <v>DATA ENTRADA</v>
      </c>
    </row>
    <row r="456" spans="1:31" ht="36" hidden="1" customHeight="1">
      <c r="A456" s="414"/>
      <c r="B456" s="440" t="s">
        <v>3974</v>
      </c>
      <c r="C456" s="440" t="s">
        <v>479</v>
      </c>
      <c r="D456" s="440" t="s">
        <v>479</v>
      </c>
      <c r="E456" s="440" t="s">
        <v>480</v>
      </c>
      <c r="F456" s="440" t="s">
        <v>42</v>
      </c>
      <c r="G456" s="441" t="s">
        <v>3975</v>
      </c>
      <c r="H456" s="440" t="s">
        <v>3976</v>
      </c>
      <c r="I456" s="441" t="s">
        <v>3977</v>
      </c>
      <c r="J456" s="450">
        <v>45474</v>
      </c>
      <c r="K456" s="429" t="s">
        <v>2493</v>
      </c>
      <c r="L456" s="444" t="s">
        <v>124</v>
      </c>
      <c r="M456" s="444" t="s">
        <v>51</v>
      </c>
      <c r="N456" s="441" t="s">
        <v>2572</v>
      </c>
      <c r="O456" s="445" t="s">
        <v>85</v>
      </c>
      <c r="P456" s="445"/>
      <c r="Q456" s="445">
        <v>170</v>
      </c>
      <c r="R456" s="445" t="s">
        <v>3978</v>
      </c>
      <c r="S456" s="446">
        <v>45497</v>
      </c>
      <c r="T456" s="446">
        <v>45482</v>
      </c>
      <c r="U456" s="446">
        <v>45484</v>
      </c>
      <c r="V456" s="447">
        <v>45488</v>
      </c>
      <c r="W456" s="447">
        <v>45488</v>
      </c>
      <c r="X456" s="447" t="s">
        <v>8044</v>
      </c>
      <c r="Y456" s="420"/>
      <c r="Z456" s="224" t="str">
        <f t="shared" si="42"/>
        <v>AG. MEDIÇÃO</v>
      </c>
      <c r="AA456" s="207" t="str">
        <f t="shared" si="43"/>
        <v>ENTREGUE</v>
      </c>
      <c r="AB456" s="207" t="str">
        <f t="shared" si="44"/>
        <v>AG. MEDIÇÃO</v>
      </c>
      <c r="AC456" s="156">
        <f t="shared" ca="1" si="45"/>
        <v>4</v>
      </c>
      <c r="AD456" s="156" t="str">
        <f t="shared" ca="1" si="46"/>
        <v>ATRASADO</v>
      </c>
      <c r="AE456" s="156">
        <f t="shared" ca="1" si="47"/>
        <v>1</v>
      </c>
    </row>
    <row r="457" spans="1:31" ht="36" hidden="1" customHeight="1">
      <c r="A457" s="414"/>
      <c r="B457" s="440" t="s">
        <v>3218</v>
      </c>
      <c r="C457" s="440" t="s">
        <v>241</v>
      </c>
      <c r="D457" s="440"/>
      <c r="E457" s="440"/>
      <c r="F457" s="440" t="s">
        <v>42</v>
      </c>
      <c r="G457" s="441" t="s">
        <v>3219</v>
      </c>
      <c r="H457" s="440" t="s">
        <v>3220</v>
      </c>
      <c r="I457" s="449"/>
      <c r="J457" s="450">
        <v>45231</v>
      </c>
      <c r="K457" s="429" t="s">
        <v>2493</v>
      </c>
      <c r="L457" s="444" t="s">
        <v>3221</v>
      </c>
      <c r="M457" s="444" t="s">
        <v>3222</v>
      </c>
      <c r="N457" s="441" t="s">
        <v>2572</v>
      </c>
      <c r="O457" s="445" t="s">
        <v>85</v>
      </c>
      <c r="P457" s="445"/>
      <c r="Q457" s="441">
        <v>260</v>
      </c>
      <c r="R457" s="445" t="s">
        <v>3223</v>
      </c>
      <c r="S457" s="446">
        <v>45260</v>
      </c>
      <c r="T457" s="446">
        <v>45244</v>
      </c>
      <c r="U457" s="446"/>
      <c r="V457" s="446">
        <v>45253</v>
      </c>
      <c r="W457" s="446">
        <v>45257</v>
      </c>
      <c r="X457" s="447" t="s">
        <v>8044</v>
      </c>
      <c r="Y457" s="420"/>
      <c r="Z457" s="224" t="str">
        <f t="shared" si="42"/>
        <v>AG. MEDIÇÃO</v>
      </c>
      <c r="AA457" s="207" t="str">
        <f t="shared" si="43"/>
        <v>ENTREGUE</v>
      </c>
      <c r="AB457" s="207" t="str">
        <f t="shared" si="44"/>
        <v>AG. MEDIÇÃO</v>
      </c>
      <c r="AC457" s="156">
        <f t="shared" ca="1" si="45"/>
        <v>9</v>
      </c>
      <c r="AD457" s="156" t="str">
        <f t="shared" ca="1" si="46"/>
        <v>ATRASADO</v>
      </c>
      <c r="AE457" s="156">
        <f t="shared" ca="1" si="47"/>
        <v>6</v>
      </c>
    </row>
    <row r="458" spans="1:31" ht="36" hidden="1" customHeight="1">
      <c r="A458" s="414"/>
      <c r="B458" s="440" t="s">
        <v>5422</v>
      </c>
      <c r="C458" s="440" t="s">
        <v>4804</v>
      </c>
      <c r="D458" s="440"/>
      <c r="E458" s="440" t="s">
        <v>4805</v>
      </c>
      <c r="F458" s="440" t="s">
        <v>4806</v>
      </c>
      <c r="G458" s="441"/>
      <c r="H458" s="440" t="s">
        <v>5423</v>
      </c>
      <c r="I458" s="441" t="s">
        <v>5424</v>
      </c>
      <c r="J458" s="450">
        <v>45809</v>
      </c>
      <c r="K458" s="429" t="s">
        <v>2493</v>
      </c>
      <c r="L458" s="444"/>
      <c r="M458" s="444" t="s">
        <v>1764</v>
      </c>
      <c r="N458" s="441"/>
      <c r="O458" s="445"/>
      <c r="P458" s="441" t="s">
        <v>2494</v>
      </c>
      <c r="Q458" s="445" t="s">
        <v>2494</v>
      </c>
      <c r="R458" s="445" t="s">
        <v>5425</v>
      </c>
      <c r="S458" s="446">
        <v>45905</v>
      </c>
      <c r="T458" s="446">
        <v>45826</v>
      </c>
      <c r="U458" s="446"/>
      <c r="V458" s="447"/>
      <c r="W458" s="447"/>
      <c r="X458" s="447">
        <v>45905</v>
      </c>
      <c r="Y458" s="420"/>
      <c r="Z458" s="224" t="str">
        <f t="shared" si="42"/>
        <v>AG. MEDIÇÃO</v>
      </c>
      <c r="AA458" s="207" t="str">
        <f t="shared" si="43"/>
        <v>ENTREGUE</v>
      </c>
      <c r="AB458" s="207" t="str">
        <f t="shared" si="44"/>
        <v>AG. MEDIÇÃO</v>
      </c>
      <c r="AC458" s="156">
        <f t="shared" ca="1" si="45"/>
        <v>325</v>
      </c>
      <c r="AD458" s="156" t="str">
        <f t="shared" ca="1" si="46"/>
        <v>ATRASADO</v>
      </c>
      <c r="AE458" s="156">
        <f t="shared" ca="1" si="47"/>
        <v>322</v>
      </c>
    </row>
    <row r="459" spans="1:31" ht="36" hidden="1" customHeight="1">
      <c r="A459" s="414"/>
      <c r="B459" s="440" t="s">
        <v>5742</v>
      </c>
      <c r="C459" s="440" t="s">
        <v>555</v>
      </c>
      <c r="D459" s="440" t="s">
        <v>5725</v>
      </c>
      <c r="E459" s="440" t="s">
        <v>556</v>
      </c>
      <c r="F459" s="440" t="s">
        <v>42</v>
      </c>
      <c r="G459" s="441"/>
      <c r="H459" s="440" t="s">
        <v>5743</v>
      </c>
      <c r="I459" s="441" t="s">
        <v>5744</v>
      </c>
      <c r="J459" s="450">
        <v>45901</v>
      </c>
      <c r="K459" s="429" t="s">
        <v>2493</v>
      </c>
      <c r="L459" s="444" t="s">
        <v>94</v>
      </c>
      <c r="M459" s="444" t="s">
        <v>94</v>
      </c>
      <c r="N459" s="441"/>
      <c r="O459" s="445"/>
      <c r="P459" s="441"/>
      <c r="Q459" s="445"/>
      <c r="R459" s="445" t="s">
        <v>5728</v>
      </c>
      <c r="S459" s="446" t="s">
        <v>5725</v>
      </c>
      <c r="T459" s="446">
        <v>45916</v>
      </c>
      <c r="U459" s="446"/>
      <c r="V459" s="447"/>
      <c r="W459" s="447">
        <v>45919</v>
      </c>
      <c r="X459" s="447" t="s">
        <v>8044</v>
      </c>
      <c r="Y459" s="420"/>
      <c r="Z459" s="224" t="str">
        <f t="shared" si="42"/>
        <v>AG. MEDIÇÃO</v>
      </c>
      <c r="AA459" s="207" t="str">
        <f t="shared" si="43"/>
        <v>ENTREGUE</v>
      </c>
      <c r="AB459" s="207" t="str">
        <f t="shared" si="44"/>
        <v>AG. MEDIÇÃO</v>
      </c>
      <c r="AC459" s="156">
        <f t="shared" ca="1" si="45"/>
        <v>3</v>
      </c>
      <c r="AD459" s="156" t="str">
        <f t="shared" ca="1" si="46"/>
        <v>NO PRAZO</v>
      </c>
      <c r="AE459" s="156">
        <f t="shared" ca="1" si="47"/>
        <v>0</v>
      </c>
    </row>
    <row r="460" spans="1:31" ht="36" hidden="1" customHeight="1">
      <c r="A460" s="414"/>
      <c r="B460" s="440" t="s">
        <v>5208</v>
      </c>
      <c r="C460" s="440" t="s">
        <v>2496</v>
      </c>
      <c r="D460" s="440"/>
      <c r="E460" s="440"/>
      <c r="F460" s="440" t="s">
        <v>2498</v>
      </c>
      <c r="G460" s="441"/>
      <c r="H460" s="440" t="s">
        <v>5209</v>
      </c>
      <c r="I460" s="441" t="s">
        <v>5210</v>
      </c>
      <c r="J460" s="450">
        <v>45778</v>
      </c>
      <c r="K460" s="429" t="s">
        <v>2493</v>
      </c>
      <c r="L460" s="444"/>
      <c r="M460" s="444" t="s">
        <v>2501</v>
      </c>
      <c r="N460" s="441" t="s">
        <v>2572</v>
      </c>
      <c r="O460" s="445" t="s">
        <v>3350</v>
      </c>
      <c r="P460" s="441" t="s">
        <v>2494</v>
      </c>
      <c r="Q460" s="445" t="s">
        <v>2494</v>
      </c>
      <c r="R460" s="445" t="s">
        <v>5211</v>
      </c>
      <c r="S460" s="446">
        <v>45826</v>
      </c>
      <c r="T460" s="446">
        <v>45798</v>
      </c>
      <c r="U460" s="446"/>
      <c r="V460" s="447"/>
      <c r="W460" s="447">
        <v>45799</v>
      </c>
      <c r="X460" s="447" t="s">
        <v>8044</v>
      </c>
      <c r="Y460" s="420"/>
      <c r="Z460" s="224" t="str">
        <f t="shared" si="42"/>
        <v>AG. MEDIÇÃO</v>
      </c>
      <c r="AA460" s="207" t="str">
        <f t="shared" si="43"/>
        <v>ENTREGUE</v>
      </c>
      <c r="AB460" s="207" t="str">
        <f t="shared" si="44"/>
        <v>AG. MEDIÇÃO</v>
      </c>
      <c r="AC460" s="156">
        <f t="shared" ca="1" si="45"/>
        <v>1</v>
      </c>
      <c r="AD460" s="156" t="str">
        <f t="shared" ca="1" si="46"/>
        <v>NO PRAZO</v>
      </c>
      <c r="AE460" s="156">
        <f t="shared" ca="1" si="47"/>
        <v>-2</v>
      </c>
    </row>
    <row r="461" spans="1:31" ht="36" hidden="1" customHeight="1">
      <c r="A461" s="414"/>
      <c r="B461" s="440" t="s">
        <v>4841</v>
      </c>
      <c r="C461" s="440" t="s">
        <v>311</v>
      </c>
      <c r="D461" s="440"/>
      <c r="E461" s="440"/>
      <c r="F461" s="440" t="s">
        <v>42</v>
      </c>
      <c r="G461" s="441"/>
      <c r="H461" s="440" t="s">
        <v>4842</v>
      </c>
      <c r="I461" s="441" t="s">
        <v>4843</v>
      </c>
      <c r="J461" s="450">
        <v>45689</v>
      </c>
      <c r="K461" s="429" t="s">
        <v>2493</v>
      </c>
      <c r="L461" s="444" t="s">
        <v>1208</v>
      </c>
      <c r="M461" s="444" t="s">
        <v>132</v>
      </c>
      <c r="N461" s="441" t="s">
        <v>2572</v>
      </c>
      <c r="O461" s="445" t="s">
        <v>3350</v>
      </c>
      <c r="P461" s="441">
        <v>161</v>
      </c>
      <c r="Q461" s="445">
        <v>220</v>
      </c>
      <c r="R461" s="445" t="s">
        <v>4844</v>
      </c>
      <c r="S461" s="446">
        <v>45734</v>
      </c>
      <c r="T461" s="446">
        <v>45706</v>
      </c>
      <c r="U461" s="446">
        <v>45707</v>
      </c>
      <c r="V461" s="447">
        <v>45713</v>
      </c>
      <c r="W461" s="447">
        <v>45713</v>
      </c>
      <c r="X461" s="447" t="s">
        <v>8044</v>
      </c>
      <c r="Y461" s="420"/>
      <c r="Z461" s="224" t="str">
        <f t="shared" si="42"/>
        <v>AG. MEDIÇÃO</v>
      </c>
      <c r="AA461" s="207" t="str">
        <f t="shared" si="43"/>
        <v>ENTREGUE</v>
      </c>
      <c r="AB461" s="207" t="str">
        <f t="shared" si="44"/>
        <v>AG. MEDIÇÃO</v>
      </c>
      <c r="AC461" s="156">
        <f t="shared" ca="1" si="45"/>
        <v>5</v>
      </c>
      <c r="AD461" s="156" t="str">
        <f t="shared" ca="1" si="46"/>
        <v>ATRASADO</v>
      </c>
      <c r="AE461" s="156">
        <f t="shared" ca="1" si="47"/>
        <v>2</v>
      </c>
    </row>
    <row r="462" spans="1:31" ht="36" hidden="1" customHeight="1">
      <c r="A462" s="414"/>
      <c r="B462" s="440" t="s">
        <v>5269</v>
      </c>
      <c r="C462" s="440" t="s">
        <v>241</v>
      </c>
      <c r="D462" s="440" t="s">
        <v>399</v>
      </c>
      <c r="E462" s="440" t="s">
        <v>398</v>
      </c>
      <c r="F462" s="440" t="s">
        <v>42</v>
      </c>
      <c r="G462" s="441"/>
      <c r="H462" s="440" t="s">
        <v>5270</v>
      </c>
      <c r="I462" s="441" t="s">
        <v>5271</v>
      </c>
      <c r="J462" s="450">
        <v>45809</v>
      </c>
      <c r="K462" s="429" t="s">
        <v>2493</v>
      </c>
      <c r="L462" s="444" t="s">
        <v>1208</v>
      </c>
      <c r="M462" s="444" t="s">
        <v>1155</v>
      </c>
      <c r="N462" s="441" t="s">
        <v>2572</v>
      </c>
      <c r="O462" s="445" t="s">
        <v>3350</v>
      </c>
      <c r="P462" s="441">
        <v>84</v>
      </c>
      <c r="Q462" s="445">
        <v>100</v>
      </c>
      <c r="R462" s="445" t="s">
        <v>5272</v>
      </c>
      <c r="S462" s="446">
        <v>45826</v>
      </c>
      <c r="T462" s="446">
        <v>45810</v>
      </c>
      <c r="U462" s="446"/>
      <c r="V462" s="447"/>
      <c r="W462" s="447">
        <v>45812</v>
      </c>
      <c r="X462" s="447" t="s">
        <v>8044</v>
      </c>
      <c r="Y462" s="420"/>
      <c r="Z462" s="224" t="str">
        <f t="shared" si="42"/>
        <v>AG. MEDIÇÃO</v>
      </c>
      <c r="AA462" s="207" t="str">
        <f t="shared" si="43"/>
        <v>ENTREGUE</v>
      </c>
      <c r="AB462" s="207" t="str">
        <f t="shared" si="44"/>
        <v>AG. MEDIÇÃO</v>
      </c>
      <c r="AC462" s="156">
        <f t="shared" ca="1" si="45"/>
        <v>2</v>
      </c>
      <c r="AD462" s="156" t="str">
        <f t="shared" ca="1" si="46"/>
        <v>NO PRAZO</v>
      </c>
      <c r="AE462" s="156">
        <f t="shared" ca="1" si="47"/>
        <v>-1</v>
      </c>
    </row>
    <row r="463" spans="1:31" ht="36" hidden="1" customHeight="1">
      <c r="A463" s="414"/>
      <c r="B463" s="440" t="s">
        <v>5319</v>
      </c>
      <c r="C463" s="440" t="s">
        <v>241</v>
      </c>
      <c r="D463" s="440" t="s">
        <v>399</v>
      </c>
      <c r="E463" s="440" t="s">
        <v>242</v>
      </c>
      <c r="F463" s="440" t="s">
        <v>42</v>
      </c>
      <c r="G463" s="441" t="s">
        <v>5320</v>
      </c>
      <c r="H463" s="440" t="s">
        <v>5321</v>
      </c>
      <c r="I463" s="441" t="s">
        <v>5322</v>
      </c>
      <c r="J463" s="450">
        <v>45809</v>
      </c>
      <c r="K463" s="429" t="s">
        <v>2493</v>
      </c>
      <c r="L463" s="444" t="s">
        <v>62</v>
      </c>
      <c r="M463" s="444" t="s">
        <v>62</v>
      </c>
      <c r="N463" s="441"/>
      <c r="O463" s="445"/>
      <c r="P463" s="441">
        <v>121</v>
      </c>
      <c r="Q463" s="445">
        <v>153</v>
      </c>
      <c r="R463" s="445" t="s">
        <v>5323</v>
      </c>
      <c r="S463" s="446">
        <v>45826</v>
      </c>
      <c r="T463" s="446">
        <v>45817</v>
      </c>
      <c r="U463" s="446"/>
      <c r="V463" s="447"/>
      <c r="W463" s="447">
        <v>45824</v>
      </c>
      <c r="X463" s="447" t="s">
        <v>8044</v>
      </c>
      <c r="Y463" s="420"/>
      <c r="Z463" s="224" t="str">
        <f t="shared" si="42"/>
        <v>AG. MEDIÇÃO</v>
      </c>
      <c r="AA463" s="207" t="str">
        <f t="shared" si="43"/>
        <v>ENTREGUE</v>
      </c>
      <c r="AB463" s="207" t="str">
        <f t="shared" si="44"/>
        <v>AG. MEDIÇÃO</v>
      </c>
      <c r="AC463" s="156">
        <f t="shared" ca="1" si="45"/>
        <v>5</v>
      </c>
      <c r="AD463" s="156" t="str">
        <f t="shared" ca="1" si="46"/>
        <v>ATRASADO</v>
      </c>
      <c r="AE463" s="156">
        <f t="shared" ca="1" si="47"/>
        <v>2</v>
      </c>
    </row>
    <row r="464" spans="1:31" ht="36" hidden="1" customHeight="1">
      <c r="A464" s="414"/>
      <c r="B464" s="429" t="s">
        <v>7897</v>
      </c>
      <c r="C464" s="429" t="s">
        <v>425</v>
      </c>
      <c r="D464" s="429" t="s">
        <v>7896</v>
      </c>
      <c r="E464" s="429" t="s">
        <v>5515</v>
      </c>
      <c r="F464" s="429" t="s">
        <v>427</v>
      </c>
      <c r="G464" s="433"/>
      <c r="H464" s="429" t="s">
        <v>7895</v>
      </c>
      <c r="I464" s="433" t="s">
        <v>4496</v>
      </c>
      <c r="J464" s="432">
        <v>46174</v>
      </c>
      <c r="K464" s="429" t="s">
        <v>2493</v>
      </c>
      <c r="L464" s="436"/>
      <c r="M464" s="436" t="s">
        <v>62</v>
      </c>
      <c r="N464" s="437"/>
      <c r="O464" s="437"/>
      <c r="P464" s="433" t="s">
        <v>2494</v>
      </c>
      <c r="Q464" s="437" t="s">
        <v>2494</v>
      </c>
      <c r="R464" s="499" t="s">
        <v>8058</v>
      </c>
      <c r="S464" s="438">
        <v>46211</v>
      </c>
      <c r="T464" s="438">
        <v>46192</v>
      </c>
      <c r="U464" s="438"/>
      <c r="V464" s="438"/>
      <c r="W464" s="439">
        <v>46198</v>
      </c>
      <c r="X464" s="439">
        <v>46211</v>
      </c>
      <c r="Y464" s="420"/>
      <c r="Z464" s="224" t="str">
        <f t="shared" si="42"/>
        <v>AG. MEDIÇÃO</v>
      </c>
      <c r="AA464" s="207" t="str">
        <f t="shared" si="43"/>
        <v>ENTREGUE</v>
      </c>
      <c r="AB464" s="207" t="str">
        <f t="shared" si="44"/>
        <v>AG. MEDIÇÃO</v>
      </c>
      <c r="AC464" s="156">
        <f t="shared" ca="1" si="45"/>
        <v>4</v>
      </c>
      <c r="AD464" s="156" t="str">
        <f t="shared" ca="1" si="46"/>
        <v>ATRASADO</v>
      </c>
      <c r="AE464" s="156">
        <f t="shared" ca="1" si="47"/>
        <v>1</v>
      </c>
    </row>
    <row r="465" spans="1:31" ht="36" hidden="1" customHeight="1">
      <c r="A465" s="414"/>
      <c r="B465" s="429" t="s">
        <v>7366</v>
      </c>
      <c r="C465" s="429" t="s">
        <v>261</v>
      </c>
      <c r="D465" s="429" t="s">
        <v>7597</v>
      </c>
      <c r="E465" s="429" t="s">
        <v>262</v>
      </c>
      <c r="F465" s="429" t="s">
        <v>42</v>
      </c>
      <c r="G465" s="433"/>
      <c r="H465" s="652" t="s">
        <v>7315</v>
      </c>
      <c r="I465" s="433" t="s">
        <v>7318</v>
      </c>
      <c r="J465" s="432">
        <v>46113</v>
      </c>
      <c r="K465" s="429" t="s">
        <v>2493</v>
      </c>
      <c r="L465" s="436" t="s">
        <v>200</v>
      </c>
      <c r="M465" s="436" t="s">
        <v>200</v>
      </c>
      <c r="N465" s="433"/>
      <c r="O465" s="437" t="s">
        <v>85</v>
      </c>
      <c r="P465" s="433">
        <v>935</v>
      </c>
      <c r="Q465" s="437">
        <v>925</v>
      </c>
      <c r="R465" s="437" t="s">
        <v>8337</v>
      </c>
      <c r="S465" s="438">
        <v>46246</v>
      </c>
      <c r="T465" s="438">
        <v>46126</v>
      </c>
      <c r="U465" s="438"/>
      <c r="V465" s="439"/>
      <c r="W465" s="439">
        <v>46134</v>
      </c>
      <c r="X465" s="439">
        <v>46246</v>
      </c>
      <c r="Y465" s="420"/>
      <c r="Z465" s="224" t="str">
        <f t="shared" si="42"/>
        <v>AG. MEDIÇÃO</v>
      </c>
      <c r="AA465" s="207" t="str">
        <f t="shared" si="43"/>
        <v>ENTREGUE</v>
      </c>
      <c r="AB465" s="207" t="str">
        <f t="shared" si="44"/>
        <v>AG. MEDIÇÃO</v>
      </c>
      <c r="AC465" s="156">
        <f t="shared" ca="1" si="45"/>
        <v>6</v>
      </c>
      <c r="AD465" s="156" t="str">
        <f t="shared" ca="1" si="46"/>
        <v>ATRASADO</v>
      </c>
      <c r="AE465" s="156">
        <f t="shared" ca="1" si="47"/>
        <v>3</v>
      </c>
    </row>
    <row r="466" spans="1:31" ht="36" hidden="1" customHeight="1">
      <c r="A466" s="414"/>
      <c r="B466" s="440" t="s">
        <v>3233</v>
      </c>
      <c r="C466" s="440" t="s">
        <v>425</v>
      </c>
      <c r="D466" s="440"/>
      <c r="E466" s="440"/>
      <c r="F466" s="440" t="s">
        <v>42</v>
      </c>
      <c r="G466" s="441" t="s">
        <v>3234</v>
      </c>
      <c r="H466" s="440" t="s">
        <v>3235</v>
      </c>
      <c r="I466" s="449"/>
      <c r="J466" s="450">
        <v>45231</v>
      </c>
      <c r="K466" s="429" t="s">
        <v>2493</v>
      </c>
      <c r="L466" s="444" t="s">
        <v>3221</v>
      </c>
      <c r="M466" s="444" t="s">
        <v>3236</v>
      </c>
      <c r="N466" s="441" t="s">
        <v>2572</v>
      </c>
      <c r="O466" s="445" t="s">
        <v>85</v>
      </c>
      <c r="P466" s="445"/>
      <c r="Q466" s="441">
        <v>280</v>
      </c>
      <c r="R466" s="445" t="s">
        <v>3237</v>
      </c>
      <c r="S466" s="446">
        <v>45273</v>
      </c>
      <c r="T466" s="446">
        <v>45253</v>
      </c>
      <c r="U466" s="446">
        <v>45260</v>
      </c>
      <c r="V466" s="446">
        <v>45262</v>
      </c>
      <c r="W466" s="446">
        <v>45270</v>
      </c>
      <c r="X466" s="447" t="s">
        <v>8044</v>
      </c>
      <c r="Y466" s="420"/>
      <c r="Z466" s="224" t="str">
        <f t="shared" si="42"/>
        <v>AG. MEDIÇÃO</v>
      </c>
      <c r="AA466" s="207" t="str">
        <f t="shared" si="43"/>
        <v>ENTREGUE</v>
      </c>
      <c r="AB466" s="207" t="str">
        <f t="shared" si="44"/>
        <v>AG. MEDIÇÃO</v>
      </c>
      <c r="AC466" s="156">
        <f t="shared" ca="1" si="45"/>
        <v>11</v>
      </c>
      <c r="AD466" s="156" t="str">
        <f t="shared" ca="1" si="46"/>
        <v>ATRASADO</v>
      </c>
      <c r="AE466" s="156">
        <f t="shared" ca="1" si="47"/>
        <v>8</v>
      </c>
    </row>
    <row r="467" spans="1:31" ht="36" hidden="1" customHeight="1">
      <c r="A467" s="414"/>
      <c r="B467" s="440" t="s">
        <v>4065</v>
      </c>
      <c r="C467" s="440" t="s">
        <v>328</v>
      </c>
      <c r="D467" s="440" t="s">
        <v>333</v>
      </c>
      <c r="E467" s="440" t="s">
        <v>329</v>
      </c>
      <c r="F467" s="440" t="s">
        <v>42</v>
      </c>
      <c r="G467" s="441" t="s">
        <v>4066</v>
      </c>
      <c r="H467" s="440" t="s">
        <v>4067</v>
      </c>
      <c r="I467" s="441" t="s">
        <v>4068</v>
      </c>
      <c r="J467" s="450">
        <v>45474</v>
      </c>
      <c r="K467" s="429" t="s">
        <v>2493</v>
      </c>
      <c r="L467" s="444" t="s">
        <v>124</v>
      </c>
      <c r="M467" s="444" t="s">
        <v>132</v>
      </c>
      <c r="N467" s="441" t="s">
        <v>2572</v>
      </c>
      <c r="O467" s="445" t="s">
        <v>85</v>
      </c>
      <c r="P467" s="445"/>
      <c r="Q467" s="445">
        <v>365</v>
      </c>
      <c r="R467" s="445" t="s">
        <v>4069</v>
      </c>
      <c r="S467" s="446">
        <v>45532</v>
      </c>
      <c r="T467" s="446">
        <v>45498</v>
      </c>
      <c r="U467" s="446">
        <v>45502</v>
      </c>
      <c r="V467" s="447">
        <v>45518</v>
      </c>
      <c r="W467" s="447">
        <v>45518</v>
      </c>
      <c r="X467" s="447" t="s">
        <v>8044</v>
      </c>
      <c r="Y467" s="420"/>
      <c r="Z467" s="224" t="str">
        <f t="shared" si="42"/>
        <v>AG. MEDIÇÃO</v>
      </c>
      <c r="AA467" s="207" t="str">
        <f t="shared" si="43"/>
        <v>ENTREGUE</v>
      </c>
      <c r="AB467" s="207" t="str">
        <f t="shared" si="44"/>
        <v>AG. MEDIÇÃO</v>
      </c>
      <c r="AC467" s="156">
        <f t="shared" ca="1" si="45"/>
        <v>14</v>
      </c>
      <c r="AD467" s="156" t="str">
        <f t="shared" ca="1" si="46"/>
        <v>ATRASADO</v>
      </c>
      <c r="AE467" s="156">
        <f t="shared" ca="1" si="47"/>
        <v>11</v>
      </c>
    </row>
    <row r="468" spans="1:31" ht="36" hidden="1" customHeight="1">
      <c r="A468" s="414"/>
      <c r="B468" s="429" t="s">
        <v>7668</v>
      </c>
      <c r="C468" s="430" t="s">
        <v>5829</v>
      </c>
      <c r="D468" s="431"/>
      <c r="E468" s="432" t="s">
        <v>8290</v>
      </c>
      <c r="F468" s="429" t="s">
        <v>4638</v>
      </c>
      <c r="G468" s="434"/>
      <c r="H468" s="636" t="s">
        <v>7632</v>
      </c>
      <c r="I468" s="433" t="s">
        <v>7633</v>
      </c>
      <c r="J468" s="432">
        <v>46143</v>
      </c>
      <c r="K468" s="429" t="s">
        <v>2493</v>
      </c>
      <c r="L468" s="436" t="s">
        <v>62</v>
      </c>
      <c r="M468" s="436" t="s">
        <v>62</v>
      </c>
      <c r="N468" s="433"/>
      <c r="O468" s="437" t="s">
        <v>85</v>
      </c>
      <c r="P468" s="433">
        <v>140</v>
      </c>
      <c r="Q468" s="437">
        <v>153</v>
      </c>
      <c r="R468" s="437" t="s">
        <v>7951</v>
      </c>
      <c r="S468" s="438">
        <v>46241</v>
      </c>
      <c r="T468" s="438">
        <v>46168</v>
      </c>
      <c r="U468" s="438"/>
      <c r="V468" s="439"/>
      <c r="W468" s="439">
        <v>46172</v>
      </c>
      <c r="X468" s="439">
        <v>46241</v>
      </c>
      <c r="Y468" s="420"/>
      <c r="Z468" s="224" t="str">
        <f t="shared" si="42"/>
        <v>AG. MEDIÇÃO</v>
      </c>
      <c r="AA468" s="207" t="str">
        <f t="shared" si="43"/>
        <v>ENTREGUE</v>
      </c>
      <c r="AB468" s="207" t="str">
        <f t="shared" si="44"/>
        <v>AG. MEDIÇÃO</v>
      </c>
      <c r="AC468" s="156">
        <f t="shared" ca="1" si="45"/>
        <v>3</v>
      </c>
      <c r="AD468" s="156" t="str">
        <f t="shared" ca="1" si="46"/>
        <v>NO PRAZO</v>
      </c>
      <c r="AE468" s="156">
        <f t="shared" ca="1" si="47"/>
        <v>0</v>
      </c>
    </row>
    <row r="469" spans="1:31" ht="36" hidden="1" customHeight="1">
      <c r="A469" s="414"/>
      <c r="B469" s="429" t="s">
        <v>8361</v>
      </c>
      <c r="C469" s="429" t="s">
        <v>479</v>
      </c>
      <c r="D469" s="429" t="s">
        <v>479</v>
      </c>
      <c r="E469" s="429" t="s">
        <v>480</v>
      </c>
      <c r="F469" s="429" t="s">
        <v>42</v>
      </c>
      <c r="G469" s="433" t="s">
        <v>8387</v>
      </c>
      <c r="H469" s="429" t="s">
        <v>8385</v>
      </c>
      <c r="I469" s="433" t="s">
        <v>8386</v>
      </c>
      <c r="J469" s="599">
        <v>46235</v>
      </c>
      <c r="K469" s="429" t="s">
        <v>2493</v>
      </c>
      <c r="L469" s="436"/>
      <c r="M469" s="436" t="s">
        <v>62</v>
      </c>
      <c r="N469" s="433"/>
      <c r="O469" s="433" t="s">
        <v>85</v>
      </c>
      <c r="P469" s="433" t="s">
        <v>2494</v>
      </c>
      <c r="Q469" s="433" t="s">
        <v>2494</v>
      </c>
      <c r="R469" s="437" t="s">
        <v>8465</v>
      </c>
      <c r="S469" s="438">
        <v>46259</v>
      </c>
      <c r="T469" s="438">
        <v>46248</v>
      </c>
      <c r="U469" s="438"/>
      <c r="V469" s="438"/>
      <c r="W469" s="439">
        <v>46251</v>
      </c>
      <c r="X469" s="439">
        <v>46259</v>
      </c>
      <c r="Y469" s="420"/>
      <c r="Z469" s="224" t="str">
        <f t="shared" si="42"/>
        <v>AG. MEDIÇÃO</v>
      </c>
      <c r="AA469" s="207" t="str">
        <f t="shared" si="43"/>
        <v>ENTREGUE</v>
      </c>
      <c r="AB469" s="207" t="str">
        <f t="shared" si="44"/>
        <v>AG. MEDIÇÃO</v>
      </c>
      <c r="AC469" s="156">
        <f t="shared" ca="1" si="45"/>
        <v>1</v>
      </c>
      <c r="AD469" s="156" t="str">
        <f t="shared" ca="1" si="46"/>
        <v>NO PRAZO</v>
      </c>
      <c r="AE469" s="156">
        <f t="shared" ca="1" si="47"/>
        <v>-2</v>
      </c>
    </row>
    <row r="470" spans="1:31" ht="36" hidden="1" customHeight="1">
      <c r="A470" s="414"/>
      <c r="B470" s="440" t="s">
        <v>5644</v>
      </c>
      <c r="C470" s="440" t="s">
        <v>152</v>
      </c>
      <c r="D470" s="440" t="s">
        <v>2029</v>
      </c>
      <c r="E470" s="440" t="s">
        <v>321</v>
      </c>
      <c r="F470" s="440" t="s">
        <v>42</v>
      </c>
      <c r="G470" s="441"/>
      <c r="H470" s="440" t="s">
        <v>5645</v>
      </c>
      <c r="I470" s="441" t="s">
        <v>5646</v>
      </c>
      <c r="J470" s="450">
        <v>45870</v>
      </c>
      <c r="K470" s="429" t="s">
        <v>2493</v>
      </c>
      <c r="L470" s="444" t="s">
        <v>61</v>
      </c>
      <c r="M470" s="444" t="s">
        <v>94</v>
      </c>
      <c r="N470" s="441"/>
      <c r="O470" s="445"/>
      <c r="P470" s="441"/>
      <c r="Q470" s="445"/>
      <c r="R470" s="445" t="s">
        <v>5647</v>
      </c>
      <c r="S470" s="446" t="s">
        <v>2029</v>
      </c>
      <c r="T470" s="446"/>
      <c r="U470" s="446"/>
      <c r="V470" s="447"/>
      <c r="W470" s="447"/>
      <c r="X470" s="447" t="s">
        <v>8044</v>
      </c>
      <c r="Y470" s="420"/>
      <c r="Z470" s="224" t="str">
        <f t="shared" si="42"/>
        <v>AG. MEDIÇÃO</v>
      </c>
      <c r="AA470" s="207" t="str">
        <f t="shared" si="43"/>
        <v>ENTREGUE</v>
      </c>
      <c r="AB470" s="207" t="str">
        <f t="shared" si="44"/>
        <v>AG. MEDIÇÃO</v>
      </c>
      <c r="AC470" s="156" t="str">
        <f t="shared" ca="1" si="45"/>
        <v>DATA ENTRADA</v>
      </c>
      <c r="AD470" s="156" t="str">
        <f t="shared" ca="1" si="46"/>
        <v>ATRASADO</v>
      </c>
      <c r="AE470" s="156" t="str">
        <f t="shared" ca="1" si="47"/>
        <v>DATA ENTRADA</v>
      </c>
    </row>
    <row r="471" spans="1:31" ht="36" hidden="1" customHeight="1">
      <c r="A471" s="414"/>
      <c r="B471" s="466" t="s">
        <v>6838</v>
      </c>
      <c r="C471" s="429" t="s">
        <v>7129</v>
      </c>
      <c r="D471" s="429"/>
      <c r="E471" s="429" t="s">
        <v>7130</v>
      </c>
      <c r="F471" s="429" t="s">
        <v>7128</v>
      </c>
      <c r="G471" s="433"/>
      <c r="H471" s="651" t="s">
        <v>7127</v>
      </c>
      <c r="I471" s="433" t="s">
        <v>7126</v>
      </c>
      <c r="J471" s="432">
        <v>46082</v>
      </c>
      <c r="K471" s="450" t="s">
        <v>2493</v>
      </c>
      <c r="L471" s="487"/>
      <c r="M471" s="436" t="s">
        <v>7180</v>
      </c>
      <c r="N471" s="433"/>
      <c r="O471" s="439">
        <v>46114</v>
      </c>
      <c r="P471" s="433" t="s">
        <v>2494</v>
      </c>
      <c r="Q471" s="437" t="s">
        <v>2494</v>
      </c>
      <c r="R471" s="437" t="s">
        <v>7234</v>
      </c>
      <c r="S471" s="438">
        <v>46114</v>
      </c>
      <c r="T471" s="438">
        <v>46097</v>
      </c>
      <c r="U471" s="438"/>
      <c r="V471" s="439"/>
      <c r="W471" s="439">
        <v>46111</v>
      </c>
      <c r="X471" s="439">
        <v>46114</v>
      </c>
      <c r="Y471" s="420"/>
      <c r="Z471" s="224" t="str">
        <f t="shared" si="42"/>
        <v>AG. MEDIÇÃO</v>
      </c>
      <c r="AA471" s="207" t="str">
        <f t="shared" si="43"/>
        <v>ENTREGUE</v>
      </c>
      <c r="AB471" s="207" t="str">
        <f t="shared" si="44"/>
        <v>AG. MEDIÇÃO</v>
      </c>
      <c r="AC471" s="156">
        <f t="shared" ca="1" si="45"/>
        <v>10</v>
      </c>
      <c r="AD471" s="156" t="str">
        <f t="shared" ca="1" si="46"/>
        <v>ATRASADO</v>
      </c>
      <c r="AE471" s="156">
        <f t="shared" ca="1" si="47"/>
        <v>7</v>
      </c>
    </row>
    <row r="472" spans="1:31" ht="36" hidden="1" customHeight="1">
      <c r="A472" s="414"/>
      <c r="B472" s="429" t="s">
        <v>7374</v>
      </c>
      <c r="C472" s="429" t="s">
        <v>571</v>
      </c>
      <c r="D472" s="429" t="s">
        <v>4971</v>
      </c>
      <c r="E472" s="429" t="s">
        <v>572</v>
      </c>
      <c r="F472" s="429" t="s">
        <v>42</v>
      </c>
      <c r="G472" s="433" t="s">
        <v>7377</v>
      </c>
      <c r="H472" s="652" t="s">
        <v>7378</v>
      </c>
      <c r="I472" s="433" t="s">
        <v>7379</v>
      </c>
      <c r="J472" s="432">
        <v>46113</v>
      </c>
      <c r="K472" s="429" t="s">
        <v>2493</v>
      </c>
      <c r="L472" s="436"/>
      <c r="M472" s="436" t="s">
        <v>62</v>
      </c>
      <c r="N472" s="433"/>
      <c r="O472" s="437" t="s">
        <v>85</v>
      </c>
      <c r="P472" s="433" t="s">
        <v>2494</v>
      </c>
      <c r="Q472" s="437" t="s">
        <v>2494</v>
      </c>
      <c r="R472" s="437" t="s">
        <v>7578</v>
      </c>
      <c r="S472" s="438">
        <v>46209</v>
      </c>
      <c r="T472" s="438">
        <v>46137</v>
      </c>
      <c r="U472" s="438"/>
      <c r="V472" s="439"/>
      <c r="W472" s="439">
        <v>46140</v>
      </c>
      <c r="X472" s="439">
        <v>46209</v>
      </c>
      <c r="Y472" s="420"/>
      <c r="Z472" s="224" t="str">
        <f t="shared" si="42"/>
        <v>AG. MEDIÇÃO</v>
      </c>
      <c r="AA472" s="207" t="str">
        <f t="shared" si="43"/>
        <v>ENTREGUE</v>
      </c>
      <c r="AB472" s="207" t="str">
        <f t="shared" si="44"/>
        <v>AG. MEDIÇÃO</v>
      </c>
      <c r="AC472" s="156">
        <f t="shared" ca="1" si="45"/>
        <v>1</v>
      </c>
      <c r="AD472" s="156" t="str">
        <f t="shared" ca="1" si="46"/>
        <v>NO PRAZO</v>
      </c>
      <c r="AE472" s="156">
        <f t="shared" ca="1" si="47"/>
        <v>-2</v>
      </c>
    </row>
    <row r="473" spans="1:31" ht="36" hidden="1" customHeight="1">
      <c r="A473" s="414"/>
      <c r="B473" s="429" t="s">
        <v>7821</v>
      </c>
      <c r="C473" s="430" t="s">
        <v>79</v>
      </c>
      <c r="D473" s="430" t="s">
        <v>79</v>
      </c>
      <c r="E473" s="432" t="s">
        <v>619</v>
      </c>
      <c r="F473" s="429" t="s">
        <v>42</v>
      </c>
      <c r="G473" s="434" t="s">
        <v>7836</v>
      </c>
      <c r="H473" s="636" t="s">
        <v>8332</v>
      </c>
      <c r="I473" s="433" t="s">
        <v>8333</v>
      </c>
      <c r="J473" s="432">
        <v>46174</v>
      </c>
      <c r="K473" s="429" t="s">
        <v>2493</v>
      </c>
      <c r="L473" s="436" t="s">
        <v>124</v>
      </c>
      <c r="M473" s="436" t="s">
        <v>62</v>
      </c>
      <c r="N473" s="433"/>
      <c r="O473" s="437" t="s">
        <v>85</v>
      </c>
      <c r="P473" s="433">
        <v>202</v>
      </c>
      <c r="Q473" s="437">
        <v>207</v>
      </c>
      <c r="R473" s="437" t="s">
        <v>8334</v>
      </c>
      <c r="S473" s="438">
        <v>46245</v>
      </c>
      <c r="T473" s="438">
        <v>46189</v>
      </c>
      <c r="U473" s="438"/>
      <c r="V473" s="439"/>
      <c r="W473" s="439">
        <v>46198</v>
      </c>
      <c r="X473" s="439">
        <v>46245</v>
      </c>
      <c r="Y473" s="420"/>
      <c r="Z473" s="224" t="str">
        <f t="shared" si="42"/>
        <v>AG. MEDIÇÃO</v>
      </c>
      <c r="AA473" s="207" t="str">
        <f t="shared" si="43"/>
        <v>ENTREGUE</v>
      </c>
      <c r="AB473" s="207" t="str">
        <f t="shared" si="44"/>
        <v>AG. MEDIÇÃO</v>
      </c>
      <c r="AC473" s="156">
        <f t="shared" ca="1" si="45"/>
        <v>7</v>
      </c>
      <c r="AD473" s="156" t="str">
        <f t="shared" ca="1" si="46"/>
        <v>ATRASADO</v>
      </c>
      <c r="AE473" s="156">
        <f t="shared" ca="1" si="47"/>
        <v>4</v>
      </c>
    </row>
    <row r="474" spans="1:31" ht="36" hidden="1" customHeight="1">
      <c r="A474" s="414"/>
      <c r="B474" s="429" t="s">
        <v>8360</v>
      </c>
      <c r="C474" s="429" t="s">
        <v>79</v>
      </c>
      <c r="D474" s="429" t="s">
        <v>79</v>
      </c>
      <c r="E474" s="429" t="s">
        <v>619</v>
      </c>
      <c r="F474" s="429" t="s">
        <v>42</v>
      </c>
      <c r="G474" s="433" t="s">
        <v>8384</v>
      </c>
      <c r="H474" s="429" t="s">
        <v>8382</v>
      </c>
      <c r="I474" s="433" t="s">
        <v>8383</v>
      </c>
      <c r="J474" s="599">
        <v>46235</v>
      </c>
      <c r="K474" s="429" t="s">
        <v>2493</v>
      </c>
      <c r="L474" s="436"/>
      <c r="M474" s="436" t="s">
        <v>62</v>
      </c>
      <c r="N474" s="433"/>
      <c r="O474" s="433" t="s">
        <v>85</v>
      </c>
      <c r="P474" s="433" t="s">
        <v>2494</v>
      </c>
      <c r="Q474" s="433" t="s">
        <v>2494</v>
      </c>
      <c r="R474" s="437" t="s">
        <v>8472</v>
      </c>
      <c r="S474" s="438">
        <v>46259</v>
      </c>
      <c r="T474" s="438">
        <v>46246</v>
      </c>
      <c r="U474" s="438"/>
      <c r="V474" s="438"/>
      <c r="W474" s="439">
        <v>46251</v>
      </c>
      <c r="X474" s="439">
        <v>46259</v>
      </c>
      <c r="Y474" s="420"/>
      <c r="Z474" s="224" t="str">
        <f t="shared" si="42"/>
        <v>AG. MEDIÇÃO</v>
      </c>
      <c r="AA474" s="207" t="str">
        <f t="shared" si="43"/>
        <v>ENTREGUE</v>
      </c>
      <c r="AB474" s="207" t="str">
        <f t="shared" si="44"/>
        <v>AG. MEDIÇÃO</v>
      </c>
      <c r="AC474" s="156">
        <f t="shared" ca="1" si="45"/>
        <v>3</v>
      </c>
      <c r="AD474" s="156" t="str">
        <f t="shared" ca="1" si="46"/>
        <v>NO PRAZO</v>
      </c>
      <c r="AE474" s="156">
        <f t="shared" ca="1" si="47"/>
        <v>0</v>
      </c>
    </row>
    <row r="475" spans="1:31" ht="36" hidden="1" customHeight="1">
      <c r="A475" s="414"/>
      <c r="B475" s="429" t="s">
        <v>8251</v>
      </c>
      <c r="C475" s="429" t="s">
        <v>315</v>
      </c>
      <c r="D475" s="429"/>
      <c r="E475" s="429"/>
      <c r="F475" s="429" t="s">
        <v>42</v>
      </c>
      <c r="G475" s="562"/>
      <c r="H475" s="562" t="s">
        <v>8493</v>
      </c>
      <c r="I475" s="562" t="s">
        <v>8494</v>
      </c>
      <c r="J475" s="432">
        <v>46235</v>
      </c>
      <c r="K475" s="429" t="s">
        <v>2493</v>
      </c>
      <c r="L475" s="436" t="s">
        <v>124</v>
      </c>
      <c r="M475" s="436" t="s">
        <v>62</v>
      </c>
      <c r="N475" s="437"/>
      <c r="O475" s="437" t="s">
        <v>85</v>
      </c>
      <c r="P475" s="436">
        <v>145</v>
      </c>
      <c r="Q475" s="436">
        <v>200</v>
      </c>
      <c r="R475" s="499" t="s">
        <v>8530</v>
      </c>
      <c r="S475" s="438">
        <v>46261</v>
      </c>
      <c r="T475" s="438">
        <v>46255</v>
      </c>
      <c r="U475" s="438"/>
      <c r="V475" s="438"/>
      <c r="W475" s="438">
        <v>46259</v>
      </c>
      <c r="X475" s="439">
        <v>46261</v>
      </c>
      <c r="Y475" s="420"/>
      <c r="Z475" s="224" t="str">
        <f t="shared" si="42"/>
        <v>AG. MEDIÇÃO</v>
      </c>
      <c r="AA475" s="207" t="str">
        <f t="shared" si="43"/>
        <v>ENTREGUE</v>
      </c>
      <c r="AB475" s="207" t="str">
        <f t="shared" si="44"/>
        <v>AG. MEDIÇÃO</v>
      </c>
      <c r="AC475" s="156">
        <f t="shared" ca="1" si="45"/>
        <v>2</v>
      </c>
      <c r="AD475" s="156" t="str">
        <f t="shared" ca="1" si="46"/>
        <v>NO PRAZO</v>
      </c>
      <c r="AE475" s="156">
        <f t="shared" ca="1" si="47"/>
        <v>-1</v>
      </c>
    </row>
    <row r="476" spans="1:31" ht="36" hidden="1" customHeight="1">
      <c r="A476" s="414"/>
      <c r="B476" s="429" t="s">
        <v>7739</v>
      </c>
      <c r="C476" s="430" t="s">
        <v>606</v>
      </c>
      <c r="D476" s="431" t="s">
        <v>1373</v>
      </c>
      <c r="E476" s="432" t="s">
        <v>601</v>
      </c>
      <c r="F476" s="429" t="s">
        <v>42</v>
      </c>
      <c r="G476" s="434" t="s">
        <v>7706</v>
      </c>
      <c r="H476" s="636" t="s">
        <v>7707</v>
      </c>
      <c r="I476" s="433" t="s">
        <v>7708</v>
      </c>
      <c r="J476" s="432">
        <v>46174</v>
      </c>
      <c r="K476" s="429" t="s">
        <v>2493</v>
      </c>
      <c r="L476" s="436"/>
      <c r="M476" s="436" t="s">
        <v>62</v>
      </c>
      <c r="N476" s="433"/>
      <c r="O476" s="437" t="s">
        <v>85</v>
      </c>
      <c r="P476" s="433" t="s">
        <v>2494</v>
      </c>
      <c r="Q476" s="437" t="s">
        <v>2494</v>
      </c>
      <c r="R476" s="437" t="s">
        <v>7959</v>
      </c>
      <c r="S476" s="438">
        <v>46205</v>
      </c>
      <c r="T476" s="438">
        <v>46178</v>
      </c>
      <c r="U476" s="438"/>
      <c r="V476" s="439"/>
      <c r="W476" s="439">
        <v>46183</v>
      </c>
      <c r="X476" s="439">
        <v>46205</v>
      </c>
      <c r="Y476" s="420"/>
      <c r="Z476" s="224" t="str">
        <f t="shared" si="42"/>
        <v>AG. MEDIÇÃO</v>
      </c>
      <c r="AA476" s="207" t="str">
        <f t="shared" si="43"/>
        <v>ENTREGUE</v>
      </c>
      <c r="AB476" s="207" t="str">
        <f t="shared" si="44"/>
        <v>AG. MEDIÇÃO</v>
      </c>
      <c r="AC476" s="156">
        <f t="shared" ca="1" si="45"/>
        <v>3</v>
      </c>
      <c r="AD476" s="156" t="str">
        <f t="shared" ca="1" si="46"/>
        <v>NO PRAZO</v>
      </c>
      <c r="AE476" s="156">
        <f t="shared" ca="1" si="47"/>
        <v>0</v>
      </c>
    </row>
    <row r="477" spans="1:31" ht="36" hidden="1" customHeight="1">
      <c r="A477" s="414"/>
      <c r="B477" s="429" t="s">
        <v>7824</v>
      </c>
      <c r="C477" s="430" t="s">
        <v>142</v>
      </c>
      <c r="D477" s="431"/>
      <c r="E477" s="432"/>
      <c r="F477" s="429" t="s">
        <v>42</v>
      </c>
      <c r="G477" s="434" t="s">
        <v>4886</v>
      </c>
      <c r="H477" s="636" t="s">
        <v>7845</v>
      </c>
      <c r="I477" s="433" t="s">
        <v>7846</v>
      </c>
      <c r="J477" s="432">
        <v>46174</v>
      </c>
      <c r="K477" s="429" t="s">
        <v>2493</v>
      </c>
      <c r="L477" s="436"/>
      <c r="M477" s="436" t="s">
        <v>77</v>
      </c>
      <c r="N477" s="433"/>
      <c r="O477" s="437"/>
      <c r="P477" s="433">
        <v>20</v>
      </c>
      <c r="Q477" s="437">
        <v>20</v>
      </c>
      <c r="R477" s="437" t="s">
        <v>7905</v>
      </c>
      <c r="S477" s="438">
        <v>46195</v>
      </c>
      <c r="T477" s="438">
        <v>46189</v>
      </c>
      <c r="U477" s="438"/>
      <c r="V477" s="439"/>
      <c r="W477" s="439">
        <v>46191</v>
      </c>
      <c r="X477" s="439">
        <v>46195</v>
      </c>
      <c r="Y477" s="420"/>
      <c r="Z477" s="224" t="str">
        <f t="shared" si="42"/>
        <v>AG. MEDIÇÃO</v>
      </c>
      <c r="AA477" s="207" t="str">
        <f t="shared" si="43"/>
        <v>ENTREGUE</v>
      </c>
      <c r="AB477" s="207" t="str">
        <f t="shared" si="44"/>
        <v>AG. MEDIÇÃO</v>
      </c>
      <c r="AC477" s="156">
        <f t="shared" ca="1" si="45"/>
        <v>2</v>
      </c>
      <c r="AD477" s="156" t="str">
        <f t="shared" ca="1" si="46"/>
        <v>NO PRAZO</v>
      </c>
      <c r="AE477" s="156">
        <f t="shared" ca="1" si="47"/>
        <v>-1</v>
      </c>
    </row>
    <row r="478" spans="1:31" ht="36" hidden="1" customHeight="1">
      <c r="A478" s="414"/>
      <c r="B478" s="440" t="s">
        <v>5640</v>
      </c>
      <c r="C478" s="440" t="s">
        <v>648</v>
      </c>
      <c r="D478" s="440"/>
      <c r="E478" s="440" t="s">
        <v>997</v>
      </c>
      <c r="F478" s="440" t="s">
        <v>42</v>
      </c>
      <c r="G478" s="441" t="s">
        <v>5641</v>
      </c>
      <c r="H478" s="440" t="s">
        <v>5642</v>
      </c>
      <c r="I478" s="441" t="s">
        <v>5643</v>
      </c>
      <c r="J478" s="450">
        <v>45870</v>
      </c>
      <c r="K478" s="429" t="s">
        <v>2493</v>
      </c>
      <c r="L478" s="444"/>
      <c r="M478" s="444" t="s">
        <v>1155</v>
      </c>
      <c r="N478" s="441" t="s">
        <v>2572</v>
      </c>
      <c r="O478" s="445"/>
      <c r="P478" s="441" t="s">
        <v>2494</v>
      </c>
      <c r="Q478" s="445" t="s">
        <v>2494</v>
      </c>
      <c r="R478" s="445" t="s">
        <v>5058</v>
      </c>
      <c r="S478" s="446">
        <v>45888</v>
      </c>
      <c r="T478" s="446">
        <v>45877</v>
      </c>
      <c r="U478" s="446"/>
      <c r="V478" s="447"/>
      <c r="W478" s="447">
        <v>45888</v>
      </c>
      <c r="X478" s="447">
        <v>45888</v>
      </c>
      <c r="Y478" s="420"/>
      <c r="Z478" s="224" t="str">
        <f t="shared" si="42"/>
        <v>AG. MEDIÇÃO</v>
      </c>
      <c r="AA478" s="207" t="str">
        <f t="shared" si="43"/>
        <v>ENTREGUE</v>
      </c>
      <c r="AB478" s="207" t="str">
        <f t="shared" si="44"/>
        <v>AG. MEDIÇÃO</v>
      </c>
      <c r="AC478" s="156">
        <f t="shared" ca="1" si="45"/>
        <v>7</v>
      </c>
      <c r="AD478" s="156" t="str">
        <f t="shared" ca="1" si="46"/>
        <v>ATRASADO</v>
      </c>
      <c r="AE478" s="156">
        <f t="shared" ca="1" si="47"/>
        <v>4</v>
      </c>
    </row>
    <row r="479" spans="1:31" ht="36" hidden="1" customHeight="1">
      <c r="A479" s="414"/>
      <c r="B479" s="429" t="s">
        <v>8282</v>
      </c>
      <c r="C479" s="429" t="s">
        <v>305</v>
      </c>
      <c r="D479" s="429" t="s">
        <v>594</v>
      </c>
      <c r="E479" s="429" t="s">
        <v>306</v>
      </c>
      <c r="F479" s="429" t="s">
        <v>42</v>
      </c>
      <c r="G479" s="562" t="s">
        <v>8308</v>
      </c>
      <c r="H479" s="562" t="s">
        <v>8310</v>
      </c>
      <c r="I479" s="585" t="s">
        <v>8309</v>
      </c>
      <c r="J479" s="432">
        <v>46235</v>
      </c>
      <c r="K479" s="429" t="s">
        <v>2493</v>
      </c>
      <c r="L479" s="436"/>
      <c r="M479" s="436" t="s">
        <v>62</v>
      </c>
      <c r="N479" s="437"/>
      <c r="O479" s="437" t="s">
        <v>85</v>
      </c>
      <c r="P479" s="437" t="s">
        <v>2494</v>
      </c>
      <c r="Q479" s="437" t="s">
        <v>2494</v>
      </c>
      <c r="R479" s="499" t="s">
        <v>7003</v>
      </c>
      <c r="S479" s="438">
        <v>46258</v>
      </c>
      <c r="T479" s="438">
        <v>46244</v>
      </c>
      <c r="U479" s="438"/>
      <c r="V479" s="438"/>
      <c r="W479" s="438">
        <v>46244</v>
      </c>
      <c r="X479" s="439">
        <v>46258</v>
      </c>
      <c r="Y479" s="420"/>
      <c r="Z479" s="224" t="str">
        <f t="shared" si="42"/>
        <v>AG. MEDIÇÃO</v>
      </c>
      <c r="AA479" s="207" t="str">
        <f t="shared" si="43"/>
        <v>ENTREGUE</v>
      </c>
      <c r="AB479" s="207" t="str">
        <f t="shared" si="44"/>
        <v>AG. MEDIÇÃO</v>
      </c>
      <c r="AC479" s="156">
        <f t="shared" ca="1" si="45"/>
        <v>0</v>
      </c>
      <c r="AD479" s="156" t="str">
        <f t="shared" ca="1" si="46"/>
        <v>NO PRAZO</v>
      </c>
      <c r="AE479" s="156">
        <f t="shared" ca="1" si="47"/>
        <v>-3</v>
      </c>
    </row>
    <row r="480" spans="1:31" ht="36" hidden="1" customHeight="1">
      <c r="A480" s="414"/>
      <c r="B480" s="429" t="s">
        <v>8446</v>
      </c>
      <c r="C480" s="429" t="s">
        <v>248</v>
      </c>
      <c r="D480" s="429"/>
      <c r="E480" s="429"/>
      <c r="F480" s="429" t="s">
        <v>42</v>
      </c>
      <c r="G480" s="433" t="s">
        <v>8490</v>
      </c>
      <c r="H480" s="429" t="s">
        <v>8491</v>
      </c>
      <c r="I480" s="433" t="s">
        <v>8492</v>
      </c>
      <c r="J480" s="599">
        <v>46235</v>
      </c>
      <c r="K480" s="429" t="s">
        <v>2493</v>
      </c>
      <c r="L480" s="436"/>
      <c r="M480" s="436" t="s">
        <v>62</v>
      </c>
      <c r="N480" s="433"/>
      <c r="O480" s="433" t="s">
        <v>85</v>
      </c>
      <c r="P480" s="429" t="s">
        <v>2494</v>
      </c>
      <c r="Q480" s="429" t="s">
        <v>2494</v>
      </c>
      <c r="R480" s="437" t="s">
        <v>7924</v>
      </c>
      <c r="S480" s="438">
        <v>46261</v>
      </c>
      <c r="T480" s="438">
        <v>46255</v>
      </c>
      <c r="U480" s="438"/>
      <c r="V480" s="438"/>
      <c r="W480" s="439">
        <v>46258</v>
      </c>
      <c r="X480" s="439">
        <v>46261</v>
      </c>
      <c r="Y480" s="420"/>
      <c r="Z480" s="224" t="str">
        <f t="shared" si="42"/>
        <v>AG. MEDIÇÃO</v>
      </c>
      <c r="AA480" s="207" t="str">
        <f t="shared" si="43"/>
        <v>ENTREGUE</v>
      </c>
      <c r="AB480" s="207" t="str">
        <f t="shared" si="44"/>
        <v>AG. MEDIÇÃO</v>
      </c>
      <c r="AC480" s="156">
        <f t="shared" ca="1" si="45"/>
        <v>1</v>
      </c>
      <c r="AD480" s="156" t="str">
        <f t="shared" ca="1" si="46"/>
        <v>NO PRAZO</v>
      </c>
      <c r="AE480" s="156">
        <f t="shared" ca="1" si="47"/>
        <v>-2</v>
      </c>
    </row>
    <row r="481" spans="1:31" ht="36" hidden="1" customHeight="1">
      <c r="A481" s="414"/>
      <c r="B481" s="429" t="s">
        <v>8098</v>
      </c>
      <c r="C481" s="429" t="s">
        <v>425</v>
      </c>
      <c r="D481" s="429" t="s">
        <v>1458</v>
      </c>
      <c r="E481" s="429" t="s">
        <v>1551</v>
      </c>
      <c r="F481" s="429" t="s">
        <v>42</v>
      </c>
      <c r="G481" s="433" t="s">
        <v>8119</v>
      </c>
      <c r="H481" s="429" t="s">
        <v>8120</v>
      </c>
      <c r="I481" s="433" t="s">
        <v>8121</v>
      </c>
      <c r="J481" s="432">
        <v>46204</v>
      </c>
      <c r="K481" s="429" t="s">
        <v>2493</v>
      </c>
      <c r="L481" s="436"/>
      <c r="M481" s="436" t="s">
        <v>62</v>
      </c>
      <c r="N481" s="437"/>
      <c r="O481" s="437" t="s">
        <v>85</v>
      </c>
      <c r="P481" s="437" t="s">
        <v>2494</v>
      </c>
      <c r="Q481" s="433" t="s">
        <v>2494</v>
      </c>
      <c r="R481" s="499" t="s">
        <v>8122</v>
      </c>
      <c r="S481" s="438">
        <v>46223</v>
      </c>
      <c r="T481" s="438">
        <v>46206</v>
      </c>
      <c r="U481" s="438"/>
      <c r="V481" s="438"/>
      <c r="W481" s="439">
        <v>46206</v>
      </c>
      <c r="X481" s="439">
        <v>46223</v>
      </c>
      <c r="Y481" s="420"/>
      <c r="Z481" s="224" t="str">
        <f t="shared" si="42"/>
        <v>AG. MEDIÇÃO</v>
      </c>
      <c r="AA481" s="207" t="str">
        <f t="shared" si="43"/>
        <v>ENTREGUE</v>
      </c>
      <c r="AB481" s="207" t="str">
        <f t="shared" si="44"/>
        <v>AG. MEDIÇÃO</v>
      </c>
      <c r="AC481" s="156">
        <f t="shared" ca="1" si="45"/>
        <v>0</v>
      </c>
      <c r="AD481" s="156" t="str">
        <f t="shared" ca="1" si="46"/>
        <v>NO PRAZO</v>
      </c>
      <c r="AE481" s="156">
        <f t="shared" ca="1" si="47"/>
        <v>-3</v>
      </c>
    </row>
    <row r="482" spans="1:31" ht="36" hidden="1" customHeight="1">
      <c r="A482" s="414"/>
      <c r="B482" s="440" t="s">
        <v>5338</v>
      </c>
      <c r="C482" s="440" t="s">
        <v>555</v>
      </c>
      <c r="D482" s="440" t="s">
        <v>2033</v>
      </c>
      <c r="E482" s="440" t="s">
        <v>556</v>
      </c>
      <c r="F482" s="440" t="s">
        <v>42</v>
      </c>
      <c r="G482" s="441" t="s">
        <v>5339</v>
      </c>
      <c r="H482" s="440" t="s">
        <v>5340</v>
      </c>
      <c r="I482" s="441" t="s">
        <v>5341</v>
      </c>
      <c r="J482" s="450">
        <v>45809</v>
      </c>
      <c r="K482" s="429" t="s">
        <v>2493</v>
      </c>
      <c r="L482" s="444" t="s">
        <v>1208</v>
      </c>
      <c r="M482" s="444" t="s">
        <v>62</v>
      </c>
      <c r="N482" s="441"/>
      <c r="O482" s="445"/>
      <c r="P482" s="441">
        <v>210</v>
      </c>
      <c r="Q482" s="445">
        <v>253</v>
      </c>
      <c r="R482" s="445" t="s">
        <v>5342</v>
      </c>
      <c r="S482" s="446">
        <v>45845</v>
      </c>
      <c r="T482" s="446">
        <v>45817</v>
      </c>
      <c r="U482" s="446"/>
      <c r="V482" s="447"/>
      <c r="W482" s="447">
        <v>45821</v>
      </c>
      <c r="X482" s="447" t="s">
        <v>8044</v>
      </c>
      <c r="Y482" s="420"/>
      <c r="Z482" s="224" t="str">
        <f t="shared" si="42"/>
        <v>AG. MEDIÇÃO</v>
      </c>
      <c r="AA482" s="207" t="str">
        <f t="shared" si="43"/>
        <v>ENTREGUE</v>
      </c>
      <c r="AB482" s="207" t="str">
        <f t="shared" si="44"/>
        <v>AG. MEDIÇÃO</v>
      </c>
      <c r="AC482" s="156">
        <f t="shared" ca="1" si="45"/>
        <v>4</v>
      </c>
      <c r="AD482" s="156" t="str">
        <f t="shared" ca="1" si="46"/>
        <v>ATRASADO</v>
      </c>
      <c r="AE482" s="156">
        <f t="shared" ca="1" si="47"/>
        <v>1</v>
      </c>
    </row>
    <row r="483" spans="1:31" ht="36" hidden="1" customHeight="1">
      <c r="A483" s="414"/>
      <c r="B483" s="429" t="s">
        <v>7917</v>
      </c>
      <c r="C483" s="429" t="s">
        <v>731</v>
      </c>
      <c r="D483" s="429"/>
      <c r="E483" s="429" t="s">
        <v>732</v>
      </c>
      <c r="F483" s="429" t="s">
        <v>427</v>
      </c>
      <c r="G483" s="433" t="s">
        <v>7932</v>
      </c>
      <c r="H483" s="429" t="s">
        <v>7933</v>
      </c>
      <c r="I483" s="433" t="s">
        <v>7934</v>
      </c>
      <c r="J483" s="432">
        <v>46143</v>
      </c>
      <c r="K483" s="429" t="s">
        <v>2493</v>
      </c>
      <c r="L483" s="436" t="s">
        <v>124</v>
      </c>
      <c r="M483" s="436" t="s">
        <v>77</v>
      </c>
      <c r="N483" s="437"/>
      <c r="O483" s="437" t="s">
        <v>85</v>
      </c>
      <c r="P483" s="437">
        <v>462</v>
      </c>
      <c r="Q483" s="433">
        <v>486</v>
      </c>
      <c r="R483" s="499" t="s">
        <v>8095</v>
      </c>
      <c r="S483" s="438">
        <v>46218</v>
      </c>
      <c r="T483" s="438">
        <v>46164</v>
      </c>
      <c r="U483" s="438"/>
      <c r="V483" s="438"/>
      <c r="W483" s="439">
        <v>46168</v>
      </c>
      <c r="X483" s="439">
        <v>46218</v>
      </c>
      <c r="Y483" s="420"/>
      <c r="Z483" s="224" t="str">
        <f t="shared" si="42"/>
        <v>AG. MEDIÇÃO</v>
      </c>
      <c r="AA483" s="207" t="str">
        <f t="shared" si="43"/>
        <v>ENTREGUE</v>
      </c>
      <c r="AB483" s="207" t="str">
        <f t="shared" si="44"/>
        <v>AG. MEDIÇÃO</v>
      </c>
      <c r="AC483" s="156">
        <f t="shared" ca="1" si="45"/>
        <v>2</v>
      </c>
      <c r="AD483" s="156" t="str">
        <f t="shared" ca="1" si="46"/>
        <v>NO PRAZO</v>
      </c>
      <c r="AE483" s="156">
        <f t="shared" ca="1" si="47"/>
        <v>-1</v>
      </c>
    </row>
    <row r="484" spans="1:31" ht="36" hidden="1" customHeight="1">
      <c r="A484" s="414"/>
      <c r="B484" s="429" t="s">
        <v>7701</v>
      </c>
      <c r="C484" s="430" t="s">
        <v>496</v>
      </c>
      <c r="D484" s="430" t="s">
        <v>8085</v>
      </c>
      <c r="E484" s="432" t="s">
        <v>497</v>
      </c>
      <c r="F484" s="429" t="s">
        <v>2559</v>
      </c>
      <c r="G484" s="434" t="s">
        <v>7664</v>
      </c>
      <c r="H484" s="636" t="s">
        <v>7665</v>
      </c>
      <c r="I484" s="433" t="s">
        <v>7666</v>
      </c>
      <c r="J484" s="432">
        <v>46174</v>
      </c>
      <c r="K484" s="429" t="s">
        <v>2493</v>
      </c>
      <c r="L484" s="436" t="s">
        <v>124</v>
      </c>
      <c r="M484" s="436" t="s">
        <v>62</v>
      </c>
      <c r="N484" s="433"/>
      <c r="O484" s="437" t="s">
        <v>85</v>
      </c>
      <c r="P484" s="433">
        <v>704</v>
      </c>
      <c r="Q484" s="437">
        <v>589</v>
      </c>
      <c r="R484" s="437" t="s">
        <v>7956</v>
      </c>
      <c r="S484" s="438">
        <v>46217</v>
      </c>
      <c r="T484" s="438">
        <v>46174</v>
      </c>
      <c r="U484" s="438"/>
      <c r="V484" s="439"/>
      <c r="W484" s="439">
        <v>46178</v>
      </c>
      <c r="X484" s="439">
        <v>46217</v>
      </c>
      <c r="Y484" s="420"/>
      <c r="Z484" s="224" t="str">
        <f t="shared" si="42"/>
        <v>AG. MEDIÇÃO</v>
      </c>
      <c r="AA484" s="207" t="str">
        <f t="shared" si="43"/>
        <v>ENTREGUE</v>
      </c>
      <c r="AB484" s="207" t="str">
        <f t="shared" si="44"/>
        <v>AG. MEDIÇÃO</v>
      </c>
      <c r="AC484" s="156">
        <f t="shared" ca="1" si="45"/>
        <v>4</v>
      </c>
      <c r="AD484" s="156" t="str">
        <f t="shared" ca="1" si="46"/>
        <v>ATRASADO</v>
      </c>
      <c r="AE484" s="156">
        <f t="shared" ca="1" si="47"/>
        <v>1</v>
      </c>
    </row>
    <row r="485" spans="1:31" ht="36" hidden="1" customHeight="1">
      <c r="A485" s="414"/>
      <c r="B485" s="440" t="s">
        <v>3159</v>
      </c>
      <c r="C485" s="440" t="s">
        <v>410</v>
      </c>
      <c r="D485" s="440"/>
      <c r="E485" s="440"/>
      <c r="F485" s="440" t="s">
        <v>42</v>
      </c>
      <c r="G485" s="441" t="s">
        <v>3160</v>
      </c>
      <c r="H485" s="440" t="s">
        <v>3161</v>
      </c>
      <c r="I485" s="449"/>
      <c r="J485" s="450">
        <v>45200</v>
      </c>
      <c r="K485" s="429" t="s">
        <v>2493</v>
      </c>
      <c r="L485" s="444"/>
      <c r="M485" s="444" t="s">
        <v>714</v>
      </c>
      <c r="N485" s="441" t="s">
        <v>2572</v>
      </c>
      <c r="O485" s="445" t="s">
        <v>85</v>
      </c>
      <c r="P485" s="441" t="s">
        <v>2494</v>
      </c>
      <c r="Q485" s="441" t="s">
        <v>2494</v>
      </c>
      <c r="R485" s="445" t="s">
        <v>2861</v>
      </c>
      <c r="S485" s="446">
        <v>45229</v>
      </c>
      <c r="T485" s="446">
        <v>45225</v>
      </c>
      <c r="U485" s="446"/>
      <c r="V485" s="446">
        <v>45225</v>
      </c>
      <c r="W485" s="446">
        <v>45225</v>
      </c>
      <c r="X485" s="447" t="s">
        <v>8044</v>
      </c>
      <c r="Y485" s="420"/>
      <c r="Z485" s="224" t="str">
        <f t="shared" si="42"/>
        <v>AG. MEDIÇÃO</v>
      </c>
      <c r="AA485" s="207" t="str">
        <f t="shared" si="43"/>
        <v>ENTREGUE</v>
      </c>
      <c r="AB485" s="207" t="str">
        <f t="shared" si="44"/>
        <v>AG. MEDIÇÃO</v>
      </c>
      <c r="AC485" s="156">
        <f t="shared" ca="1" si="45"/>
        <v>0</v>
      </c>
      <c r="AD485" s="156" t="str">
        <f t="shared" ca="1" si="46"/>
        <v>NO PRAZO</v>
      </c>
      <c r="AE485" s="156">
        <f t="shared" ca="1" si="47"/>
        <v>-3</v>
      </c>
    </row>
    <row r="486" spans="1:31" ht="36" hidden="1" customHeight="1">
      <c r="A486" s="414"/>
      <c r="B486" s="440" t="s">
        <v>3111</v>
      </c>
      <c r="C486" s="440" t="s">
        <v>111</v>
      </c>
      <c r="D486" s="440"/>
      <c r="E486" s="440"/>
      <c r="F486" s="440" t="s">
        <v>42</v>
      </c>
      <c r="G486" s="441" t="s">
        <v>3112</v>
      </c>
      <c r="H486" s="440" t="s">
        <v>3113</v>
      </c>
      <c r="I486" s="449"/>
      <c r="J486" s="450">
        <v>45200</v>
      </c>
      <c r="K486" s="429" t="s">
        <v>2493</v>
      </c>
      <c r="L486" s="444"/>
      <c r="M486" s="444" t="s">
        <v>3114</v>
      </c>
      <c r="N486" s="441" t="s">
        <v>2572</v>
      </c>
      <c r="O486" s="445" t="s">
        <v>85</v>
      </c>
      <c r="P486" s="445"/>
      <c r="Q486" s="441"/>
      <c r="R486" s="445" t="s">
        <v>3115</v>
      </c>
      <c r="S486" s="446">
        <v>45250</v>
      </c>
      <c r="T486" s="446">
        <v>45205</v>
      </c>
      <c r="U486" s="446"/>
      <c r="V486" s="446">
        <v>45210</v>
      </c>
      <c r="W486" s="447">
        <v>45224</v>
      </c>
      <c r="X486" s="447" t="s">
        <v>8044</v>
      </c>
      <c r="Y486" s="420"/>
      <c r="Z486" s="224" t="str">
        <f t="shared" si="42"/>
        <v>AG. MEDIÇÃO</v>
      </c>
      <c r="AA486" s="207" t="str">
        <f t="shared" si="43"/>
        <v>ENTREGUE</v>
      </c>
      <c r="AB486" s="207" t="str">
        <f t="shared" si="44"/>
        <v>AG. MEDIÇÃO</v>
      </c>
      <c r="AC486" s="156">
        <f t="shared" ca="1" si="45"/>
        <v>13</v>
      </c>
      <c r="AD486" s="156" t="str">
        <f t="shared" ca="1" si="46"/>
        <v>ATRASADO</v>
      </c>
      <c r="AE486" s="156">
        <f t="shared" ca="1" si="47"/>
        <v>10</v>
      </c>
    </row>
    <row r="487" spans="1:31" ht="36" hidden="1" customHeight="1">
      <c r="A487" s="414"/>
      <c r="B487" s="440" t="s">
        <v>5260</v>
      </c>
      <c r="C487" s="440" t="s">
        <v>2531</v>
      </c>
      <c r="D487" s="440"/>
      <c r="E487" s="440" t="s">
        <v>4755</v>
      </c>
      <c r="F487" s="440" t="s">
        <v>2498</v>
      </c>
      <c r="G487" s="441"/>
      <c r="H487" s="440" t="s">
        <v>5261</v>
      </c>
      <c r="I487" s="441" t="s">
        <v>5262</v>
      </c>
      <c r="J487" s="450">
        <v>45778</v>
      </c>
      <c r="K487" s="429" t="s">
        <v>2493</v>
      </c>
      <c r="L487" s="444"/>
      <c r="M487" s="444" t="s">
        <v>2501</v>
      </c>
      <c r="N487" s="441"/>
      <c r="O487" s="445"/>
      <c r="P487" s="441" t="s">
        <v>2494</v>
      </c>
      <c r="Q487" s="445" t="s">
        <v>2494</v>
      </c>
      <c r="R487" s="445" t="s">
        <v>5263</v>
      </c>
      <c r="S487" s="446">
        <v>45845</v>
      </c>
      <c r="T487" s="446">
        <v>45807</v>
      </c>
      <c r="U487" s="446"/>
      <c r="V487" s="447"/>
      <c r="W487" s="447">
        <v>45817</v>
      </c>
      <c r="X487" s="447" t="s">
        <v>8044</v>
      </c>
      <c r="Y487" s="420"/>
      <c r="Z487" s="224" t="str">
        <f t="shared" si="42"/>
        <v>AG. MEDIÇÃO</v>
      </c>
      <c r="AA487" s="207" t="str">
        <f t="shared" si="43"/>
        <v>ENTREGUE</v>
      </c>
      <c r="AB487" s="207" t="str">
        <f t="shared" si="44"/>
        <v>AG. MEDIÇÃO</v>
      </c>
      <c r="AC487" s="156">
        <f t="shared" ca="1" si="45"/>
        <v>6</v>
      </c>
      <c r="AD487" s="156" t="str">
        <f t="shared" ca="1" si="46"/>
        <v>ATRASADO</v>
      </c>
      <c r="AE487" s="156">
        <f t="shared" ca="1" si="47"/>
        <v>3</v>
      </c>
    </row>
    <row r="488" spans="1:31" ht="36" hidden="1" customHeight="1">
      <c r="A488" s="414"/>
      <c r="B488" s="440" t="s">
        <v>3300</v>
      </c>
      <c r="C488" s="440" t="s">
        <v>70</v>
      </c>
      <c r="D488" s="440"/>
      <c r="E488" s="440"/>
      <c r="F488" s="440" t="s">
        <v>42</v>
      </c>
      <c r="G488" s="441" t="s">
        <v>3301</v>
      </c>
      <c r="H488" s="440" t="s">
        <v>3302</v>
      </c>
      <c r="I488" s="449"/>
      <c r="J488" s="450">
        <v>45261</v>
      </c>
      <c r="K488" s="429" t="s">
        <v>2493</v>
      </c>
      <c r="L488" s="444" t="s">
        <v>1130</v>
      </c>
      <c r="M488" s="444" t="s">
        <v>774</v>
      </c>
      <c r="N488" s="441" t="s">
        <v>2572</v>
      </c>
      <c r="O488" s="445" t="s">
        <v>85</v>
      </c>
      <c r="P488" s="445"/>
      <c r="Q488" s="441">
        <v>964</v>
      </c>
      <c r="R488" s="445" t="s">
        <v>3303</v>
      </c>
      <c r="S488" s="446">
        <v>45300</v>
      </c>
      <c r="T488" s="446">
        <v>45272</v>
      </c>
      <c r="U488" s="446">
        <v>45273</v>
      </c>
      <c r="V488" s="446">
        <v>45278</v>
      </c>
      <c r="W488" s="447">
        <v>45280</v>
      </c>
      <c r="X488" s="447" t="s">
        <v>8044</v>
      </c>
      <c r="Y488" s="420"/>
      <c r="Z488" s="224" t="str">
        <f t="shared" si="42"/>
        <v>AG. MEDIÇÃO</v>
      </c>
      <c r="AA488" s="207" t="str">
        <f t="shared" si="43"/>
        <v>ENTREGUE</v>
      </c>
      <c r="AB488" s="207" t="str">
        <f t="shared" si="44"/>
        <v>AG. MEDIÇÃO</v>
      </c>
      <c r="AC488" s="156">
        <f t="shared" ca="1" si="45"/>
        <v>6</v>
      </c>
      <c r="AD488" s="156" t="str">
        <f t="shared" ca="1" si="46"/>
        <v>ATRASADO</v>
      </c>
      <c r="AE488" s="156">
        <f t="shared" ca="1" si="47"/>
        <v>3</v>
      </c>
    </row>
    <row r="489" spans="1:31" ht="36" hidden="1" customHeight="1">
      <c r="A489" s="414"/>
      <c r="B489" s="440" t="s">
        <v>3162</v>
      </c>
      <c r="C489" s="440" t="s">
        <v>267</v>
      </c>
      <c r="D489" s="440"/>
      <c r="E489" s="440"/>
      <c r="F489" s="440" t="s">
        <v>42</v>
      </c>
      <c r="G489" s="441" t="s">
        <v>3163</v>
      </c>
      <c r="H489" s="440" t="s">
        <v>3164</v>
      </c>
      <c r="I489" s="449"/>
      <c r="J489" s="450">
        <v>45200</v>
      </c>
      <c r="K489" s="429" t="s">
        <v>2493</v>
      </c>
      <c r="L489" s="444"/>
      <c r="M489" s="444" t="s">
        <v>3165</v>
      </c>
      <c r="N489" s="441" t="s">
        <v>2572</v>
      </c>
      <c r="O489" s="445" t="s">
        <v>85</v>
      </c>
      <c r="P489" s="441" t="s">
        <v>2494</v>
      </c>
      <c r="Q489" s="441" t="s">
        <v>2494</v>
      </c>
      <c r="R489" s="445" t="s">
        <v>3166</v>
      </c>
      <c r="S489" s="446">
        <v>45250</v>
      </c>
      <c r="T489" s="446">
        <v>45225</v>
      </c>
      <c r="U489" s="446"/>
      <c r="V489" s="446">
        <v>45231</v>
      </c>
      <c r="W489" s="446">
        <v>45251</v>
      </c>
      <c r="X489" s="447" t="s">
        <v>8044</v>
      </c>
      <c r="Y489" s="420"/>
      <c r="Z489" s="224" t="str">
        <f t="shared" si="42"/>
        <v>AG. MEDIÇÃO</v>
      </c>
      <c r="AA489" s="207" t="str">
        <f t="shared" si="43"/>
        <v>ENTREGUE</v>
      </c>
      <c r="AB489" s="207" t="str">
        <f t="shared" si="44"/>
        <v>AG. MEDIÇÃO</v>
      </c>
      <c r="AC489" s="156">
        <f t="shared" ca="1" si="45"/>
        <v>18</v>
      </c>
      <c r="AD489" s="156" t="str">
        <f t="shared" ca="1" si="46"/>
        <v>ATRASADO</v>
      </c>
      <c r="AE489" s="156">
        <f t="shared" ca="1" si="47"/>
        <v>15</v>
      </c>
    </row>
    <row r="490" spans="1:31" ht="36" hidden="1" customHeight="1">
      <c r="A490" s="414"/>
      <c r="B490" s="466" t="s">
        <v>6737</v>
      </c>
      <c r="C490" s="483" t="s">
        <v>241</v>
      </c>
      <c r="D490" s="483" t="s">
        <v>2016</v>
      </c>
      <c r="E490" s="483" t="s">
        <v>242</v>
      </c>
      <c r="F490" s="483" t="s">
        <v>42</v>
      </c>
      <c r="G490" s="467" t="s">
        <v>6748</v>
      </c>
      <c r="H490" s="650" t="s">
        <v>6749</v>
      </c>
      <c r="I490" s="467" t="s">
        <v>6750</v>
      </c>
      <c r="J490" s="469">
        <v>45992</v>
      </c>
      <c r="K490" s="429" t="s">
        <v>2493</v>
      </c>
      <c r="L490" s="470"/>
      <c r="M490" s="471" t="s">
        <v>6898</v>
      </c>
      <c r="N490" s="467"/>
      <c r="O490" s="472"/>
      <c r="P490" s="467" t="s">
        <v>2494</v>
      </c>
      <c r="Q490" s="467" t="s">
        <v>2494</v>
      </c>
      <c r="R490" s="472" t="s">
        <v>6935</v>
      </c>
      <c r="S490" s="473"/>
      <c r="T490" s="473">
        <v>46017</v>
      </c>
      <c r="U490" s="473"/>
      <c r="V490" s="474"/>
      <c r="W490" s="474"/>
      <c r="X490" s="474"/>
      <c r="Y490" s="420"/>
      <c r="Z490" s="224" t="str">
        <f t="shared" si="42"/>
        <v>AG. RELATÓRIO</v>
      </c>
      <c r="AA490" s="207" t="str">
        <f t="shared" si="43"/>
        <v>PENDENTE</v>
      </c>
      <c r="AB490" s="207" t="str">
        <f t="shared" si="44"/>
        <v>AG. RELATÓRIO</v>
      </c>
      <c r="AC490" s="156">
        <f t="shared" ca="1" si="45"/>
        <v>188</v>
      </c>
      <c r="AD490" s="156" t="str">
        <f t="shared" ca="1" si="46"/>
        <v>ATRASADO</v>
      </c>
      <c r="AE490" s="156">
        <f t="shared" ca="1" si="47"/>
        <v>185</v>
      </c>
    </row>
    <row r="491" spans="1:31" ht="36" hidden="1" customHeight="1">
      <c r="A491" s="414"/>
      <c r="B491" s="440" t="s">
        <v>3415</v>
      </c>
      <c r="C491" s="440" t="s">
        <v>380</v>
      </c>
      <c r="D491" s="440"/>
      <c r="E491" s="440"/>
      <c r="F491" s="440" t="s">
        <v>42</v>
      </c>
      <c r="G491" s="441" t="s">
        <v>3416</v>
      </c>
      <c r="H491" s="440" t="s">
        <v>3417</v>
      </c>
      <c r="I491" s="441"/>
      <c r="J491" s="450">
        <v>45323</v>
      </c>
      <c r="K491" s="429" t="s">
        <v>2493</v>
      </c>
      <c r="L491" s="444" t="s">
        <v>1167</v>
      </c>
      <c r="M491" s="444" t="s">
        <v>1167</v>
      </c>
      <c r="N491" s="441" t="s">
        <v>2572</v>
      </c>
      <c r="O491" s="445" t="s">
        <v>85</v>
      </c>
      <c r="P491" s="445"/>
      <c r="Q491" s="441">
        <v>373</v>
      </c>
      <c r="R491" s="445" t="s">
        <v>3418</v>
      </c>
      <c r="S491" s="446">
        <v>45345</v>
      </c>
      <c r="T491" s="446">
        <v>45329</v>
      </c>
      <c r="U491" s="446">
        <v>45329</v>
      </c>
      <c r="V491" s="446">
        <v>45331</v>
      </c>
      <c r="W491" s="447">
        <v>45336</v>
      </c>
      <c r="X491" s="447" t="s">
        <v>8044</v>
      </c>
      <c r="Y491" s="420"/>
      <c r="Z491" s="224" t="str">
        <f t="shared" si="42"/>
        <v>AG. MEDIÇÃO</v>
      </c>
      <c r="AA491" s="207" t="str">
        <f t="shared" si="43"/>
        <v>ENTREGUE</v>
      </c>
      <c r="AB491" s="207" t="str">
        <f t="shared" si="44"/>
        <v>AG. MEDIÇÃO</v>
      </c>
      <c r="AC491" s="156">
        <f t="shared" ca="1" si="45"/>
        <v>5</v>
      </c>
      <c r="AD491" s="156" t="str">
        <f t="shared" ca="1" si="46"/>
        <v>ATRASADO</v>
      </c>
      <c r="AE491" s="156">
        <f t="shared" ca="1" si="47"/>
        <v>2</v>
      </c>
    </row>
    <row r="492" spans="1:31" ht="36" hidden="1" customHeight="1">
      <c r="A492" s="414"/>
      <c r="B492" s="440" t="s">
        <v>3890</v>
      </c>
      <c r="C492" s="440" t="s">
        <v>479</v>
      </c>
      <c r="D492" s="440"/>
      <c r="E492" s="440"/>
      <c r="F492" s="440" t="s">
        <v>42</v>
      </c>
      <c r="G492" s="441" t="s">
        <v>3891</v>
      </c>
      <c r="H492" s="440" t="s">
        <v>3892</v>
      </c>
      <c r="I492" s="441" t="s">
        <v>3893</v>
      </c>
      <c r="J492" s="450">
        <v>45444</v>
      </c>
      <c r="K492" s="429" t="s">
        <v>2493</v>
      </c>
      <c r="L492" s="444"/>
      <c r="M492" s="444" t="s">
        <v>774</v>
      </c>
      <c r="N492" s="441" t="s">
        <v>2572</v>
      </c>
      <c r="O492" s="445" t="s">
        <v>85</v>
      </c>
      <c r="P492" s="441" t="s">
        <v>2494</v>
      </c>
      <c r="Q492" s="441" t="s">
        <v>2494</v>
      </c>
      <c r="R492" s="445" t="s">
        <v>3894</v>
      </c>
      <c r="S492" s="446">
        <v>45497</v>
      </c>
      <c r="T492" s="446">
        <v>45464</v>
      </c>
      <c r="U492" s="446"/>
      <c r="V492" s="446">
        <v>45469</v>
      </c>
      <c r="W492" s="447">
        <v>45469</v>
      </c>
      <c r="X492" s="447" t="s">
        <v>8044</v>
      </c>
      <c r="Y492" s="420"/>
      <c r="Z492" s="224" t="str">
        <f t="shared" si="42"/>
        <v>AG. MEDIÇÃO</v>
      </c>
      <c r="AA492" s="207" t="str">
        <f t="shared" si="43"/>
        <v>ENTREGUE</v>
      </c>
      <c r="AB492" s="207" t="str">
        <f t="shared" si="44"/>
        <v>AG. MEDIÇÃO</v>
      </c>
      <c r="AC492" s="156">
        <f t="shared" ca="1" si="45"/>
        <v>3</v>
      </c>
      <c r="AD492" s="156" t="str">
        <f t="shared" ca="1" si="46"/>
        <v>NO PRAZO</v>
      </c>
      <c r="AE492" s="156">
        <f t="shared" ca="1" si="47"/>
        <v>0</v>
      </c>
    </row>
    <row r="493" spans="1:31" ht="36" hidden="1" customHeight="1">
      <c r="A493" s="414"/>
      <c r="B493" s="429" t="s">
        <v>7569</v>
      </c>
      <c r="C493" s="429" t="s">
        <v>232</v>
      </c>
      <c r="D493" s="429" t="s">
        <v>232</v>
      </c>
      <c r="E493" s="429" t="s">
        <v>389</v>
      </c>
      <c r="F493" s="429" t="s">
        <v>42</v>
      </c>
      <c r="G493" s="434" t="s">
        <v>7549</v>
      </c>
      <c r="H493" s="636" t="s">
        <v>7548</v>
      </c>
      <c r="I493" s="433" t="s">
        <v>7395</v>
      </c>
      <c r="J493" s="432">
        <v>46143</v>
      </c>
      <c r="K493" s="429" t="s">
        <v>2493</v>
      </c>
      <c r="L493" s="487"/>
      <c r="M493" s="436" t="s">
        <v>77</v>
      </c>
      <c r="N493" s="433"/>
      <c r="O493" s="437" t="s">
        <v>85</v>
      </c>
      <c r="P493" s="433" t="s">
        <v>2494</v>
      </c>
      <c r="Q493" s="437" t="s">
        <v>2494</v>
      </c>
      <c r="R493" s="437" t="s">
        <v>4662</v>
      </c>
      <c r="S493" s="438">
        <v>46192</v>
      </c>
      <c r="T493" s="438">
        <v>46161</v>
      </c>
      <c r="U493" s="438"/>
      <c r="V493" s="439"/>
      <c r="W493" s="439">
        <v>46161</v>
      </c>
      <c r="X493" s="439">
        <v>46192</v>
      </c>
      <c r="Y493" s="420"/>
      <c r="Z493" s="224" t="str">
        <f t="shared" si="42"/>
        <v>AG. MEDIÇÃO</v>
      </c>
      <c r="AA493" s="207" t="str">
        <f t="shared" si="43"/>
        <v>ENTREGUE</v>
      </c>
      <c r="AB493" s="207" t="str">
        <f t="shared" si="44"/>
        <v>AG. MEDIÇÃO</v>
      </c>
      <c r="AC493" s="156">
        <f t="shared" ca="1" si="45"/>
        <v>0</v>
      </c>
      <c r="AD493" s="156" t="str">
        <f t="shared" ca="1" si="46"/>
        <v>NO PRAZO</v>
      </c>
      <c r="AE493" s="156">
        <f t="shared" ca="1" si="47"/>
        <v>-3</v>
      </c>
    </row>
    <row r="494" spans="1:31" ht="36" hidden="1" customHeight="1">
      <c r="A494" s="414"/>
      <c r="B494" s="429" t="s">
        <v>7696</v>
      </c>
      <c r="C494" s="430" t="s">
        <v>328</v>
      </c>
      <c r="D494" s="431"/>
      <c r="E494" s="432"/>
      <c r="F494" s="429" t="s">
        <v>42</v>
      </c>
      <c r="G494" s="434" t="s">
        <v>7650</v>
      </c>
      <c r="H494" s="636" t="s">
        <v>7651</v>
      </c>
      <c r="I494" s="433" t="s">
        <v>7652</v>
      </c>
      <c r="J494" s="432">
        <v>46143</v>
      </c>
      <c r="K494" s="429" t="s">
        <v>2493</v>
      </c>
      <c r="L494" s="436"/>
      <c r="M494" s="436" t="s">
        <v>62</v>
      </c>
      <c r="N494" s="433"/>
      <c r="O494" s="437" t="s">
        <v>85</v>
      </c>
      <c r="P494" s="433" t="s">
        <v>2494</v>
      </c>
      <c r="Q494" s="437" t="s">
        <v>2494</v>
      </c>
      <c r="R494" s="437" t="s">
        <v>5188</v>
      </c>
      <c r="S494" s="438">
        <v>46192</v>
      </c>
      <c r="T494" s="438">
        <v>46169</v>
      </c>
      <c r="U494" s="438"/>
      <c r="V494" s="439"/>
      <c r="W494" s="439">
        <v>46169</v>
      </c>
      <c r="X494" s="439">
        <v>46192</v>
      </c>
      <c r="Y494" s="420"/>
      <c r="Z494" s="224" t="str">
        <f t="shared" si="42"/>
        <v>AG. MEDIÇÃO</v>
      </c>
      <c r="AA494" s="207" t="str">
        <f t="shared" si="43"/>
        <v>ENTREGUE</v>
      </c>
      <c r="AB494" s="207" t="str">
        <f t="shared" si="44"/>
        <v>AG. MEDIÇÃO</v>
      </c>
      <c r="AC494" s="156">
        <f t="shared" ca="1" si="45"/>
        <v>0</v>
      </c>
      <c r="AD494" s="156" t="str">
        <f t="shared" ca="1" si="46"/>
        <v>NO PRAZO</v>
      </c>
      <c r="AE494" s="156">
        <f t="shared" ca="1" si="47"/>
        <v>-3</v>
      </c>
    </row>
    <row r="495" spans="1:31" ht="36" hidden="1" customHeight="1">
      <c r="A495" s="414"/>
      <c r="B495" s="429" t="s">
        <v>7997</v>
      </c>
      <c r="C495" s="429" t="s">
        <v>79</v>
      </c>
      <c r="D495" s="429" t="s">
        <v>1483</v>
      </c>
      <c r="E495" s="429" t="s">
        <v>619</v>
      </c>
      <c r="F495" s="429" t="s">
        <v>42</v>
      </c>
      <c r="G495" s="433" t="s">
        <v>8076</v>
      </c>
      <c r="H495" s="429" t="s">
        <v>8077</v>
      </c>
      <c r="I495" s="433" t="s">
        <v>8075</v>
      </c>
      <c r="J495" s="432">
        <v>46204</v>
      </c>
      <c r="K495" s="429" t="s">
        <v>2493</v>
      </c>
      <c r="L495" s="436"/>
      <c r="M495" s="436" t="s">
        <v>62</v>
      </c>
      <c r="N495" s="437"/>
      <c r="O495" s="437" t="s">
        <v>85</v>
      </c>
      <c r="P495" s="437" t="s">
        <v>2494</v>
      </c>
      <c r="Q495" s="433" t="s">
        <v>2494</v>
      </c>
      <c r="R495" s="499" t="s">
        <v>8143</v>
      </c>
      <c r="S495" s="438">
        <v>46251</v>
      </c>
      <c r="T495" s="438">
        <v>46216</v>
      </c>
      <c r="U495" s="438"/>
      <c r="V495" s="438"/>
      <c r="W495" s="439">
        <v>46217</v>
      </c>
      <c r="X495" s="439">
        <v>46251</v>
      </c>
      <c r="Y495" s="420"/>
      <c r="Z495" s="224" t="str">
        <f t="shared" si="42"/>
        <v>AG. MEDIÇÃO</v>
      </c>
      <c r="AA495" s="207" t="str">
        <f t="shared" si="43"/>
        <v>ENTREGUE</v>
      </c>
      <c r="AB495" s="207" t="str">
        <f t="shared" si="44"/>
        <v>AG. MEDIÇÃO</v>
      </c>
      <c r="AC495" s="156">
        <f t="shared" ca="1" si="45"/>
        <v>1</v>
      </c>
      <c r="AD495" s="156" t="str">
        <f t="shared" ca="1" si="46"/>
        <v>NO PRAZO</v>
      </c>
      <c r="AE495" s="156">
        <f t="shared" ca="1" si="47"/>
        <v>-2</v>
      </c>
    </row>
    <row r="496" spans="1:31" ht="36" hidden="1" customHeight="1">
      <c r="A496" s="414"/>
      <c r="B496" s="429" t="s">
        <v>8078</v>
      </c>
      <c r="C496" s="429" t="s">
        <v>79</v>
      </c>
      <c r="D496" s="429" t="s">
        <v>1483</v>
      </c>
      <c r="E496" s="429" t="s">
        <v>619</v>
      </c>
      <c r="F496" s="429" t="s">
        <v>42</v>
      </c>
      <c r="G496" s="433"/>
      <c r="H496" s="429" t="s">
        <v>8084</v>
      </c>
      <c r="I496" s="433" t="s">
        <v>8075</v>
      </c>
      <c r="J496" s="432">
        <v>46204</v>
      </c>
      <c r="K496" s="429" t="s">
        <v>2493</v>
      </c>
      <c r="L496" s="436" t="s">
        <v>124</v>
      </c>
      <c r="M496" s="436" t="s">
        <v>62</v>
      </c>
      <c r="N496" s="437"/>
      <c r="O496" s="437" t="s">
        <v>85</v>
      </c>
      <c r="P496" s="437">
        <v>420</v>
      </c>
      <c r="Q496" s="433">
        <v>454</v>
      </c>
      <c r="R496" s="499" t="s">
        <v>8144</v>
      </c>
      <c r="S496" s="438">
        <v>46251</v>
      </c>
      <c r="T496" s="438">
        <v>46217</v>
      </c>
      <c r="U496" s="438"/>
      <c r="V496" s="438"/>
      <c r="W496" s="439">
        <v>46221</v>
      </c>
      <c r="X496" s="439">
        <v>46251</v>
      </c>
      <c r="Y496" s="420"/>
      <c r="Z496" s="224" t="str">
        <f t="shared" si="42"/>
        <v>AG. MEDIÇÃO</v>
      </c>
      <c r="AA496" s="207" t="str">
        <f t="shared" si="43"/>
        <v>ENTREGUE</v>
      </c>
      <c r="AB496" s="207" t="str">
        <f t="shared" si="44"/>
        <v>AG. MEDIÇÃO</v>
      </c>
      <c r="AC496" s="156">
        <f t="shared" ca="1" si="45"/>
        <v>3</v>
      </c>
      <c r="AD496" s="156" t="str">
        <f t="shared" ca="1" si="46"/>
        <v>NO PRAZO</v>
      </c>
      <c r="AE496" s="156">
        <f t="shared" ca="1" si="47"/>
        <v>0</v>
      </c>
    </row>
    <row r="497" spans="1:31" ht="36" customHeight="1">
      <c r="A497" s="414"/>
      <c r="B497" s="483" t="s">
        <v>5831</v>
      </c>
      <c r="C497" s="614" t="s">
        <v>606</v>
      </c>
      <c r="D497" s="615" t="s">
        <v>5832</v>
      </c>
      <c r="E497" s="469" t="s">
        <v>607</v>
      </c>
      <c r="F497" s="483" t="s">
        <v>42</v>
      </c>
      <c r="G497" s="468" t="s">
        <v>2562</v>
      </c>
      <c r="H497" s="648" t="s">
        <v>5833</v>
      </c>
      <c r="I497" s="467" t="s">
        <v>5834</v>
      </c>
      <c r="J497" s="469">
        <v>45993</v>
      </c>
      <c r="K497" s="616" t="s">
        <v>2493</v>
      </c>
      <c r="L497" s="690" t="s">
        <v>124</v>
      </c>
      <c r="M497" s="471" t="s">
        <v>7910</v>
      </c>
      <c r="N497" s="467"/>
      <c r="O497" s="472"/>
      <c r="P497" s="467">
        <v>614</v>
      </c>
      <c r="Q497" s="472"/>
      <c r="R497" s="472"/>
      <c r="S497" s="473"/>
      <c r="T497" s="473">
        <v>46255</v>
      </c>
      <c r="U497" s="473"/>
      <c r="V497" s="474"/>
      <c r="W497" s="617">
        <v>46255</v>
      </c>
      <c r="X497" s="474"/>
      <c r="Y497" s="420"/>
      <c r="Z497" s="224" t="str">
        <f t="shared" si="42"/>
        <v>AG. RELATÓRIO</v>
      </c>
      <c r="AA497" s="207" t="str">
        <f t="shared" si="43"/>
        <v>PENDENTE</v>
      </c>
      <c r="AB497" s="207" t="str">
        <f t="shared" si="44"/>
        <v>AG. RELATÓRIO</v>
      </c>
      <c r="AC497" s="156">
        <f t="shared" ca="1" si="45"/>
        <v>0</v>
      </c>
      <c r="AD497" s="156" t="str">
        <f t="shared" ca="1" si="46"/>
        <v>NO PRAZO</v>
      </c>
      <c r="AE497" s="156">
        <f t="shared" ca="1" si="47"/>
        <v>-3</v>
      </c>
    </row>
    <row r="498" spans="1:31" ht="36" hidden="1" customHeight="1">
      <c r="A498" s="414"/>
      <c r="B498" s="429" t="s">
        <v>6933</v>
      </c>
      <c r="C498" s="430" t="s">
        <v>4873</v>
      </c>
      <c r="D498" s="431"/>
      <c r="E498" s="432"/>
      <c r="F498" s="429" t="s">
        <v>5165</v>
      </c>
      <c r="G498" s="434"/>
      <c r="H498" s="636" t="s">
        <v>6896</v>
      </c>
      <c r="I498" s="433" t="s">
        <v>6895</v>
      </c>
      <c r="J498" s="432">
        <v>46023</v>
      </c>
      <c r="K498" s="429" t="s">
        <v>2493</v>
      </c>
      <c r="L498" s="487"/>
      <c r="M498" s="436" t="s">
        <v>827</v>
      </c>
      <c r="N498" s="433"/>
      <c r="O498" s="437"/>
      <c r="P498" s="429" t="s">
        <v>2494</v>
      </c>
      <c r="Q498" s="436" t="s">
        <v>2494</v>
      </c>
      <c r="R498" s="437"/>
      <c r="S498" s="438"/>
      <c r="T498" s="438">
        <v>46044</v>
      </c>
      <c r="U498" s="438"/>
      <c r="V498" s="439"/>
      <c r="W498" s="439">
        <v>46048</v>
      </c>
      <c r="X498" s="439"/>
      <c r="Y498" s="420"/>
      <c r="Z498" s="224" t="str">
        <f t="shared" si="42"/>
        <v>AG. RELATÓRIO</v>
      </c>
      <c r="AA498" s="207" t="str">
        <f t="shared" si="43"/>
        <v>PENDENTE</v>
      </c>
      <c r="AB498" s="207" t="str">
        <f t="shared" si="44"/>
        <v>AG. RELATÓRIO</v>
      </c>
      <c r="AC498" s="156">
        <f t="shared" ca="1" si="45"/>
        <v>2</v>
      </c>
      <c r="AD498" s="156" t="str">
        <f t="shared" ca="1" si="46"/>
        <v>NO PRAZO</v>
      </c>
      <c r="AE498" s="156">
        <f t="shared" ca="1" si="47"/>
        <v>-1</v>
      </c>
    </row>
    <row r="499" spans="1:31" ht="36" hidden="1" customHeight="1">
      <c r="A499" s="414"/>
      <c r="B499" s="429" t="s">
        <v>7702</v>
      </c>
      <c r="C499" s="430" t="s">
        <v>79</v>
      </c>
      <c r="D499" s="430" t="s">
        <v>1483</v>
      </c>
      <c r="E499" s="432" t="s">
        <v>619</v>
      </c>
      <c r="F499" s="429" t="s">
        <v>42</v>
      </c>
      <c r="G499" s="434" t="s">
        <v>8073</v>
      </c>
      <c r="H499" s="636" t="s">
        <v>8074</v>
      </c>
      <c r="I499" s="433" t="s">
        <v>8075</v>
      </c>
      <c r="J499" s="432">
        <v>46204</v>
      </c>
      <c r="K499" s="432" t="s">
        <v>2493</v>
      </c>
      <c r="L499" s="436"/>
      <c r="M499" s="436" t="s">
        <v>62</v>
      </c>
      <c r="N499" s="433"/>
      <c r="O499" s="437" t="s">
        <v>85</v>
      </c>
      <c r="P499" s="433" t="s">
        <v>2494</v>
      </c>
      <c r="Q499" s="437" t="s">
        <v>2494</v>
      </c>
      <c r="R499" s="437" t="s">
        <v>8136</v>
      </c>
      <c r="S499" s="438">
        <v>46247</v>
      </c>
      <c r="T499" s="438">
        <v>46212</v>
      </c>
      <c r="U499" s="438"/>
      <c r="V499" s="439"/>
      <c r="W499" s="439">
        <v>46212</v>
      </c>
      <c r="X499" s="439">
        <v>46247</v>
      </c>
      <c r="Y499" s="420"/>
      <c r="Z499" s="224" t="str">
        <f t="shared" si="42"/>
        <v>AG. MEDIÇÃO</v>
      </c>
      <c r="AA499" s="207" t="str">
        <f t="shared" si="43"/>
        <v>ENTREGUE</v>
      </c>
      <c r="AB499" s="207" t="str">
        <f t="shared" si="44"/>
        <v>AG. MEDIÇÃO</v>
      </c>
      <c r="AC499" s="156">
        <f t="shared" ca="1" si="45"/>
        <v>0</v>
      </c>
      <c r="AD499" s="156" t="str">
        <f t="shared" ca="1" si="46"/>
        <v>NO PRAZO</v>
      </c>
      <c r="AE499" s="156">
        <f t="shared" ca="1" si="47"/>
        <v>-3</v>
      </c>
    </row>
    <row r="500" spans="1:31" ht="36" hidden="1" customHeight="1">
      <c r="A500" s="414"/>
      <c r="B500" s="429" t="s">
        <v>7773</v>
      </c>
      <c r="C500" s="430" t="s">
        <v>293</v>
      </c>
      <c r="D500" s="431" t="s">
        <v>548</v>
      </c>
      <c r="E500" s="432" t="s">
        <v>842</v>
      </c>
      <c r="F500" s="429" t="s">
        <v>42</v>
      </c>
      <c r="G500" s="434" t="s">
        <v>7734</v>
      </c>
      <c r="H500" s="636" t="s">
        <v>7735</v>
      </c>
      <c r="I500" s="433" t="s">
        <v>7736</v>
      </c>
      <c r="J500" s="432">
        <v>46174</v>
      </c>
      <c r="K500" s="429" t="s">
        <v>2493</v>
      </c>
      <c r="L500" s="436"/>
      <c r="M500" s="436" t="s">
        <v>77</v>
      </c>
      <c r="N500" s="433"/>
      <c r="O500" s="437" t="s">
        <v>85</v>
      </c>
      <c r="P500" s="433" t="s">
        <v>2494</v>
      </c>
      <c r="Q500" s="437" t="s">
        <v>2494</v>
      </c>
      <c r="R500" s="437" t="s">
        <v>7926</v>
      </c>
      <c r="S500" s="438">
        <v>46209</v>
      </c>
      <c r="T500" s="438">
        <v>46181</v>
      </c>
      <c r="U500" s="438"/>
      <c r="V500" s="439"/>
      <c r="W500" s="439">
        <v>46182</v>
      </c>
      <c r="X500" s="439">
        <v>46209</v>
      </c>
      <c r="Y500" s="420"/>
      <c r="Z500" s="224" t="str">
        <f t="shared" si="42"/>
        <v>AG. MEDIÇÃO</v>
      </c>
      <c r="AA500" s="207" t="str">
        <f t="shared" si="43"/>
        <v>ENTREGUE</v>
      </c>
      <c r="AB500" s="207" t="str">
        <f t="shared" si="44"/>
        <v>AG. MEDIÇÃO</v>
      </c>
      <c r="AC500" s="156">
        <f t="shared" ca="1" si="45"/>
        <v>1</v>
      </c>
      <c r="AD500" s="156" t="str">
        <f t="shared" ca="1" si="46"/>
        <v>NO PRAZO</v>
      </c>
      <c r="AE500" s="156">
        <f t="shared" ca="1" si="47"/>
        <v>-2</v>
      </c>
    </row>
    <row r="501" spans="1:31" ht="36" hidden="1" customHeight="1">
      <c r="A501" s="414"/>
      <c r="B501" s="429" t="s">
        <v>7996</v>
      </c>
      <c r="C501" s="429" t="s">
        <v>79</v>
      </c>
      <c r="D501" s="429" t="s">
        <v>1483</v>
      </c>
      <c r="E501" s="429" t="s">
        <v>619</v>
      </c>
      <c r="F501" s="429" t="s">
        <v>42</v>
      </c>
      <c r="G501" s="433" t="s">
        <v>8068</v>
      </c>
      <c r="H501" s="429" t="s">
        <v>8069</v>
      </c>
      <c r="I501" s="433" t="s">
        <v>7757</v>
      </c>
      <c r="J501" s="432">
        <v>46204</v>
      </c>
      <c r="K501" s="450" t="s">
        <v>2493</v>
      </c>
      <c r="L501" s="436"/>
      <c r="M501" s="436" t="s">
        <v>62</v>
      </c>
      <c r="N501" s="437"/>
      <c r="O501" s="437" t="s">
        <v>85</v>
      </c>
      <c r="P501" s="437" t="s">
        <v>2494</v>
      </c>
      <c r="Q501" s="433" t="s">
        <v>2494</v>
      </c>
      <c r="R501" s="499" t="s">
        <v>8196</v>
      </c>
      <c r="S501" s="438">
        <v>46227</v>
      </c>
      <c r="T501" s="438">
        <v>46212</v>
      </c>
      <c r="U501" s="438"/>
      <c r="V501" s="438"/>
      <c r="W501" s="439">
        <v>46217</v>
      </c>
      <c r="X501" s="439">
        <v>46227</v>
      </c>
      <c r="Y501" s="420"/>
      <c r="Z501" s="224" t="str">
        <f t="shared" si="42"/>
        <v>AG. MEDIÇÃO</v>
      </c>
      <c r="AA501" s="207" t="str">
        <f t="shared" si="43"/>
        <v>ENTREGUE</v>
      </c>
      <c r="AB501" s="207" t="str">
        <f t="shared" si="44"/>
        <v>AG. MEDIÇÃO</v>
      </c>
      <c r="AC501" s="156">
        <f t="shared" ca="1" si="45"/>
        <v>3</v>
      </c>
      <c r="AD501" s="156" t="str">
        <f t="shared" ca="1" si="46"/>
        <v>NO PRAZO</v>
      </c>
      <c r="AE501" s="156">
        <f t="shared" ca="1" si="47"/>
        <v>0</v>
      </c>
    </row>
    <row r="502" spans="1:31" ht="36" hidden="1" customHeight="1">
      <c r="A502" s="414"/>
      <c r="B502" s="429" t="s">
        <v>7989</v>
      </c>
      <c r="C502" s="429" t="s">
        <v>79</v>
      </c>
      <c r="D502" s="429" t="s">
        <v>1483</v>
      </c>
      <c r="E502" s="429" t="s">
        <v>619</v>
      </c>
      <c r="F502" s="429" t="s">
        <v>42</v>
      </c>
      <c r="G502" s="433" t="s">
        <v>8012</v>
      </c>
      <c r="H502" s="429" t="s">
        <v>8011</v>
      </c>
      <c r="I502" s="433" t="s">
        <v>7757</v>
      </c>
      <c r="J502" s="432">
        <v>46204</v>
      </c>
      <c r="K502" s="429" t="s">
        <v>2493</v>
      </c>
      <c r="L502" s="436" t="s">
        <v>94</v>
      </c>
      <c r="M502" s="436" t="s">
        <v>62</v>
      </c>
      <c r="N502" s="437"/>
      <c r="O502" s="437" t="s">
        <v>85</v>
      </c>
      <c r="P502" s="437">
        <v>154</v>
      </c>
      <c r="Q502" s="433">
        <v>167</v>
      </c>
      <c r="R502" s="499" t="s">
        <v>8197</v>
      </c>
      <c r="S502" s="438">
        <v>46227</v>
      </c>
      <c r="T502" s="438">
        <v>46206</v>
      </c>
      <c r="U502" s="438"/>
      <c r="V502" s="438"/>
      <c r="W502" s="439">
        <v>46210</v>
      </c>
      <c r="X502" s="439">
        <v>46227</v>
      </c>
      <c r="Y502" s="420"/>
      <c r="Z502" s="224" t="str">
        <f t="shared" si="42"/>
        <v>AG. MEDIÇÃO</v>
      </c>
      <c r="AA502" s="207" t="str">
        <f t="shared" si="43"/>
        <v>ENTREGUE</v>
      </c>
      <c r="AB502" s="207" t="str">
        <f t="shared" si="44"/>
        <v>AG. MEDIÇÃO</v>
      </c>
      <c r="AC502" s="156">
        <f t="shared" ca="1" si="45"/>
        <v>2</v>
      </c>
      <c r="AD502" s="156" t="str">
        <f t="shared" ca="1" si="46"/>
        <v>NO PRAZO</v>
      </c>
      <c r="AE502" s="156">
        <f t="shared" ca="1" si="47"/>
        <v>-1</v>
      </c>
    </row>
    <row r="503" spans="1:31" ht="36" hidden="1" customHeight="1">
      <c r="A503" s="414"/>
      <c r="B503" s="429" t="s">
        <v>8281</v>
      </c>
      <c r="C503" s="429" t="s">
        <v>606</v>
      </c>
      <c r="D503" s="429" t="s">
        <v>608</v>
      </c>
      <c r="E503" s="429" t="s">
        <v>607</v>
      </c>
      <c r="F503" s="429" t="s">
        <v>42</v>
      </c>
      <c r="G503" s="562" t="s">
        <v>8305</v>
      </c>
      <c r="H503" s="562" t="s">
        <v>8306</v>
      </c>
      <c r="I503" s="585" t="s">
        <v>8307</v>
      </c>
      <c r="J503" s="432">
        <v>46235</v>
      </c>
      <c r="K503" s="429" t="s">
        <v>2493</v>
      </c>
      <c r="L503" s="436"/>
      <c r="M503" s="436" t="s">
        <v>62</v>
      </c>
      <c r="N503" s="437"/>
      <c r="O503" s="437" t="s">
        <v>85</v>
      </c>
      <c r="P503" s="437" t="s">
        <v>2494</v>
      </c>
      <c r="Q503" s="437" t="s">
        <v>2494</v>
      </c>
      <c r="R503" s="499" t="s">
        <v>8465</v>
      </c>
      <c r="S503" s="438">
        <v>46254</v>
      </c>
      <c r="T503" s="438">
        <v>46242</v>
      </c>
      <c r="U503" s="438"/>
      <c r="V503" s="438"/>
      <c r="W503" s="438">
        <v>46244</v>
      </c>
      <c r="X503" s="439">
        <v>46254</v>
      </c>
      <c r="Y503" s="420"/>
      <c r="Z503" s="224" t="str">
        <f t="shared" si="42"/>
        <v>AG. MEDIÇÃO</v>
      </c>
      <c r="AA503" s="207" t="str">
        <f t="shared" si="43"/>
        <v>ENTREGUE</v>
      </c>
      <c r="AB503" s="207" t="str">
        <f t="shared" si="44"/>
        <v>AG. MEDIÇÃO</v>
      </c>
      <c r="AC503" s="156">
        <f t="shared" ca="1" si="45"/>
        <v>0</v>
      </c>
      <c r="AD503" s="156" t="str">
        <f t="shared" ca="1" si="46"/>
        <v>NO PRAZO</v>
      </c>
      <c r="AE503" s="156">
        <f t="shared" ca="1" si="47"/>
        <v>-3</v>
      </c>
    </row>
    <row r="504" spans="1:31" ht="36" hidden="1" customHeight="1">
      <c r="A504" s="414"/>
      <c r="B504" s="429" t="s">
        <v>8402</v>
      </c>
      <c r="C504" s="429" t="s">
        <v>606</v>
      </c>
      <c r="D504" s="429" t="s">
        <v>608</v>
      </c>
      <c r="E504" s="429" t="s">
        <v>607</v>
      </c>
      <c r="F504" s="429" t="s">
        <v>42</v>
      </c>
      <c r="G504" s="433" t="s">
        <v>8410</v>
      </c>
      <c r="H504" s="429" t="s">
        <v>8411</v>
      </c>
      <c r="I504" s="433" t="s">
        <v>8307</v>
      </c>
      <c r="J504" s="599">
        <v>46235</v>
      </c>
      <c r="K504" s="429" t="s">
        <v>2493</v>
      </c>
      <c r="L504" s="436" t="s">
        <v>124</v>
      </c>
      <c r="M504" s="436" t="s">
        <v>62</v>
      </c>
      <c r="N504" s="433"/>
      <c r="O504" s="433" t="s">
        <v>85</v>
      </c>
      <c r="P504" s="433">
        <v>315</v>
      </c>
      <c r="Q504" s="433">
        <v>362</v>
      </c>
      <c r="R504" s="437" t="s">
        <v>8518</v>
      </c>
      <c r="S504" s="438">
        <v>46259</v>
      </c>
      <c r="T504" s="438">
        <v>46252</v>
      </c>
      <c r="U504" s="438"/>
      <c r="V504" s="438"/>
      <c r="W504" s="439">
        <v>46255</v>
      </c>
      <c r="X504" s="439">
        <v>46259</v>
      </c>
      <c r="Y504" s="420"/>
      <c r="Z504" s="224" t="str">
        <f t="shared" si="42"/>
        <v>AG. MEDIÇÃO</v>
      </c>
      <c r="AA504" s="207" t="str">
        <f t="shared" si="43"/>
        <v>ENTREGUE</v>
      </c>
      <c r="AB504" s="207" t="str">
        <f t="shared" si="44"/>
        <v>AG. MEDIÇÃO</v>
      </c>
      <c r="AC504" s="156">
        <f t="shared" ca="1" si="45"/>
        <v>3</v>
      </c>
      <c r="AD504" s="156" t="str">
        <f t="shared" ca="1" si="46"/>
        <v>NO PRAZO</v>
      </c>
      <c r="AE504" s="156">
        <f t="shared" ca="1" si="47"/>
        <v>0</v>
      </c>
    </row>
    <row r="505" spans="1:31" ht="36" hidden="1" customHeight="1">
      <c r="A505" s="414"/>
      <c r="B505" s="440" t="s">
        <v>3304</v>
      </c>
      <c r="C505" s="440" t="s">
        <v>479</v>
      </c>
      <c r="D505" s="440"/>
      <c r="E505" s="440"/>
      <c r="F505" s="440" t="s">
        <v>42</v>
      </c>
      <c r="G505" s="441" t="s">
        <v>3305</v>
      </c>
      <c r="H505" s="440" t="s">
        <v>3306</v>
      </c>
      <c r="I505" s="449"/>
      <c r="J505" s="450">
        <v>45261</v>
      </c>
      <c r="K505" s="429" t="s">
        <v>2493</v>
      </c>
      <c r="L505" s="444"/>
      <c r="M505" s="444" t="s">
        <v>3307</v>
      </c>
      <c r="N505" s="441" t="s">
        <v>2572</v>
      </c>
      <c r="O505" s="445" t="s">
        <v>85</v>
      </c>
      <c r="P505" s="441" t="s">
        <v>2494</v>
      </c>
      <c r="Q505" s="441" t="s">
        <v>2494</v>
      </c>
      <c r="R505" s="445" t="s">
        <v>3308</v>
      </c>
      <c r="S505" s="446">
        <v>45300</v>
      </c>
      <c r="T505" s="446">
        <v>45272</v>
      </c>
      <c r="U505" s="446"/>
      <c r="V505" s="446">
        <v>45278</v>
      </c>
      <c r="W505" s="447">
        <v>45287</v>
      </c>
      <c r="X505" s="447" t="s">
        <v>8044</v>
      </c>
      <c r="Y505" s="420"/>
      <c r="Z505" s="224" t="str">
        <f t="shared" si="42"/>
        <v>AG. MEDIÇÃO</v>
      </c>
      <c r="AA505" s="207" t="str">
        <f t="shared" si="43"/>
        <v>ENTREGUE</v>
      </c>
      <c r="AB505" s="207" t="str">
        <f t="shared" si="44"/>
        <v>AG. MEDIÇÃO</v>
      </c>
      <c r="AC505" s="156">
        <f t="shared" ca="1" si="45"/>
        <v>11</v>
      </c>
      <c r="AD505" s="156" t="str">
        <f t="shared" ca="1" si="46"/>
        <v>ATRASADO</v>
      </c>
      <c r="AE505" s="156">
        <f t="shared" ca="1" si="47"/>
        <v>8</v>
      </c>
    </row>
    <row r="506" spans="1:31" ht="36" hidden="1" customHeight="1">
      <c r="A506" s="414"/>
      <c r="B506" s="429" t="s">
        <v>8175</v>
      </c>
      <c r="C506" s="429" t="s">
        <v>668</v>
      </c>
      <c r="D506" s="429" t="s">
        <v>8438</v>
      </c>
      <c r="E506" s="429" t="s">
        <v>671</v>
      </c>
      <c r="F506" s="429" t="s">
        <v>42</v>
      </c>
      <c r="G506" s="433" t="s">
        <v>8205</v>
      </c>
      <c r="H506" s="429" t="s">
        <v>8206</v>
      </c>
      <c r="I506" s="433" t="s">
        <v>8207</v>
      </c>
      <c r="J506" s="432">
        <v>46204</v>
      </c>
      <c r="K506" s="429" t="s">
        <v>2493</v>
      </c>
      <c r="L506" s="436" t="s">
        <v>124</v>
      </c>
      <c r="M506" s="436" t="s">
        <v>62</v>
      </c>
      <c r="N506" s="437"/>
      <c r="O506" s="437" t="s">
        <v>85</v>
      </c>
      <c r="P506" s="437">
        <v>520</v>
      </c>
      <c r="Q506" s="433">
        <v>441</v>
      </c>
      <c r="R506" s="499" t="s">
        <v>8437</v>
      </c>
      <c r="S506" s="439">
        <v>46253</v>
      </c>
      <c r="T506" s="438">
        <v>46227</v>
      </c>
      <c r="U506" s="438"/>
      <c r="V506" s="438">
        <v>46230</v>
      </c>
      <c r="W506" s="438">
        <v>46230</v>
      </c>
      <c r="X506" s="439">
        <v>46253</v>
      </c>
      <c r="Y506" s="420"/>
      <c r="Z506" s="224" t="str">
        <f t="shared" si="42"/>
        <v>AG. MEDIÇÃO</v>
      </c>
      <c r="AA506" s="207" t="str">
        <f t="shared" si="43"/>
        <v>ENTREGUE</v>
      </c>
      <c r="AB506" s="207" t="str">
        <f t="shared" si="44"/>
        <v>AG. MEDIÇÃO</v>
      </c>
      <c r="AC506" s="156">
        <f t="shared" ca="1" si="45"/>
        <v>1</v>
      </c>
      <c r="AD506" s="156" t="str">
        <f t="shared" ca="1" si="46"/>
        <v>NO PRAZO</v>
      </c>
      <c r="AE506" s="156">
        <f t="shared" ca="1" si="47"/>
        <v>-2</v>
      </c>
    </row>
    <row r="507" spans="1:31" ht="36" hidden="1" customHeight="1">
      <c r="A507" s="414"/>
      <c r="B507" s="429" t="s">
        <v>8198</v>
      </c>
      <c r="C507" s="429" t="s">
        <v>668</v>
      </c>
      <c r="D507" s="429" t="s">
        <v>8438</v>
      </c>
      <c r="E507" s="429" t="s">
        <v>671</v>
      </c>
      <c r="F507" s="429" t="s">
        <v>42</v>
      </c>
      <c r="G507" s="433" t="s">
        <v>8213</v>
      </c>
      <c r="H507" s="429" t="s">
        <v>8210</v>
      </c>
      <c r="I507" s="433" t="s">
        <v>8207</v>
      </c>
      <c r="J507" s="432">
        <v>46204</v>
      </c>
      <c r="K507" s="429" t="s">
        <v>2493</v>
      </c>
      <c r="L507" s="436"/>
      <c r="M507" s="436" t="s">
        <v>62</v>
      </c>
      <c r="N507" s="437"/>
      <c r="O507" s="437" t="s">
        <v>85</v>
      </c>
      <c r="P507" s="437" t="s">
        <v>2494</v>
      </c>
      <c r="Q507" s="433" t="s">
        <v>2494</v>
      </c>
      <c r="R507" s="499" t="s">
        <v>8439</v>
      </c>
      <c r="S507" s="439">
        <v>46253</v>
      </c>
      <c r="T507" s="438">
        <v>46227</v>
      </c>
      <c r="U507" s="438"/>
      <c r="V507" s="438">
        <v>46230</v>
      </c>
      <c r="W507" s="438">
        <v>46230</v>
      </c>
      <c r="X507" s="439">
        <v>46253</v>
      </c>
      <c r="Y507" s="420"/>
      <c r="Z507" s="224" t="str">
        <f t="shared" si="42"/>
        <v>AG. MEDIÇÃO</v>
      </c>
      <c r="AA507" s="207" t="str">
        <f t="shared" si="43"/>
        <v>ENTREGUE</v>
      </c>
      <c r="AB507" s="207" t="str">
        <f t="shared" si="44"/>
        <v>AG. MEDIÇÃO</v>
      </c>
      <c r="AC507" s="156">
        <f t="shared" ca="1" si="45"/>
        <v>1</v>
      </c>
      <c r="AD507" s="156" t="str">
        <f t="shared" ca="1" si="46"/>
        <v>NO PRAZO</v>
      </c>
      <c r="AE507" s="156">
        <f t="shared" ca="1" si="47"/>
        <v>-2</v>
      </c>
    </row>
    <row r="508" spans="1:31" ht="36" hidden="1" customHeight="1">
      <c r="A508" s="414"/>
      <c r="B508" s="429" t="s">
        <v>8176</v>
      </c>
      <c r="C508" s="429" t="s">
        <v>668</v>
      </c>
      <c r="D508" s="429" t="s">
        <v>8438</v>
      </c>
      <c r="E508" s="429" t="s">
        <v>671</v>
      </c>
      <c r="F508" s="429" t="s">
        <v>42</v>
      </c>
      <c r="G508" s="433" t="s">
        <v>8211</v>
      </c>
      <c r="H508" s="429" t="s">
        <v>8208</v>
      </c>
      <c r="I508" s="433" t="s">
        <v>8207</v>
      </c>
      <c r="J508" s="432">
        <v>46204</v>
      </c>
      <c r="K508" s="429" t="s">
        <v>2493</v>
      </c>
      <c r="L508" s="436"/>
      <c r="M508" s="436" t="s">
        <v>62</v>
      </c>
      <c r="N508" s="437"/>
      <c r="O508" s="437" t="s">
        <v>85</v>
      </c>
      <c r="P508" s="437" t="s">
        <v>2494</v>
      </c>
      <c r="Q508" s="433" t="s">
        <v>2494</v>
      </c>
      <c r="R508" s="499" t="s">
        <v>8439</v>
      </c>
      <c r="S508" s="439">
        <v>46253</v>
      </c>
      <c r="T508" s="438">
        <v>46227</v>
      </c>
      <c r="U508" s="438"/>
      <c r="V508" s="438">
        <v>46230</v>
      </c>
      <c r="W508" s="438">
        <v>46230</v>
      </c>
      <c r="X508" s="439">
        <v>46253</v>
      </c>
      <c r="Y508" s="420"/>
      <c r="Z508" s="224" t="str">
        <f t="shared" si="42"/>
        <v>AG. MEDIÇÃO</v>
      </c>
      <c r="AA508" s="207" t="str">
        <f t="shared" si="43"/>
        <v>ENTREGUE</v>
      </c>
      <c r="AB508" s="207" t="str">
        <f t="shared" si="44"/>
        <v>AG. MEDIÇÃO</v>
      </c>
      <c r="AC508" s="156">
        <f t="shared" ca="1" si="45"/>
        <v>1</v>
      </c>
      <c r="AD508" s="156" t="str">
        <f t="shared" ca="1" si="46"/>
        <v>NO PRAZO</v>
      </c>
      <c r="AE508" s="156">
        <f t="shared" ca="1" si="47"/>
        <v>-2</v>
      </c>
    </row>
    <row r="509" spans="1:31" ht="36" hidden="1" customHeight="1">
      <c r="A509" s="414"/>
      <c r="B509" s="429" t="s">
        <v>8177</v>
      </c>
      <c r="C509" s="618" t="s">
        <v>668</v>
      </c>
      <c r="D509" s="618" t="s">
        <v>8438</v>
      </c>
      <c r="E509" s="618" t="s">
        <v>671</v>
      </c>
      <c r="F509" s="618" t="s">
        <v>42</v>
      </c>
      <c r="G509" s="433" t="s">
        <v>8212</v>
      </c>
      <c r="H509" s="429" t="s">
        <v>8209</v>
      </c>
      <c r="I509" s="433" t="s">
        <v>8207</v>
      </c>
      <c r="J509" s="432">
        <v>46204</v>
      </c>
      <c r="K509" s="429" t="s">
        <v>2493</v>
      </c>
      <c r="L509" s="436"/>
      <c r="M509" s="436" t="s">
        <v>62</v>
      </c>
      <c r="N509" s="437"/>
      <c r="O509" s="437" t="s">
        <v>85</v>
      </c>
      <c r="P509" s="437" t="s">
        <v>2494</v>
      </c>
      <c r="Q509" s="433" t="s">
        <v>2494</v>
      </c>
      <c r="R509" s="499" t="s">
        <v>8439</v>
      </c>
      <c r="S509" s="439">
        <v>46253</v>
      </c>
      <c r="T509" s="438">
        <v>46227</v>
      </c>
      <c r="U509" s="438"/>
      <c r="V509" s="438">
        <v>46230</v>
      </c>
      <c r="W509" s="438">
        <v>46230</v>
      </c>
      <c r="X509" s="439">
        <v>46253</v>
      </c>
      <c r="Y509" s="420"/>
      <c r="Z509" s="224" t="str">
        <f t="shared" si="42"/>
        <v>AG. MEDIÇÃO</v>
      </c>
      <c r="AA509" s="207" t="str">
        <f t="shared" si="43"/>
        <v>ENTREGUE</v>
      </c>
      <c r="AB509" s="207" t="str">
        <f t="shared" si="44"/>
        <v>AG. MEDIÇÃO</v>
      </c>
      <c r="AC509" s="156">
        <f t="shared" ca="1" si="45"/>
        <v>1</v>
      </c>
      <c r="AD509" s="156" t="str">
        <f t="shared" ca="1" si="46"/>
        <v>NO PRAZO</v>
      </c>
      <c r="AE509" s="156">
        <f t="shared" ca="1" si="47"/>
        <v>-2</v>
      </c>
    </row>
    <row r="510" spans="1:31" ht="36" hidden="1" customHeight="1">
      <c r="A510" s="414"/>
      <c r="B510" s="429" t="s">
        <v>7670</v>
      </c>
      <c r="C510" s="430" t="s">
        <v>731</v>
      </c>
      <c r="D510" s="431" t="s">
        <v>731</v>
      </c>
      <c r="E510" s="432" t="s">
        <v>732</v>
      </c>
      <c r="F510" s="429" t="s">
        <v>427</v>
      </c>
      <c r="G510" s="434" t="s">
        <v>7637</v>
      </c>
      <c r="H510" s="636" t="s">
        <v>7638</v>
      </c>
      <c r="I510" s="433" t="s">
        <v>7639</v>
      </c>
      <c r="J510" s="432">
        <v>46143</v>
      </c>
      <c r="K510" s="429" t="s">
        <v>2493</v>
      </c>
      <c r="L510" s="436" t="s">
        <v>124</v>
      </c>
      <c r="M510" s="436" t="s">
        <v>77</v>
      </c>
      <c r="N510" s="433"/>
      <c r="O510" s="437" t="s">
        <v>85</v>
      </c>
      <c r="P510" s="433">
        <v>800</v>
      </c>
      <c r="Q510" s="437">
        <v>825</v>
      </c>
      <c r="R510" s="437" t="s">
        <v>8072</v>
      </c>
      <c r="S510" s="438">
        <v>46217</v>
      </c>
      <c r="T510" s="438">
        <v>46168</v>
      </c>
      <c r="U510" s="438"/>
      <c r="V510" s="439"/>
      <c r="W510" s="439">
        <v>46169</v>
      </c>
      <c r="X510" s="439">
        <v>46217</v>
      </c>
      <c r="Y510" s="420"/>
      <c r="Z510" s="224" t="str">
        <f t="shared" si="42"/>
        <v>AG. MEDIÇÃO</v>
      </c>
      <c r="AA510" s="207" t="str">
        <f t="shared" si="43"/>
        <v>ENTREGUE</v>
      </c>
      <c r="AB510" s="207" t="str">
        <f t="shared" si="44"/>
        <v>AG. MEDIÇÃO</v>
      </c>
      <c r="AC510" s="156">
        <f t="shared" ca="1" si="45"/>
        <v>1</v>
      </c>
      <c r="AD510" s="156" t="str">
        <f t="shared" ca="1" si="46"/>
        <v>NO PRAZO</v>
      </c>
      <c r="AE510" s="156">
        <f t="shared" ca="1" si="47"/>
        <v>-2</v>
      </c>
    </row>
    <row r="511" spans="1:31" ht="36" hidden="1" customHeight="1">
      <c r="A511" s="414"/>
      <c r="B511" s="440" t="s">
        <v>3875</v>
      </c>
      <c r="C511" s="461" t="s">
        <v>152</v>
      </c>
      <c r="D511" s="461" t="s">
        <v>3876</v>
      </c>
      <c r="E511" s="461"/>
      <c r="F511" s="461" t="s">
        <v>42</v>
      </c>
      <c r="G511" s="441" t="s">
        <v>3877</v>
      </c>
      <c r="H511" s="440" t="s">
        <v>3878</v>
      </c>
      <c r="I511" s="441" t="s">
        <v>3879</v>
      </c>
      <c r="J511" s="450">
        <v>45444</v>
      </c>
      <c r="K511" s="429" t="s">
        <v>2493</v>
      </c>
      <c r="L511" s="444" t="s">
        <v>169</v>
      </c>
      <c r="M511" s="444" t="s">
        <v>132</v>
      </c>
      <c r="N511" s="441" t="s">
        <v>2572</v>
      </c>
      <c r="O511" s="445" t="s">
        <v>85</v>
      </c>
      <c r="P511" s="445"/>
      <c r="Q511" s="441">
        <v>250</v>
      </c>
      <c r="R511" s="445" t="s">
        <v>3880</v>
      </c>
      <c r="S511" s="446">
        <v>45497</v>
      </c>
      <c r="T511" s="446">
        <v>45460</v>
      </c>
      <c r="U511" s="446">
        <v>45467</v>
      </c>
      <c r="V511" s="446">
        <v>45469</v>
      </c>
      <c r="W511" s="447">
        <v>45469</v>
      </c>
      <c r="X511" s="447" t="s">
        <v>8044</v>
      </c>
      <c r="Y511" s="420"/>
      <c r="Z511" s="224" t="str">
        <f t="shared" si="42"/>
        <v>AG. MEDIÇÃO</v>
      </c>
      <c r="AA511" s="207" t="str">
        <f t="shared" si="43"/>
        <v>ENTREGUE</v>
      </c>
      <c r="AB511" s="207" t="str">
        <f t="shared" si="44"/>
        <v>AG. MEDIÇÃO</v>
      </c>
      <c r="AC511" s="156">
        <f t="shared" ca="1" si="45"/>
        <v>7</v>
      </c>
      <c r="AD511" s="156" t="str">
        <f t="shared" ca="1" si="46"/>
        <v>ATRASADO</v>
      </c>
      <c r="AE511" s="156">
        <f t="shared" ca="1" si="47"/>
        <v>4</v>
      </c>
    </row>
    <row r="512" spans="1:31" ht="36" hidden="1" customHeight="1">
      <c r="A512" s="414"/>
      <c r="B512" s="429" t="s">
        <v>7820</v>
      </c>
      <c r="C512" s="430" t="s">
        <v>79</v>
      </c>
      <c r="D512" s="430" t="s">
        <v>1076</v>
      </c>
      <c r="E512" s="432" t="s">
        <v>619</v>
      </c>
      <c r="F512" s="429" t="s">
        <v>42</v>
      </c>
      <c r="G512" s="434" t="s">
        <v>7834</v>
      </c>
      <c r="H512" s="636" t="s">
        <v>7835</v>
      </c>
      <c r="I512" s="433" t="s">
        <v>7765</v>
      </c>
      <c r="J512" s="432">
        <v>46174</v>
      </c>
      <c r="K512" s="429" t="s">
        <v>2493</v>
      </c>
      <c r="L512" s="436" t="s">
        <v>124</v>
      </c>
      <c r="M512" s="436" t="s">
        <v>77</v>
      </c>
      <c r="N512" s="433"/>
      <c r="O512" s="437" t="s">
        <v>85</v>
      </c>
      <c r="P512" s="433">
        <v>137</v>
      </c>
      <c r="Q512" s="437">
        <v>112</v>
      </c>
      <c r="R512" s="437" t="s">
        <v>7975</v>
      </c>
      <c r="S512" s="438">
        <v>46195</v>
      </c>
      <c r="T512" s="438">
        <v>46188</v>
      </c>
      <c r="U512" s="438"/>
      <c r="V512" s="439"/>
      <c r="W512" s="439">
        <v>46192</v>
      </c>
      <c r="X512" s="439">
        <v>46195</v>
      </c>
      <c r="Y512" s="420"/>
      <c r="Z512" s="224" t="str">
        <f t="shared" si="42"/>
        <v>AG. MEDIÇÃO</v>
      </c>
      <c r="AA512" s="207" t="str">
        <f t="shared" si="43"/>
        <v>ENTREGUE</v>
      </c>
      <c r="AB512" s="207" t="str">
        <f t="shared" si="44"/>
        <v>AG. MEDIÇÃO</v>
      </c>
      <c r="AC512" s="156">
        <f t="shared" ca="1" si="45"/>
        <v>4</v>
      </c>
      <c r="AD512" s="156" t="str">
        <f t="shared" ca="1" si="46"/>
        <v>ATRASADO</v>
      </c>
      <c r="AE512" s="156">
        <f t="shared" ca="1" si="47"/>
        <v>1</v>
      </c>
    </row>
    <row r="513" spans="1:31" ht="36" hidden="1" customHeight="1">
      <c r="A513" s="414"/>
      <c r="B513" s="440" t="s">
        <v>3391</v>
      </c>
      <c r="C513" s="440" t="s">
        <v>232</v>
      </c>
      <c r="D513" s="440"/>
      <c r="E513" s="440"/>
      <c r="F513" s="440" t="s">
        <v>42</v>
      </c>
      <c r="G513" s="441" t="s">
        <v>3392</v>
      </c>
      <c r="H513" s="662" t="s">
        <v>3393</v>
      </c>
      <c r="I513" s="660"/>
      <c r="J513" s="450">
        <v>45292</v>
      </c>
      <c r="K513" s="429" t="s">
        <v>2493</v>
      </c>
      <c r="L513" s="444"/>
      <c r="M513" s="444" t="s">
        <v>714</v>
      </c>
      <c r="N513" s="441" t="s">
        <v>2572</v>
      </c>
      <c r="O513" s="445" t="s">
        <v>85</v>
      </c>
      <c r="P513" s="441" t="s">
        <v>2494</v>
      </c>
      <c r="Q513" s="441" t="s">
        <v>2494</v>
      </c>
      <c r="R513" s="445" t="s">
        <v>3394</v>
      </c>
      <c r="S513" s="446">
        <v>45300</v>
      </c>
      <c r="T513" s="446">
        <v>45299</v>
      </c>
      <c r="U513" s="446"/>
      <c r="V513" s="446">
        <v>45300</v>
      </c>
      <c r="W513" s="447">
        <v>45300</v>
      </c>
      <c r="X513" s="447" t="s">
        <v>8044</v>
      </c>
      <c r="Y513" s="420"/>
      <c r="Z513" s="224" t="str">
        <f t="shared" si="42"/>
        <v>AG. MEDIÇÃO</v>
      </c>
      <c r="AA513" s="207" t="str">
        <f t="shared" si="43"/>
        <v>ENTREGUE</v>
      </c>
      <c r="AB513" s="207" t="str">
        <f t="shared" si="44"/>
        <v>AG. MEDIÇÃO</v>
      </c>
      <c r="AC513" s="156">
        <f t="shared" ca="1" si="45"/>
        <v>1</v>
      </c>
      <c r="AD513" s="156" t="str">
        <f t="shared" ca="1" si="46"/>
        <v>NO PRAZO</v>
      </c>
      <c r="AE513" s="156">
        <f t="shared" ca="1" si="47"/>
        <v>-2</v>
      </c>
    </row>
    <row r="514" spans="1:31" ht="36" hidden="1" customHeight="1">
      <c r="A514" s="414"/>
      <c r="B514" s="429" t="s">
        <v>7881</v>
      </c>
      <c r="C514" s="429" t="s">
        <v>104</v>
      </c>
      <c r="D514" s="429" t="s">
        <v>7229</v>
      </c>
      <c r="E514" s="429" t="s">
        <v>105</v>
      </c>
      <c r="F514" s="429" t="s">
        <v>42</v>
      </c>
      <c r="G514" s="433"/>
      <c r="H514" s="429" t="s">
        <v>7869</v>
      </c>
      <c r="I514" s="433" t="s">
        <v>8032</v>
      </c>
      <c r="J514" s="432">
        <v>46174</v>
      </c>
      <c r="K514" s="450" t="s">
        <v>2493</v>
      </c>
      <c r="L514" s="436"/>
      <c r="M514" s="436" t="s">
        <v>62</v>
      </c>
      <c r="N514" s="437"/>
      <c r="O514" s="437" t="s">
        <v>85</v>
      </c>
      <c r="P514" s="433" t="s">
        <v>2494</v>
      </c>
      <c r="Q514" s="437" t="s">
        <v>2494</v>
      </c>
      <c r="R514" s="499" t="s">
        <v>8370</v>
      </c>
      <c r="S514" s="438">
        <v>46247</v>
      </c>
      <c r="T514" s="438">
        <v>46191</v>
      </c>
      <c r="U514" s="438"/>
      <c r="V514" s="438"/>
      <c r="W514" s="439">
        <v>46193</v>
      </c>
      <c r="X514" s="439">
        <v>46247</v>
      </c>
      <c r="Y514" s="420"/>
      <c r="Z514" s="224" t="str">
        <f t="shared" si="42"/>
        <v>AG. MEDIÇÃO</v>
      </c>
      <c r="AA514" s="207" t="str">
        <f t="shared" si="43"/>
        <v>ENTREGUE</v>
      </c>
      <c r="AB514" s="207" t="str">
        <f t="shared" si="44"/>
        <v>AG. MEDIÇÃO</v>
      </c>
      <c r="AC514" s="156">
        <f t="shared" ca="1" si="45"/>
        <v>1</v>
      </c>
      <c r="AD514" s="156" t="str">
        <f t="shared" ca="1" si="46"/>
        <v>NO PRAZO</v>
      </c>
      <c r="AE514" s="156">
        <f t="shared" ca="1" si="47"/>
        <v>-2</v>
      </c>
    </row>
    <row r="515" spans="1:31" ht="36" hidden="1" customHeight="1">
      <c r="A515" s="414"/>
      <c r="B515" s="429" t="s">
        <v>7610</v>
      </c>
      <c r="C515" s="430" t="s">
        <v>425</v>
      </c>
      <c r="D515" s="431"/>
      <c r="E515" s="432"/>
      <c r="F515" s="429" t="s">
        <v>42</v>
      </c>
      <c r="G515" s="434"/>
      <c r="H515" s="636" t="s">
        <v>7586</v>
      </c>
      <c r="I515" s="433" t="s">
        <v>4455</v>
      </c>
      <c r="J515" s="432">
        <v>46143</v>
      </c>
      <c r="K515" s="429" t="s">
        <v>2493</v>
      </c>
      <c r="L515" s="487"/>
      <c r="M515" s="436" t="s">
        <v>77</v>
      </c>
      <c r="N515" s="433"/>
      <c r="O515" s="437"/>
      <c r="P515" s="433" t="s">
        <v>2494</v>
      </c>
      <c r="Q515" s="437" t="s">
        <v>2494</v>
      </c>
      <c r="R515" s="437" t="s">
        <v>7903</v>
      </c>
      <c r="S515" s="438">
        <v>46168</v>
      </c>
      <c r="T515" s="438">
        <v>46164</v>
      </c>
      <c r="U515" s="438"/>
      <c r="V515" s="439"/>
      <c r="W515" s="439">
        <v>46164</v>
      </c>
      <c r="X515" s="439">
        <v>46168</v>
      </c>
      <c r="Y515" s="420"/>
      <c r="Z515" s="224" t="str">
        <f t="shared" si="42"/>
        <v>AG. MEDIÇÃO</v>
      </c>
      <c r="AA515" s="207" t="str">
        <f t="shared" si="43"/>
        <v>ENTREGUE</v>
      </c>
      <c r="AB515" s="207" t="str">
        <f t="shared" si="44"/>
        <v>AG. MEDIÇÃO</v>
      </c>
      <c r="AC515" s="156">
        <f t="shared" ca="1" si="45"/>
        <v>0</v>
      </c>
      <c r="AD515" s="156" t="str">
        <f t="shared" ca="1" si="46"/>
        <v>NO PRAZO</v>
      </c>
      <c r="AE515" s="156">
        <f t="shared" ca="1" si="47"/>
        <v>-3</v>
      </c>
    </row>
    <row r="516" spans="1:31" ht="36" hidden="1" customHeight="1">
      <c r="A516" s="414"/>
      <c r="B516" s="429" t="s">
        <v>8277</v>
      </c>
      <c r="C516" s="429" t="s">
        <v>2249</v>
      </c>
      <c r="D516" s="429" t="s">
        <v>228</v>
      </c>
      <c r="E516" s="429" t="s">
        <v>6874</v>
      </c>
      <c r="F516" s="429" t="s">
        <v>42</v>
      </c>
      <c r="G516" s="562" t="s">
        <v>8292</v>
      </c>
      <c r="H516" s="562" t="s">
        <v>8293</v>
      </c>
      <c r="I516" s="570" t="s">
        <v>8294</v>
      </c>
      <c r="J516" s="432">
        <v>46235</v>
      </c>
      <c r="K516" s="429" t="s">
        <v>2493</v>
      </c>
      <c r="L516" s="436"/>
      <c r="M516" s="436" t="s">
        <v>62</v>
      </c>
      <c r="N516" s="437"/>
      <c r="O516" s="437" t="s">
        <v>85</v>
      </c>
      <c r="P516" s="437" t="s">
        <v>2494</v>
      </c>
      <c r="Q516" s="437" t="s">
        <v>2494</v>
      </c>
      <c r="R516" s="499" t="s">
        <v>8460</v>
      </c>
      <c r="S516" s="438">
        <v>46254</v>
      </c>
      <c r="T516" s="438">
        <v>46241</v>
      </c>
      <c r="U516" s="438"/>
      <c r="V516" s="438"/>
      <c r="W516" s="438">
        <v>46241</v>
      </c>
      <c r="X516" s="439">
        <v>46254</v>
      </c>
      <c r="Y516" s="420"/>
      <c r="Z516" s="224" t="str">
        <f t="shared" si="42"/>
        <v>AG. MEDIÇÃO</v>
      </c>
      <c r="AA516" s="207" t="str">
        <f t="shared" si="43"/>
        <v>ENTREGUE</v>
      </c>
      <c r="AB516" s="207" t="str">
        <f t="shared" si="44"/>
        <v>AG. MEDIÇÃO</v>
      </c>
      <c r="AC516" s="156">
        <f t="shared" ca="1" si="45"/>
        <v>0</v>
      </c>
      <c r="AD516" s="156" t="str">
        <f t="shared" ca="1" si="46"/>
        <v>NO PRAZO</v>
      </c>
      <c r="AE516" s="156">
        <f t="shared" ca="1" si="47"/>
        <v>-3</v>
      </c>
    </row>
    <row r="517" spans="1:31" ht="36" hidden="1" customHeight="1">
      <c r="A517" s="414"/>
      <c r="B517" s="440" t="s">
        <v>3192</v>
      </c>
      <c r="C517" s="440" t="s">
        <v>571</v>
      </c>
      <c r="D517" s="440"/>
      <c r="E517" s="440"/>
      <c r="F517" s="440" t="s">
        <v>42</v>
      </c>
      <c r="G517" s="441" t="s">
        <v>3193</v>
      </c>
      <c r="H517" s="440" t="s">
        <v>3194</v>
      </c>
      <c r="I517" s="449"/>
      <c r="J517" s="450">
        <v>45231</v>
      </c>
      <c r="K517" s="429" t="s">
        <v>2493</v>
      </c>
      <c r="L517" s="444"/>
      <c r="M517" s="444" t="s">
        <v>714</v>
      </c>
      <c r="N517" s="441" t="s">
        <v>2572</v>
      </c>
      <c r="O517" s="445" t="s">
        <v>85</v>
      </c>
      <c r="P517" s="441" t="s">
        <v>2494</v>
      </c>
      <c r="Q517" s="441" t="s">
        <v>2494</v>
      </c>
      <c r="R517" s="445" t="s">
        <v>3195</v>
      </c>
      <c r="S517" s="446">
        <v>45250</v>
      </c>
      <c r="T517" s="446">
        <v>45233</v>
      </c>
      <c r="U517" s="446"/>
      <c r="V517" s="446">
        <v>45236</v>
      </c>
      <c r="W517" s="446">
        <v>45236</v>
      </c>
      <c r="X517" s="447" t="s">
        <v>8044</v>
      </c>
      <c r="Y517" s="420"/>
      <c r="Z517" s="224" t="str">
        <f t="shared" ref="Z517:Z580" si="48">IF(K517="CANCELADO","CANCELADO",IF(AA517="PENDENTE","AG. RELATÓRIO",IF(S517="SIM","AG. MEDIÇÃO",IF(S517&gt;0,"AG. MEDIÇÃO","PENDENTE"))))</f>
        <v>AG. MEDIÇÃO</v>
      </c>
      <c r="AA517" s="207" t="str">
        <f t="shared" ref="AA517:AA580" si="49">IF(K517="CANCELADO","CANCELADO",IF(X517="","PENDENTE","ENTREGUE"))</f>
        <v>ENTREGUE</v>
      </c>
      <c r="AB517" s="207" t="str">
        <f t="shared" ref="AB517:AB580" si="50">IF(K517="SEM SINAL","SEM SINAL",IF(K517="PARALISADO","PARALISADO",IF(Z517="PENDENTE","AG. MEDIÇÃO",IF(K517="CANCELADO","CANCELADO",Z517))))</f>
        <v>AG. MEDIÇÃO</v>
      </c>
      <c r="AC517" s="156">
        <f t="shared" ref="AC517:AC580" ca="1" si="51">IFERROR(IF(K517="CANCELADO","CANCELADO",IF(T517="","DATA ENTRADA",IF(AND(T517&gt;0,W517=""),NETWORKDAYS(T517,TODAY())-1,NETWORKDAYS(T517,W517)-1))),"CHECAR DATA")</f>
        <v>1</v>
      </c>
      <c r="AD517" s="156" t="str">
        <f t="shared" ref="AD517:AD580" ca="1" si="52">IF(AC517&lt;=3,"NO PRAZO","ATRASADO")</f>
        <v>NO PRAZO</v>
      </c>
      <c r="AE517" s="156">
        <f t="shared" ref="AE517:AE580" ca="1" si="53">IFERROR(AC517-3,AC517)</f>
        <v>-2</v>
      </c>
    </row>
    <row r="518" spans="1:31" ht="36" hidden="1" customHeight="1">
      <c r="A518" s="414"/>
      <c r="B518" s="429" t="s">
        <v>8407</v>
      </c>
      <c r="C518" s="429" t="s">
        <v>126</v>
      </c>
      <c r="D518" s="429" t="s">
        <v>600</v>
      </c>
      <c r="E518" s="429" t="s">
        <v>127</v>
      </c>
      <c r="F518" s="429" t="s">
        <v>42</v>
      </c>
      <c r="G518" s="433" t="s">
        <v>8430</v>
      </c>
      <c r="H518" s="429" t="s">
        <v>8431</v>
      </c>
      <c r="I518" s="433" t="s">
        <v>8432</v>
      </c>
      <c r="J518" s="599">
        <v>46235</v>
      </c>
      <c r="K518" s="429" t="s">
        <v>2493</v>
      </c>
      <c r="L518" s="436"/>
      <c r="M518" s="436" t="s">
        <v>62</v>
      </c>
      <c r="N518" s="433"/>
      <c r="O518" s="433" t="s">
        <v>85</v>
      </c>
      <c r="P518" s="429" t="s">
        <v>2494</v>
      </c>
      <c r="Q518" s="429" t="s">
        <v>2494</v>
      </c>
      <c r="R518" s="437" t="s">
        <v>8526</v>
      </c>
      <c r="S518" s="438">
        <v>46260</v>
      </c>
      <c r="T518" s="438">
        <v>46253</v>
      </c>
      <c r="U518" s="438"/>
      <c r="V518" s="438"/>
      <c r="W518" s="439">
        <v>46254</v>
      </c>
      <c r="X518" s="439">
        <v>46260</v>
      </c>
      <c r="Y518" s="420"/>
      <c r="Z518" s="224" t="str">
        <f t="shared" si="48"/>
        <v>AG. MEDIÇÃO</v>
      </c>
      <c r="AA518" s="207" t="str">
        <f t="shared" si="49"/>
        <v>ENTREGUE</v>
      </c>
      <c r="AB518" s="207" t="str">
        <f t="shared" si="50"/>
        <v>AG. MEDIÇÃO</v>
      </c>
      <c r="AC518" s="156">
        <f t="shared" ca="1" si="51"/>
        <v>1</v>
      </c>
      <c r="AD518" s="156" t="str">
        <f t="shared" ca="1" si="52"/>
        <v>NO PRAZO</v>
      </c>
      <c r="AE518" s="156">
        <f t="shared" ca="1" si="53"/>
        <v>-2</v>
      </c>
    </row>
    <row r="519" spans="1:31" ht="36" hidden="1" customHeight="1">
      <c r="A519" s="414"/>
      <c r="B519" s="466" t="s">
        <v>5847</v>
      </c>
      <c r="C519" s="466" t="s">
        <v>4873</v>
      </c>
      <c r="D519" s="466"/>
      <c r="E519" s="466"/>
      <c r="F519" s="466" t="s">
        <v>4875</v>
      </c>
      <c r="G519" s="475"/>
      <c r="H519" s="645" t="s">
        <v>5848</v>
      </c>
      <c r="I519" s="475" t="s">
        <v>5849</v>
      </c>
      <c r="J519" s="476">
        <v>45992</v>
      </c>
      <c r="K519" s="429" t="s">
        <v>2493</v>
      </c>
      <c r="L519" s="465"/>
      <c r="M519" s="477" t="s">
        <v>259</v>
      </c>
      <c r="N519" s="475"/>
      <c r="O519" s="479"/>
      <c r="P519" s="441" t="s">
        <v>2494</v>
      </c>
      <c r="Q519" s="441" t="s">
        <v>2494</v>
      </c>
      <c r="R519" s="479" t="s">
        <v>5188</v>
      </c>
      <c r="S519" s="480">
        <v>46055</v>
      </c>
      <c r="T519" s="480">
        <v>46001</v>
      </c>
      <c r="U519" s="480"/>
      <c r="V519" s="481"/>
      <c r="W519" s="481">
        <v>46009</v>
      </c>
      <c r="X519" s="447" t="s">
        <v>8044</v>
      </c>
      <c r="Y519" s="420"/>
      <c r="Z519" s="224" t="str">
        <f t="shared" si="48"/>
        <v>AG. MEDIÇÃO</v>
      </c>
      <c r="AA519" s="207" t="str">
        <f t="shared" si="49"/>
        <v>ENTREGUE</v>
      </c>
      <c r="AB519" s="207" t="str">
        <f t="shared" si="50"/>
        <v>AG. MEDIÇÃO</v>
      </c>
      <c r="AC519" s="156">
        <f t="shared" ca="1" si="51"/>
        <v>6</v>
      </c>
      <c r="AD519" s="156" t="str">
        <f t="shared" ca="1" si="52"/>
        <v>ATRASADO</v>
      </c>
      <c r="AE519" s="156">
        <f t="shared" ca="1" si="53"/>
        <v>3</v>
      </c>
    </row>
    <row r="520" spans="1:31" ht="36" hidden="1" customHeight="1">
      <c r="A520" s="414"/>
      <c r="B520" s="440" t="s">
        <v>4036</v>
      </c>
      <c r="C520" s="440" t="s">
        <v>496</v>
      </c>
      <c r="D520" s="440" t="s">
        <v>658</v>
      </c>
      <c r="E520" s="440" t="s">
        <v>497</v>
      </c>
      <c r="F520" s="440" t="s">
        <v>2559</v>
      </c>
      <c r="G520" s="441" t="s">
        <v>4037</v>
      </c>
      <c r="H520" s="440" t="s">
        <v>4038</v>
      </c>
      <c r="I520" s="441" t="s">
        <v>4039</v>
      </c>
      <c r="J520" s="450">
        <v>45474</v>
      </c>
      <c r="K520" s="429" t="s">
        <v>2493</v>
      </c>
      <c r="L520" s="444" t="s">
        <v>124</v>
      </c>
      <c r="M520" s="444" t="s">
        <v>827</v>
      </c>
      <c r="N520" s="441" t="s">
        <v>2572</v>
      </c>
      <c r="O520" s="445" t="s">
        <v>85</v>
      </c>
      <c r="P520" s="445"/>
      <c r="Q520" s="445">
        <v>350</v>
      </c>
      <c r="R520" s="445" t="s">
        <v>4040</v>
      </c>
      <c r="S520" s="446">
        <v>45497</v>
      </c>
      <c r="T520" s="446">
        <v>45492</v>
      </c>
      <c r="U520" s="446">
        <v>45494</v>
      </c>
      <c r="V520" s="447">
        <v>45497</v>
      </c>
      <c r="W520" s="447">
        <v>45497</v>
      </c>
      <c r="X520" s="447" t="s">
        <v>8044</v>
      </c>
      <c r="Y520" s="420"/>
      <c r="Z520" s="224" t="str">
        <f t="shared" si="48"/>
        <v>AG. MEDIÇÃO</v>
      </c>
      <c r="AA520" s="207" t="str">
        <f t="shared" si="49"/>
        <v>ENTREGUE</v>
      </c>
      <c r="AB520" s="207" t="str">
        <f t="shared" si="50"/>
        <v>AG. MEDIÇÃO</v>
      </c>
      <c r="AC520" s="156">
        <f t="shared" ca="1" si="51"/>
        <v>3</v>
      </c>
      <c r="AD520" s="156" t="str">
        <f t="shared" ca="1" si="52"/>
        <v>NO PRAZO</v>
      </c>
      <c r="AE520" s="156">
        <f t="shared" ca="1" si="53"/>
        <v>0</v>
      </c>
    </row>
    <row r="521" spans="1:31" ht="36" hidden="1" customHeight="1">
      <c r="A521" s="414"/>
      <c r="B521" s="429" t="s">
        <v>8444</v>
      </c>
      <c r="C521" s="429" t="s">
        <v>79</v>
      </c>
      <c r="D521" s="429" t="s">
        <v>1489</v>
      </c>
      <c r="E521" s="429" t="s">
        <v>619</v>
      </c>
      <c r="F521" s="429" t="s">
        <v>42</v>
      </c>
      <c r="G521" s="433" t="s">
        <v>8453</v>
      </c>
      <c r="H521" s="429" t="s">
        <v>8454</v>
      </c>
      <c r="I521" s="433" t="s">
        <v>8455</v>
      </c>
      <c r="J521" s="599">
        <v>46235</v>
      </c>
      <c r="K521" s="429" t="s">
        <v>2493</v>
      </c>
      <c r="L521" s="436"/>
      <c r="M521" s="436" t="s">
        <v>62</v>
      </c>
      <c r="N521" s="433"/>
      <c r="O521" s="433" t="s">
        <v>85</v>
      </c>
      <c r="P521" s="429">
        <v>40</v>
      </c>
      <c r="Q521" s="429">
        <v>40</v>
      </c>
      <c r="R521" s="437" t="s">
        <v>8536</v>
      </c>
      <c r="S521" s="438">
        <v>46261</v>
      </c>
      <c r="T521" s="438">
        <v>46253</v>
      </c>
      <c r="U521" s="438"/>
      <c r="V521" s="438"/>
      <c r="W521" s="439">
        <v>46254</v>
      </c>
      <c r="X521" s="439">
        <v>46261</v>
      </c>
      <c r="Y521" s="420"/>
      <c r="Z521" s="224" t="str">
        <f t="shared" si="48"/>
        <v>AG. MEDIÇÃO</v>
      </c>
      <c r="AA521" s="207" t="str">
        <f t="shared" si="49"/>
        <v>ENTREGUE</v>
      </c>
      <c r="AB521" s="207" t="str">
        <f t="shared" si="50"/>
        <v>AG. MEDIÇÃO</v>
      </c>
      <c r="AC521" s="156">
        <f t="shared" ca="1" si="51"/>
        <v>1</v>
      </c>
      <c r="AD521" s="156" t="str">
        <f t="shared" ca="1" si="52"/>
        <v>NO PRAZO</v>
      </c>
      <c r="AE521" s="156">
        <f t="shared" ca="1" si="53"/>
        <v>-2</v>
      </c>
    </row>
    <row r="522" spans="1:31" ht="36" hidden="1" customHeight="1">
      <c r="A522" s="414"/>
      <c r="B522" s="429" t="s">
        <v>7695</v>
      </c>
      <c r="C522" s="430" t="s">
        <v>79</v>
      </c>
      <c r="D522" s="431" t="s">
        <v>1489</v>
      </c>
      <c r="E522" s="432" t="s">
        <v>619</v>
      </c>
      <c r="F522" s="429" t="s">
        <v>42</v>
      </c>
      <c r="G522" s="434"/>
      <c r="H522" s="636" t="s">
        <v>7648</v>
      </c>
      <c r="I522" s="433" t="s">
        <v>7649</v>
      </c>
      <c r="J522" s="432">
        <v>46143</v>
      </c>
      <c r="K522" s="429" t="s">
        <v>2493</v>
      </c>
      <c r="L522" s="436"/>
      <c r="M522" s="436" t="s">
        <v>62</v>
      </c>
      <c r="N522" s="433"/>
      <c r="O522" s="437"/>
      <c r="P522" s="433" t="s">
        <v>2494</v>
      </c>
      <c r="Q522" s="437" t="s">
        <v>2494</v>
      </c>
      <c r="R522" s="437" t="s">
        <v>7003</v>
      </c>
      <c r="S522" s="438">
        <v>46191</v>
      </c>
      <c r="T522" s="438">
        <v>46169</v>
      </c>
      <c r="U522" s="438"/>
      <c r="V522" s="439"/>
      <c r="W522" s="439">
        <v>46170</v>
      </c>
      <c r="X522" s="439">
        <v>46191</v>
      </c>
      <c r="Y522" s="420"/>
      <c r="Z522" s="224" t="str">
        <f t="shared" si="48"/>
        <v>AG. MEDIÇÃO</v>
      </c>
      <c r="AA522" s="207" t="str">
        <f t="shared" si="49"/>
        <v>ENTREGUE</v>
      </c>
      <c r="AB522" s="207" t="str">
        <f t="shared" si="50"/>
        <v>AG. MEDIÇÃO</v>
      </c>
      <c r="AC522" s="156">
        <f t="shared" ca="1" si="51"/>
        <v>1</v>
      </c>
      <c r="AD522" s="156" t="str">
        <f t="shared" ca="1" si="52"/>
        <v>NO PRAZO</v>
      </c>
      <c r="AE522" s="156">
        <f t="shared" ca="1" si="53"/>
        <v>-2</v>
      </c>
    </row>
    <row r="523" spans="1:31" ht="36" hidden="1" customHeight="1">
      <c r="A523" s="414"/>
      <c r="B523" s="429" t="s">
        <v>7900</v>
      </c>
      <c r="C523" s="429" t="s">
        <v>1572</v>
      </c>
      <c r="D523" s="429" t="s">
        <v>7231</v>
      </c>
      <c r="E523" s="429" t="s">
        <v>1573</v>
      </c>
      <c r="F523" s="429" t="s">
        <v>427</v>
      </c>
      <c r="G523" s="433"/>
      <c r="H523" s="429" t="s">
        <v>7891</v>
      </c>
      <c r="I523" s="433" t="s">
        <v>7892</v>
      </c>
      <c r="J523" s="432">
        <v>46174</v>
      </c>
      <c r="K523" s="429" t="s">
        <v>2493</v>
      </c>
      <c r="L523" s="436"/>
      <c r="M523" s="436" t="s">
        <v>62</v>
      </c>
      <c r="N523" s="437"/>
      <c r="O523" s="437" t="s">
        <v>85</v>
      </c>
      <c r="P523" s="437" t="s">
        <v>2494</v>
      </c>
      <c r="Q523" s="433" t="s">
        <v>2494</v>
      </c>
      <c r="R523" s="499" t="s">
        <v>8057</v>
      </c>
      <c r="S523" s="438">
        <v>46211</v>
      </c>
      <c r="T523" s="438">
        <v>46192</v>
      </c>
      <c r="U523" s="438"/>
      <c r="V523" s="438"/>
      <c r="W523" s="439">
        <v>46197</v>
      </c>
      <c r="X523" s="439">
        <v>46211</v>
      </c>
      <c r="Y523" s="420"/>
      <c r="Z523" s="224" t="str">
        <f t="shared" si="48"/>
        <v>AG. MEDIÇÃO</v>
      </c>
      <c r="AA523" s="207" t="str">
        <f t="shared" si="49"/>
        <v>ENTREGUE</v>
      </c>
      <c r="AB523" s="207" t="str">
        <f t="shared" si="50"/>
        <v>AG. MEDIÇÃO</v>
      </c>
      <c r="AC523" s="156">
        <f t="shared" ca="1" si="51"/>
        <v>3</v>
      </c>
      <c r="AD523" s="156" t="str">
        <f t="shared" ca="1" si="52"/>
        <v>NO PRAZO</v>
      </c>
      <c r="AE523" s="156">
        <f t="shared" ca="1" si="53"/>
        <v>0</v>
      </c>
    </row>
    <row r="524" spans="1:31" ht="36" hidden="1" customHeight="1">
      <c r="A524" s="414"/>
      <c r="B524" s="440" t="s">
        <v>5256</v>
      </c>
      <c r="C524" s="440" t="s">
        <v>2531</v>
      </c>
      <c r="D524" s="440"/>
      <c r="E524" s="440"/>
      <c r="F524" s="440" t="s">
        <v>5252</v>
      </c>
      <c r="G524" s="441"/>
      <c r="H524" s="440" t="s">
        <v>5257</v>
      </c>
      <c r="I524" s="441" t="s">
        <v>5258</v>
      </c>
      <c r="J524" s="450">
        <v>45778</v>
      </c>
      <c r="K524" s="429" t="s">
        <v>2493</v>
      </c>
      <c r="L524" s="444"/>
      <c r="M524" s="444" t="s">
        <v>5259</v>
      </c>
      <c r="N524" s="441"/>
      <c r="O524" s="445"/>
      <c r="P524" s="441" t="s">
        <v>2494</v>
      </c>
      <c r="Q524" s="445" t="s">
        <v>2494</v>
      </c>
      <c r="R524" s="445" t="s">
        <v>2861</v>
      </c>
      <c r="S524" s="446">
        <v>45826</v>
      </c>
      <c r="T524" s="446">
        <v>45804</v>
      </c>
      <c r="U524" s="446"/>
      <c r="V524" s="447"/>
      <c r="W524" s="447">
        <v>45811</v>
      </c>
      <c r="X524" s="447" t="s">
        <v>8044</v>
      </c>
      <c r="Y524" s="420"/>
      <c r="Z524" s="224" t="str">
        <f t="shared" si="48"/>
        <v>AG. MEDIÇÃO</v>
      </c>
      <c r="AA524" s="207" t="str">
        <f t="shared" si="49"/>
        <v>ENTREGUE</v>
      </c>
      <c r="AB524" s="207" t="str">
        <f t="shared" si="50"/>
        <v>AG. MEDIÇÃO</v>
      </c>
      <c r="AC524" s="156">
        <f t="shared" ca="1" si="51"/>
        <v>5</v>
      </c>
      <c r="AD524" s="156" t="str">
        <f t="shared" ca="1" si="52"/>
        <v>ATRASADO</v>
      </c>
      <c r="AE524" s="156">
        <f t="shared" ca="1" si="53"/>
        <v>2</v>
      </c>
    </row>
    <row r="525" spans="1:31" ht="36" hidden="1" customHeight="1">
      <c r="A525" s="414"/>
      <c r="B525" s="429" t="s">
        <v>7992</v>
      </c>
      <c r="C525" s="429" t="s">
        <v>79</v>
      </c>
      <c r="D525" s="429" t="s">
        <v>1967</v>
      </c>
      <c r="E525" s="429" t="s">
        <v>619</v>
      </c>
      <c r="F525" s="429" t="s">
        <v>42</v>
      </c>
      <c r="G525" s="433" t="s">
        <v>8017</v>
      </c>
      <c r="H525" s="429" t="s">
        <v>8018</v>
      </c>
      <c r="I525" s="433" t="s">
        <v>8019</v>
      </c>
      <c r="J525" s="432">
        <v>46204</v>
      </c>
      <c r="K525" s="429" t="s">
        <v>2493</v>
      </c>
      <c r="L525" s="436"/>
      <c r="M525" s="436" t="s">
        <v>62</v>
      </c>
      <c r="N525" s="437"/>
      <c r="O525" s="437" t="s">
        <v>85</v>
      </c>
      <c r="P525" s="437" t="s">
        <v>2494</v>
      </c>
      <c r="Q525" s="433" t="s">
        <v>2494</v>
      </c>
      <c r="R525" s="499" t="s">
        <v>7924</v>
      </c>
      <c r="S525" s="438">
        <v>46212</v>
      </c>
      <c r="T525" s="438">
        <v>46205</v>
      </c>
      <c r="U525" s="438"/>
      <c r="V525" s="438"/>
      <c r="W525" s="439">
        <v>46206</v>
      </c>
      <c r="X525" s="439">
        <v>46212</v>
      </c>
      <c r="Y525" s="420"/>
      <c r="Z525" s="224" t="str">
        <f t="shared" si="48"/>
        <v>AG. MEDIÇÃO</v>
      </c>
      <c r="AA525" s="207" t="str">
        <f t="shared" si="49"/>
        <v>ENTREGUE</v>
      </c>
      <c r="AB525" s="207" t="str">
        <f t="shared" si="50"/>
        <v>AG. MEDIÇÃO</v>
      </c>
      <c r="AC525" s="156">
        <f t="shared" ca="1" si="51"/>
        <v>1</v>
      </c>
      <c r="AD525" s="156" t="str">
        <f t="shared" ca="1" si="52"/>
        <v>NO PRAZO</v>
      </c>
      <c r="AE525" s="156">
        <f t="shared" ca="1" si="53"/>
        <v>-2</v>
      </c>
    </row>
    <row r="526" spans="1:31" ht="36" hidden="1" customHeight="1">
      <c r="A526" s="414"/>
      <c r="B526" s="429" t="s">
        <v>8124</v>
      </c>
      <c r="C526" s="429" t="s">
        <v>79</v>
      </c>
      <c r="D526" s="429" t="s">
        <v>6893</v>
      </c>
      <c r="E526" s="429" t="s">
        <v>619</v>
      </c>
      <c r="F526" s="429" t="s">
        <v>42</v>
      </c>
      <c r="G526" s="433" t="s">
        <v>8147</v>
      </c>
      <c r="H526" s="429" t="s">
        <v>8148</v>
      </c>
      <c r="I526" s="433" t="s">
        <v>8149</v>
      </c>
      <c r="J526" s="432">
        <v>46204</v>
      </c>
      <c r="K526" s="429" t="s">
        <v>2493</v>
      </c>
      <c r="L526" s="436"/>
      <c r="M526" s="436" t="s">
        <v>8191</v>
      </c>
      <c r="N526" s="437"/>
      <c r="O526" s="437" t="s">
        <v>85</v>
      </c>
      <c r="P526" s="437" t="s">
        <v>2494</v>
      </c>
      <c r="Q526" s="433" t="s">
        <v>2494</v>
      </c>
      <c r="R526" s="499" t="s">
        <v>8195</v>
      </c>
      <c r="S526" s="438">
        <v>46227</v>
      </c>
      <c r="T526" s="438">
        <v>46219</v>
      </c>
      <c r="U526" s="438"/>
      <c r="V526" s="438"/>
      <c r="W526" s="439">
        <v>46226</v>
      </c>
      <c r="X526" s="439">
        <v>46227</v>
      </c>
      <c r="Y526" s="420"/>
      <c r="Z526" s="224" t="str">
        <f t="shared" si="48"/>
        <v>AG. MEDIÇÃO</v>
      </c>
      <c r="AA526" s="207" t="str">
        <f t="shared" si="49"/>
        <v>ENTREGUE</v>
      </c>
      <c r="AB526" s="207" t="str">
        <f t="shared" si="50"/>
        <v>AG. MEDIÇÃO</v>
      </c>
      <c r="AC526" s="156">
        <f t="shared" ca="1" si="51"/>
        <v>5</v>
      </c>
      <c r="AD526" s="156" t="str">
        <f t="shared" ca="1" si="52"/>
        <v>ATRASADO</v>
      </c>
      <c r="AE526" s="156">
        <f t="shared" ca="1" si="53"/>
        <v>2</v>
      </c>
    </row>
    <row r="527" spans="1:31" ht="36" hidden="1" customHeight="1">
      <c r="A527" s="414"/>
      <c r="B527" s="440" t="s">
        <v>3196</v>
      </c>
      <c r="C527" s="440" t="s">
        <v>989</v>
      </c>
      <c r="D527" s="440"/>
      <c r="E527" s="440"/>
      <c r="F527" s="440" t="s">
        <v>42</v>
      </c>
      <c r="G527" s="441" t="s">
        <v>3197</v>
      </c>
      <c r="H527" s="440" t="s">
        <v>3198</v>
      </c>
      <c r="I527" s="449"/>
      <c r="J527" s="450">
        <v>45231</v>
      </c>
      <c r="K527" s="429" t="s">
        <v>2493</v>
      </c>
      <c r="L527" s="444"/>
      <c r="M527" s="444" t="s">
        <v>51</v>
      </c>
      <c r="N527" s="441" t="s">
        <v>2572</v>
      </c>
      <c r="O527" s="445" t="s">
        <v>85</v>
      </c>
      <c r="P527" s="441" t="s">
        <v>2494</v>
      </c>
      <c r="Q527" s="441" t="s">
        <v>2494</v>
      </c>
      <c r="R527" s="445" t="s">
        <v>3199</v>
      </c>
      <c r="S527" s="446">
        <v>45250</v>
      </c>
      <c r="T527" s="446">
        <v>45237</v>
      </c>
      <c r="U527" s="446"/>
      <c r="V527" s="446">
        <v>45240</v>
      </c>
      <c r="W527" s="446">
        <v>45240</v>
      </c>
      <c r="X527" s="447" t="s">
        <v>8044</v>
      </c>
      <c r="Y527" s="420"/>
      <c r="Z527" s="224" t="str">
        <f t="shared" si="48"/>
        <v>AG. MEDIÇÃO</v>
      </c>
      <c r="AA527" s="207" t="str">
        <f t="shared" si="49"/>
        <v>ENTREGUE</v>
      </c>
      <c r="AB527" s="207" t="str">
        <f t="shared" si="50"/>
        <v>AG. MEDIÇÃO</v>
      </c>
      <c r="AC527" s="156">
        <f t="shared" ca="1" si="51"/>
        <v>3</v>
      </c>
      <c r="AD527" s="156" t="str">
        <f t="shared" ca="1" si="52"/>
        <v>NO PRAZO</v>
      </c>
      <c r="AE527" s="156">
        <f t="shared" ca="1" si="53"/>
        <v>0</v>
      </c>
    </row>
    <row r="528" spans="1:31" ht="36" hidden="1" customHeight="1">
      <c r="A528" s="414"/>
      <c r="B528" s="429" t="s">
        <v>8408</v>
      </c>
      <c r="C528" s="429" t="s">
        <v>79</v>
      </c>
      <c r="D528" s="429" t="s">
        <v>79</v>
      </c>
      <c r="E528" s="429" t="s">
        <v>619</v>
      </c>
      <c r="F528" s="429" t="s">
        <v>42</v>
      </c>
      <c r="G528" s="433" t="s">
        <v>8433</v>
      </c>
      <c r="H528" s="429" t="s">
        <v>8434</v>
      </c>
      <c r="I528" s="433" t="s">
        <v>8435</v>
      </c>
      <c r="J528" s="599">
        <v>46235</v>
      </c>
      <c r="K528" s="429" t="s">
        <v>2493</v>
      </c>
      <c r="L528" s="436"/>
      <c r="M528" s="436" t="s">
        <v>8436</v>
      </c>
      <c r="N528" s="433"/>
      <c r="O528" s="433" t="s">
        <v>85</v>
      </c>
      <c r="P528" s="429" t="s">
        <v>2494</v>
      </c>
      <c r="Q528" s="429" t="s">
        <v>2494</v>
      </c>
      <c r="R528" s="437" t="s">
        <v>8527</v>
      </c>
      <c r="S528" s="438" t="s">
        <v>4820</v>
      </c>
      <c r="T528" s="438">
        <v>46253</v>
      </c>
      <c r="U528" s="438"/>
      <c r="V528" s="438"/>
      <c r="W528" s="439">
        <v>46253</v>
      </c>
      <c r="X528" s="439" t="s">
        <v>8044</v>
      </c>
      <c r="Y528" s="420"/>
      <c r="Z528" s="224" t="str">
        <f t="shared" si="48"/>
        <v>AG. MEDIÇÃO</v>
      </c>
      <c r="AA528" s="207" t="str">
        <f t="shared" si="49"/>
        <v>ENTREGUE</v>
      </c>
      <c r="AB528" s="207" t="str">
        <f t="shared" si="50"/>
        <v>AG. MEDIÇÃO</v>
      </c>
      <c r="AC528" s="156">
        <f t="shared" ca="1" si="51"/>
        <v>0</v>
      </c>
      <c r="AD528" s="156" t="str">
        <f t="shared" ca="1" si="52"/>
        <v>NO PRAZO</v>
      </c>
      <c r="AE528" s="156">
        <f t="shared" ca="1" si="53"/>
        <v>-3</v>
      </c>
    </row>
    <row r="529" spans="1:31" ht="36" hidden="1" customHeight="1">
      <c r="A529" s="414"/>
      <c r="B529" s="440" t="s">
        <v>4739</v>
      </c>
      <c r="C529" s="440" t="s">
        <v>315</v>
      </c>
      <c r="D529" s="440" t="s">
        <v>1527</v>
      </c>
      <c r="E529" s="440" t="s">
        <v>316</v>
      </c>
      <c r="F529" s="440" t="s">
        <v>42</v>
      </c>
      <c r="G529" s="441"/>
      <c r="H529" s="440" t="s">
        <v>4740</v>
      </c>
      <c r="I529" s="441" t="s">
        <v>4741</v>
      </c>
      <c r="J529" s="450">
        <v>45658</v>
      </c>
      <c r="K529" s="450" t="s">
        <v>2493</v>
      </c>
      <c r="L529" s="444" t="s">
        <v>1598</v>
      </c>
      <c r="M529" s="444" t="s">
        <v>1598</v>
      </c>
      <c r="N529" s="441" t="s">
        <v>4742</v>
      </c>
      <c r="O529" s="445"/>
      <c r="P529" s="445">
        <v>890</v>
      </c>
      <c r="Q529" s="445">
        <v>997</v>
      </c>
      <c r="R529" s="445" t="s">
        <v>4743</v>
      </c>
      <c r="S529" s="446">
        <v>45734</v>
      </c>
      <c r="T529" s="446">
        <v>45687</v>
      </c>
      <c r="U529" s="446">
        <v>45692</v>
      </c>
      <c r="V529" s="447">
        <v>45691</v>
      </c>
      <c r="W529" s="447">
        <v>45694</v>
      </c>
      <c r="X529" s="447" t="s">
        <v>8044</v>
      </c>
      <c r="Y529" s="420"/>
      <c r="Z529" s="224" t="str">
        <f t="shared" si="48"/>
        <v>AG. MEDIÇÃO</v>
      </c>
      <c r="AA529" s="207" t="str">
        <f t="shared" si="49"/>
        <v>ENTREGUE</v>
      </c>
      <c r="AB529" s="207" t="str">
        <f t="shared" si="50"/>
        <v>AG. MEDIÇÃO</v>
      </c>
      <c r="AC529" s="156">
        <f t="shared" ca="1" si="51"/>
        <v>5</v>
      </c>
      <c r="AD529" s="156" t="str">
        <f t="shared" ca="1" si="52"/>
        <v>ATRASADO</v>
      </c>
      <c r="AE529" s="156">
        <f t="shared" ca="1" si="53"/>
        <v>2</v>
      </c>
    </row>
    <row r="530" spans="1:31" ht="36" hidden="1" customHeight="1">
      <c r="A530" s="414"/>
      <c r="B530" s="466" t="s">
        <v>2508</v>
      </c>
      <c r="C530" s="486" t="s">
        <v>126</v>
      </c>
      <c r="D530" s="466" t="s">
        <v>128</v>
      </c>
      <c r="E530" s="466" t="s">
        <v>127</v>
      </c>
      <c r="F530" s="466" t="s">
        <v>42</v>
      </c>
      <c r="G530" s="475"/>
      <c r="H530" s="643" t="s">
        <v>2509</v>
      </c>
      <c r="I530" s="475" t="s">
        <v>2510</v>
      </c>
      <c r="J530" s="476">
        <v>45931</v>
      </c>
      <c r="K530" s="429" t="s">
        <v>2493</v>
      </c>
      <c r="L530" s="477"/>
      <c r="M530" s="477"/>
      <c r="N530" s="475"/>
      <c r="O530" s="479"/>
      <c r="P530" s="475"/>
      <c r="Q530" s="479"/>
      <c r="R530" s="479" t="s">
        <v>2511</v>
      </c>
      <c r="S530" s="480" t="s">
        <v>128</v>
      </c>
      <c r="T530" s="480"/>
      <c r="U530" s="480"/>
      <c r="V530" s="481"/>
      <c r="W530" s="481"/>
      <c r="X530" s="447" t="s">
        <v>8044</v>
      </c>
      <c r="Y530" s="420"/>
      <c r="Z530" s="224" t="str">
        <f t="shared" si="48"/>
        <v>AG. MEDIÇÃO</v>
      </c>
      <c r="AA530" s="207" t="str">
        <f t="shared" si="49"/>
        <v>ENTREGUE</v>
      </c>
      <c r="AB530" s="207" t="str">
        <f t="shared" si="50"/>
        <v>AG. MEDIÇÃO</v>
      </c>
      <c r="AC530" s="156" t="str">
        <f t="shared" ca="1" si="51"/>
        <v>DATA ENTRADA</v>
      </c>
      <c r="AD530" s="156" t="str">
        <f t="shared" ca="1" si="52"/>
        <v>ATRASADO</v>
      </c>
      <c r="AE530" s="156" t="str">
        <f t="shared" ca="1" si="53"/>
        <v>DATA ENTRADA</v>
      </c>
    </row>
    <row r="531" spans="1:31" ht="36" hidden="1" customHeight="1">
      <c r="A531" s="414"/>
      <c r="B531" s="429" t="s">
        <v>7371</v>
      </c>
      <c r="C531" s="429" t="s">
        <v>126</v>
      </c>
      <c r="D531" s="429" t="s">
        <v>128</v>
      </c>
      <c r="E531" s="429" t="s">
        <v>127</v>
      </c>
      <c r="F531" s="429" t="s">
        <v>42</v>
      </c>
      <c r="G531" s="433"/>
      <c r="H531" s="652" t="s">
        <v>7330</v>
      </c>
      <c r="I531" s="433" t="s">
        <v>7331</v>
      </c>
      <c r="J531" s="432">
        <v>46113</v>
      </c>
      <c r="K531" s="429" t="s">
        <v>2493</v>
      </c>
      <c r="L531" s="436"/>
      <c r="M531" s="436" t="s">
        <v>94</v>
      </c>
      <c r="N531" s="433"/>
      <c r="O531" s="437"/>
      <c r="P531" s="433" t="s">
        <v>2494</v>
      </c>
      <c r="Q531" s="437" t="s">
        <v>2494</v>
      </c>
      <c r="R531" s="437" t="s">
        <v>7410</v>
      </c>
      <c r="S531" s="438">
        <v>46147</v>
      </c>
      <c r="T531" s="438">
        <v>46136</v>
      </c>
      <c r="U531" s="438"/>
      <c r="V531" s="439"/>
      <c r="W531" s="439">
        <v>46137</v>
      </c>
      <c r="X531" s="439">
        <v>46147</v>
      </c>
      <c r="Y531" s="420"/>
      <c r="Z531" s="224" t="str">
        <f t="shared" si="48"/>
        <v>AG. MEDIÇÃO</v>
      </c>
      <c r="AA531" s="207" t="str">
        <f t="shared" si="49"/>
        <v>ENTREGUE</v>
      </c>
      <c r="AB531" s="207" t="str">
        <f t="shared" si="50"/>
        <v>AG. MEDIÇÃO</v>
      </c>
      <c r="AC531" s="156">
        <f t="shared" ca="1" si="51"/>
        <v>0</v>
      </c>
      <c r="AD531" s="156" t="str">
        <f t="shared" ca="1" si="52"/>
        <v>NO PRAZO</v>
      </c>
      <c r="AE531" s="156">
        <f t="shared" ca="1" si="53"/>
        <v>-3</v>
      </c>
    </row>
    <row r="532" spans="1:31" ht="36" hidden="1" customHeight="1">
      <c r="A532" s="414"/>
      <c r="B532" s="440" t="s">
        <v>4537</v>
      </c>
      <c r="C532" s="440" t="s">
        <v>311</v>
      </c>
      <c r="D532" s="440" t="s">
        <v>931</v>
      </c>
      <c r="E532" s="440" t="s">
        <v>312</v>
      </c>
      <c r="F532" s="440" t="s">
        <v>42</v>
      </c>
      <c r="G532" s="440" t="s">
        <v>4538</v>
      </c>
      <c r="H532" s="440" t="s">
        <v>4539</v>
      </c>
      <c r="I532" s="441" t="s">
        <v>4540</v>
      </c>
      <c r="J532" s="450">
        <v>45566</v>
      </c>
      <c r="K532" s="429" t="s">
        <v>2493</v>
      </c>
      <c r="L532" s="444"/>
      <c r="M532" s="444" t="s">
        <v>132</v>
      </c>
      <c r="N532" s="441" t="s">
        <v>2572</v>
      </c>
      <c r="O532" s="445" t="s">
        <v>3350</v>
      </c>
      <c r="P532" s="441" t="s">
        <v>2494</v>
      </c>
      <c r="Q532" s="441" t="s">
        <v>2494</v>
      </c>
      <c r="R532" s="445" t="s">
        <v>4541</v>
      </c>
      <c r="S532" s="446">
        <v>45608</v>
      </c>
      <c r="T532" s="446">
        <v>45595</v>
      </c>
      <c r="U532" s="446"/>
      <c r="V532" s="447"/>
      <c r="W532" s="447">
        <v>45601</v>
      </c>
      <c r="X532" s="447" t="s">
        <v>8044</v>
      </c>
      <c r="Y532" s="420"/>
      <c r="Z532" s="224" t="str">
        <f t="shared" si="48"/>
        <v>AG. MEDIÇÃO</v>
      </c>
      <c r="AA532" s="207" t="str">
        <f t="shared" si="49"/>
        <v>ENTREGUE</v>
      </c>
      <c r="AB532" s="207" t="str">
        <f t="shared" si="50"/>
        <v>AG. MEDIÇÃO</v>
      </c>
      <c r="AC532" s="156">
        <f t="shared" ca="1" si="51"/>
        <v>4</v>
      </c>
      <c r="AD532" s="156" t="str">
        <f t="shared" ca="1" si="52"/>
        <v>ATRASADO</v>
      </c>
      <c r="AE532" s="156">
        <f t="shared" ca="1" si="53"/>
        <v>1</v>
      </c>
    </row>
    <row r="533" spans="1:31" ht="36" hidden="1" customHeight="1">
      <c r="A533" s="414"/>
      <c r="B533" s="429" t="s">
        <v>7642</v>
      </c>
      <c r="C533" s="430" t="s">
        <v>353</v>
      </c>
      <c r="D533" s="429" t="s">
        <v>355</v>
      </c>
      <c r="E533" s="429" t="s">
        <v>354</v>
      </c>
      <c r="F533" s="429" t="s">
        <v>42</v>
      </c>
      <c r="G533" s="434"/>
      <c r="H533" s="636" t="s">
        <v>7608</v>
      </c>
      <c r="I533" s="433" t="s">
        <v>7609</v>
      </c>
      <c r="J533" s="432">
        <v>46143</v>
      </c>
      <c r="K533" s="429" t="s">
        <v>2493</v>
      </c>
      <c r="L533" s="487"/>
      <c r="M533" s="436" t="s">
        <v>77</v>
      </c>
      <c r="N533" s="433"/>
      <c r="O533" s="437"/>
      <c r="P533" s="433" t="s">
        <v>2494</v>
      </c>
      <c r="Q533" s="437" t="s">
        <v>2494</v>
      </c>
      <c r="R533" s="437" t="s">
        <v>7003</v>
      </c>
      <c r="S533" s="438">
        <v>46167</v>
      </c>
      <c r="T533" s="438">
        <v>46162</v>
      </c>
      <c r="U533" s="438"/>
      <c r="V533" s="439"/>
      <c r="W533" s="439">
        <v>46162</v>
      </c>
      <c r="X533" s="439">
        <v>46167</v>
      </c>
      <c r="Y533" s="420"/>
      <c r="Z533" s="224" t="str">
        <f t="shared" si="48"/>
        <v>AG. MEDIÇÃO</v>
      </c>
      <c r="AA533" s="207" t="str">
        <f t="shared" si="49"/>
        <v>ENTREGUE</v>
      </c>
      <c r="AB533" s="207" t="str">
        <f t="shared" si="50"/>
        <v>AG. MEDIÇÃO</v>
      </c>
      <c r="AC533" s="156">
        <f t="shared" ca="1" si="51"/>
        <v>0</v>
      </c>
      <c r="AD533" s="156" t="str">
        <f t="shared" ca="1" si="52"/>
        <v>NO PRAZO</v>
      </c>
      <c r="AE533" s="156">
        <f t="shared" ca="1" si="53"/>
        <v>-3</v>
      </c>
    </row>
    <row r="534" spans="1:31" ht="36" hidden="1" customHeight="1">
      <c r="A534" s="414"/>
      <c r="B534" s="440" t="s">
        <v>4253</v>
      </c>
      <c r="C534" s="440" t="s">
        <v>54</v>
      </c>
      <c r="D534" s="440" t="s">
        <v>286</v>
      </c>
      <c r="E534" s="440" t="s">
        <v>55</v>
      </c>
      <c r="F534" s="440" t="s">
        <v>42</v>
      </c>
      <c r="G534" s="441" t="s">
        <v>3348</v>
      </c>
      <c r="H534" s="440" t="s">
        <v>4254</v>
      </c>
      <c r="I534" s="441" t="s">
        <v>4255</v>
      </c>
      <c r="J534" s="450">
        <v>45505</v>
      </c>
      <c r="K534" s="429" t="s">
        <v>2493</v>
      </c>
      <c r="L534" s="444" t="s">
        <v>124</v>
      </c>
      <c r="M534" s="444" t="s">
        <v>774</v>
      </c>
      <c r="N534" s="441" t="s">
        <v>2572</v>
      </c>
      <c r="O534" s="445" t="s">
        <v>85</v>
      </c>
      <c r="P534" s="445"/>
      <c r="Q534" s="445">
        <v>510</v>
      </c>
      <c r="R534" s="445" t="s">
        <v>4256</v>
      </c>
      <c r="S534" s="446">
        <v>45545</v>
      </c>
      <c r="T534" s="446">
        <v>45531</v>
      </c>
      <c r="U534" s="446">
        <v>45534</v>
      </c>
      <c r="V534" s="447" t="s">
        <v>4257</v>
      </c>
      <c r="W534" s="447">
        <v>45535</v>
      </c>
      <c r="X534" s="447" t="s">
        <v>8044</v>
      </c>
      <c r="Y534" s="420"/>
      <c r="Z534" s="224" t="str">
        <f t="shared" si="48"/>
        <v>AG. MEDIÇÃO</v>
      </c>
      <c r="AA534" s="207" t="str">
        <f t="shared" si="49"/>
        <v>ENTREGUE</v>
      </c>
      <c r="AB534" s="207" t="str">
        <f t="shared" si="50"/>
        <v>AG. MEDIÇÃO</v>
      </c>
      <c r="AC534" s="156">
        <f t="shared" ca="1" si="51"/>
        <v>3</v>
      </c>
      <c r="AD534" s="156" t="str">
        <f t="shared" ca="1" si="52"/>
        <v>NO PRAZO</v>
      </c>
      <c r="AE534" s="156">
        <f t="shared" ca="1" si="53"/>
        <v>0</v>
      </c>
    </row>
    <row r="535" spans="1:31" ht="36" hidden="1" customHeight="1">
      <c r="A535" s="414"/>
      <c r="B535" s="440" t="s">
        <v>4258</v>
      </c>
      <c r="C535" s="440" t="s">
        <v>54</v>
      </c>
      <c r="D535" s="440" t="s">
        <v>286</v>
      </c>
      <c r="E535" s="440" t="s">
        <v>55</v>
      </c>
      <c r="F535" s="440" t="s">
        <v>42</v>
      </c>
      <c r="G535" s="441" t="s">
        <v>3348</v>
      </c>
      <c r="H535" s="440" t="s">
        <v>4259</v>
      </c>
      <c r="I535" s="441" t="s">
        <v>4260</v>
      </c>
      <c r="J535" s="450">
        <v>45505</v>
      </c>
      <c r="K535" s="429" t="s">
        <v>2493</v>
      </c>
      <c r="L535" s="444" t="s">
        <v>124</v>
      </c>
      <c r="M535" s="444" t="s">
        <v>774</v>
      </c>
      <c r="N535" s="441" t="s">
        <v>2572</v>
      </c>
      <c r="O535" s="445" t="s">
        <v>85</v>
      </c>
      <c r="P535" s="445"/>
      <c r="Q535" s="445">
        <v>118</v>
      </c>
      <c r="R535" s="445" t="s">
        <v>4261</v>
      </c>
      <c r="S535" s="446">
        <v>45545</v>
      </c>
      <c r="T535" s="446">
        <v>45531</v>
      </c>
      <c r="U535" s="446">
        <v>45536</v>
      </c>
      <c r="V535" s="447">
        <v>45536</v>
      </c>
      <c r="W535" s="447">
        <v>45536</v>
      </c>
      <c r="X535" s="447" t="s">
        <v>8044</v>
      </c>
      <c r="Y535" s="420"/>
      <c r="Z535" s="224" t="str">
        <f t="shared" si="48"/>
        <v>AG. MEDIÇÃO</v>
      </c>
      <c r="AA535" s="207" t="str">
        <f t="shared" si="49"/>
        <v>ENTREGUE</v>
      </c>
      <c r="AB535" s="207" t="str">
        <f t="shared" si="50"/>
        <v>AG. MEDIÇÃO</v>
      </c>
      <c r="AC535" s="156">
        <f t="shared" ca="1" si="51"/>
        <v>3</v>
      </c>
      <c r="AD535" s="156" t="str">
        <f t="shared" ca="1" si="52"/>
        <v>NO PRAZO</v>
      </c>
      <c r="AE535" s="156">
        <f t="shared" ca="1" si="53"/>
        <v>0</v>
      </c>
    </row>
    <row r="536" spans="1:31" ht="36" hidden="1" customHeight="1">
      <c r="A536" s="414"/>
      <c r="B536" s="429" t="s">
        <v>7738</v>
      </c>
      <c r="C536" s="430" t="s">
        <v>248</v>
      </c>
      <c r="D536" s="430" t="s">
        <v>7227</v>
      </c>
      <c r="E536" s="432" t="s">
        <v>8008</v>
      </c>
      <c r="F536" s="429" t="s">
        <v>42</v>
      </c>
      <c r="G536" s="434"/>
      <c r="H536" s="636" t="s">
        <v>7704</v>
      </c>
      <c r="I536" s="433" t="s">
        <v>7705</v>
      </c>
      <c r="J536" s="432">
        <v>46174</v>
      </c>
      <c r="K536" s="429" t="s">
        <v>2493</v>
      </c>
      <c r="L536" s="436"/>
      <c r="M536" s="436" t="s">
        <v>76</v>
      </c>
      <c r="N536" s="433"/>
      <c r="O536" s="437" t="s">
        <v>85</v>
      </c>
      <c r="P536" s="433">
        <v>95</v>
      </c>
      <c r="Q536" s="437">
        <v>95</v>
      </c>
      <c r="R536" s="437" t="s">
        <v>8009</v>
      </c>
      <c r="S536" s="438">
        <v>46227</v>
      </c>
      <c r="T536" s="438">
        <v>46178</v>
      </c>
      <c r="U536" s="438"/>
      <c r="V536" s="439"/>
      <c r="W536" s="439">
        <v>46184</v>
      </c>
      <c r="X536" s="439">
        <v>46205</v>
      </c>
      <c r="Y536" s="420"/>
      <c r="Z536" s="224" t="str">
        <f t="shared" si="48"/>
        <v>AG. MEDIÇÃO</v>
      </c>
      <c r="AA536" s="207" t="str">
        <f t="shared" si="49"/>
        <v>ENTREGUE</v>
      </c>
      <c r="AB536" s="207" t="str">
        <f t="shared" si="50"/>
        <v>AG. MEDIÇÃO</v>
      </c>
      <c r="AC536" s="156">
        <f t="shared" ca="1" si="51"/>
        <v>4</v>
      </c>
      <c r="AD536" s="156" t="str">
        <f t="shared" ca="1" si="52"/>
        <v>ATRASADO</v>
      </c>
      <c r="AE536" s="156">
        <f t="shared" ca="1" si="53"/>
        <v>1</v>
      </c>
    </row>
    <row r="537" spans="1:31" ht="36" hidden="1" customHeight="1">
      <c r="A537" s="414"/>
      <c r="B537" s="440" t="s">
        <v>4117</v>
      </c>
      <c r="C537" s="440" t="s">
        <v>104</v>
      </c>
      <c r="D537" s="440" t="s">
        <v>319</v>
      </c>
      <c r="E537" s="440" t="s">
        <v>105</v>
      </c>
      <c r="F537" s="440" t="s">
        <v>42</v>
      </c>
      <c r="G537" s="441" t="s">
        <v>4118</v>
      </c>
      <c r="H537" s="440" t="s">
        <v>4119</v>
      </c>
      <c r="I537" s="441" t="s">
        <v>4120</v>
      </c>
      <c r="J537" s="450">
        <v>45505</v>
      </c>
      <c r="K537" s="429" t="s">
        <v>2493</v>
      </c>
      <c r="L537" s="444"/>
      <c r="M537" s="444" t="s">
        <v>714</v>
      </c>
      <c r="N537" s="441" t="s">
        <v>2572</v>
      </c>
      <c r="O537" s="445" t="s">
        <v>85</v>
      </c>
      <c r="P537" s="441" t="s">
        <v>2494</v>
      </c>
      <c r="Q537" s="441" t="s">
        <v>2494</v>
      </c>
      <c r="R537" s="445" t="s">
        <v>4121</v>
      </c>
      <c r="S537" s="446">
        <v>45532</v>
      </c>
      <c r="T537" s="446">
        <v>45505</v>
      </c>
      <c r="U537" s="446">
        <v>45513</v>
      </c>
      <c r="V537" s="446">
        <v>45513</v>
      </c>
      <c r="W537" s="446">
        <v>45513</v>
      </c>
      <c r="X537" s="447" t="s">
        <v>8044</v>
      </c>
      <c r="Y537" s="420"/>
      <c r="Z537" s="224" t="str">
        <f t="shared" si="48"/>
        <v>AG. MEDIÇÃO</v>
      </c>
      <c r="AA537" s="207" t="str">
        <f t="shared" si="49"/>
        <v>ENTREGUE</v>
      </c>
      <c r="AB537" s="207" t="str">
        <f t="shared" si="50"/>
        <v>AG. MEDIÇÃO</v>
      </c>
      <c r="AC537" s="156">
        <f t="shared" ca="1" si="51"/>
        <v>6</v>
      </c>
      <c r="AD537" s="156" t="str">
        <f t="shared" ca="1" si="52"/>
        <v>ATRASADO</v>
      </c>
      <c r="AE537" s="156">
        <f t="shared" ca="1" si="53"/>
        <v>3</v>
      </c>
    </row>
    <row r="538" spans="1:31" ht="36" hidden="1" customHeight="1">
      <c r="A538" s="414"/>
      <c r="B538" s="429" t="s">
        <v>7418</v>
      </c>
      <c r="C538" s="429" t="s">
        <v>336</v>
      </c>
      <c r="D538" s="429"/>
      <c r="E538" s="429"/>
      <c r="F538" s="429" t="s">
        <v>42</v>
      </c>
      <c r="G538" s="433" t="s">
        <v>7402</v>
      </c>
      <c r="H538" s="652" t="s">
        <v>7401</v>
      </c>
      <c r="I538" s="433" t="s">
        <v>7403</v>
      </c>
      <c r="J538" s="432">
        <v>46143</v>
      </c>
      <c r="K538" s="429" t="s">
        <v>2493</v>
      </c>
      <c r="L538" s="436"/>
      <c r="M538" s="436" t="s">
        <v>77</v>
      </c>
      <c r="N538" s="433"/>
      <c r="O538" s="437"/>
      <c r="P538" s="433" t="s">
        <v>2494</v>
      </c>
      <c r="Q538" s="437" t="s">
        <v>2494</v>
      </c>
      <c r="R538" s="437" t="s">
        <v>7588</v>
      </c>
      <c r="S538" s="438">
        <v>46164</v>
      </c>
      <c r="T538" s="438">
        <v>46144</v>
      </c>
      <c r="U538" s="438"/>
      <c r="V538" s="439"/>
      <c r="W538" s="439">
        <v>46146</v>
      </c>
      <c r="X538" s="439">
        <v>46164</v>
      </c>
      <c r="Y538" s="420"/>
      <c r="Z538" s="224" t="str">
        <f t="shared" si="48"/>
        <v>AG. MEDIÇÃO</v>
      </c>
      <c r="AA538" s="207" t="str">
        <f t="shared" si="49"/>
        <v>ENTREGUE</v>
      </c>
      <c r="AB538" s="207" t="str">
        <f t="shared" si="50"/>
        <v>AG. MEDIÇÃO</v>
      </c>
      <c r="AC538" s="156">
        <f t="shared" ca="1" si="51"/>
        <v>0</v>
      </c>
      <c r="AD538" s="156" t="str">
        <f t="shared" ca="1" si="52"/>
        <v>NO PRAZO</v>
      </c>
      <c r="AE538" s="156">
        <f t="shared" ca="1" si="53"/>
        <v>-3</v>
      </c>
    </row>
    <row r="539" spans="1:31" ht="36" hidden="1" customHeight="1">
      <c r="A539" s="414"/>
      <c r="B539" s="429" t="s">
        <v>7541</v>
      </c>
      <c r="C539" s="430" t="s">
        <v>600</v>
      </c>
      <c r="D539" s="431"/>
      <c r="E539" s="432"/>
      <c r="F539" s="429" t="s">
        <v>42</v>
      </c>
      <c r="G539" s="438" t="s">
        <v>7440</v>
      </c>
      <c r="H539" s="636" t="s">
        <v>7441</v>
      </c>
      <c r="I539" s="433" t="s">
        <v>7442</v>
      </c>
      <c r="J539" s="432">
        <v>46143</v>
      </c>
      <c r="K539" s="429" t="s">
        <v>2493</v>
      </c>
      <c r="L539" s="487"/>
      <c r="M539" s="436" t="s">
        <v>77</v>
      </c>
      <c r="N539" s="433"/>
      <c r="O539" s="437"/>
      <c r="P539" s="433" t="s">
        <v>2494</v>
      </c>
      <c r="Q539" s="437" t="s">
        <v>2494</v>
      </c>
      <c r="R539" s="437" t="s">
        <v>5188</v>
      </c>
      <c r="S539" s="438">
        <v>46161</v>
      </c>
      <c r="T539" s="438">
        <v>46150</v>
      </c>
      <c r="U539" s="438"/>
      <c r="V539" s="439"/>
      <c r="W539" s="439">
        <v>46151</v>
      </c>
      <c r="X539" s="439">
        <v>46161</v>
      </c>
      <c r="Y539" s="420"/>
      <c r="Z539" s="224" t="str">
        <f t="shared" si="48"/>
        <v>AG. MEDIÇÃO</v>
      </c>
      <c r="AA539" s="207" t="str">
        <f t="shared" si="49"/>
        <v>ENTREGUE</v>
      </c>
      <c r="AB539" s="207" t="str">
        <f t="shared" si="50"/>
        <v>AG. MEDIÇÃO</v>
      </c>
      <c r="AC539" s="156">
        <f t="shared" ca="1" si="51"/>
        <v>0</v>
      </c>
      <c r="AD539" s="156" t="str">
        <f t="shared" ca="1" si="52"/>
        <v>NO PRAZO</v>
      </c>
      <c r="AE539" s="156">
        <f t="shared" ca="1" si="53"/>
        <v>-3</v>
      </c>
    </row>
    <row r="540" spans="1:31" ht="36" hidden="1" customHeight="1">
      <c r="A540" s="414"/>
      <c r="B540" s="440" t="s">
        <v>5251</v>
      </c>
      <c r="C540" s="440" t="s">
        <v>2488</v>
      </c>
      <c r="D540" s="440"/>
      <c r="E540" s="440" t="s">
        <v>2489</v>
      </c>
      <c r="F540" s="440" t="s">
        <v>5252</v>
      </c>
      <c r="G540" s="441"/>
      <c r="H540" s="440" t="s">
        <v>5253</v>
      </c>
      <c r="I540" s="441" t="s">
        <v>5254</v>
      </c>
      <c r="J540" s="450">
        <v>45778</v>
      </c>
      <c r="K540" s="429" t="s">
        <v>2493</v>
      </c>
      <c r="L540" s="444"/>
      <c r="M540" s="444" t="s">
        <v>5255</v>
      </c>
      <c r="N540" s="441"/>
      <c r="O540" s="445"/>
      <c r="P540" s="441">
        <v>277</v>
      </c>
      <c r="Q540" s="445">
        <v>320</v>
      </c>
      <c r="R540" s="445" t="s">
        <v>7116</v>
      </c>
      <c r="S540" s="446">
        <v>46093</v>
      </c>
      <c r="T540" s="446">
        <v>45804</v>
      </c>
      <c r="U540" s="446">
        <v>46176</v>
      </c>
      <c r="V540" s="447"/>
      <c r="W540" s="447">
        <v>45811</v>
      </c>
      <c r="X540" s="447">
        <v>46093</v>
      </c>
      <c r="Y540" s="420"/>
      <c r="Z540" s="224" t="str">
        <f t="shared" si="48"/>
        <v>AG. MEDIÇÃO</v>
      </c>
      <c r="AA540" s="207" t="str">
        <f t="shared" si="49"/>
        <v>ENTREGUE</v>
      </c>
      <c r="AB540" s="207" t="str">
        <f t="shared" si="50"/>
        <v>AG. MEDIÇÃO</v>
      </c>
      <c r="AC540" s="156">
        <f t="shared" ca="1" si="51"/>
        <v>5</v>
      </c>
      <c r="AD540" s="156" t="str">
        <f t="shared" ca="1" si="52"/>
        <v>ATRASADO</v>
      </c>
      <c r="AE540" s="156">
        <f t="shared" ca="1" si="53"/>
        <v>2</v>
      </c>
    </row>
    <row r="541" spans="1:31" ht="36" hidden="1" customHeight="1">
      <c r="A541" s="414"/>
      <c r="B541" s="429" t="s">
        <v>7413</v>
      </c>
      <c r="C541" s="429" t="s">
        <v>353</v>
      </c>
      <c r="D541" s="429" t="s">
        <v>355</v>
      </c>
      <c r="E541" s="429" t="s">
        <v>354</v>
      </c>
      <c r="F541" s="429" t="s">
        <v>42</v>
      </c>
      <c r="G541" s="433"/>
      <c r="H541" s="652" t="s">
        <v>7388</v>
      </c>
      <c r="I541" s="433" t="s">
        <v>7316</v>
      </c>
      <c r="J541" s="432">
        <v>46113</v>
      </c>
      <c r="K541" s="429" t="s">
        <v>2493</v>
      </c>
      <c r="L541" s="436" t="s">
        <v>77</v>
      </c>
      <c r="M541" s="436" t="s">
        <v>77</v>
      </c>
      <c r="N541" s="433"/>
      <c r="O541" s="437"/>
      <c r="P541" s="433">
        <v>160</v>
      </c>
      <c r="Q541" s="437">
        <v>154</v>
      </c>
      <c r="R541" s="437" t="s">
        <v>7868</v>
      </c>
      <c r="S541" s="438">
        <v>46191</v>
      </c>
      <c r="T541" s="438">
        <v>46139</v>
      </c>
      <c r="U541" s="438">
        <v>46140</v>
      </c>
      <c r="V541" s="439">
        <v>46142</v>
      </c>
      <c r="W541" s="439">
        <v>46142</v>
      </c>
      <c r="X541" s="439">
        <v>46191</v>
      </c>
      <c r="Y541" s="420"/>
      <c r="Z541" s="224" t="str">
        <f t="shared" si="48"/>
        <v>AG. MEDIÇÃO</v>
      </c>
      <c r="AA541" s="207" t="str">
        <f t="shared" si="49"/>
        <v>ENTREGUE</v>
      </c>
      <c r="AB541" s="207" t="str">
        <f t="shared" si="50"/>
        <v>AG. MEDIÇÃO</v>
      </c>
      <c r="AC541" s="156">
        <f t="shared" ca="1" si="51"/>
        <v>3</v>
      </c>
      <c r="AD541" s="156" t="str">
        <f t="shared" ca="1" si="52"/>
        <v>NO PRAZO</v>
      </c>
      <c r="AE541" s="156">
        <f t="shared" ca="1" si="53"/>
        <v>0</v>
      </c>
    </row>
    <row r="542" spans="1:31" ht="36" hidden="1" customHeight="1">
      <c r="A542" s="414"/>
      <c r="B542" s="440" t="s">
        <v>4895</v>
      </c>
      <c r="C542" s="440" t="s">
        <v>2531</v>
      </c>
      <c r="D542" s="440"/>
      <c r="E542" s="440" t="s">
        <v>4709</v>
      </c>
      <c r="F542" s="440" t="s">
        <v>4710</v>
      </c>
      <c r="G542" s="441" t="s">
        <v>4896</v>
      </c>
      <c r="H542" s="440" t="s">
        <v>4897</v>
      </c>
      <c r="I542" s="441" t="s">
        <v>4898</v>
      </c>
      <c r="J542" s="450">
        <v>45717</v>
      </c>
      <c r="K542" s="429" t="s">
        <v>2493</v>
      </c>
      <c r="L542" s="444" t="s">
        <v>124</v>
      </c>
      <c r="M542" s="444" t="s">
        <v>1478</v>
      </c>
      <c r="N542" s="441"/>
      <c r="O542" s="445"/>
      <c r="P542" s="441">
        <v>495</v>
      </c>
      <c r="Q542" s="445">
        <v>435</v>
      </c>
      <c r="R542" s="445" t="s">
        <v>4899</v>
      </c>
      <c r="S542" s="446">
        <v>45734</v>
      </c>
      <c r="T542" s="446">
        <v>45722</v>
      </c>
      <c r="U542" s="446">
        <v>45727</v>
      </c>
      <c r="V542" s="447">
        <v>45729</v>
      </c>
      <c r="W542" s="447">
        <v>45732</v>
      </c>
      <c r="X542" s="447" t="s">
        <v>8044</v>
      </c>
      <c r="Y542" s="420"/>
      <c r="Z542" s="224" t="str">
        <f t="shared" si="48"/>
        <v>AG. MEDIÇÃO</v>
      </c>
      <c r="AA542" s="207" t="str">
        <f t="shared" si="49"/>
        <v>ENTREGUE</v>
      </c>
      <c r="AB542" s="207" t="str">
        <f t="shared" si="50"/>
        <v>AG. MEDIÇÃO</v>
      </c>
      <c r="AC542" s="156">
        <f t="shared" ca="1" si="51"/>
        <v>6</v>
      </c>
      <c r="AD542" s="156" t="str">
        <f t="shared" ca="1" si="52"/>
        <v>ATRASADO</v>
      </c>
      <c r="AE542" s="156">
        <f t="shared" ca="1" si="53"/>
        <v>3</v>
      </c>
    </row>
    <row r="543" spans="1:31" ht="36" hidden="1" customHeight="1">
      <c r="A543" s="414"/>
      <c r="B543" s="440" t="s">
        <v>3384</v>
      </c>
      <c r="C543" s="440" t="s">
        <v>117</v>
      </c>
      <c r="D543" s="440"/>
      <c r="E543" s="440"/>
      <c r="F543" s="440" t="s">
        <v>42</v>
      </c>
      <c r="G543" s="441" t="s">
        <v>3385</v>
      </c>
      <c r="H543" s="440" t="s">
        <v>3385</v>
      </c>
      <c r="I543" s="441"/>
      <c r="J543" s="450">
        <v>45292</v>
      </c>
      <c r="K543" s="429" t="s">
        <v>2493</v>
      </c>
      <c r="L543" s="444"/>
      <c r="M543" s="444" t="s">
        <v>774</v>
      </c>
      <c r="N543" s="441" t="s">
        <v>2572</v>
      </c>
      <c r="O543" s="445" t="s">
        <v>85</v>
      </c>
      <c r="P543" s="441" t="s">
        <v>2494</v>
      </c>
      <c r="Q543" s="441" t="s">
        <v>2494</v>
      </c>
      <c r="R543" s="445" t="s">
        <v>3386</v>
      </c>
      <c r="S543" s="446">
        <v>45300</v>
      </c>
      <c r="T543" s="446">
        <v>45296</v>
      </c>
      <c r="U543" s="446"/>
      <c r="V543" s="446"/>
      <c r="W543" s="447">
        <v>45296</v>
      </c>
      <c r="X543" s="447" t="s">
        <v>8044</v>
      </c>
      <c r="Y543" s="420"/>
      <c r="Z543" s="224" t="str">
        <f t="shared" si="48"/>
        <v>AG. MEDIÇÃO</v>
      </c>
      <c r="AA543" s="207" t="str">
        <f t="shared" si="49"/>
        <v>ENTREGUE</v>
      </c>
      <c r="AB543" s="207" t="str">
        <f t="shared" si="50"/>
        <v>AG. MEDIÇÃO</v>
      </c>
      <c r="AC543" s="156">
        <f t="shared" ca="1" si="51"/>
        <v>0</v>
      </c>
      <c r="AD543" s="156" t="str">
        <f t="shared" ca="1" si="52"/>
        <v>NO PRAZO</v>
      </c>
      <c r="AE543" s="156">
        <f t="shared" ca="1" si="53"/>
        <v>-3</v>
      </c>
    </row>
    <row r="544" spans="1:31" ht="36" hidden="1" customHeight="1">
      <c r="A544" s="414"/>
      <c r="B544" s="440" t="s">
        <v>3309</v>
      </c>
      <c r="C544" s="440" t="s">
        <v>571</v>
      </c>
      <c r="D544" s="440"/>
      <c r="E544" s="440"/>
      <c r="F544" s="440" t="s">
        <v>42</v>
      </c>
      <c r="G544" s="441" t="s">
        <v>3310</v>
      </c>
      <c r="H544" s="440" t="s">
        <v>3311</v>
      </c>
      <c r="I544" s="449"/>
      <c r="J544" s="450">
        <v>45261</v>
      </c>
      <c r="K544" s="429" t="s">
        <v>2493</v>
      </c>
      <c r="L544" s="444"/>
      <c r="M544" s="444" t="s">
        <v>774</v>
      </c>
      <c r="N544" s="441" t="s">
        <v>2572</v>
      </c>
      <c r="O544" s="445" t="s">
        <v>85</v>
      </c>
      <c r="P544" s="441" t="s">
        <v>2494</v>
      </c>
      <c r="Q544" s="441" t="s">
        <v>2494</v>
      </c>
      <c r="R544" s="445" t="s">
        <v>3312</v>
      </c>
      <c r="S544" s="446">
        <v>45300</v>
      </c>
      <c r="T544" s="446">
        <v>45272</v>
      </c>
      <c r="U544" s="446"/>
      <c r="V544" s="446">
        <v>45275</v>
      </c>
      <c r="W544" s="447">
        <v>45275</v>
      </c>
      <c r="X544" s="447" t="s">
        <v>8044</v>
      </c>
      <c r="Y544" s="420"/>
      <c r="Z544" s="224" t="str">
        <f t="shared" si="48"/>
        <v>AG. MEDIÇÃO</v>
      </c>
      <c r="AA544" s="207" t="str">
        <f t="shared" si="49"/>
        <v>ENTREGUE</v>
      </c>
      <c r="AB544" s="207" t="str">
        <f t="shared" si="50"/>
        <v>AG. MEDIÇÃO</v>
      </c>
      <c r="AC544" s="156">
        <f t="shared" ca="1" si="51"/>
        <v>3</v>
      </c>
      <c r="AD544" s="156" t="str">
        <f t="shared" ca="1" si="52"/>
        <v>NO PRAZO</v>
      </c>
      <c r="AE544" s="156">
        <f t="shared" ca="1" si="53"/>
        <v>0</v>
      </c>
    </row>
    <row r="545" spans="1:31" ht="36" hidden="1" customHeight="1">
      <c r="A545" s="414"/>
      <c r="B545" s="466" t="s">
        <v>5853</v>
      </c>
      <c r="C545" s="466" t="s">
        <v>2496</v>
      </c>
      <c r="D545" s="466"/>
      <c r="E545" s="466"/>
      <c r="F545" s="466" t="s">
        <v>2513</v>
      </c>
      <c r="G545" s="475"/>
      <c r="H545" s="465" t="s">
        <v>5854</v>
      </c>
      <c r="I545" s="475" t="s">
        <v>5855</v>
      </c>
      <c r="J545" s="476">
        <v>45992</v>
      </c>
      <c r="K545" s="429" t="s">
        <v>2493</v>
      </c>
      <c r="L545" s="465"/>
      <c r="M545" s="465" t="s">
        <v>259</v>
      </c>
      <c r="N545" s="475"/>
      <c r="O545" s="478">
        <v>46048</v>
      </c>
      <c r="P545" s="475" t="s">
        <v>2494</v>
      </c>
      <c r="Q545" s="475" t="s">
        <v>2494</v>
      </c>
      <c r="R545" s="479" t="s">
        <v>5086</v>
      </c>
      <c r="S545" s="480">
        <v>46048</v>
      </c>
      <c r="T545" s="480">
        <v>46002</v>
      </c>
      <c r="U545" s="480"/>
      <c r="V545" s="481"/>
      <c r="W545" s="481">
        <v>46008</v>
      </c>
      <c r="X545" s="481">
        <v>46048</v>
      </c>
      <c r="Y545" s="420"/>
      <c r="Z545" s="224" t="str">
        <f t="shared" si="48"/>
        <v>AG. MEDIÇÃO</v>
      </c>
      <c r="AA545" s="207" t="str">
        <f t="shared" si="49"/>
        <v>ENTREGUE</v>
      </c>
      <c r="AB545" s="207" t="str">
        <f t="shared" si="50"/>
        <v>AG. MEDIÇÃO</v>
      </c>
      <c r="AC545" s="156">
        <f t="shared" ca="1" si="51"/>
        <v>4</v>
      </c>
      <c r="AD545" s="156" t="str">
        <f t="shared" ca="1" si="52"/>
        <v>ATRASADO</v>
      </c>
      <c r="AE545" s="156">
        <f t="shared" ca="1" si="53"/>
        <v>1</v>
      </c>
    </row>
    <row r="546" spans="1:31" ht="36" hidden="1" customHeight="1">
      <c r="A546" s="414"/>
      <c r="B546" s="429" t="s">
        <v>6844</v>
      </c>
      <c r="C546" s="430" t="s">
        <v>2496</v>
      </c>
      <c r="D546" s="431"/>
      <c r="E546" s="432" t="s">
        <v>2497</v>
      </c>
      <c r="F546" s="429" t="s">
        <v>2498</v>
      </c>
      <c r="G546" s="434"/>
      <c r="H546" s="636" t="s">
        <v>6894</v>
      </c>
      <c r="I546" s="433" t="s">
        <v>8336</v>
      </c>
      <c r="J546" s="432">
        <v>46023</v>
      </c>
      <c r="K546" s="429" t="s">
        <v>2493</v>
      </c>
      <c r="L546" s="487"/>
      <c r="M546" s="436" t="s">
        <v>2501</v>
      </c>
      <c r="N546" s="433"/>
      <c r="O546" s="437"/>
      <c r="P546" s="429" t="s">
        <v>2494</v>
      </c>
      <c r="Q546" s="436" t="s">
        <v>2494</v>
      </c>
      <c r="R546" s="437"/>
      <c r="S546" s="438"/>
      <c r="T546" s="438">
        <v>46044</v>
      </c>
      <c r="U546" s="438"/>
      <c r="V546" s="439"/>
      <c r="W546" s="439">
        <v>46047</v>
      </c>
      <c r="X546" s="439"/>
      <c r="Y546" s="420"/>
      <c r="Z546" s="224" t="str">
        <f t="shared" si="48"/>
        <v>AG. RELATÓRIO</v>
      </c>
      <c r="AA546" s="207" t="str">
        <f t="shared" si="49"/>
        <v>PENDENTE</v>
      </c>
      <c r="AB546" s="207" t="str">
        <f t="shared" si="50"/>
        <v>AG. RELATÓRIO</v>
      </c>
      <c r="AC546" s="156">
        <f t="shared" ca="1" si="51"/>
        <v>1</v>
      </c>
      <c r="AD546" s="156" t="str">
        <f t="shared" ca="1" si="52"/>
        <v>NO PRAZO</v>
      </c>
      <c r="AE546" s="156">
        <f t="shared" ca="1" si="53"/>
        <v>-2</v>
      </c>
    </row>
    <row r="547" spans="1:31" ht="36" hidden="1" customHeight="1">
      <c r="A547" s="414"/>
      <c r="B547" s="429" t="s">
        <v>7616</v>
      </c>
      <c r="C547" s="430" t="s">
        <v>571</v>
      </c>
      <c r="D547" s="430" t="s">
        <v>7564</v>
      </c>
      <c r="E547" s="432" t="s">
        <v>572</v>
      </c>
      <c r="F547" s="429" t="s">
        <v>42</v>
      </c>
      <c r="G547" s="434" t="s">
        <v>7563</v>
      </c>
      <c r="H547" s="636" t="s">
        <v>7562</v>
      </c>
      <c r="I547" s="433" t="s">
        <v>7561</v>
      </c>
      <c r="J547" s="432">
        <v>46143</v>
      </c>
      <c r="K547" s="429" t="s">
        <v>2493</v>
      </c>
      <c r="L547" s="436" t="s">
        <v>124</v>
      </c>
      <c r="M547" s="436" t="s">
        <v>77</v>
      </c>
      <c r="N547" s="433"/>
      <c r="O547" s="437" t="s">
        <v>85</v>
      </c>
      <c r="P547" s="433">
        <v>400</v>
      </c>
      <c r="Q547" s="437">
        <v>425</v>
      </c>
      <c r="R547" s="437" t="s">
        <v>7902</v>
      </c>
      <c r="S547" s="438">
        <v>46195</v>
      </c>
      <c r="T547" s="438">
        <v>46162</v>
      </c>
      <c r="U547" s="438"/>
      <c r="V547" s="439"/>
      <c r="W547" s="439">
        <v>46183</v>
      </c>
      <c r="X547" s="439">
        <v>46195</v>
      </c>
      <c r="Y547" s="420"/>
      <c r="Z547" s="224" t="str">
        <f t="shared" si="48"/>
        <v>AG. MEDIÇÃO</v>
      </c>
      <c r="AA547" s="207" t="str">
        <f t="shared" si="49"/>
        <v>ENTREGUE</v>
      </c>
      <c r="AB547" s="207" t="str">
        <f t="shared" si="50"/>
        <v>AG. MEDIÇÃO</v>
      </c>
      <c r="AC547" s="156">
        <f t="shared" ca="1" si="51"/>
        <v>15</v>
      </c>
      <c r="AD547" s="156" t="str">
        <f t="shared" ca="1" si="52"/>
        <v>ATRASADO</v>
      </c>
      <c r="AE547" s="156">
        <f t="shared" ca="1" si="53"/>
        <v>12</v>
      </c>
    </row>
    <row r="548" spans="1:31" ht="36" hidden="1" customHeight="1">
      <c r="A548" s="414"/>
      <c r="B548" s="466" t="s">
        <v>2521</v>
      </c>
      <c r="C548" s="466" t="s">
        <v>2531</v>
      </c>
      <c r="D548" s="466"/>
      <c r="E548" s="466"/>
      <c r="F548" s="466" t="s">
        <v>2513</v>
      </c>
      <c r="G548" s="475"/>
      <c r="H548" s="489" t="s">
        <v>2532</v>
      </c>
      <c r="I548" s="475" t="s">
        <v>2533</v>
      </c>
      <c r="J548" s="476">
        <v>45962</v>
      </c>
      <c r="K548" s="429" t="s">
        <v>2493</v>
      </c>
      <c r="L548" s="465"/>
      <c r="M548" s="465" t="s">
        <v>2534</v>
      </c>
      <c r="N548" s="475"/>
      <c r="O548" s="481">
        <v>45995</v>
      </c>
      <c r="P548" s="475"/>
      <c r="Q548" s="479"/>
      <c r="R548" s="479" t="s">
        <v>2535</v>
      </c>
      <c r="S548" s="480" t="s">
        <v>85</v>
      </c>
      <c r="T548" s="480"/>
      <c r="U548" s="480"/>
      <c r="V548" s="481"/>
      <c r="W548" s="481">
        <v>45965</v>
      </c>
      <c r="X548" s="481">
        <v>45995</v>
      </c>
      <c r="Y548" s="420"/>
      <c r="Z548" s="224" t="str">
        <f t="shared" si="48"/>
        <v>AG. MEDIÇÃO</v>
      </c>
      <c r="AA548" s="207" t="str">
        <f t="shared" si="49"/>
        <v>ENTREGUE</v>
      </c>
      <c r="AB548" s="207" t="str">
        <f t="shared" si="50"/>
        <v>AG. MEDIÇÃO</v>
      </c>
      <c r="AC548" s="156" t="str">
        <f t="shared" ca="1" si="51"/>
        <v>DATA ENTRADA</v>
      </c>
      <c r="AD548" s="156" t="str">
        <f t="shared" ca="1" si="52"/>
        <v>ATRASADO</v>
      </c>
      <c r="AE548" s="156" t="str">
        <f t="shared" ca="1" si="53"/>
        <v>DATA ENTRADA</v>
      </c>
    </row>
    <row r="549" spans="1:31" ht="36" hidden="1" customHeight="1">
      <c r="A549" s="414"/>
      <c r="B549" s="429" t="s">
        <v>8497</v>
      </c>
      <c r="C549" s="429" t="s">
        <v>479</v>
      </c>
      <c r="D549" s="429" t="s">
        <v>791</v>
      </c>
      <c r="E549" s="429" t="s">
        <v>480</v>
      </c>
      <c r="F549" s="429" t="s">
        <v>42</v>
      </c>
      <c r="G549" s="433" t="s">
        <v>8512</v>
      </c>
      <c r="H549" s="652" t="s">
        <v>8513</v>
      </c>
      <c r="I549" s="433" t="s">
        <v>8514</v>
      </c>
      <c r="J549" s="599">
        <v>46235</v>
      </c>
      <c r="K549" s="429" t="s">
        <v>2493</v>
      </c>
      <c r="L549" s="665"/>
      <c r="M549" s="436" t="s">
        <v>62</v>
      </c>
      <c r="N549" s="433"/>
      <c r="O549" s="433" t="s">
        <v>85</v>
      </c>
      <c r="P549" s="429" t="s">
        <v>2494</v>
      </c>
      <c r="Q549" s="429" t="s">
        <v>2494</v>
      </c>
      <c r="R549" s="437" t="s">
        <v>8193</v>
      </c>
      <c r="S549" s="438">
        <v>46261</v>
      </c>
      <c r="T549" s="438">
        <v>46259</v>
      </c>
      <c r="U549" s="438"/>
      <c r="V549" s="438"/>
      <c r="W549" s="439">
        <v>46259</v>
      </c>
      <c r="X549" s="439">
        <v>46261</v>
      </c>
      <c r="Y549" s="420"/>
      <c r="Z549" s="224" t="str">
        <f t="shared" si="48"/>
        <v>AG. MEDIÇÃO</v>
      </c>
      <c r="AA549" s="207" t="str">
        <f t="shared" si="49"/>
        <v>ENTREGUE</v>
      </c>
      <c r="AB549" s="207" t="str">
        <f t="shared" si="50"/>
        <v>AG. MEDIÇÃO</v>
      </c>
      <c r="AC549" s="156">
        <f t="shared" ca="1" si="51"/>
        <v>0</v>
      </c>
      <c r="AD549" s="156" t="str">
        <f t="shared" ca="1" si="52"/>
        <v>NO PRAZO</v>
      </c>
      <c r="AE549" s="156">
        <f t="shared" ca="1" si="53"/>
        <v>-3</v>
      </c>
    </row>
    <row r="550" spans="1:31" ht="36" hidden="1" customHeight="1">
      <c r="A550" s="414"/>
      <c r="B550" s="429" t="s">
        <v>8362</v>
      </c>
      <c r="C550" s="429" t="s">
        <v>2249</v>
      </c>
      <c r="D550" s="429" t="s">
        <v>1301</v>
      </c>
      <c r="E550" s="429" t="s">
        <v>6874</v>
      </c>
      <c r="F550" s="429" t="s">
        <v>42</v>
      </c>
      <c r="G550" s="433" t="s">
        <v>8390</v>
      </c>
      <c r="H550" s="429" t="s">
        <v>8391</v>
      </c>
      <c r="I550" s="433" t="s">
        <v>8516</v>
      </c>
      <c r="J550" s="599">
        <v>46235</v>
      </c>
      <c r="K550" s="429" t="s">
        <v>2493</v>
      </c>
      <c r="L550" s="436"/>
      <c r="M550" s="436" t="s">
        <v>62</v>
      </c>
      <c r="N550" s="433"/>
      <c r="O550" s="433" t="s">
        <v>85</v>
      </c>
      <c r="P550" s="433" t="s">
        <v>2494</v>
      </c>
      <c r="Q550" s="433" t="s">
        <v>2494</v>
      </c>
      <c r="R550" s="437" t="s">
        <v>8193</v>
      </c>
      <c r="S550" s="438">
        <v>46259</v>
      </c>
      <c r="T550" s="438">
        <v>46251</v>
      </c>
      <c r="U550" s="438"/>
      <c r="V550" s="438"/>
      <c r="W550" s="439">
        <v>46251</v>
      </c>
      <c r="X550" s="439">
        <v>46259</v>
      </c>
      <c r="Y550" s="420"/>
      <c r="Z550" s="224" t="str">
        <f t="shared" si="48"/>
        <v>AG. MEDIÇÃO</v>
      </c>
      <c r="AA550" s="207" t="str">
        <f t="shared" si="49"/>
        <v>ENTREGUE</v>
      </c>
      <c r="AB550" s="207" t="str">
        <f t="shared" si="50"/>
        <v>AG. MEDIÇÃO</v>
      </c>
      <c r="AC550" s="156">
        <f t="shared" ca="1" si="51"/>
        <v>0</v>
      </c>
      <c r="AD550" s="156" t="str">
        <f t="shared" ca="1" si="52"/>
        <v>NO PRAZO</v>
      </c>
      <c r="AE550" s="156">
        <f t="shared" ca="1" si="53"/>
        <v>-3</v>
      </c>
    </row>
    <row r="551" spans="1:31" ht="36" hidden="1" customHeight="1">
      <c r="A551" s="414"/>
      <c r="B551" s="429" t="s">
        <v>7429</v>
      </c>
      <c r="C551" s="429" t="s">
        <v>248</v>
      </c>
      <c r="D551" s="429" t="s">
        <v>440</v>
      </c>
      <c r="E551" s="429" t="s">
        <v>249</v>
      </c>
      <c r="F551" s="429" t="s">
        <v>42</v>
      </c>
      <c r="G551" s="433" t="s">
        <v>7405</v>
      </c>
      <c r="H551" s="652" t="s">
        <v>7404</v>
      </c>
      <c r="I551" s="433" t="s">
        <v>4856</v>
      </c>
      <c r="J551" s="432">
        <v>46143</v>
      </c>
      <c r="K551" s="429" t="s">
        <v>2493</v>
      </c>
      <c r="L551" s="436"/>
      <c r="M551" s="436" t="s">
        <v>77</v>
      </c>
      <c r="N551" s="433"/>
      <c r="O551" s="437"/>
      <c r="P551" s="433" t="s">
        <v>2494</v>
      </c>
      <c r="Q551" s="437" t="s">
        <v>2494</v>
      </c>
      <c r="R551" s="437" t="s">
        <v>7624</v>
      </c>
      <c r="S551" s="438">
        <v>46191</v>
      </c>
      <c r="T551" s="438">
        <v>46144</v>
      </c>
      <c r="U551" s="438"/>
      <c r="V551" s="439"/>
      <c r="W551" s="439">
        <v>46130</v>
      </c>
      <c r="X551" s="439">
        <v>46191</v>
      </c>
      <c r="Y551" s="420"/>
      <c r="Z551" s="224" t="str">
        <f t="shared" si="48"/>
        <v>AG. MEDIÇÃO</v>
      </c>
      <c r="AA551" s="207" t="str">
        <f t="shared" si="49"/>
        <v>ENTREGUE</v>
      </c>
      <c r="AB551" s="207" t="str">
        <f t="shared" si="50"/>
        <v>AG. MEDIÇÃO</v>
      </c>
      <c r="AC551" s="156">
        <f t="shared" ca="1" si="51"/>
        <v>-11</v>
      </c>
      <c r="AD551" s="156" t="str">
        <f t="shared" ca="1" si="52"/>
        <v>NO PRAZO</v>
      </c>
      <c r="AE551" s="156">
        <f t="shared" ca="1" si="53"/>
        <v>-14</v>
      </c>
    </row>
    <row r="552" spans="1:31" ht="36" hidden="1" customHeight="1">
      <c r="A552" s="414"/>
      <c r="B552" s="466" t="s">
        <v>2542</v>
      </c>
      <c r="C552" s="488" t="s">
        <v>2531</v>
      </c>
      <c r="D552" s="489"/>
      <c r="E552" s="476"/>
      <c r="F552" s="466" t="s">
        <v>2498</v>
      </c>
      <c r="G552" s="482"/>
      <c r="H552" s="647" t="s">
        <v>5838</v>
      </c>
      <c r="I552" s="475" t="s">
        <v>5839</v>
      </c>
      <c r="J552" s="476">
        <v>45992</v>
      </c>
      <c r="K552" s="429" t="s">
        <v>2493</v>
      </c>
      <c r="L552" s="465"/>
      <c r="M552" s="465" t="s">
        <v>259</v>
      </c>
      <c r="N552" s="475"/>
      <c r="O552" s="479"/>
      <c r="P552" s="475" t="s">
        <v>2494</v>
      </c>
      <c r="Q552" s="475" t="s">
        <v>2494</v>
      </c>
      <c r="R552" s="479" t="s">
        <v>6769</v>
      </c>
      <c r="S552" s="480">
        <v>46064</v>
      </c>
      <c r="T552" s="480">
        <v>45995</v>
      </c>
      <c r="U552" s="480"/>
      <c r="V552" s="481"/>
      <c r="W552" s="481">
        <v>46008</v>
      </c>
      <c r="X552" s="481">
        <v>46064</v>
      </c>
      <c r="Y552" s="420"/>
      <c r="Z552" s="224" t="str">
        <f t="shared" si="48"/>
        <v>AG. MEDIÇÃO</v>
      </c>
      <c r="AA552" s="207" t="str">
        <f t="shared" si="49"/>
        <v>ENTREGUE</v>
      </c>
      <c r="AB552" s="207" t="str">
        <f t="shared" si="50"/>
        <v>AG. MEDIÇÃO</v>
      </c>
      <c r="AC552" s="156">
        <f t="shared" ca="1" si="51"/>
        <v>9</v>
      </c>
      <c r="AD552" s="156" t="str">
        <f t="shared" ca="1" si="52"/>
        <v>ATRASADO</v>
      </c>
      <c r="AE552" s="156">
        <f t="shared" ca="1" si="53"/>
        <v>6</v>
      </c>
    </row>
    <row r="553" spans="1:31" ht="36" hidden="1" customHeight="1">
      <c r="A553" s="414"/>
      <c r="B553" s="429" t="s">
        <v>7417</v>
      </c>
      <c r="C553" s="429" t="s">
        <v>152</v>
      </c>
      <c r="D553" s="429"/>
      <c r="E553" s="429"/>
      <c r="F553" s="429" t="s">
        <v>42</v>
      </c>
      <c r="G553" s="433" t="s">
        <v>7398</v>
      </c>
      <c r="H553" s="652" t="s">
        <v>7399</v>
      </c>
      <c r="I553" s="433" t="s">
        <v>7400</v>
      </c>
      <c r="J553" s="432">
        <v>46113</v>
      </c>
      <c r="K553" s="429" t="s">
        <v>2493</v>
      </c>
      <c r="L553" s="436"/>
      <c r="M553" s="436" t="s">
        <v>77</v>
      </c>
      <c r="N553" s="433"/>
      <c r="O553" s="437"/>
      <c r="P553" s="433">
        <v>300</v>
      </c>
      <c r="Q553" s="437">
        <v>313</v>
      </c>
      <c r="R553" s="437" t="s">
        <v>7587</v>
      </c>
      <c r="S553" s="438">
        <v>46164</v>
      </c>
      <c r="T553" s="438">
        <v>46142</v>
      </c>
      <c r="U553" s="438"/>
      <c r="V553" s="439"/>
      <c r="W553" s="439">
        <v>46143</v>
      </c>
      <c r="X553" s="439">
        <v>46164</v>
      </c>
      <c r="Y553" s="420"/>
      <c r="Z553" s="224" t="str">
        <f t="shared" si="48"/>
        <v>AG. MEDIÇÃO</v>
      </c>
      <c r="AA553" s="207" t="str">
        <f t="shared" si="49"/>
        <v>ENTREGUE</v>
      </c>
      <c r="AB553" s="207" t="str">
        <f t="shared" si="50"/>
        <v>AG. MEDIÇÃO</v>
      </c>
      <c r="AC553" s="156">
        <f t="shared" ca="1" si="51"/>
        <v>1</v>
      </c>
      <c r="AD553" s="156" t="str">
        <f t="shared" ca="1" si="52"/>
        <v>NO PRAZO</v>
      </c>
      <c r="AE553" s="156">
        <f t="shared" ca="1" si="53"/>
        <v>-2</v>
      </c>
    </row>
    <row r="554" spans="1:31" ht="36" hidden="1" customHeight="1">
      <c r="A554" s="414"/>
      <c r="B554" s="429" t="s">
        <v>7669</v>
      </c>
      <c r="C554" s="430" t="s">
        <v>1572</v>
      </c>
      <c r="D554" s="430" t="s">
        <v>1574</v>
      </c>
      <c r="E554" s="432" t="s">
        <v>1573</v>
      </c>
      <c r="F554" s="429" t="s">
        <v>427</v>
      </c>
      <c r="G554" s="434" t="s">
        <v>7634</v>
      </c>
      <c r="H554" s="636" t="s">
        <v>7635</v>
      </c>
      <c r="I554" s="433" t="s">
        <v>7636</v>
      </c>
      <c r="J554" s="432">
        <v>46143</v>
      </c>
      <c r="K554" s="429" t="s">
        <v>2493</v>
      </c>
      <c r="L554" s="436" t="s">
        <v>124</v>
      </c>
      <c r="M554" s="436" t="s">
        <v>77</v>
      </c>
      <c r="N554" s="433"/>
      <c r="O554" s="437" t="s">
        <v>85</v>
      </c>
      <c r="P554" s="433">
        <v>700</v>
      </c>
      <c r="Q554" s="437">
        <v>752</v>
      </c>
      <c r="R554" s="437" t="s">
        <v>8295</v>
      </c>
      <c r="S554" s="438">
        <v>46241</v>
      </c>
      <c r="T554" s="438">
        <v>46168</v>
      </c>
      <c r="U554" s="438"/>
      <c r="V554" s="439"/>
      <c r="W554" s="439">
        <v>46171</v>
      </c>
      <c r="X554" s="439">
        <v>46217</v>
      </c>
      <c r="Y554" s="420"/>
      <c r="Z554" s="224" t="str">
        <f t="shared" si="48"/>
        <v>AG. MEDIÇÃO</v>
      </c>
      <c r="AA554" s="207" t="str">
        <f t="shared" si="49"/>
        <v>ENTREGUE</v>
      </c>
      <c r="AB554" s="207" t="str">
        <f t="shared" si="50"/>
        <v>AG. MEDIÇÃO</v>
      </c>
      <c r="AC554" s="156">
        <f t="shared" ca="1" si="51"/>
        <v>3</v>
      </c>
      <c r="AD554" s="156" t="str">
        <f t="shared" ca="1" si="52"/>
        <v>NO PRAZO</v>
      </c>
      <c r="AE554" s="156">
        <f t="shared" ca="1" si="53"/>
        <v>0</v>
      </c>
    </row>
    <row r="555" spans="1:31" ht="36" hidden="1" customHeight="1">
      <c r="A555" s="414"/>
      <c r="B555" s="440" t="s">
        <v>5109</v>
      </c>
      <c r="C555" s="440" t="s">
        <v>88</v>
      </c>
      <c r="D555" s="440" t="s">
        <v>1331</v>
      </c>
      <c r="E555" s="440" t="s">
        <v>2196</v>
      </c>
      <c r="F555" s="440" t="s">
        <v>42</v>
      </c>
      <c r="G555" s="441" t="s">
        <v>5110</v>
      </c>
      <c r="H555" s="440" t="s">
        <v>5111</v>
      </c>
      <c r="I555" s="441" t="s">
        <v>5112</v>
      </c>
      <c r="J555" s="450">
        <v>45748</v>
      </c>
      <c r="K555" s="429" t="s">
        <v>2493</v>
      </c>
      <c r="L555" s="444" t="s">
        <v>1208</v>
      </c>
      <c r="M555" s="444" t="s">
        <v>5113</v>
      </c>
      <c r="N555" s="441"/>
      <c r="O555" s="445"/>
      <c r="P555" s="441"/>
      <c r="Q555" s="445">
        <v>546</v>
      </c>
      <c r="R555" s="445" t="s">
        <v>5114</v>
      </c>
      <c r="S555" s="446">
        <v>45785</v>
      </c>
      <c r="T555" s="446">
        <v>45761</v>
      </c>
      <c r="U555" s="446">
        <v>45762</v>
      </c>
      <c r="V555" s="447"/>
      <c r="W555" s="447">
        <v>45776</v>
      </c>
      <c r="X555" s="447" t="s">
        <v>8044</v>
      </c>
      <c r="Y555" s="420"/>
      <c r="Z555" s="224" t="str">
        <f t="shared" si="48"/>
        <v>AG. MEDIÇÃO</v>
      </c>
      <c r="AA555" s="207" t="str">
        <f t="shared" si="49"/>
        <v>ENTREGUE</v>
      </c>
      <c r="AB555" s="207" t="str">
        <f t="shared" si="50"/>
        <v>AG. MEDIÇÃO</v>
      </c>
      <c r="AC555" s="156">
        <f t="shared" ca="1" si="51"/>
        <v>11</v>
      </c>
      <c r="AD555" s="156" t="str">
        <f t="shared" ca="1" si="52"/>
        <v>ATRASADO</v>
      </c>
      <c r="AE555" s="156">
        <f t="shared" ca="1" si="53"/>
        <v>8</v>
      </c>
    </row>
    <row r="556" spans="1:31" ht="36" hidden="1" customHeight="1">
      <c r="A556" s="414"/>
      <c r="B556" s="440" t="s">
        <v>3283</v>
      </c>
      <c r="C556" s="440" t="s">
        <v>111</v>
      </c>
      <c r="D556" s="440"/>
      <c r="E556" s="440"/>
      <c r="F556" s="440" t="s">
        <v>42</v>
      </c>
      <c r="G556" s="441" t="s">
        <v>3284</v>
      </c>
      <c r="H556" s="440" t="s">
        <v>3285</v>
      </c>
      <c r="I556" s="449"/>
      <c r="J556" s="450">
        <v>45261</v>
      </c>
      <c r="K556" s="429" t="s">
        <v>2493</v>
      </c>
      <c r="L556" s="444" t="s">
        <v>1130</v>
      </c>
      <c r="M556" s="444" t="s">
        <v>774</v>
      </c>
      <c r="N556" s="441" t="s">
        <v>2572</v>
      </c>
      <c r="O556" s="445" t="s">
        <v>85</v>
      </c>
      <c r="P556" s="445"/>
      <c r="Q556" s="441">
        <v>370</v>
      </c>
      <c r="R556" s="445" t="s">
        <v>3286</v>
      </c>
      <c r="S556" s="446">
        <v>45300</v>
      </c>
      <c r="T556" s="446">
        <v>45268</v>
      </c>
      <c r="U556" s="446">
        <v>45282</v>
      </c>
      <c r="V556" s="446">
        <v>45286</v>
      </c>
      <c r="W556" s="446">
        <v>45287</v>
      </c>
      <c r="X556" s="447" t="s">
        <v>8044</v>
      </c>
      <c r="Y556" s="420"/>
      <c r="Z556" s="224" t="str">
        <f t="shared" si="48"/>
        <v>AG. MEDIÇÃO</v>
      </c>
      <c r="AA556" s="207" t="str">
        <f t="shared" si="49"/>
        <v>ENTREGUE</v>
      </c>
      <c r="AB556" s="207" t="str">
        <f t="shared" si="50"/>
        <v>AG. MEDIÇÃO</v>
      </c>
      <c r="AC556" s="156">
        <f t="shared" ca="1" si="51"/>
        <v>13</v>
      </c>
      <c r="AD556" s="156" t="str">
        <f t="shared" ca="1" si="52"/>
        <v>ATRASADO</v>
      </c>
      <c r="AE556" s="156">
        <f t="shared" ca="1" si="53"/>
        <v>10</v>
      </c>
    </row>
    <row r="557" spans="1:31" ht="36" hidden="1" customHeight="1">
      <c r="A557" s="414"/>
      <c r="B557" s="429" t="s">
        <v>7697</v>
      </c>
      <c r="C557" s="430" t="s">
        <v>232</v>
      </c>
      <c r="D557" s="431" t="s">
        <v>1793</v>
      </c>
      <c r="E557" s="432" t="s">
        <v>389</v>
      </c>
      <c r="F557" s="429" t="s">
        <v>42</v>
      </c>
      <c r="G557" s="434" t="s">
        <v>7653</v>
      </c>
      <c r="H557" s="636" t="s">
        <v>7654</v>
      </c>
      <c r="I557" s="433" t="s">
        <v>7655</v>
      </c>
      <c r="J557" s="432">
        <v>46143</v>
      </c>
      <c r="K557" s="429" t="s">
        <v>2493</v>
      </c>
      <c r="L557" s="436"/>
      <c r="M557" s="436" t="s">
        <v>62</v>
      </c>
      <c r="N557" s="433"/>
      <c r="O557" s="437" t="s">
        <v>85</v>
      </c>
      <c r="P557" s="433" t="s">
        <v>2494</v>
      </c>
      <c r="Q557" s="437" t="s">
        <v>2494</v>
      </c>
      <c r="R557" s="437" t="s">
        <v>7952</v>
      </c>
      <c r="S557" s="438">
        <v>46205</v>
      </c>
      <c r="T557" s="438">
        <v>46169</v>
      </c>
      <c r="U557" s="438"/>
      <c r="V557" s="439"/>
      <c r="W557" s="439">
        <v>46169</v>
      </c>
      <c r="X557" s="439">
        <v>46205</v>
      </c>
      <c r="Y557" s="420"/>
      <c r="Z557" s="224" t="str">
        <f t="shared" si="48"/>
        <v>AG. MEDIÇÃO</v>
      </c>
      <c r="AA557" s="207" t="str">
        <f t="shared" si="49"/>
        <v>ENTREGUE</v>
      </c>
      <c r="AB557" s="207" t="str">
        <f t="shared" si="50"/>
        <v>AG. MEDIÇÃO</v>
      </c>
      <c r="AC557" s="156">
        <f t="shared" ca="1" si="51"/>
        <v>0</v>
      </c>
      <c r="AD557" s="156" t="str">
        <f t="shared" ca="1" si="52"/>
        <v>NO PRAZO</v>
      </c>
      <c r="AE557" s="156">
        <f t="shared" ca="1" si="53"/>
        <v>-3</v>
      </c>
    </row>
    <row r="558" spans="1:31" ht="36" hidden="1" customHeight="1">
      <c r="A558" s="414"/>
      <c r="B558" s="429" t="s">
        <v>7761</v>
      </c>
      <c r="C558" s="430" t="s">
        <v>241</v>
      </c>
      <c r="D558" s="431" t="s">
        <v>2319</v>
      </c>
      <c r="E558" s="432" t="s">
        <v>398</v>
      </c>
      <c r="F558" s="429" t="s">
        <v>42</v>
      </c>
      <c r="G558" s="434" t="s">
        <v>7720</v>
      </c>
      <c r="H558" s="636" t="s">
        <v>7721</v>
      </c>
      <c r="I558" s="433" t="s">
        <v>7722</v>
      </c>
      <c r="J558" s="432">
        <v>46174</v>
      </c>
      <c r="K558" s="429" t="s">
        <v>2493</v>
      </c>
      <c r="L558" s="436" t="s">
        <v>7758</v>
      </c>
      <c r="M558" s="436" t="s">
        <v>62</v>
      </c>
      <c r="N558" s="433"/>
      <c r="O558" s="437"/>
      <c r="P558" s="433">
        <v>190</v>
      </c>
      <c r="Q558" s="437">
        <v>185</v>
      </c>
      <c r="R558" s="437" t="s">
        <v>8335</v>
      </c>
      <c r="S558" s="438">
        <v>46246</v>
      </c>
      <c r="T558" s="438">
        <v>46178</v>
      </c>
      <c r="U558" s="438"/>
      <c r="V558" s="439"/>
      <c r="W558" s="439">
        <v>46182</v>
      </c>
      <c r="X558" s="439">
        <v>46246</v>
      </c>
      <c r="Y558" s="420"/>
      <c r="Z558" s="224" t="str">
        <f t="shared" si="48"/>
        <v>AG. MEDIÇÃO</v>
      </c>
      <c r="AA558" s="207" t="str">
        <f t="shared" si="49"/>
        <v>ENTREGUE</v>
      </c>
      <c r="AB558" s="207" t="str">
        <f t="shared" si="50"/>
        <v>AG. MEDIÇÃO</v>
      </c>
      <c r="AC558" s="156">
        <f t="shared" ca="1" si="51"/>
        <v>2</v>
      </c>
      <c r="AD558" s="156" t="str">
        <f t="shared" ca="1" si="52"/>
        <v>NO PRAZO</v>
      </c>
      <c r="AE558" s="156">
        <f t="shared" ca="1" si="53"/>
        <v>-1</v>
      </c>
    </row>
    <row r="559" spans="1:31" ht="36" hidden="1" customHeight="1">
      <c r="A559" s="414"/>
      <c r="B559" s="429" t="s">
        <v>7818</v>
      </c>
      <c r="C559" s="430" t="s">
        <v>79</v>
      </c>
      <c r="D559" s="430" t="s">
        <v>1483</v>
      </c>
      <c r="E559" s="432" t="s">
        <v>619</v>
      </c>
      <c r="F559" s="429" t="s">
        <v>42</v>
      </c>
      <c r="G559" s="434"/>
      <c r="H559" s="636" t="s">
        <v>7828</v>
      </c>
      <c r="I559" s="433" t="s">
        <v>7829</v>
      </c>
      <c r="J559" s="432">
        <v>46174</v>
      </c>
      <c r="K559" s="429" t="s">
        <v>2493</v>
      </c>
      <c r="L559" s="436" t="s">
        <v>124</v>
      </c>
      <c r="M559" s="436" t="s">
        <v>77</v>
      </c>
      <c r="N559" s="433"/>
      <c r="O559" s="437" t="s">
        <v>85</v>
      </c>
      <c r="P559" s="433">
        <v>340</v>
      </c>
      <c r="Q559" s="437">
        <v>496</v>
      </c>
      <c r="R559" s="437" t="s">
        <v>8327</v>
      </c>
      <c r="S559" s="438">
        <v>46245</v>
      </c>
      <c r="T559" s="438">
        <v>46188</v>
      </c>
      <c r="U559" s="438"/>
      <c r="V559" s="439"/>
      <c r="W559" s="439">
        <v>46198</v>
      </c>
      <c r="X559" s="439">
        <v>46245</v>
      </c>
      <c r="Y559" s="420"/>
      <c r="Z559" s="224" t="str">
        <f t="shared" si="48"/>
        <v>AG. MEDIÇÃO</v>
      </c>
      <c r="AA559" s="207" t="str">
        <f t="shared" si="49"/>
        <v>ENTREGUE</v>
      </c>
      <c r="AB559" s="207" t="str">
        <f t="shared" si="50"/>
        <v>AG. MEDIÇÃO</v>
      </c>
      <c r="AC559" s="156">
        <f t="shared" ca="1" si="51"/>
        <v>8</v>
      </c>
      <c r="AD559" s="156" t="str">
        <f t="shared" ca="1" si="52"/>
        <v>ATRASADO</v>
      </c>
      <c r="AE559" s="156">
        <f t="shared" ca="1" si="53"/>
        <v>5</v>
      </c>
    </row>
    <row r="560" spans="1:31" ht="36" hidden="1" customHeight="1">
      <c r="A560" s="414"/>
      <c r="B560" s="440" t="s">
        <v>4615</v>
      </c>
      <c r="C560" s="440" t="s">
        <v>479</v>
      </c>
      <c r="D560" s="440" t="s">
        <v>481</v>
      </c>
      <c r="E560" s="440" t="s">
        <v>480</v>
      </c>
      <c r="F560" s="440" t="s">
        <v>42</v>
      </c>
      <c r="G560" s="441" t="s">
        <v>4616</v>
      </c>
      <c r="H560" s="440" t="s">
        <v>4617</v>
      </c>
      <c r="I560" s="441" t="s">
        <v>4618</v>
      </c>
      <c r="J560" s="450">
        <v>45597</v>
      </c>
      <c r="K560" s="429" t="s">
        <v>2493</v>
      </c>
      <c r="L560" s="444" t="s">
        <v>124</v>
      </c>
      <c r="M560" s="444" t="s">
        <v>132</v>
      </c>
      <c r="N560" s="441" t="s">
        <v>2572</v>
      </c>
      <c r="O560" s="445" t="s">
        <v>4560</v>
      </c>
      <c r="P560" s="445"/>
      <c r="Q560" s="445">
        <v>465</v>
      </c>
      <c r="R560" s="445" t="s">
        <v>4619</v>
      </c>
      <c r="S560" s="446">
        <v>45632</v>
      </c>
      <c r="T560" s="446">
        <v>45621</v>
      </c>
      <c r="U560" s="446"/>
      <c r="V560" s="447"/>
      <c r="W560" s="447">
        <v>45627</v>
      </c>
      <c r="X560" s="447" t="s">
        <v>8044</v>
      </c>
      <c r="Y560" s="420"/>
      <c r="Z560" s="224" t="str">
        <f t="shared" si="48"/>
        <v>AG. MEDIÇÃO</v>
      </c>
      <c r="AA560" s="207" t="str">
        <f t="shared" si="49"/>
        <v>ENTREGUE</v>
      </c>
      <c r="AB560" s="207" t="str">
        <f t="shared" si="50"/>
        <v>AG. MEDIÇÃO</v>
      </c>
      <c r="AC560" s="156">
        <f t="shared" ca="1" si="51"/>
        <v>4</v>
      </c>
      <c r="AD560" s="156" t="str">
        <f t="shared" ca="1" si="52"/>
        <v>ATRASADO</v>
      </c>
      <c r="AE560" s="156">
        <f t="shared" ca="1" si="53"/>
        <v>1</v>
      </c>
    </row>
    <row r="561" spans="1:31" ht="36" hidden="1" customHeight="1">
      <c r="A561" s="414"/>
      <c r="B561" s="429" t="s">
        <v>7884</v>
      </c>
      <c r="C561" s="429" t="s">
        <v>1572</v>
      </c>
      <c r="D561" s="429" t="s">
        <v>1574</v>
      </c>
      <c r="E561" s="429" t="s">
        <v>1573</v>
      </c>
      <c r="F561" s="429" t="s">
        <v>427</v>
      </c>
      <c r="G561" s="433"/>
      <c r="H561" s="429" t="s">
        <v>7888</v>
      </c>
      <c r="I561" s="433" t="s">
        <v>7889</v>
      </c>
      <c r="J561" s="432">
        <v>46174</v>
      </c>
      <c r="K561" s="429" t="s">
        <v>4742</v>
      </c>
      <c r="L561" s="436"/>
      <c r="M561" s="436" t="s">
        <v>62</v>
      </c>
      <c r="N561" s="437"/>
      <c r="O561" s="437" t="s">
        <v>85</v>
      </c>
      <c r="P561" s="429" t="s">
        <v>2494</v>
      </c>
      <c r="Q561" s="436" t="s">
        <v>2494</v>
      </c>
      <c r="R561" s="499" t="s">
        <v>8118</v>
      </c>
      <c r="S561" s="438"/>
      <c r="T561" s="438">
        <v>46192</v>
      </c>
      <c r="U561" s="438"/>
      <c r="V561" s="438"/>
      <c r="W561" s="439">
        <v>46196</v>
      </c>
      <c r="X561" s="439">
        <v>46246</v>
      </c>
      <c r="Y561" s="420"/>
      <c r="Z561" s="224" t="str">
        <f t="shared" si="48"/>
        <v>PENDENTE</v>
      </c>
      <c r="AA561" s="207" t="str">
        <f t="shared" si="49"/>
        <v>ENTREGUE</v>
      </c>
      <c r="AB561" s="207" t="str">
        <f t="shared" si="50"/>
        <v>SEM SINAL</v>
      </c>
      <c r="AC561" s="156">
        <f t="shared" ca="1" si="51"/>
        <v>2</v>
      </c>
      <c r="AD561" s="156" t="str">
        <f t="shared" ca="1" si="52"/>
        <v>NO PRAZO</v>
      </c>
      <c r="AE561" s="156">
        <f t="shared" ca="1" si="53"/>
        <v>-1</v>
      </c>
    </row>
    <row r="562" spans="1:31" ht="36" hidden="1" customHeight="1">
      <c r="A562" s="414"/>
      <c r="B562" s="429" t="s">
        <v>8340</v>
      </c>
      <c r="C562" s="429" t="s">
        <v>79</v>
      </c>
      <c r="D562" s="429"/>
      <c r="E562" s="429" t="s">
        <v>619</v>
      </c>
      <c r="F562" s="429" t="s">
        <v>42</v>
      </c>
      <c r="G562" s="562" t="s">
        <v>8349</v>
      </c>
      <c r="H562" s="562" t="s">
        <v>8350</v>
      </c>
      <c r="I562" s="585" t="s">
        <v>4135</v>
      </c>
      <c r="J562" s="432">
        <v>46235</v>
      </c>
      <c r="K562" s="429" t="s">
        <v>2493</v>
      </c>
      <c r="L562" s="436"/>
      <c r="M562" s="436" t="s">
        <v>62</v>
      </c>
      <c r="N562" s="437"/>
      <c r="O562" s="437" t="s">
        <v>85</v>
      </c>
      <c r="P562" s="437" t="s">
        <v>2494</v>
      </c>
      <c r="Q562" s="437" t="s">
        <v>2494</v>
      </c>
      <c r="R562" s="499" t="s">
        <v>8474</v>
      </c>
      <c r="S562" s="438">
        <v>46258</v>
      </c>
      <c r="T562" s="438">
        <v>46246</v>
      </c>
      <c r="U562" s="438"/>
      <c r="V562" s="438"/>
      <c r="W562" s="438">
        <v>46249</v>
      </c>
      <c r="X562" s="439">
        <v>46258</v>
      </c>
      <c r="Y562" s="420"/>
      <c r="Z562" s="224" t="str">
        <f t="shared" si="48"/>
        <v>AG. MEDIÇÃO</v>
      </c>
      <c r="AA562" s="207" t="str">
        <f t="shared" si="49"/>
        <v>ENTREGUE</v>
      </c>
      <c r="AB562" s="207" t="str">
        <f t="shared" si="50"/>
        <v>AG. MEDIÇÃO</v>
      </c>
      <c r="AC562" s="156">
        <f t="shared" ca="1" si="51"/>
        <v>2</v>
      </c>
      <c r="AD562" s="156" t="str">
        <f t="shared" ca="1" si="52"/>
        <v>NO PRAZO</v>
      </c>
      <c r="AE562" s="156">
        <f t="shared" ca="1" si="53"/>
        <v>-1</v>
      </c>
    </row>
    <row r="563" spans="1:31" ht="36" hidden="1" customHeight="1">
      <c r="A563" s="414"/>
      <c r="B563" s="429" t="s">
        <v>7795</v>
      </c>
      <c r="C563" s="430" t="s">
        <v>248</v>
      </c>
      <c r="D563" s="431" t="s">
        <v>440</v>
      </c>
      <c r="E563" s="432" t="s">
        <v>249</v>
      </c>
      <c r="F563" s="429" t="s">
        <v>42</v>
      </c>
      <c r="G563" s="434"/>
      <c r="H563" s="636" t="s">
        <v>7811</v>
      </c>
      <c r="I563" s="433" t="s">
        <v>7812</v>
      </c>
      <c r="J563" s="432">
        <v>46174</v>
      </c>
      <c r="K563" s="429" t="s">
        <v>2493</v>
      </c>
      <c r="L563" s="436" t="s">
        <v>124</v>
      </c>
      <c r="M563" s="436" t="s">
        <v>62</v>
      </c>
      <c r="N563" s="433"/>
      <c r="O563" s="437" t="s">
        <v>85</v>
      </c>
      <c r="P563" s="429">
        <v>550</v>
      </c>
      <c r="Q563" s="436">
        <v>586</v>
      </c>
      <c r="R563" s="437" t="s">
        <v>8368</v>
      </c>
      <c r="S563" s="438"/>
      <c r="T563" s="438">
        <v>46185</v>
      </c>
      <c r="U563" s="438"/>
      <c r="V563" s="439"/>
      <c r="W563" s="439">
        <v>46192</v>
      </c>
      <c r="X563" s="439">
        <v>46247</v>
      </c>
      <c r="Y563" s="420"/>
      <c r="Z563" s="224" t="str">
        <f t="shared" si="48"/>
        <v>PENDENTE</v>
      </c>
      <c r="AA563" s="207" t="str">
        <f t="shared" si="49"/>
        <v>ENTREGUE</v>
      </c>
      <c r="AB563" s="207" t="str">
        <f t="shared" si="50"/>
        <v>AG. MEDIÇÃO</v>
      </c>
      <c r="AC563" s="156">
        <f t="shared" ca="1" si="51"/>
        <v>5</v>
      </c>
      <c r="AD563" s="156" t="str">
        <f t="shared" ca="1" si="52"/>
        <v>ATRASADO</v>
      </c>
      <c r="AE563" s="156">
        <f t="shared" ca="1" si="53"/>
        <v>2</v>
      </c>
    </row>
    <row r="564" spans="1:31" ht="36" hidden="1" customHeight="1">
      <c r="A564" s="414"/>
      <c r="B564" s="429" t="s">
        <v>7774</v>
      </c>
      <c r="C564" s="430" t="s">
        <v>241</v>
      </c>
      <c r="D564" s="431" t="s">
        <v>2309</v>
      </c>
      <c r="E564" s="432" t="s">
        <v>242</v>
      </c>
      <c r="F564" s="429" t="s">
        <v>42</v>
      </c>
      <c r="G564" s="434"/>
      <c r="H564" s="636" t="s">
        <v>7743</v>
      </c>
      <c r="I564" s="433" t="s">
        <v>7969</v>
      </c>
      <c r="J564" s="432">
        <v>46174</v>
      </c>
      <c r="K564" s="429" t="s">
        <v>2493</v>
      </c>
      <c r="L564" s="436"/>
      <c r="M564" s="436" t="s">
        <v>77</v>
      </c>
      <c r="N564" s="433"/>
      <c r="O564" s="437" t="s">
        <v>85</v>
      </c>
      <c r="P564" s="433" t="s">
        <v>2494</v>
      </c>
      <c r="Q564" s="437" t="s">
        <v>2494</v>
      </c>
      <c r="R564" s="437" t="s">
        <v>7952</v>
      </c>
      <c r="S564" s="438">
        <v>46210</v>
      </c>
      <c r="T564" s="438">
        <v>46181</v>
      </c>
      <c r="U564" s="438"/>
      <c r="V564" s="439"/>
      <c r="W564" s="439">
        <v>46182</v>
      </c>
      <c r="X564" s="439">
        <v>46210</v>
      </c>
      <c r="Y564" s="420"/>
      <c r="Z564" s="224" t="str">
        <f t="shared" si="48"/>
        <v>AG. MEDIÇÃO</v>
      </c>
      <c r="AA564" s="207" t="str">
        <f t="shared" si="49"/>
        <v>ENTREGUE</v>
      </c>
      <c r="AB564" s="207" t="str">
        <f t="shared" si="50"/>
        <v>AG. MEDIÇÃO</v>
      </c>
      <c r="AC564" s="156">
        <f t="shared" ca="1" si="51"/>
        <v>1</v>
      </c>
      <c r="AD564" s="156" t="str">
        <f t="shared" ca="1" si="52"/>
        <v>NO PRAZO</v>
      </c>
      <c r="AE564" s="156">
        <f t="shared" ca="1" si="53"/>
        <v>-2</v>
      </c>
    </row>
    <row r="565" spans="1:31" ht="36" hidden="1" customHeight="1">
      <c r="A565" s="414"/>
      <c r="B565" s="429" t="s">
        <v>8200</v>
      </c>
      <c r="C565" s="429" t="s">
        <v>79</v>
      </c>
      <c r="D565" s="429" t="s">
        <v>872</v>
      </c>
      <c r="E565" s="429" t="s">
        <v>619</v>
      </c>
      <c r="F565" s="429" t="s">
        <v>42</v>
      </c>
      <c r="G565" s="561" t="s">
        <v>8221</v>
      </c>
      <c r="H565" s="562" t="s">
        <v>8222</v>
      </c>
      <c r="I565" s="562" t="s">
        <v>8223</v>
      </c>
      <c r="J565" s="432">
        <v>46204</v>
      </c>
      <c r="K565" s="429" t="s">
        <v>2493</v>
      </c>
      <c r="L565" s="436"/>
      <c r="M565" s="436" t="s">
        <v>62</v>
      </c>
      <c r="N565" s="437"/>
      <c r="O565" s="437"/>
      <c r="P565" s="436" t="s">
        <v>2494</v>
      </c>
      <c r="Q565" s="429" t="s">
        <v>2494</v>
      </c>
      <c r="R565" s="499" t="s">
        <v>8193</v>
      </c>
      <c r="S565" s="438"/>
      <c r="T565" s="438">
        <v>46234</v>
      </c>
      <c r="U565" s="438"/>
      <c r="V565" s="438">
        <v>46234</v>
      </c>
      <c r="W565" s="438">
        <v>46234</v>
      </c>
      <c r="X565" s="439"/>
      <c r="Y565" s="420"/>
      <c r="Z565" s="224" t="str">
        <f t="shared" si="48"/>
        <v>AG. RELATÓRIO</v>
      </c>
      <c r="AA565" s="207" t="str">
        <f t="shared" si="49"/>
        <v>PENDENTE</v>
      </c>
      <c r="AB565" s="207" t="str">
        <f t="shared" si="50"/>
        <v>AG. RELATÓRIO</v>
      </c>
      <c r="AC565" s="156">
        <f t="shared" ca="1" si="51"/>
        <v>0</v>
      </c>
      <c r="AD565" s="156" t="str">
        <f t="shared" ca="1" si="52"/>
        <v>NO PRAZO</v>
      </c>
      <c r="AE565" s="156">
        <f t="shared" ca="1" si="53"/>
        <v>-3</v>
      </c>
    </row>
    <row r="566" spans="1:31" ht="36" hidden="1" customHeight="1">
      <c r="A566" s="414"/>
      <c r="B566" s="429" t="s">
        <v>8278</v>
      </c>
      <c r="C566" s="429" t="s">
        <v>989</v>
      </c>
      <c r="D566" s="429" t="s">
        <v>8461</v>
      </c>
      <c r="E566" s="429" t="s">
        <v>2235</v>
      </c>
      <c r="F566" s="429" t="s">
        <v>42</v>
      </c>
      <c r="G566" s="562" t="s">
        <v>8297</v>
      </c>
      <c r="H566" s="562" t="s">
        <v>8298</v>
      </c>
      <c r="I566" s="570" t="s">
        <v>8299</v>
      </c>
      <c r="J566" s="432">
        <v>46235</v>
      </c>
      <c r="K566" s="429" t="s">
        <v>2493</v>
      </c>
      <c r="L566" s="436"/>
      <c r="M566" s="436" t="s">
        <v>7910</v>
      </c>
      <c r="N566" s="437"/>
      <c r="O566" s="437" t="s">
        <v>85</v>
      </c>
      <c r="P566" s="437" t="s">
        <v>2494</v>
      </c>
      <c r="Q566" s="437" t="s">
        <v>2494</v>
      </c>
      <c r="R566" s="499" t="s">
        <v>4662</v>
      </c>
      <c r="S566" s="438">
        <v>46254</v>
      </c>
      <c r="T566" s="438">
        <v>46241</v>
      </c>
      <c r="U566" s="438"/>
      <c r="V566" s="438"/>
      <c r="W566" s="438">
        <v>46242</v>
      </c>
      <c r="X566" s="439">
        <v>46254</v>
      </c>
      <c r="Y566" s="420"/>
      <c r="Z566" s="224" t="str">
        <f t="shared" si="48"/>
        <v>AG. MEDIÇÃO</v>
      </c>
      <c r="AA566" s="207" t="str">
        <f t="shared" si="49"/>
        <v>ENTREGUE</v>
      </c>
      <c r="AB566" s="207" t="str">
        <f t="shared" si="50"/>
        <v>AG. MEDIÇÃO</v>
      </c>
      <c r="AC566" s="156">
        <f t="shared" ca="1" si="51"/>
        <v>0</v>
      </c>
      <c r="AD566" s="156" t="str">
        <f t="shared" ca="1" si="52"/>
        <v>NO PRAZO</v>
      </c>
      <c r="AE566" s="156">
        <f t="shared" ca="1" si="53"/>
        <v>-3</v>
      </c>
    </row>
    <row r="567" spans="1:31" ht="36" hidden="1" customHeight="1">
      <c r="A567" s="414"/>
      <c r="B567" s="440" t="s">
        <v>3124</v>
      </c>
      <c r="C567" s="440" t="s">
        <v>117</v>
      </c>
      <c r="D567" s="440"/>
      <c r="E567" s="440"/>
      <c r="F567" s="440" t="s">
        <v>42</v>
      </c>
      <c r="G567" s="441" t="s">
        <v>3125</v>
      </c>
      <c r="H567" s="440" t="s">
        <v>3126</v>
      </c>
      <c r="I567" s="449"/>
      <c r="J567" s="450">
        <v>45200</v>
      </c>
      <c r="K567" s="429" t="s">
        <v>2493</v>
      </c>
      <c r="L567" s="444"/>
      <c r="M567" s="444" t="s">
        <v>714</v>
      </c>
      <c r="N567" s="441" t="s">
        <v>2572</v>
      </c>
      <c r="O567" s="445" t="s">
        <v>85</v>
      </c>
      <c r="P567" s="441" t="s">
        <v>2494</v>
      </c>
      <c r="Q567" s="441" t="s">
        <v>2494</v>
      </c>
      <c r="R567" s="445" t="s">
        <v>3127</v>
      </c>
      <c r="S567" s="446">
        <v>45223</v>
      </c>
      <c r="T567" s="446">
        <v>45211</v>
      </c>
      <c r="U567" s="446"/>
      <c r="V567" s="446">
        <v>45219</v>
      </c>
      <c r="W567" s="447">
        <v>45219</v>
      </c>
      <c r="X567" s="447" t="s">
        <v>8044</v>
      </c>
      <c r="Y567" s="420"/>
      <c r="Z567" s="224" t="str">
        <f t="shared" si="48"/>
        <v>AG. MEDIÇÃO</v>
      </c>
      <c r="AA567" s="207" t="str">
        <f t="shared" si="49"/>
        <v>ENTREGUE</v>
      </c>
      <c r="AB567" s="207" t="str">
        <f t="shared" si="50"/>
        <v>AG. MEDIÇÃO</v>
      </c>
      <c r="AC567" s="156">
        <f t="shared" ca="1" si="51"/>
        <v>6</v>
      </c>
      <c r="AD567" s="156" t="str">
        <f t="shared" ca="1" si="52"/>
        <v>ATRASADO</v>
      </c>
      <c r="AE567" s="156">
        <f t="shared" ca="1" si="53"/>
        <v>3</v>
      </c>
    </row>
    <row r="568" spans="1:31" ht="36" hidden="1" customHeight="1">
      <c r="A568" s="414"/>
      <c r="B568" s="429" t="s">
        <v>7435</v>
      </c>
      <c r="C568" s="430" t="s">
        <v>104</v>
      </c>
      <c r="D568" s="431"/>
      <c r="E568" s="432"/>
      <c r="F568" s="429" t="s">
        <v>42</v>
      </c>
      <c r="G568" s="434" t="s">
        <v>7438</v>
      </c>
      <c r="H568" s="636" t="s">
        <v>7439</v>
      </c>
      <c r="I568" s="433" t="s">
        <v>7572</v>
      </c>
      <c r="J568" s="432">
        <v>46143</v>
      </c>
      <c r="K568" s="429" t="s">
        <v>2493</v>
      </c>
      <c r="L568" s="487"/>
      <c r="M568" s="436" t="s">
        <v>62</v>
      </c>
      <c r="N568" s="433"/>
      <c r="O568" s="437"/>
      <c r="P568" s="433" t="s">
        <v>2494</v>
      </c>
      <c r="Q568" s="437" t="s">
        <v>2494</v>
      </c>
      <c r="R568" s="437" t="s">
        <v>7573</v>
      </c>
      <c r="S568" s="438">
        <v>46163</v>
      </c>
      <c r="T568" s="438">
        <v>46150</v>
      </c>
      <c r="U568" s="438"/>
      <c r="V568" s="439"/>
      <c r="W568" s="439">
        <v>46151</v>
      </c>
      <c r="X568" s="439">
        <v>46163</v>
      </c>
      <c r="Y568" s="420"/>
      <c r="Z568" s="224" t="str">
        <f t="shared" si="48"/>
        <v>AG. MEDIÇÃO</v>
      </c>
      <c r="AA568" s="207" t="str">
        <f t="shared" si="49"/>
        <v>ENTREGUE</v>
      </c>
      <c r="AB568" s="207" t="str">
        <f t="shared" si="50"/>
        <v>AG. MEDIÇÃO</v>
      </c>
      <c r="AC568" s="156">
        <f t="shared" ca="1" si="51"/>
        <v>0</v>
      </c>
      <c r="AD568" s="156" t="str">
        <f t="shared" ca="1" si="52"/>
        <v>NO PRAZO</v>
      </c>
      <c r="AE568" s="156">
        <f t="shared" ca="1" si="53"/>
        <v>-3</v>
      </c>
    </row>
    <row r="569" spans="1:31" ht="36" hidden="1" customHeight="1">
      <c r="A569" s="414"/>
      <c r="B569" s="466" t="s">
        <v>6840</v>
      </c>
      <c r="C569" s="430" t="s">
        <v>2531</v>
      </c>
      <c r="D569" s="431"/>
      <c r="E569" s="432"/>
      <c r="F569" s="429" t="s">
        <v>2498</v>
      </c>
      <c r="G569" s="434"/>
      <c r="H569" s="636" t="s">
        <v>6845</v>
      </c>
      <c r="I569" s="433" t="s">
        <v>6862</v>
      </c>
      <c r="J569" s="432">
        <v>46023</v>
      </c>
      <c r="K569" s="429" t="s">
        <v>2493</v>
      </c>
      <c r="L569" s="487"/>
      <c r="M569" s="436" t="s">
        <v>6871</v>
      </c>
      <c r="N569" s="433"/>
      <c r="O569" s="437"/>
      <c r="P569" s="437" t="s">
        <v>2494</v>
      </c>
      <c r="Q569" s="437" t="s">
        <v>2494</v>
      </c>
      <c r="R569" s="437" t="s">
        <v>6931</v>
      </c>
      <c r="S569" s="438">
        <v>46052</v>
      </c>
      <c r="T569" s="438">
        <v>46035</v>
      </c>
      <c r="U569" s="438"/>
      <c r="V569" s="439"/>
      <c r="W569" s="439">
        <v>46040</v>
      </c>
      <c r="X569" s="439">
        <v>46052</v>
      </c>
      <c r="Y569" s="420"/>
      <c r="Z569" s="224" t="str">
        <f t="shared" si="48"/>
        <v>AG. MEDIÇÃO</v>
      </c>
      <c r="AA569" s="207" t="str">
        <f t="shared" si="49"/>
        <v>ENTREGUE</v>
      </c>
      <c r="AB569" s="207" t="str">
        <f t="shared" si="50"/>
        <v>AG. MEDIÇÃO</v>
      </c>
      <c r="AC569" s="156">
        <f t="shared" ca="1" si="51"/>
        <v>3</v>
      </c>
      <c r="AD569" s="156" t="str">
        <f t="shared" ca="1" si="52"/>
        <v>NO PRAZO</v>
      </c>
      <c r="AE569" s="156">
        <f t="shared" ca="1" si="53"/>
        <v>0</v>
      </c>
    </row>
    <row r="570" spans="1:31" ht="36" hidden="1" customHeight="1">
      <c r="A570" s="414"/>
      <c r="B570" s="429" t="s">
        <v>8080</v>
      </c>
      <c r="C570" s="429" t="s">
        <v>1572</v>
      </c>
      <c r="D570" s="429"/>
      <c r="E570" s="429" t="s">
        <v>1573</v>
      </c>
      <c r="F570" s="429" t="s">
        <v>427</v>
      </c>
      <c r="G570" s="433" t="s">
        <v>8091</v>
      </c>
      <c r="H570" s="429" t="s">
        <v>8090</v>
      </c>
      <c r="I570" s="433" t="s">
        <v>8092</v>
      </c>
      <c r="J570" s="432">
        <v>46204</v>
      </c>
      <c r="K570" s="429" t="s">
        <v>2493</v>
      </c>
      <c r="L570" s="436"/>
      <c r="M570" s="436" t="s">
        <v>62</v>
      </c>
      <c r="N570" s="437"/>
      <c r="O570" s="437" t="s">
        <v>85</v>
      </c>
      <c r="P570" s="437" t="s">
        <v>2494</v>
      </c>
      <c r="Q570" s="433" t="s">
        <v>2494</v>
      </c>
      <c r="R570" s="499" t="s">
        <v>8396</v>
      </c>
      <c r="S570" s="438">
        <v>46251</v>
      </c>
      <c r="T570" s="438">
        <v>46217</v>
      </c>
      <c r="U570" s="438"/>
      <c r="V570" s="438"/>
      <c r="W570" s="439">
        <v>46218</v>
      </c>
      <c r="X570" s="439">
        <v>46251</v>
      </c>
      <c r="Y570" s="420"/>
      <c r="Z570" s="224" t="str">
        <f t="shared" si="48"/>
        <v>AG. MEDIÇÃO</v>
      </c>
      <c r="AA570" s="207" t="str">
        <f t="shared" si="49"/>
        <v>ENTREGUE</v>
      </c>
      <c r="AB570" s="207" t="str">
        <f t="shared" si="50"/>
        <v>AG. MEDIÇÃO</v>
      </c>
      <c r="AC570" s="156">
        <f t="shared" ca="1" si="51"/>
        <v>1</v>
      </c>
      <c r="AD570" s="156" t="str">
        <f t="shared" ca="1" si="52"/>
        <v>NO PRAZO</v>
      </c>
      <c r="AE570" s="156">
        <f t="shared" ca="1" si="53"/>
        <v>-2</v>
      </c>
    </row>
    <row r="571" spans="1:31" ht="36" hidden="1" customHeight="1">
      <c r="A571" s="414"/>
      <c r="B571" s="429" t="s">
        <v>7786</v>
      </c>
      <c r="C571" s="430" t="s">
        <v>2531</v>
      </c>
      <c r="D571" s="431"/>
      <c r="E571" s="432" t="s">
        <v>4637</v>
      </c>
      <c r="F571" s="429" t="s">
        <v>4638</v>
      </c>
      <c r="G571" s="434"/>
      <c r="H571" s="636" t="s">
        <v>7788</v>
      </c>
      <c r="I571" s="433" t="s">
        <v>7787</v>
      </c>
      <c r="J571" s="432">
        <v>46174</v>
      </c>
      <c r="K571" s="429" t="s">
        <v>2493</v>
      </c>
      <c r="L571" s="436" t="s">
        <v>62</v>
      </c>
      <c r="M571" s="436" t="s">
        <v>62</v>
      </c>
      <c r="N571" s="433"/>
      <c r="O571" s="437" t="s">
        <v>85</v>
      </c>
      <c r="P571" s="433">
        <v>95</v>
      </c>
      <c r="Q571" s="437">
        <v>66</v>
      </c>
      <c r="R571" s="437" t="s">
        <v>7876</v>
      </c>
      <c r="S571" s="438">
        <v>46192</v>
      </c>
      <c r="T571" s="438">
        <v>46184</v>
      </c>
      <c r="U571" s="438"/>
      <c r="V571" s="439"/>
      <c r="W571" s="439">
        <v>46187</v>
      </c>
      <c r="X571" s="439">
        <v>46192</v>
      </c>
      <c r="Y571" s="420"/>
      <c r="Z571" s="224" t="str">
        <f t="shared" si="48"/>
        <v>AG. MEDIÇÃO</v>
      </c>
      <c r="AA571" s="207" t="str">
        <f t="shared" si="49"/>
        <v>ENTREGUE</v>
      </c>
      <c r="AB571" s="207" t="str">
        <f t="shared" si="50"/>
        <v>AG. MEDIÇÃO</v>
      </c>
      <c r="AC571" s="156">
        <f t="shared" ca="1" si="51"/>
        <v>1</v>
      </c>
      <c r="AD571" s="156" t="str">
        <f t="shared" ca="1" si="52"/>
        <v>NO PRAZO</v>
      </c>
      <c r="AE571" s="156">
        <f t="shared" ca="1" si="53"/>
        <v>-2</v>
      </c>
    </row>
    <row r="572" spans="1:31" ht="36" hidden="1" customHeight="1">
      <c r="A572" s="414"/>
      <c r="B572" s="440" t="s">
        <v>5352</v>
      </c>
      <c r="C572" s="461" t="s">
        <v>555</v>
      </c>
      <c r="D572" s="461" t="s">
        <v>5353</v>
      </c>
      <c r="E572" s="461" t="s">
        <v>556</v>
      </c>
      <c r="F572" s="461" t="s">
        <v>42</v>
      </c>
      <c r="G572" s="441" t="s">
        <v>5354</v>
      </c>
      <c r="H572" s="440" t="s">
        <v>5355</v>
      </c>
      <c r="I572" s="441" t="s">
        <v>5356</v>
      </c>
      <c r="J572" s="450">
        <v>45809</v>
      </c>
      <c r="K572" s="429" t="s">
        <v>2493</v>
      </c>
      <c r="L572" s="444" t="s">
        <v>1204</v>
      </c>
      <c r="M572" s="444" t="s">
        <v>1478</v>
      </c>
      <c r="N572" s="441"/>
      <c r="O572" s="445"/>
      <c r="P572" s="441"/>
      <c r="Q572" s="445">
        <v>450</v>
      </c>
      <c r="R572" s="445" t="s">
        <v>5357</v>
      </c>
      <c r="S572" s="446">
        <v>45845</v>
      </c>
      <c r="T572" s="446">
        <v>45819</v>
      </c>
      <c r="U572" s="446"/>
      <c r="V572" s="447"/>
      <c r="W572" s="447">
        <v>45819</v>
      </c>
      <c r="X572" s="447">
        <v>45875</v>
      </c>
      <c r="Y572" s="420"/>
      <c r="Z572" s="224" t="str">
        <f t="shared" si="48"/>
        <v>AG. MEDIÇÃO</v>
      </c>
      <c r="AA572" s="207" t="str">
        <f t="shared" si="49"/>
        <v>ENTREGUE</v>
      </c>
      <c r="AB572" s="207" t="str">
        <f t="shared" si="50"/>
        <v>AG. MEDIÇÃO</v>
      </c>
      <c r="AC572" s="156">
        <f t="shared" ca="1" si="51"/>
        <v>0</v>
      </c>
      <c r="AD572" s="156" t="str">
        <f t="shared" ca="1" si="52"/>
        <v>NO PRAZO</v>
      </c>
      <c r="AE572" s="156">
        <f t="shared" ca="1" si="53"/>
        <v>-3</v>
      </c>
    </row>
    <row r="573" spans="1:31" ht="36" hidden="1" customHeight="1">
      <c r="A573" s="414"/>
      <c r="B573" s="429" t="s">
        <v>8283</v>
      </c>
      <c r="C573" s="429" t="s">
        <v>373</v>
      </c>
      <c r="D573" s="429" t="s">
        <v>8510</v>
      </c>
      <c r="E573" s="429" t="s">
        <v>374</v>
      </c>
      <c r="F573" s="429" t="s">
        <v>42</v>
      </c>
      <c r="G573" s="562" t="s">
        <v>8345</v>
      </c>
      <c r="H573" s="562" t="s">
        <v>8346</v>
      </c>
      <c r="I573" s="585" t="s">
        <v>3862</v>
      </c>
      <c r="J573" s="432">
        <v>46235</v>
      </c>
      <c r="K573" s="429" t="s">
        <v>2493</v>
      </c>
      <c r="L573" s="436"/>
      <c r="M573" s="436" t="s">
        <v>62</v>
      </c>
      <c r="N573" s="437"/>
      <c r="O573" s="437" t="s">
        <v>85</v>
      </c>
      <c r="P573" s="437" t="s">
        <v>2494</v>
      </c>
      <c r="Q573" s="437" t="s">
        <v>2494</v>
      </c>
      <c r="R573" s="499" t="s">
        <v>8476</v>
      </c>
      <c r="S573" s="438">
        <v>46258</v>
      </c>
      <c r="T573" s="438">
        <v>46246</v>
      </c>
      <c r="U573" s="438"/>
      <c r="V573" s="438"/>
      <c r="W573" s="438">
        <v>46249</v>
      </c>
      <c r="X573" s="439">
        <v>46258</v>
      </c>
      <c r="Y573" s="420"/>
      <c r="Z573" s="224" t="str">
        <f t="shared" si="48"/>
        <v>AG. MEDIÇÃO</v>
      </c>
      <c r="AA573" s="207" t="str">
        <f t="shared" si="49"/>
        <v>ENTREGUE</v>
      </c>
      <c r="AB573" s="207" t="str">
        <f t="shared" si="50"/>
        <v>AG. MEDIÇÃO</v>
      </c>
      <c r="AC573" s="156">
        <f t="shared" ca="1" si="51"/>
        <v>2</v>
      </c>
      <c r="AD573" s="156" t="str">
        <f t="shared" ca="1" si="52"/>
        <v>NO PRAZO</v>
      </c>
      <c r="AE573" s="156">
        <f t="shared" ca="1" si="53"/>
        <v>-1</v>
      </c>
    </row>
    <row r="574" spans="1:31" ht="36" hidden="1" customHeight="1">
      <c r="A574" s="414"/>
      <c r="B574" s="429" t="s">
        <v>8284</v>
      </c>
      <c r="C574" s="429" t="s">
        <v>373</v>
      </c>
      <c r="D574" s="429" t="s">
        <v>8510</v>
      </c>
      <c r="E574" s="429" t="s">
        <v>374</v>
      </c>
      <c r="F574" s="429" t="s">
        <v>42</v>
      </c>
      <c r="G574" s="562" t="s">
        <v>8347</v>
      </c>
      <c r="H574" s="562" t="s">
        <v>8348</v>
      </c>
      <c r="I574" s="585" t="s">
        <v>3862</v>
      </c>
      <c r="J574" s="432">
        <v>46235</v>
      </c>
      <c r="K574" s="429" t="s">
        <v>2493</v>
      </c>
      <c r="L574" s="436"/>
      <c r="M574" s="436" t="s">
        <v>62</v>
      </c>
      <c r="N574" s="437"/>
      <c r="O574" s="437" t="s">
        <v>85</v>
      </c>
      <c r="P574" s="437" t="s">
        <v>2494</v>
      </c>
      <c r="Q574" s="437" t="s">
        <v>2494</v>
      </c>
      <c r="R574" s="499" t="s">
        <v>8475</v>
      </c>
      <c r="S574" s="438">
        <v>46258</v>
      </c>
      <c r="T574" s="438">
        <v>46246</v>
      </c>
      <c r="U574" s="438"/>
      <c r="V574" s="438"/>
      <c r="W574" s="438">
        <v>46249</v>
      </c>
      <c r="X574" s="439">
        <v>46258</v>
      </c>
      <c r="Y574" s="420"/>
      <c r="Z574" s="224" t="str">
        <f t="shared" si="48"/>
        <v>AG. MEDIÇÃO</v>
      </c>
      <c r="AA574" s="207" t="str">
        <f t="shared" si="49"/>
        <v>ENTREGUE</v>
      </c>
      <c r="AB574" s="207" t="str">
        <f t="shared" si="50"/>
        <v>AG. MEDIÇÃO</v>
      </c>
      <c r="AC574" s="156">
        <f t="shared" ca="1" si="51"/>
        <v>2</v>
      </c>
      <c r="AD574" s="156" t="str">
        <f t="shared" ca="1" si="52"/>
        <v>NO PRAZO</v>
      </c>
      <c r="AE574" s="156">
        <f t="shared" ca="1" si="53"/>
        <v>-1</v>
      </c>
    </row>
    <row r="575" spans="1:31" ht="36" hidden="1" customHeight="1">
      <c r="A575" s="414"/>
      <c r="B575" s="440" t="s">
        <v>4262</v>
      </c>
      <c r="C575" s="440" t="s">
        <v>1412</v>
      </c>
      <c r="D575" s="440"/>
      <c r="E575" s="440" t="s">
        <v>1413</v>
      </c>
      <c r="F575" s="440" t="s">
        <v>1415</v>
      </c>
      <c r="G575" s="441" t="s">
        <v>4263</v>
      </c>
      <c r="H575" s="440" t="s">
        <v>4264</v>
      </c>
      <c r="I575" s="441" t="s">
        <v>4265</v>
      </c>
      <c r="J575" s="450">
        <v>45505</v>
      </c>
      <c r="K575" s="429" t="s">
        <v>2493</v>
      </c>
      <c r="L575" s="444" t="s">
        <v>774</v>
      </c>
      <c r="M575" s="444" t="s">
        <v>774</v>
      </c>
      <c r="N575" s="441" t="s">
        <v>2572</v>
      </c>
      <c r="O575" s="445" t="s">
        <v>85</v>
      </c>
      <c r="P575" s="445"/>
      <c r="Q575" s="445">
        <v>40</v>
      </c>
      <c r="R575" s="445" t="s">
        <v>4266</v>
      </c>
      <c r="S575" s="446">
        <v>45545</v>
      </c>
      <c r="T575" s="446">
        <v>45531</v>
      </c>
      <c r="U575" s="447">
        <v>45540</v>
      </c>
      <c r="V575" s="447">
        <v>45540</v>
      </c>
      <c r="W575" s="447">
        <v>45540</v>
      </c>
      <c r="X575" s="447" t="s">
        <v>8044</v>
      </c>
      <c r="Y575" s="420"/>
      <c r="Z575" s="224" t="str">
        <f t="shared" si="48"/>
        <v>AG. MEDIÇÃO</v>
      </c>
      <c r="AA575" s="207" t="str">
        <f t="shared" si="49"/>
        <v>ENTREGUE</v>
      </c>
      <c r="AB575" s="207" t="str">
        <f t="shared" si="50"/>
        <v>AG. MEDIÇÃO</v>
      </c>
      <c r="AC575" s="156">
        <f t="shared" ca="1" si="51"/>
        <v>7</v>
      </c>
      <c r="AD575" s="156" t="str">
        <f t="shared" ca="1" si="52"/>
        <v>ATRASADO</v>
      </c>
      <c r="AE575" s="156">
        <f t="shared" ca="1" si="53"/>
        <v>4</v>
      </c>
    </row>
    <row r="576" spans="1:31" ht="36" hidden="1" customHeight="1">
      <c r="A576" s="414"/>
      <c r="B576" s="429" t="s">
        <v>7994</v>
      </c>
      <c r="C576" s="429" t="s">
        <v>1572</v>
      </c>
      <c r="D576" s="429" t="s">
        <v>7231</v>
      </c>
      <c r="E576" s="429" t="s">
        <v>1573</v>
      </c>
      <c r="F576" s="429" t="s">
        <v>427</v>
      </c>
      <c r="G576" s="433"/>
      <c r="H576" s="429" t="s">
        <v>8029</v>
      </c>
      <c r="I576" s="433" t="s">
        <v>8030</v>
      </c>
      <c r="J576" s="432">
        <v>46204</v>
      </c>
      <c r="K576" s="429" t="s">
        <v>2493</v>
      </c>
      <c r="L576" s="436" t="s">
        <v>124</v>
      </c>
      <c r="M576" s="436" t="s">
        <v>94</v>
      </c>
      <c r="N576" s="437"/>
      <c r="O576" s="437" t="s">
        <v>85</v>
      </c>
      <c r="P576" s="437">
        <v>675</v>
      </c>
      <c r="Q576" s="433">
        <v>665</v>
      </c>
      <c r="R576" s="499" t="s">
        <v>8145</v>
      </c>
      <c r="S576" s="438">
        <v>46240</v>
      </c>
      <c r="T576" s="438">
        <v>46210</v>
      </c>
      <c r="U576" s="438"/>
      <c r="V576" s="438"/>
      <c r="W576" s="439">
        <v>46213</v>
      </c>
      <c r="X576" s="439">
        <v>46240</v>
      </c>
      <c r="Y576" s="420"/>
      <c r="Z576" s="224" t="str">
        <f t="shared" si="48"/>
        <v>AG. MEDIÇÃO</v>
      </c>
      <c r="AA576" s="207" t="str">
        <f t="shared" si="49"/>
        <v>ENTREGUE</v>
      </c>
      <c r="AB576" s="207" t="str">
        <f t="shared" si="50"/>
        <v>AG. MEDIÇÃO</v>
      </c>
      <c r="AC576" s="156">
        <f t="shared" ca="1" si="51"/>
        <v>3</v>
      </c>
      <c r="AD576" s="156" t="str">
        <f t="shared" ca="1" si="52"/>
        <v>NO PRAZO</v>
      </c>
      <c r="AE576" s="156">
        <f t="shared" ca="1" si="53"/>
        <v>0</v>
      </c>
    </row>
    <row r="577" spans="1:31" ht="36" hidden="1" customHeight="1">
      <c r="A577" s="414"/>
      <c r="B577" s="429" t="s">
        <v>7941</v>
      </c>
      <c r="C577" s="429" t="s">
        <v>1572</v>
      </c>
      <c r="D577" s="429" t="s">
        <v>7231</v>
      </c>
      <c r="E577" s="429" t="s">
        <v>1573</v>
      </c>
      <c r="F577" s="429" t="s">
        <v>427</v>
      </c>
      <c r="G577" s="433"/>
      <c r="H577" s="429" t="s">
        <v>7998</v>
      </c>
      <c r="I577" s="433" t="s">
        <v>7999</v>
      </c>
      <c r="J577" s="432">
        <v>46174</v>
      </c>
      <c r="K577" s="429" t="s">
        <v>2493</v>
      </c>
      <c r="L577" s="436" t="s">
        <v>94</v>
      </c>
      <c r="M577" s="436" t="s">
        <v>94</v>
      </c>
      <c r="N577" s="437"/>
      <c r="O577" s="437" t="s">
        <v>85</v>
      </c>
      <c r="P577" s="437">
        <v>450</v>
      </c>
      <c r="Q577" s="433">
        <v>500</v>
      </c>
      <c r="R577" s="499" t="s">
        <v>8153</v>
      </c>
      <c r="S577" s="438">
        <v>46212</v>
      </c>
      <c r="T577" s="438">
        <v>46202</v>
      </c>
      <c r="U577" s="438"/>
      <c r="V577" s="438"/>
      <c r="W577" s="439">
        <v>46204</v>
      </c>
      <c r="X577" s="439">
        <v>46212</v>
      </c>
      <c r="Y577" s="420"/>
      <c r="Z577" s="224" t="str">
        <f t="shared" si="48"/>
        <v>AG. MEDIÇÃO</v>
      </c>
      <c r="AA577" s="207" t="str">
        <f t="shared" si="49"/>
        <v>ENTREGUE</v>
      </c>
      <c r="AB577" s="207" t="str">
        <f t="shared" si="50"/>
        <v>AG. MEDIÇÃO</v>
      </c>
      <c r="AC577" s="156">
        <f t="shared" ca="1" si="51"/>
        <v>2</v>
      </c>
      <c r="AD577" s="156" t="str">
        <f t="shared" ca="1" si="52"/>
        <v>NO PRAZO</v>
      </c>
      <c r="AE577" s="156">
        <f t="shared" ca="1" si="53"/>
        <v>-1</v>
      </c>
    </row>
    <row r="578" spans="1:31" ht="36" hidden="1" customHeight="1">
      <c r="A578" s="414"/>
      <c r="B578" s="440" t="s">
        <v>4046</v>
      </c>
      <c r="C578" s="440" t="s">
        <v>1030</v>
      </c>
      <c r="D578" s="440" t="s">
        <v>1148</v>
      </c>
      <c r="E578" s="440" t="s">
        <v>1031</v>
      </c>
      <c r="F578" s="440" t="s">
        <v>42</v>
      </c>
      <c r="G578" s="441" t="s">
        <v>4047</v>
      </c>
      <c r="H578" s="440" t="s">
        <v>4048</v>
      </c>
      <c r="I578" s="441" t="s">
        <v>4049</v>
      </c>
      <c r="J578" s="450">
        <v>45474</v>
      </c>
      <c r="K578" s="429" t="s">
        <v>2493</v>
      </c>
      <c r="L578" s="444" t="s">
        <v>3105</v>
      </c>
      <c r="M578" s="444" t="s">
        <v>51</v>
      </c>
      <c r="N578" s="441" t="s">
        <v>2572</v>
      </c>
      <c r="O578" s="445" t="s">
        <v>85</v>
      </c>
      <c r="P578" s="445"/>
      <c r="Q578" s="445">
        <v>407</v>
      </c>
      <c r="R578" s="445" t="s">
        <v>4050</v>
      </c>
      <c r="S578" s="446">
        <v>45532</v>
      </c>
      <c r="T578" s="446">
        <v>45497</v>
      </c>
      <c r="U578" s="446">
        <v>45507</v>
      </c>
      <c r="V578" s="447">
        <v>45526</v>
      </c>
      <c r="W578" s="447">
        <v>45526</v>
      </c>
      <c r="X578" s="447" t="s">
        <v>8044</v>
      </c>
      <c r="Y578" s="420"/>
      <c r="Z578" s="224" t="str">
        <f t="shared" si="48"/>
        <v>AG. MEDIÇÃO</v>
      </c>
      <c r="AA578" s="207" t="str">
        <f t="shared" si="49"/>
        <v>ENTREGUE</v>
      </c>
      <c r="AB578" s="207" t="str">
        <f t="shared" si="50"/>
        <v>AG. MEDIÇÃO</v>
      </c>
      <c r="AC578" s="156">
        <f t="shared" ca="1" si="51"/>
        <v>21</v>
      </c>
      <c r="AD578" s="156" t="str">
        <f t="shared" ca="1" si="52"/>
        <v>ATRASADO</v>
      </c>
      <c r="AE578" s="156">
        <f t="shared" ca="1" si="53"/>
        <v>18</v>
      </c>
    </row>
    <row r="579" spans="1:31" ht="36" hidden="1" customHeight="1">
      <c r="A579" s="414"/>
      <c r="B579" s="466" t="s">
        <v>2536</v>
      </c>
      <c r="C579" s="466" t="s">
        <v>2496</v>
      </c>
      <c r="D579" s="466"/>
      <c r="E579" s="466"/>
      <c r="F579" s="466" t="s">
        <v>2513</v>
      </c>
      <c r="G579" s="475"/>
      <c r="H579" s="489" t="s">
        <v>2537</v>
      </c>
      <c r="I579" s="475" t="s">
        <v>2538</v>
      </c>
      <c r="J579" s="476">
        <v>45962</v>
      </c>
      <c r="K579" s="429" t="s">
        <v>2493</v>
      </c>
      <c r="L579" s="465" t="s">
        <v>2501</v>
      </c>
      <c r="M579" s="465" t="s">
        <v>2501</v>
      </c>
      <c r="N579" s="475"/>
      <c r="O579" s="479"/>
      <c r="P579" s="475"/>
      <c r="Q579" s="479"/>
      <c r="R579" s="479" t="s">
        <v>2539</v>
      </c>
      <c r="S579" s="481">
        <v>45993</v>
      </c>
      <c r="T579" s="480"/>
      <c r="U579" s="480"/>
      <c r="V579" s="481"/>
      <c r="W579" s="481">
        <v>45974</v>
      </c>
      <c r="X579" s="481">
        <v>45993</v>
      </c>
      <c r="Y579" s="420"/>
      <c r="Z579" s="224" t="str">
        <f t="shared" si="48"/>
        <v>AG. MEDIÇÃO</v>
      </c>
      <c r="AA579" s="207" t="str">
        <f t="shared" si="49"/>
        <v>ENTREGUE</v>
      </c>
      <c r="AB579" s="207" t="str">
        <f t="shared" si="50"/>
        <v>AG. MEDIÇÃO</v>
      </c>
      <c r="AC579" s="156" t="str">
        <f t="shared" ca="1" si="51"/>
        <v>DATA ENTRADA</v>
      </c>
      <c r="AD579" s="156" t="str">
        <f t="shared" ca="1" si="52"/>
        <v>ATRASADO</v>
      </c>
      <c r="AE579" s="156" t="str">
        <f t="shared" ca="1" si="53"/>
        <v>DATA ENTRADA</v>
      </c>
    </row>
    <row r="580" spans="1:31" ht="36" hidden="1" customHeight="1">
      <c r="A580" s="414"/>
      <c r="B580" s="440" t="s">
        <v>3468</v>
      </c>
      <c r="C580" s="440" t="s">
        <v>152</v>
      </c>
      <c r="D580" s="440"/>
      <c r="E580" s="440"/>
      <c r="F580" s="440" t="s">
        <v>42</v>
      </c>
      <c r="G580" s="441" t="s">
        <v>3469</v>
      </c>
      <c r="H580" s="440" t="s">
        <v>3470</v>
      </c>
      <c r="I580" s="441" t="s">
        <v>7131</v>
      </c>
      <c r="J580" s="450">
        <v>45352</v>
      </c>
      <c r="K580" s="429" t="s">
        <v>2493</v>
      </c>
      <c r="L580" s="444" t="s">
        <v>1130</v>
      </c>
      <c r="M580" s="444" t="s">
        <v>714</v>
      </c>
      <c r="N580" s="441" t="s">
        <v>2572</v>
      </c>
      <c r="O580" s="445" t="s">
        <v>85</v>
      </c>
      <c r="P580" s="445"/>
      <c r="Q580" s="441">
        <v>265</v>
      </c>
      <c r="R580" s="445" t="s">
        <v>3471</v>
      </c>
      <c r="S580" s="446">
        <v>45377</v>
      </c>
      <c r="T580" s="446">
        <v>45364</v>
      </c>
      <c r="U580" s="446">
        <v>45366</v>
      </c>
      <c r="V580" s="446">
        <v>45366</v>
      </c>
      <c r="W580" s="447">
        <v>45374</v>
      </c>
      <c r="X580" s="447" t="s">
        <v>8044</v>
      </c>
      <c r="Y580" s="420"/>
      <c r="Z580" s="224" t="str">
        <f t="shared" si="48"/>
        <v>AG. MEDIÇÃO</v>
      </c>
      <c r="AA580" s="207" t="str">
        <f t="shared" si="49"/>
        <v>ENTREGUE</v>
      </c>
      <c r="AB580" s="207" t="str">
        <f t="shared" si="50"/>
        <v>AG. MEDIÇÃO</v>
      </c>
      <c r="AC580" s="156">
        <f t="shared" ca="1" si="51"/>
        <v>7</v>
      </c>
      <c r="AD580" s="156" t="str">
        <f t="shared" ca="1" si="52"/>
        <v>ATRASADO</v>
      </c>
      <c r="AE580" s="156">
        <f t="shared" ca="1" si="53"/>
        <v>4</v>
      </c>
    </row>
    <row r="581" spans="1:31" ht="36" hidden="1" customHeight="1">
      <c r="A581" s="414"/>
      <c r="B581" s="440" t="s">
        <v>3075</v>
      </c>
      <c r="C581" s="440" t="s">
        <v>479</v>
      </c>
      <c r="D581" s="440"/>
      <c r="E581" s="440"/>
      <c r="F581" s="440" t="s">
        <v>42</v>
      </c>
      <c r="G581" s="441" t="s">
        <v>3076</v>
      </c>
      <c r="H581" s="440" t="s">
        <v>3077</v>
      </c>
      <c r="I581" s="449"/>
      <c r="J581" s="450">
        <v>45170</v>
      </c>
      <c r="K581" s="429" t="s">
        <v>2493</v>
      </c>
      <c r="L581" s="444"/>
      <c r="M581" s="444" t="s">
        <v>51</v>
      </c>
      <c r="N581" s="441" t="s">
        <v>2572</v>
      </c>
      <c r="O581" s="445" t="s">
        <v>85</v>
      </c>
      <c r="P581" s="441" t="s">
        <v>2494</v>
      </c>
      <c r="Q581" s="441" t="s">
        <v>2494</v>
      </c>
      <c r="R581" s="445" t="s">
        <v>3078</v>
      </c>
      <c r="S581" s="446">
        <v>45229</v>
      </c>
      <c r="T581" s="446">
        <v>45195</v>
      </c>
      <c r="U581" s="446"/>
      <c r="V581" s="446">
        <v>45205</v>
      </c>
      <c r="W581" s="447">
        <v>45218</v>
      </c>
      <c r="X581" s="447" t="s">
        <v>8044</v>
      </c>
      <c r="Y581" s="420"/>
      <c r="Z581" s="224" t="str">
        <f t="shared" ref="Z581:Z644" si="54">IF(K581="CANCELADO","CANCELADO",IF(AA581="PENDENTE","AG. RELATÓRIO",IF(S581="SIM","AG. MEDIÇÃO",IF(S581&gt;0,"AG. MEDIÇÃO","PENDENTE"))))</f>
        <v>AG. MEDIÇÃO</v>
      </c>
      <c r="AA581" s="207" t="str">
        <f t="shared" ref="AA581:AA644" si="55">IF(K581="CANCELADO","CANCELADO",IF(X581="","PENDENTE","ENTREGUE"))</f>
        <v>ENTREGUE</v>
      </c>
      <c r="AB581" s="207" t="str">
        <f t="shared" ref="AB581:AB644" si="56">IF(K581="SEM SINAL","SEM SINAL",IF(K581="PARALISADO","PARALISADO",IF(Z581="PENDENTE","AG. MEDIÇÃO",IF(K581="CANCELADO","CANCELADO",Z581))))</f>
        <v>AG. MEDIÇÃO</v>
      </c>
      <c r="AC581" s="156">
        <f t="shared" ref="AC581:AC644" ca="1" si="57">IFERROR(IF(K581="CANCELADO","CANCELADO",IF(T581="","DATA ENTRADA",IF(AND(T581&gt;0,W581=""),NETWORKDAYS(T581,TODAY())-1,NETWORKDAYS(T581,W581)-1))),"CHECAR DATA")</f>
        <v>17</v>
      </c>
      <c r="AD581" s="156" t="str">
        <f t="shared" ref="AD581:AD644" ca="1" si="58">IF(AC581&lt;=3,"NO PRAZO","ATRASADO")</f>
        <v>ATRASADO</v>
      </c>
      <c r="AE581" s="156">
        <f t="shared" ref="AE581:AE644" ca="1" si="59">IFERROR(AC581-3,AC581)</f>
        <v>14</v>
      </c>
    </row>
    <row r="582" spans="1:31" ht="36" hidden="1" customHeight="1">
      <c r="A582" s="414"/>
      <c r="B582" s="440" t="s">
        <v>4620</v>
      </c>
      <c r="C582" s="440" t="s">
        <v>111</v>
      </c>
      <c r="D582" s="440" t="s">
        <v>348</v>
      </c>
      <c r="E582" s="440" t="s">
        <v>2504</v>
      </c>
      <c r="F582" s="440" t="s">
        <v>42</v>
      </c>
      <c r="G582" s="441" t="s">
        <v>4621</v>
      </c>
      <c r="H582" s="440" t="s">
        <v>4622</v>
      </c>
      <c r="I582" s="441" t="s">
        <v>4623</v>
      </c>
      <c r="J582" s="450">
        <v>45597</v>
      </c>
      <c r="K582" s="429" t="s">
        <v>2493</v>
      </c>
      <c r="L582" s="444" t="s">
        <v>124</v>
      </c>
      <c r="M582" s="444" t="s">
        <v>51</v>
      </c>
      <c r="N582" s="441" t="s">
        <v>2572</v>
      </c>
      <c r="O582" s="445" t="s">
        <v>4560</v>
      </c>
      <c r="P582" s="445">
        <v>400</v>
      </c>
      <c r="Q582" s="445">
        <v>485</v>
      </c>
      <c r="R582" s="445" t="s">
        <v>4624</v>
      </c>
      <c r="S582" s="446">
        <v>45632</v>
      </c>
      <c r="T582" s="446">
        <v>45621</v>
      </c>
      <c r="U582" s="446">
        <v>45625</v>
      </c>
      <c r="V582" s="447"/>
      <c r="W582" s="447">
        <v>45629</v>
      </c>
      <c r="X582" s="447" t="s">
        <v>8044</v>
      </c>
      <c r="Y582" s="420"/>
      <c r="Z582" s="224" t="str">
        <f t="shared" si="54"/>
        <v>AG. MEDIÇÃO</v>
      </c>
      <c r="AA582" s="207" t="str">
        <f t="shared" si="55"/>
        <v>ENTREGUE</v>
      </c>
      <c r="AB582" s="207" t="str">
        <f t="shared" si="56"/>
        <v>AG. MEDIÇÃO</v>
      </c>
      <c r="AC582" s="156">
        <f t="shared" ca="1" si="57"/>
        <v>6</v>
      </c>
      <c r="AD582" s="156" t="str">
        <f t="shared" ca="1" si="58"/>
        <v>ATRASADO</v>
      </c>
      <c r="AE582" s="156">
        <f t="shared" ca="1" si="59"/>
        <v>3</v>
      </c>
    </row>
    <row r="583" spans="1:31" ht="36" hidden="1" customHeight="1">
      <c r="A583" s="414"/>
      <c r="B583" s="440" t="s">
        <v>5142</v>
      </c>
      <c r="C583" s="440" t="s">
        <v>596</v>
      </c>
      <c r="D583" s="440" t="s">
        <v>598</v>
      </c>
      <c r="E583" s="440" t="s">
        <v>597</v>
      </c>
      <c r="F583" s="440" t="s">
        <v>42</v>
      </c>
      <c r="G583" s="441" t="s">
        <v>5143</v>
      </c>
      <c r="H583" s="440" t="s">
        <v>5144</v>
      </c>
      <c r="I583" s="441" t="s">
        <v>5145</v>
      </c>
      <c r="J583" s="450">
        <v>45748</v>
      </c>
      <c r="K583" s="429" t="s">
        <v>2493</v>
      </c>
      <c r="L583" s="444" t="s">
        <v>124</v>
      </c>
      <c r="M583" s="444" t="s">
        <v>200</v>
      </c>
      <c r="N583" s="441"/>
      <c r="O583" s="445"/>
      <c r="P583" s="441">
        <v>400</v>
      </c>
      <c r="Q583" s="445">
        <v>410</v>
      </c>
      <c r="R583" s="445" t="s">
        <v>5146</v>
      </c>
      <c r="S583" s="446">
        <v>45785</v>
      </c>
      <c r="T583" s="446">
        <v>45770</v>
      </c>
      <c r="U583" s="446">
        <v>45771</v>
      </c>
      <c r="V583" s="447">
        <v>45772</v>
      </c>
      <c r="W583" s="447">
        <v>45785</v>
      </c>
      <c r="X583" s="447" t="s">
        <v>8044</v>
      </c>
      <c r="Y583" s="420"/>
      <c r="Z583" s="224" t="str">
        <f t="shared" si="54"/>
        <v>AG. MEDIÇÃO</v>
      </c>
      <c r="AA583" s="207" t="str">
        <f t="shared" si="55"/>
        <v>ENTREGUE</v>
      </c>
      <c r="AB583" s="207" t="str">
        <f t="shared" si="56"/>
        <v>AG. MEDIÇÃO</v>
      </c>
      <c r="AC583" s="156">
        <f t="shared" ca="1" si="57"/>
        <v>11</v>
      </c>
      <c r="AD583" s="156" t="str">
        <f t="shared" ca="1" si="58"/>
        <v>ATRASADO</v>
      </c>
      <c r="AE583" s="156">
        <f t="shared" ca="1" si="59"/>
        <v>8</v>
      </c>
    </row>
    <row r="584" spans="1:31" ht="36" hidden="1" customHeight="1">
      <c r="A584" s="414"/>
      <c r="B584" s="429" t="s">
        <v>7699</v>
      </c>
      <c r="C584" s="430" t="s">
        <v>70</v>
      </c>
      <c r="D584" s="430" t="s">
        <v>8325</v>
      </c>
      <c r="E584" s="432" t="s">
        <v>71</v>
      </c>
      <c r="F584" s="429" t="s">
        <v>42</v>
      </c>
      <c r="G584" s="434" t="s">
        <v>7657</v>
      </c>
      <c r="H584" s="636" t="s">
        <v>7658</v>
      </c>
      <c r="I584" s="433" t="s">
        <v>7659</v>
      </c>
      <c r="J584" s="432">
        <v>46143</v>
      </c>
      <c r="K584" s="429" t="s">
        <v>2493</v>
      </c>
      <c r="L584" s="436" t="s">
        <v>124</v>
      </c>
      <c r="M584" s="436" t="s">
        <v>62</v>
      </c>
      <c r="N584" s="433"/>
      <c r="O584" s="437" t="s">
        <v>85</v>
      </c>
      <c r="P584" s="433">
        <v>390</v>
      </c>
      <c r="Q584" s="437">
        <v>378</v>
      </c>
      <c r="R584" s="437" t="s">
        <v>8331</v>
      </c>
      <c r="S584" s="438">
        <v>46245</v>
      </c>
      <c r="T584" s="438">
        <v>46170</v>
      </c>
      <c r="U584" s="438"/>
      <c r="V584" s="439"/>
      <c r="W584" s="439">
        <v>46172</v>
      </c>
      <c r="X584" s="439">
        <v>46245</v>
      </c>
      <c r="Y584" s="420"/>
      <c r="Z584" s="224" t="str">
        <f t="shared" si="54"/>
        <v>AG. MEDIÇÃO</v>
      </c>
      <c r="AA584" s="207" t="str">
        <f t="shared" si="55"/>
        <v>ENTREGUE</v>
      </c>
      <c r="AB584" s="207" t="str">
        <f t="shared" si="56"/>
        <v>AG. MEDIÇÃO</v>
      </c>
      <c r="AC584" s="156">
        <f t="shared" ca="1" si="57"/>
        <v>1</v>
      </c>
      <c r="AD584" s="156" t="str">
        <f t="shared" ca="1" si="58"/>
        <v>NO PRAZO</v>
      </c>
      <c r="AE584" s="156">
        <f t="shared" ca="1" si="59"/>
        <v>-2</v>
      </c>
    </row>
    <row r="585" spans="1:31" ht="36" hidden="1" customHeight="1">
      <c r="A585" s="414"/>
      <c r="B585" s="440" t="s">
        <v>4924</v>
      </c>
      <c r="C585" s="440" t="s">
        <v>449</v>
      </c>
      <c r="D585" s="440" t="s">
        <v>1298</v>
      </c>
      <c r="E585" s="440" t="s">
        <v>4925</v>
      </c>
      <c r="F585" s="440" t="s">
        <v>42</v>
      </c>
      <c r="G585" s="441" t="s">
        <v>4926</v>
      </c>
      <c r="H585" s="440" t="s">
        <v>4927</v>
      </c>
      <c r="I585" s="441" t="s">
        <v>4928</v>
      </c>
      <c r="J585" s="450">
        <v>45717</v>
      </c>
      <c r="K585" s="429" t="s">
        <v>2493</v>
      </c>
      <c r="L585" s="444" t="s">
        <v>1208</v>
      </c>
      <c r="M585" s="444" t="s">
        <v>200</v>
      </c>
      <c r="N585" s="441" t="s">
        <v>2572</v>
      </c>
      <c r="O585" s="445" t="s">
        <v>3350</v>
      </c>
      <c r="P585" s="441">
        <v>440</v>
      </c>
      <c r="Q585" s="445">
        <v>495</v>
      </c>
      <c r="R585" s="445" t="s">
        <v>4929</v>
      </c>
      <c r="S585" s="446">
        <v>45739</v>
      </c>
      <c r="T585" s="446">
        <v>45728</v>
      </c>
      <c r="U585" s="446">
        <v>45730</v>
      </c>
      <c r="V585" s="447">
        <v>45735</v>
      </c>
      <c r="W585" s="447">
        <v>45735</v>
      </c>
      <c r="X585" s="447" t="s">
        <v>8044</v>
      </c>
      <c r="Y585" s="420"/>
      <c r="Z585" s="224" t="str">
        <f t="shared" si="54"/>
        <v>AG. MEDIÇÃO</v>
      </c>
      <c r="AA585" s="207" t="str">
        <f t="shared" si="55"/>
        <v>ENTREGUE</v>
      </c>
      <c r="AB585" s="207" t="str">
        <f t="shared" si="56"/>
        <v>AG. MEDIÇÃO</v>
      </c>
      <c r="AC585" s="156">
        <f t="shared" ca="1" si="57"/>
        <v>5</v>
      </c>
      <c r="AD585" s="156" t="str">
        <f t="shared" ca="1" si="58"/>
        <v>ATRASADO</v>
      </c>
      <c r="AE585" s="156">
        <f t="shared" ca="1" si="59"/>
        <v>2</v>
      </c>
    </row>
    <row r="586" spans="1:31" ht="36" hidden="1" customHeight="1">
      <c r="A586" s="414"/>
      <c r="B586" s="440" t="s">
        <v>3900</v>
      </c>
      <c r="C586" s="440" t="s">
        <v>37</v>
      </c>
      <c r="D586" s="440" t="s">
        <v>3901</v>
      </c>
      <c r="E586" s="440"/>
      <c r="F586" s="440" t="s">
        <v>42</v>
      </c>
      <c r="G586" s="441" t="s">
        <v>3902</v>
      </c>
      <c r="H586" s="440" t="s">
        <v>3903</v>
      </c>
      <c r="I586" s="441" t="s">
        <v>3904</v>
      </c>
      <c r="J586" s="450">
        <v>45444</v>
      </c>
      <c r="K586" s="429" t="s">
        <v>2493</v>
      </c>
      <c r="L586" s="444" t="s">
        <v>67</v>
      </c>
      <c r="M586" s="444" t="s">
        <v>827</v>
      </c>
      <c r="N586" s="441" t="s">
        <v>2572</v>
      </c>
      <c r="O586" s="445" t="s">
        <v>85</v>
      </c>
      <c r="P586" s="445"/>
      <c r="Q586" s="441">
        <v>485</v>
      </c>
      <c r="R586" s="445" t="s">
        <v>3905</v>
      </c>
      <c r="S586" s="446">
        <v>45497</v>
      </c>
      <c r="T586" s="446">
        <v>45469</v>
      </c>
      <c r="U586" s="446">
        <v>45470</v>
      </c>
      <c r="V586" s="446">
        <v>45474</v>
      </c>
      <c r="W586" s="447">
        <v>45474</v>
      </c>
      <c r="X586" s="447" t="s">
        <v>8044</v>
      </c>
      <c r="Y586" s="420"/>
      <c r="Z586" s="224" t="str">
        <f t="shared" si="54"/>
        <v>AG. MEDIÇÃO</v>
      </c>
      <c r="AA586" s="207" t="str">
        <f t="shared" si="55"/>
        <v>ENTREGUE</v>
      </c>
      <c r="AB586" s="207" t="str">
        <f t="shared" si="56"/>
        <v>AG. MEDIÇÃO</v>
      </c>
      <c r="AC586" s="156">
        <f t="shared" ca="1" si="57"/>
        <v>3</v>
      </c>
      <c r="AD586" s="156" t="str">
        <f t="shared" ca="1" si="58"/>
        <v>NO PRAZO</v>
      </c>
      <c r="AE586" s="156">
        <f t="shared" ca="1" si="59"/>
        <v>0</v>
      </c>
    </row>
    <row r="587" spans="1:31" ht="36" hidden="1" customHeight="1">
      <c r="A587" s="414"/>
      <c r="B587" s="440" t="s">
        <v>4100</v>
      </c>
      <c r="C587" s="440" t="s">
        <v>111</v>
      </c>
      <c r="D587" s="440" t="s">
        <v>369</v>
      </c>
      <c r="E587" s="440" t="s">
        <v>4101</v>
      </c>
      <c r="F587" s="440" t="s">
        <v>42</v>
      </c>
      <c r="G587" s="441" t="s">
        <v>4102</v>
      </c>
      <c r="H587" s="440" t="s">
        <v>4103</v>
      </c>
      <c r="I587" s="441" t="s">
        <v>4104</v>
      </c>
      <c r="J587" s="450">
        <v>45505</v>
      </c>
      <c r="K587" s="429" t="s">
        <v>2493</v>
      </c>
      <c r="L587" s="444" t="s">
        <v>1208</v>
      </c>
      <c r="M587" s="444" t="s">
        <v>132</v>
      </c>
      <c r="N587" s="441" t="s">
        <v>2572</v>
      </c>
      <c r="O587" s="445" t="s">
        <v>85</v>
      </c>
      <c r="P587" s="445"/>
      <c r="Q587" s="445">
        <v>432</v>
      </c>
      <c r="R587" s="445" t="s">
        <v>4105</v>
      </c>
      <c r="S587" s="446">
        <v>45532</v>
      </c>
      <c r="T587" s="446">
        <v>45505</v>
      </c>
      <c r="U587" s="446">
        <v>45512</v>
      </c>
      <c r="V587" s="447">
        <v>45520</v>
      </c>
      <c r="W587" s="447">
        <v>45520</v>
      </c>
      <c r="X587" s="447" t="s">
        <v>8044</v>
      </c>
      <c r="Y587" s="420"/>
      <c r="Z587" s="224" t="str">
        <f t="shared" si="54"/>
        <v>AG. MEDIÇÃO</v>
      </c>
      <c r="AA587" s="207" t="str">
        <f t="shared" si="55"/>
        <v>ENTREGUE</v>
      </c>
      <c r="AB587" s="207" t="str">
        <f t="shared" si="56"/>
        <v>AG. MEDIÇÃO</v>
      </c>
      <c r="AC587" s="156">
        <f t="shared" ca="1" si="57"/>
        <v>11</v>
      </c>
      <c r="AD587" s="156" t="str">
        <f t="shared" ca="1" si="58"/>
        <v>ATRASADO</v>
      </c>
      <c r="AE587" s="156">
        <f t="shared" ca="1" si="59"/>
        <v>8</v>
      </c>
    </row>
    <row r="588" spans="1:31" ht="36" hidden="1" customHeight="1">
      <c r="A588" s="414"/>
      <c r="B588" s="440" t="s">
        <v>3264</v>
      </c>
      <c r="C588" s="440" t="s">
        <v>479</v>
      </c>
      <c r="D588" s="440"/>
      <c r="E588" s="440"/>
      <c r="F588" s="440" t="s">
        <v>42</v>
      </c>
      <c r="G588" s="441" t="s">
        <v>3265</v>
      </c>
      <c r="H588" s="440" t="s">
        <v>3266</v>
      </c>
      <c r="I588" s="449"/>
      <c r="J588" s="450">
        <v>45231</v>
      </c>
      <c r="K588" s="429" t="s">
        <v>2493</v>
      </c>
      <c r="L588" s="444" t="s">
        <v>1204</v>
      </c>
      <c r="M588" s="444" t="s">
        <v>714</v>
      </c>
      <c r="N588" s="441" t="s">
        <v>2572</v>
      </c>
      <c r="O588" s="445" t="s">
        <v>85</v>
      </c>
      <c r="P588" s="445"/>
      <c r="Q588" s="441">
        <v>320</v>
      </c>
      <c r="R588" s="445" t="s">
        <v>3267</v>
      </c>
      <c r="S588" s="446">
        <v>45273</v>
      </c>
      <c r="T588" s="446">
        <v>45254</v>
      </c>
      <c r="U588" s="446">
        <v>45260</v>
      </c>
      <c r="V588" s="446">
        <v>45264</v>
      </c>
      <c r="W588" s="446">
        <v>45262</v>
      </c>
      <c r="X588" s="447" t="s">
        <v>8044</v>
      </c>
      <c r="Y588" s="420"/>
      <c r="Z588" s="224" t="str">
        <f t="shared" si="54"/>
        <v>AG. MEDIÇÃO</v>
      </c>
      <c r="AA588" s="207" t="str">
        <f t="shared" si="55"/>
        <v>ENTREGUE</v>
      </c>
      <c r="AB588" s="207" t="str">
        <f t="shared" si="56"/>
        <v>AG. MEDIÇÃO</v>
      </c>
      <c r="AC588" s="156">
        <f t="shared" ca="1" si="57"/>
        <v>5</v>
      </c>
      <c r="AD588" s="156" t="str">
        <f t="shared" ca="1" si="58"/>
        <v>ATRASADO</v>
      </c>
      <c r="AE588" s="156">
        <f t="shared" ca="1" si="59"/>
        <v>2</v>
      </c>
    </row>
    <row r="589" spans="1:31" ht="36" hidden="1" customHeight="1">
      <c r="A589" s="414"/>
      <c r="B589" s="440" t="s">
        <v>4244</v>
      </c>
      <c r="C589" s="440" t="s">
        <v>479</v>
      </c>
      <c r="D589" s="440" t="s">
        <v>1201</v>
      </c>
      <c r="E589" s="440" t="s">
        <v>480</v>
      </c>
      <c r="F589" s="440" t="s">
        <v>42</v>
      </c>
      <c r="G589" s="441" t="s">
        <v>4245</v>
      </c>
      <c r="H589" s="440" t="s">
        <v>4246</v>
      </c>
      <c r="I589" s="441" t="s">
        <v>4247</v>
      </c>
      <c r="J589" s="450">
        <v>45505</v>
      </c>
      <c r="K589" s="429" t="s">
        <v>2493</v>
      </c>
      <c r="L589" s="444" t="s">
        <v>1319</v>
      </c>
      <c r="M589" s="444" t="s">
        <v>774</v>
      </c>
      <c r="N589" s="441" t="s">
        <v>2572</v>
      </c>
      <c r="O589" s="445" t="s">
        <v>85</v>
      </c>
      <c r="P589" s="445"/>
      <c r="Q589" s="445">
        <v>240</v>
      </c>
      <c r="R589" s="445" t="s">
        <v>4248</v>
      </c>
      <c r="S589" s="446">
        <v>45545</v>
      </c>
      <c r="T589" s="446">
        <v>45530</v>
      </c>
      <c r="U589" s="446">
        <v>45531</v>
      </c>
      <c r="V589" s="447">
        <v>45531</v>
      </c>
      <c r="W589" s="447">
        <v>45531</v>
      </c>
      <c r="X589" s="447" t="s">
        <v>8044</v>
      </c>
      <c r="Y589" s="420"/>
      <c r="Z589" s="224" t="str">
        <f t="shared" si="54"/>
        <v>AG. MEDIÇÃO</v>
      </c>
      <c r="AA589" s="207" t="str">
        <f t="shared" si="55"/>
        <v>ENTREGUE</v>
      </c>
      <c r="AB589" s="207" t="str">
        <f t="shared" si="56"/>
        <v>AG. MEDIÇÃO</v>
      </c>
      <c r="AC589" s="156">
        <f t="shared" ca="1" si="57"/>
        <v>1</v>
      </c>
      <c r="AD589" s="156" t="str">
        <f t="shared" ca="1" si="58"/>
        <v>NO PRAZO</v>
      </c>
      <c r="AE589" s="156">
        <f t="shared" ca="1" si="59"/>
        <v>-2</v>
      </c>
    </row>
    <row r="590" spans="1:31" ht="36" hidden="1" customHeight="1">
      <c r="A590" s="414"/>
      <c r="B590" s="440" t="s">
        <v>3255</v>
      </c>
      <c r="C590" s="440" t="s">
        <v>479</v>
      </c>
      <c r="D590" s="440"/>
      <c r="E590" s="440"/>
      <c r="F590" s="440" t="s">
        <v>42</v>
      </c>
      <c r="G590" s="441" t="s">
        <v>3256</v>
      </c>
      <c r="H590" s="440" t="s">
        <v>3257</v>
      </c>
      <c r="I590" s="449"/>
      <c r="J590" s="450">
        <v>45231</v>
      </c>
      <c r="K590" s="429" t="s">
        <v>2493</v>
      </c>
      <c r="L590" s="444"/>
      <c r="M590" s="444" t="s">
        <v>714</v>
      </c>
      <c r="N590" s="441" t="s">
        <v>2572</v>
      </c>
      <c r="O590" s="445" t="s">
        <v>85</v>
      </c>
      <c r="P590" s="441" t="s">
        <v>2494</v>
      </c>
      <c r="Q590" s="441" t="s">
        <v>2494</v>
      </c>
      <c r="R590" s="445" t="s">
        <v>3258</v>
      </c>
      <c r="S590" s="446">
        <v>45273</v>
      </c>
      <c r="T590" s="446">
        <v>45254</v>
      </c>
      <c r="U590" s="446">
        <v>45258</v>
      </c>
      <c r="V590" s="446">
        <v>45264</v>
      </c>
      <c r="W590" s="446">
        <v>45262</v>
      </c>
      <c r="X590" s="447" t="s">
        <v>8044</v>
      </c>
      <c r="Y590" s="420"/>
      <c r="Z590" s="224" t="str">
        <f t="shared" si="54"/>
        <v>AG. MEDIÇÃO</v>
      </c>
      <c r="AA590" s="207" t="str">
        <f t="shared" si="55"/>
        <v>ENTREGUE</v>
      </c>
      <c r="AB590" s="207" t="str">
        <f t="shared" si="56"/>
        <v>AG. MEDIÇÃO</v>
      </c>
      <c r="AC590" s="156">
        <f t="shared" ca="1" si="57"/>
        <v>5</v>
      </c>
      <c r="AD590" s="156" t="str">
        <f t="shared" ca="1" si="58"/>
        <v>ATRASADO</v>
      </c>
      <c r="AE590" s="156">
        <f t="shared" ca="1" si="59"/>
        <v>2</v>
      </c>
    </row>
    <row r="591" spans="1:31" ht="36" hidden="1" customHeight="1">
      <c r="A591" s="414"/>
      <c r="B591" s="440" t="s">
        <v>3432</v>
      </c>
      <c r="C591" s="440" t="s">
        <v>479</v>
      </c>
      <c r="D591" s="440"/>
      <c r="E591" s="440"/>
      <c r="F591" s="440" t="s">
        <v>42</v>
      </c>
      <c r="G591" s="441" t="s">
        <v>3433</v>
      </c>
      <c r="H591" s="440" t="s">
        <v>3433</v>
      </c>
      <c r="I591" s="441"/>
      <c r="J591" s="450">
        <v>45323</v>
      </c>
      <c r="K591" s="429" t="s">
        <v>2493</v>
      </c>
      <c r="L591" s="444" t="s">
        <v>864</v>
      </c>
      <c r="M591" s="444" t="s">
        <v>864</v>
      </c>
      <c r="N591" s="441" t="s">
        <v>2572</v>
      </c>
      <c r="O591" s="445" t="s">
        <v>85</v>
      </c>
      <c r="P591" s="445"/>
      <c r="Q591" s="441">
        <v>669</v>
      </c>
      <c r="R591" s="445" t="s">
        <v>3434</v>
      </c>
      <c r="S591" s="446">
        <v>45350</v>
      </c>
      <c r="T591" s="446">
        <v>45345</v>
      </c>
      <c r="U591" s="446">
        <v>45346</v>
      </c>
      <c r="V591" s="446">
        <v>45348</v>
      </c>
      <c r="W591" s="447">
        <v>45348</v>
      </c>
      <c r="X591" s="447" t="s">
        <v>8044</v>
      </c>
      <c r="Y591" s="420"/>
      <c r="Z591" s="224" t="str">
        <f t="shared" si="54"/>
        <v>AG. MEDIÇÃO</v>
      </c>
      <c r="AA591" s="207" t="str">
        <f t="shared" si="55"/>
        <v>ENTREGUE</v>
      </c>
      <c r="AB591" s="207" t="str">
        <f t="shared" si="56"/>
        <v>AG. MEDIÇÃO</v>
      </c>
      <c r="AC591" s="156">
        <f t="shared" ca="1" si="57"/>
        <v>1</v>
      </c>
      <c r="AD591" s="156" t="str">
        <f t="shared" ca="1" si="58"/>
        <v>NO PRAZO</v>
      </c>
      <c r="AE591" s="156">
        <f t="shared" ca="1" si="59"/>
        <v>-2</v>
      </c>
    </row>
    <row r="592" spans="1:31" ht="36" hidden="1" customHeight="1">
      <c r="A592" s="414"/>
      <c r="B592" s="429" t="s">
        <v>7354</v>
      </c>
      <c r="C592" s="618" t="s">
        <v>571</v>
      </c>
      <c r="D592" s="618" t="s">
        <v>3773</v>
      </c>
      <c r="E592" s="618" t="s">
        <v>572</v>
      </c>
      <c r="F592" s="618" t="s">
        <v>42</v>
      </c>
      <c r="G592" s="433" t="s">
        <v>7312</v>
      </c>
      <c r="H592" s="652" t="s">
        <v>7310</v>
      </c>
      <c r="I592" s="433" t="s">
        <v>7311</v>
      </c>
      <c r="J592" s="432">
        <v>46113</v>
      </c>
      <c r="K592" s="429" t="s">
        <v>2493</v>
      </c>
      <c r="L592" s="436" t="s">
        <v>200</v>
      </c>
      <c r="M592" s="436" t="s">
        <v>200</v>
      </c>
      <c r="N592" s="433"/>
      <c r="O592" s="437"/>
      <c r="P592" s="433">
        <v>300</v>
      </c>
      <c r="Q592" s="437">
        <v>174</v>
      </c>
      <c r="R592" s="437" t="s">
        <v>7982</v>
      </c>
      <c r="S592" s="438">
        <v>46202</v>
      </c>
      <c r="T592" s="438">
        <v>46129</v>
      </c>
      <c r="U592" s="438"/>
      <c r="V592" s="439"/>
      <c r="W592" s="439">
        <v>46132</v>
      </c>
      <c r="X592" s="439">
        <v>46202</v>
      </c>
      <c r="Y592" s="420"/>
      <c r="Z592" s="224" t="str">
        <f t="shared" si="54"/>
        <v>AG. MEDIÇÃO</v>
      </c>
      <c r="AA592" s="207" t="str">
        <f t="shared" si="55"/>
        <v>ENTREGUE</v>
      </c>
      <c r="AB592" s="207" t="str">
        <f t="shared" si="56"/>
        <v>AG. MEDIÇÃO</v>
      </c>
      <c r="AC592" s="156">
        <f t="shared" ca="1" si="57"/>
        <v>1</v>
      </c>
      <c r="AD592" s="156" t="str">
        <f t="shared" ca="1" si="58"/>
        <v>NO PRAZO</v>
      </c>
      <c r="AE592" s="156">
        <f t="shared" ca="1" si="59"/>
        <v>-2</v>
      </c>
    </row>
    <row r="593" spans="1:31" ht="36" hidden="1" customHeight="1">
      <c r="A593" s="414"/>
      <c r="B593" s="429" t="s">
        <v>7777</v>
      </c>
      <c r="C593" s="430" t="s">
        <v>79</v>
      </c>
      <c r="D593" s="430" t="s">
        <v>2245</v>
      </c>
      <c r="E593" s="432" t="s">
        <v>1450</v>
      </c>
      <c r="F593" s="429" t="s">
        <v>42</v>
      </c>
      <c r="G593" s="434" t="s">
        <v>7752</v>
      </c>
      <c r="H593" s="636" t="s">
        <v>7753</v>
      </c>
      <c r="I593" s="433" t="s">
        <v>7754</v>
      </c>
      <c r="J593" s="432">
        <v>46174</v>
      </c>
      <c r="K593" s="429" t="s">
        <v>2493</v>
      </c>
      <c r="L593" s="436"/>
      <c r="M593" s="436" t="s">
        <v>132</v>
      </c>
      <c r="N593" s="433"/>
      <c r="O593" s="437" t="s">
        <v>85</v>
      </c>
      <c r="P593" s="433" t="s">
        <v>2494</v>
      </c>
      <c r="Q593" s="437" t="s">
        <v>2494</v>
      </c>
      <c r="R593" s="437" t="s">
        <v>7768</v>
      </c>
      <c r="S593" s="438">
        <v>46184</v>
      </c>
      <c r="T593" s="438">
        <v>46182</v>
      </c>
      <c r="U593" s="438"/>
      <c r="V593" s="439"/>
      <c r="W593" s="439">
        <v>46183</v>
      </c>
      <c r="X593" s="439">
        <v>46183</v>
      </c>
      <c r="Y593" s="420"/>
      <c r="Z593" s="224" t="str">
        <f t="shared" si="54"/>
        <v>AG. MEDIÇÃO</v>
      </c>
      <c r="AA593" s="207" t="str">
        <f t="shared" si="55"/>
        <v>ENTREGUE</v>
      </c>
      <c r="AB593" s="207" t="str">
        <f t="shared" si="56"/>
        <v>AG. MEDIÇÃO</v>
      </c>
      <c r="AC593" s="156">
        <f t="shared" ca="1" si="57"/>
        <v>1</v>
      </c>
      <c r="AD593" s="156" t="str">
        <f t="shared" ca="1" si="58"/>
        <v>NO PRAZO</v>
      </c>
      <c r="AE593" s="156">
        <f t="shared" ca="1" si="59"/>
        <v>-2</v>
      </c>
    </row>
    <row r="594" spans="1:31" ht="36" hidden="1" customHeight="1">
      <c r="A594" s="414"/>
      <c r="B594" s="429" t="s">
        <v>8237</v>
      </c>
      <c r="C594" s="429" t="s">
        <v>79</v>
      </c>
      <c r="D594" s="429"/>
      <c r="E594" s="429" t="s">
        <v>1450</v>
      </c>
      <c r="F594" s="429" t="s">
        <v>42</v>
      </c>
      <c r="G594" s="563" t="s">
        <v>8242</v>
      </c>
      <c r="H594" s="564" t="s">
        <v>8242</v>
      </c>
      <c r="I594" s="564" t="s">
        <v>7534</v>
      </c>
      <c r="J594" s="432">
        <v>46204</v>
      </c>
      <c r="K594" s="429" t="s">
        <v>2493</v>
      </c>
      <c r="L594" s="436"/>
      <c r="M594" s="436" t="s">
        <v>62</v>
      </c>
      <c r="N594" s="437"/>
      <c r="O594" s="437"/>
      <c r="P594" s="436" t="s">
        <v>2494</v>
      </c>
      <c r="Q594" s="436" t="s">
        <v>2494</v>
      </c>
      <c r="R594" s="499" t="s">
        <v>8471</v>
      </c>
      <c r="S594" s="438"/>
      <c r="T594" s="438">
        <v>46232</v>
      </c>
      <c r="U594" s="438"/>
      <c r="V594" s="438">
        <v>46233</v>
      </c>
      <c r="W594" s="438">
        <v>46233</v>
      </c>
      <c r="X594" s="439"/>
      <c r="Y594" s="420"/>
      <c r="Z594" s="224" t="str">
        <f t="shared" si="54"/>
        <v>AG. RELATÓRIO</v>
      </c>
      <c r="AA594" s="207" t="str">
        <f t="shared" si="55"/>
        <v>PENDENTE</v>
      </c>
      <c r="AB594" s="207" t="str">
        <f t="shared" si="56"/>
        <v>AG. RELATÓRIO</v>
      </c>
      <c r="AC594" s="156">
        <f t="shared" ca="1" si="57"/>
        <v>1</v>
      </c>
      <c r="AD594" s="156" t="str">
        <f t="shared" ca="1" si="58"/>
        <v>NO PRAZO</v>
      </c>
      <c r="AE594" s="156">
        <f t="shared" ca="1" si="59"/>
        <v>-2</v>
      </c>
    </row>
    <row r="595" spans="1:31" ht="36" hidden="1" customHeight="1">
      <c r="A595" s="414"/>
      <c r="B595" s="429" t="s">
        <v>8359</v>
      </c>
      <c r="C595" s="429" t="s">
        <v>79</v>
      </c>
      <c r="D595" s="429" t="s">
        <v>2245</v>
      </c>
      <c r="E595" s="429" t="s">
        <v>619</v>
      </c>
      <c r="F595" s="429" t="s">
        <v>42</v>
      </c>
      <c r="G595" s="433" t="s">
        <v>8378</v>
      </c>
      <c r="H595" s="429" t="s">
        <v>8376</v>
      </c>
      <c r="I595" s="433" t="s">
        <v>8377</v>
      </c>
      <c r="J595" s="599">
        <v>46235</v>
      </c>
      <c r="K595" s="429" t="s">
        <v>2493</v>
      </c>
      <c r="L595" s="436"/>
      <c r="M595" s="436" t="s">
        <v>62</v>
      </c>
      <c r="N595" s="433"/>
      <c r="O595" s="433" t="s">
        <v>85</v>
      </c>
      <c r="P595" s="433" t="s">
        <v>2494</v>
      </c>
      <c r="Q595" s="433" t="s">
        <v>2494</v>
      </c>
      <c r="R595" s="437" t="s">
        <v>8193</v>
      </c>
      <c r="S595" s="438">
        <v>46259</v>
      </c>
      <c r="T595" s="438">
        <v>46248</v>
      </c>
      <c r="U595" s="438"/>
      <c r="V595" s="438"/>
      <c r="W595" s="439">
        <v>46248</v>
      </c>
      <c r="X595" s="439">
        <v>46259</v>
      </c>
      <c r="Y595" s="420"/>
      <c r="Z595" s="224" t="str">
        <f t="shared" si="54"/>
        <v>AG. MEDIÇÃO</v>
      </c>
      <c r="AA595" s="207" t="str">
        <f t="shared" si="55"/>
        <v>ENTREGUE</v>
      </c>
      <c r="AB595" s="207" t="str">
        <f t="shared" si="56"/>
        <v>AG. MEDIÇÃO</v>
      </c>
      <c r="AC595" s="156">
        <f t="shared" ca="1" si="57"/>
        <v>0</v>
      </c>
      <c r="AD595" s="156" t="str">
        <f t="shared" ca="1" si="58"/>
        <v>NO PRAZO</v>
      </c>
      <c r="AE595" s="156">
        <f t="shared" ca="1" si="59"/>
        <v>-3</v>
      </c>
    </row>
    <row r="596" spans="1:31" ht="36" hidden="1" customHeight="1">
      <c r="A596" s="414"/>
      <c r="B596" s="429" t="s">
        <v>7844</v>
      </c>
      <c r="C596" s="430" t="s">
        <v>79</v>
      </c>
      <c r="D596" s="431"/>
      <c r="E596" s="432" t="s">
        <v>619</v>
      </c>
      <c r="F596" s="429" t="s">
        <v>42</v>
      </c>
      <c r="G596" s="434" t="s">
        <v>7866</v>
      </c>
      <c r="H596" s="636" t="s">
        <v>7865</v>
      </c>
      <c r="I596" s="433" t="s">
        <v>7867</v>
      </c>
      <c r="J596" s="432">
        <v>46174</v>
      </c>
      <c r="K596" s="429" t="s">
        <v>2493</v>
      </c>
      <c r="L596" s="436"/>
      <c r="M596" s="436" t="s">
        <v>77</v>
      </c>
      <c r="N596" s="433"/>
      <c r="O596" s="437" t="s">
        <v>85</v>
      </c>
      <c r="P596" s="433" t="s">
        <v>2494</v>
      </c>
      <c r="Q596" s="437" t="s">
        <v>2494</v>
      </c>
      <c r="R596" s="437" t="s">
        <v>8053</v>
      </c>
      <c r="S596" s="438">
        <v>46211</v>
      </c>
      <c r="T596" s="438">
        <v>46191</v>
      </c>
      <c r="U596" s="438"/>
      <c r="V596" s="439"/>
      <c r="W596" s="439">
        <v>46198</v>
      </c>
      <c r="X596" s="439">
        <v>46211</v>
      </c>
      <c r="Y596" s="420"/>
      <c r="Z596" s="224" t="str">
        <f t="shared" si="54"/>
        <v>AG. MEDIÇÃO</v>
      </c>
      <c r="AA596" s="207" t="str">
        <f t="shared" si="55"/>
        <v>ENTREGUE</v>
      </c>
      <c r="AB596" s="207" t="str">
        <f t="shared" si="56"/>
        <v>AG. MEDIÇÃO</v>
      </c>
      <c r="AC596" s="156">
        <f t="shared" ca="1" si="57"/>
        <v>5</v>
      </c>
      <c r="AD596" s="156" t="str">
        <f t="shared" ca="1" si="58"/>
        <v>ATRASADO</v>
      </c>
      <c r="AE596" s="156">
        <f t="shared" ca="1" si="59"/>
        <v>2</v>
      </c>
    </row>
    <row r="597" spans="1:31" ht="36" hidden="1" customHeight="1">
      <c r="A597" s="414"/>
      <c r="B597" s="429" t="s">
        <v>8341</v>
      </c>
      <c r="C597" s="429" t="s">
        <v>79</v>
      </c>
      <c r="D597" s="429" t="s">
        <v>1076</v>
      </c>
      <c r="E597" s="429" t="s">
        <v>619</v>
      </c>
      <c r="F597" s="429" t="s">
        <v>42</v>
      </c>
      <c r="G597" s="562" t="s">
        <v>8351</v>
      </c>
      <c r="H597" s="562" t="s">
        <v>8352</v>
      </c>
      <c r="I597" s="585" t="s">
        <v>7867</v>
      </c>
      <c r="J597" s="432">
        <v>46235</v>
      </c>
      <c r="K597" s="429" t="s">
        <v>2493</v>
      </c>
      <c r="L597" s="436" t="s">
        <v>520</v>
      </c>
      <c r="M597" s="436" t="s">
        <v>62</v>
      </c>
      <c r="N597" s="437"/>
      <c r="O597" s="437" t="s">
        <v>85</v>
      </c>
      <c r="P597" s="437" t="s">
        <v>2494</v>
      </c>
      <c r="Q597" s="437" t="s">
        <v>2494</v>
      </c>
      <c r="R597" s="499" t="s">
        <v>8473</v>
      </c>
      <c r="S597" s="438">
        <v>46258</v>
      </c>
      <c r="T597" s="438">
        <v>46245</v>
      </c>
      <c r="U597" s="438"/>
      <c r="V597" s="438"/>
      <c r="W597" s="438">
        <v>46248</v>
      </c>
      <c r="X597" s="439">
        <v>46258</v>
      </c>
      <c r="Y597" s="420"/>
      <c r="Z597" s="224" t="str">
        <f t="shared" si="54"/>
        <v>AG. MEDIÇÃO</v>
      </c>
      <c r="AA597" s="207" t="str">
        <f t="shared" si="55"/>
        <v>ENTREGUE</v>
      </c>
      <c r="AB597" s="207" t="str">
        <f t="shared" si="56"/>
        <v>AG. MEDIÇÃO</v>
      </c>
      <c r="AC597" s="156">
        <f t="shared" ca="1" si="57"/>
        <v>3</v>
      </c>
      <c r="AD597" s="156" t="str">
        <f t="shared" ca="1" si="58"/>
        <v>NO PRAZO</v>
      </c>
      <c r="AE597" s="156">
        <f t="shared" ca="1" si="59"/>
        <v>0</v>
      </c>
    </row>
    <row r="598" spans="1:31" ht="36" hidden="1" customHeight="1">
      <c r="A598" s="414"/>
      <c r="B598" s="440" t="s">
        <v>3329</v>
      </c>
      <c r="C598" s="440" t="s">
        <v>600</v>
      </c>
      <c r="D598" s="440"/>
      <c r="E598" s="440"/>
      <c r="F598" s="440" t="s">
        <v>42</v>
      </c>
      <c r="G598" s="441" t="s">
        <v>3330</v>
      </c>
      <c r="H598" s="440" t="s">
        <v>3331</v>
      </c>
      <c r="I598" s="449"/>
      <c r="J598" s="450">
        <v>45261</v>
      </c>
      <c r="K598" s="429" t="s">
        <v>2493</v>
      </c>
      <c r="L598" s="444"/>
      <c r="M598" s="444" t="s">
        <v>774</v>
      </c>
      <c r="N598" s="441" t="s">
        <v>2572</v>
      </c>
      <c r="O598" s="445" t="s">
        <v>85</v>
      </c>
      <c r="P598" s="441" t="s">
        <v>2494</v>
      </c>
      <c r="Q598" s="441" t="s">
        <v>2494</v>
      </c>
      <c r="R598" s="445" t="s">
        <v>3332</v>
      </c>
      <c r="S598" s="446">
        <v>45300</v>
      </c>
      <c r="T598" s="446">
        <v>45282</v>
      </c>
      <c r="U598" s="446"/>
      <c r="V598" s="446">
        <v>45283</v>
      </c>
      <c r="W598" s="447">
        <v>45285</v>
      </c>
      <c r="X598" s="447" t="s">
        <v>8044</v>
      </c>
      <c r="Y598" s="420"/>
      <c r="Z598" s="224" t="str">
        <f t="shared" si="54"/>
        <v>AG. MEDIÇÃO</v>
      </c>
      <c r="AA598" s="207" t="str">
        <f t="shared" si="55"/>
        <v>ENTREGUE</v>
      </c>
      <c r="AB598" s="207" t="str">
        <f t="shared" si="56"/>
        <v>AG. MEDIÇÃO</v>
      </c>
      <c r="AC598" s="156">
        <f t="shared" ca="1" si="57"/>
        <v>1</v>
      </c>
      <c r="AD598" s="156" t="str">
        <f t="shared" ca="1" si="58"/>
        <v>NO PRAZO</v>
      </c>
      <c r="AE598" s="156">
        <f t="shared" ca="1" si="59"/>
        <v>-2</v>
      </c>
    </row>
    <row r="599" spans="1:31" ht="36" hidden="1" customHeight="1">
      <c r="A599" s="414"/>
      <c r="B599" s="429" t="s">
        <v>8066</v>
      </c>
      <c r="C599" s="429" t="s">
        <v>2531</v>
      </c>
      <c r="D599" s="429"/>
      <c r="E599" s="429" t="s">
        <v>7861</v>
      </c>
      <c r="F599" s="429" t="s">
        <v>4638</v>
      </c>
      <c r="G599" s="433"/>
      <c r="H599" s="429" t="s">
        <v>8082</v>
      </c>
      <c r="I599" s="433" t="s">
        <v>8083</v>
      </c>
      <c r="J599" s="432">
        <v>46204</v>
      </c>
      <c r="K599" s="429" t="s">
        <v>2493</v>
      </c>
      <c r="L599" s="436" t="s">
        <v>94</v>
      </c>
      <c r="M599" s="436" t="s">
        <v>94</v>
      </c>
      <c r="N599" s="437"/>
      <c r="O599" s="437" t="s">
        <v>85</v>
      </c>
      <c r="P599" s="437">
        <v>375</v>
      </c>
      <c r="Q599" s="433">
        <v>697</v>
      </c>
      <c r="R599" s="499" t="s">
        <v>8111</v>
      </c>
      <c r="S599" s="438">
        <v>46220</v>
      </c>
      <c r="T599" s="438">
        <v>46216</v>
      </c>
      <c r="U599" s="438"/>
      <c r="V599" s="438"/>
      <c r="W599" s="439">
        <v>46219</v>
      </c>
      <c r="X599" s="439">
        <v>46220</v>
      </c>
      <c r="Y599" s="420"/>
      <c r="Z599" s="224" t="str">
        <f t="shared" si="54"/>
        <v>AG. MEDIÇÃO</v>
      </c>
      <c r="AA599" s="207" t="str">
        <f t="shared" si="55"/>
        <v>ENTREGUE</v>
      </c>
      <c r="AB599" s="207" t="str">
        <f t="shared" si="56"/>
        <v>AG. MEDIÇÃO</v>
      </c>
      <c r="AC599" s="156">
        <f t="shared" ca="1" si="57"/>
        <v>3</v>
      </c>
      <c r="AD599" s="156" t="str">
        <f t="shared" ca="1" si="58"/>
        <v>NO PRAZO</v>
      </c>
      <c r="AE599" s="156">
        <f t="shared" ca="1" si="59"/>
        <v>0</v>
      </c>
    </row>
    <row r="600" spans="1:31" ht="36" hidden="1" customHeight="1">
      <c r="A600" s="414"/>
      <c r="B600" s="429" t="s">
        <v>8344</v>
      </c>
      <c r="C600" s="429" t="s">
        <v>678</v>
      </c>
      <c r="D600" s="429" t="s">
        <v>2369</v>
      </c>
      <c r="E600" s="429" t="s">
        <v>679</v>
      </c>
      <c r="F600" s="429" t="s">
        <v>427</v>
      </c>
      <c r="G600" s="562" t="s">
        <v>8365</v>
      </c>
      <c r="H600" s="562" t="s">
        <v>8367</v>
      </c>
      <c r="I600" s="585" t="s">
        <v>8366</v>
      </c>
      <c r="J600" s="432">
        <v>46235</v>
      </c>
      <c r="K600" s="429" t="s">
        <v>2493</v>
      </c>
      <c r="L600" s="436" t="s">
        <v>94</v>
      </c>
      <c r="M600" s="436" t="s">
        <v>94</v>
      </c>
      <c r="N600" s="437"/>
      <c r="O600" s="437" t="s">
        <v>85</v>
      </c>
      <c r="P600" s="437">
        <v>260</v>
      </c>
      <c r="Q600" s="437">
        <v>261</v>
      </c>
      <c r="R600" s="499" t="s">
        <v>8511</v>
      </c>
      <c r="S600" s="438">
        <v>46259</v>
      </c>
      <c r="T600" s="438">
        <v>46247</v>
      </c>
      <c r="U600" s="438"/>
      <c r="V600" s="438"/>
      <c r="W600" s="438">
        <v>46248</v>
      </c>
      <c r="X600" s="439">
        <v>46259</v>
      </c>
      <c r="Y600" s="420"/>
      <c r="Z600" s="224" t="str">
        <f t="shared" si="54"/>
        <v>AG. MEDIÇÃO</v>
      </c>
      <c r="AA600" s="207" t="str">
        <f t="shared" si="55"/>
        <v>ENTREGUE</v>
      </c>
      <c r="AB600" s="207" t="str">
        <f t="shared" si="56"/>
        <v>AG. MEDIÇÃO</v>
      </c>
      <c r="AC600" s="156">
        <f t="shared" ca="1" si="57"/>
        <v>1</v>
      </c>
      <c r="AD600" s="156" t="str">
        <f t="shared" ca="1" si="58"/>
        <v>NO PRAZO</v>
      </c>
      <c r="AE600" s="156">
        <f t="shared" ca="1" si="59"/>
        <v>-2</v>
      </c>
    </row>
    <row r="601" spans="1:31" ht="36" hidden="1" customHeight="1">
      <c r="A601" s="414"/>
      <c r="B601" s="440" t="s">
        <v>3621</v>
      </c>
      <c r="C601" s="440" t="s">
        <v>111</v>
      </c>
      <c r="D601" s="440"/>
      <c r="E601" s="440"/>
      <c r="F601" s="440" t="s">
        <v>42</v>
      </c>
      <c r="G601" s="441" t="s">
        <v>3622</v>
      </c>
      <c r="H601" s="440" t="s">
        <v>3623</v>
      </c>
      <c r="I601" s="441"/>
      <c r="J601" s="450">
        <v>45383</v>
      </c>
      <c r="K601" s="429" t="s">
        <v>2493</v>
      </c>
      <c r="L601" s="444" t="s">
        <v>3624</v>
      </c>
      <c r="M601" s="444" t="s">
        <v>3624</v>
      </c>
      <c r="N601" s="441" t="s">
        <v>2572</v>
      </c>
      <c r="O601" s="445" t="s">
        <v>85</v>
      </c>
      <c r="P601" s="445"/>
      <c r="Q601" s="441">
        <v>19</v>
      </c>
      <c r="R601" s="445" t="s">
        <v>3625</v>
      </c>
      <c r="S601" s="446">
        <v>45439</v>
      </c>
      <c r="T601" s="446">
        <v>45393</v>
      </c>
      <c r="U601" s="446">
        <v>45399</v>
      </c>
      <c r="V601" s="447">
        <v>45432</v>
      </c>
      <c r="W601" s="447">
        <v>45432</v>
      </c>
      <c r="X601" s="447" t="s">
        <v>8044</v>
      </c>
      <c r="Y601" s="420"/>
      <c r="Z601" s="224" t="str">
        <f t="shared" si="54"/>
        <v>AG. MEDIÇÃO</v>
      </c>
      <c r="AA601" s="207" t="str">
        <f t="shared" si="55"/>
        <v>ENTREGUE</v>
      </c>
      <c r="AB601" s="207" t="str">
        <f t="shared" si="56"/>
        <v>AG. MEDIÇÃO</v>
      </c>
      <c r="AC601" s="156">
        <f t="shared" ca="1" si="57"/>
        <v>27</v>
      </c>
      <c r="AD601" s="156" t="str">
        <f t="shared" ca="1" si="58"/>
        <v>ATRASADO</v>
      </c>
      <c r="AE601" s="156">
        <f t="shared" ca="1" si="59"/>
        <v>24</v>
      </c>
    </row>
    <row r="602" spans="1:31" ht="36" hidden="1" customHeight="1">
      <c r="A602" s="414"/>
      <c r="B602" s="429" t="s">
        <v>8405</v>
      </c>
      <c r="C602" s="429" t="s">
        <v>88</v>
      </c>
      <c r="D602" s="429" t="s">
        <v>717</v>
      </c>
      <c r="E602" s="429" t="s">
        <v>89</v>
      </c>
      <c r="F602" s="429" t="s">
        <v>42</v>
      </c>
      <c r="G602" s="433" t="s">
        <v>8426</v>
      </c>
      <c r="H602" s="429" t="s">
        <v>8427</v>
      </c>
      <c r="I602" s="433" t="s">
        <v>8428</v>
      </c>
      <c r="J602" s="599">
        <v>46235</v>
      </c>
      <c r="K602" s="429" t="s">
        <v>2493</v>
      </c>
      <c r="L602" s="436"/>
      <c r="M602" s="436" t="s">
        <v>62</v>
      </c>
      <c r="N602" s="433"/>
      <c r="O602" s="433" t="s">
        <v>85</v>
      </c>
      <c r="P602" s="433" t="s">
        <v>2494</v>
      </c>
      <c r="Q602" s="433" t="s">
        <v>2494</v>
      </c>
      <c r="R602" s="437" t="s">
        <v>8479</v>
      </c>
      <c r="S602" s="438">
        <v>46259</v>
      </c>
      <c r="T602" s="438">
        <v>46253</v>
      </c>
      <c r="U602" s="438"/>
      <c r="V602" s="438"/>
      <c r="W602" s="439">
        <v>46254</v>
      </c>
      <c r="X602" s="439">
        <v>46259</v>
      </c>
      <c r="Y602" s="420"/>
      <c r="Z602" s="224" t="str">
        <f t="shared" si="54"/>
        <v>AG. MEDIÇÃO</v>
      </c>
      <c r="AA602" s="207" t="str">
        <f t="shared" si="55"/>
        <v>ENTREGUE</v>
      </c>
      <c r="AB602" s="207" t="str">
        <f t="shared" si="56"/>
        <v>AG. MEDIÇÃO</v>
      </c>
      <c r="AC602" s="156">
        <f t="shared" ca="1" si="57"/>
        <v>1</v>
      </c>
      <c r="AD602" s="156" t="str">
        <f t="shared" ca="1" si="58"/>
        <v>NO PRAZO</v>
      </c>
      <c r="AE602" s="156">
        <f t="shared" ca="1" si="59"/>
        <v>-2</v>
      </c>
    </row>
    <row r="603" spans="1:31" ht="36" hidden="1" customHeight="1">
      <c r="A603" s="414"/>
      <c r="B603" s="429" t="s">
        <v>8403</v>
      </c>
      <c r="C603" s="429" t="s">
        <v>232</v>
      </c>
      <c r="D603" s="429" t="s">
        <v>1749</v>
      </c>
      <c r="E603" s="429" t="s">
        <v>389</v>
      </c>
      <c r="F603" s="429" t="s">
        <v>42</v>
      </c>
      <c r="G603" s="433"/>
      <c r="H603" s="429" t="s">
        <v>8414</v>
      </c>
      <c r="I603" s="433" t="s">
        <v>8415</v>
      </c>
      <c r="J603" s="599">
        <v>46235</v>
      </c>
      <c r="K603" s="429" t="s">
        <v>2493</v>
      </c>
      <c r="L603" s="436"/>
      <c r="M603" s="436" t="s">
        <v>62</v>
      </c>
      <c r="N603" s="433"/>
      <c r="O603" s="433" t="s">
        <v>85</v>
      </c>
      <c r="P603" s="433" t="s">
        <v>2494</v>
      </c>
      <c r="Q603" s="433" t="s">
        <v>2494</v>
      </c>
      <c r="R603" s="437" t="s">
        <v>7137</v>
      </c>
      <c r="S603" s="438">
        <v>46259</v>
      </c>
      <c r="T603" s="438">
        <v>46253</v>
      </c>
      <c r="U603" s="438"/>
      <c r="V603" s="438"/>
      <c r="W603" s="439">
        <v>46253</v>
      </c>
      <c r="X603" s="439">
        <v>46259</v>
      </c>
      <c r="Y603" s="420"/>
      <c r="Z603" s="224" t="str">
        <f t="shared" si="54"/>
        <v>AG. MEDIÇÃO</v>
      </c>
      <c r="AA603" s="207" t="str">
        <f t="shared" si="55"/>
        <v>ENTREGUE</v>
      </c>
      <c r="AB603" s="207" t="str">
        <f t="shared" si="56"/>
        <v>AG. MEDIÇÃO</v>
      </c>
      <c r="AC603" s="156">
        <f t="shared" ca="1" si="57"/>
        <v>0</v>
      </c>
      <c r="AD603" s="156" t="str">
        <f t="shared" ca="1" si="58"/>
        <v>NO PRAZO</v>
      </c>
      <c r="AE603" s="156">
        <f t="shared" ca="1" si="59"/>
        <v>-3</v>
      </c>
    </row>
    <row r="604" spans="1:31" ht="36" hidden="1" customHeight="1">
      <c r="A604" s="414"/>
      <c r="B604" s="440" t="s">
        <v>3367</v>
      </c>
      <c r="C604" s="440" t="s">
        <v>648</v>
      </c>
      <c r="D604" s="440"/>
      <c r="E604" s="440"/>
      <c r="F604" s="440" t="s">
        <v>42</v>
      </c>
      <c r="G604" s="441" t="s">
        <v>3368</v>
      </c>
      <c r="H604" s="440" t="s">
        <v>3369</v>
      </c>
      <c r="I604" s="441"/>
      <c r="J604" s="450">
        <v>45261</v>
      </c>
      <c r="K604" s="429" t="s">
        <v>2493</v>
      </c>
      <c r="L604" s="444" t="s">
        <v>1130</v>
      </c>
      <c r="M604" s="444" t="s">
        <v>3370</v>
      </c>
      <c r="N604" s="441" t="s">
        <v>2572</v>
      </c>
      <c r="O604" s="445" t="s">
        <v>85</v>
      </c>
      <c r="P604" s="445"/>
      <c r="Q604" s="441">
        <v>270</v>
      </c>
      <c r="R604" s="445" t="s">
        <v>3371</v>
      </c>
      <c r="S604" s="446">
        <v>45345</v>
      </c>
      <c r="T604" s="446">
        <v>45288</v>
      </c>
      <c r="U604" s="446">
        <v>45293</v>
      </c>
      <c r="V604" s="446">
        <v>45300</v>
      </c>
      <c r="W604" s="447">
        <v>45300</v>
      </c>
      <c r="X604" s="447" t="s">
        <v>8044</v>
      </c>
      <c r="Y604" s="420"/>
      <c r="Z604" s="224" t="str">
        <f t="shared" si="54"/>
        <v>AG. MEDIÇÃO</v>
      </c>
      <c r="AA604" s="207" t="str">
        <f t="shared" si="55"/>
        <v>ENTREGUE</v>
      </c>
      <c r="AB604" s="207" t="str">
        <f t="shared" si="56"/>
        <v>AG. MEDIÇÃO</v>
      </c>
      <c r="AC604" s="156">
        <f t="shared" ca="1" si="57"/>
        <v>8</v>
      </c>
      <c r="AD604" s="156" t="str">
        <f t="shared" ca="1" si="58"/>
        <v>ATRASADO</v>
      </c>
      <c r="AE604" s="156">
        <f t="shared" ca="1" si="59"/>
        <v>5</v>
      </c>
    </row>
    <row r="605" spans="1:31" ht="36" hidden="1" customHeight="1">
      <c r="A605" s="414"/>
      <c r="B605" s="440" t="s">
        <v>5529</v>
      </c>
      <c r="C605" s="440" t="s">
        <v>248</v>
      </c>
      <c r="D605" s="440"/>
      <c r="E605" s="440" t="s">
        <v>249</v>
      </c>
      <c r="F605" s="440" t="s">
        <v>42</v>
      </c>
      <c r="G605" s="441"/>
      <c r="H605" s="440" t="s">
        <v>5530</v>
      </c>
      <c r="I605" s="441" t="s">
        <v>5531</v>
      </c>
      <c r="J605" s="450">
        <v>45839</v>
      </c>
      <c r="K605" s="429" t="s">
        <v>2493</v>
      </c>
      <c r="L605" s="444" t="s">
        <v>147</v>
      </c>
      <c r="M605" s="444" t="s">
        <v>1155</v>
      </c>
      <c r="N605" s="441" t="s">
        <v>2572</v>
      </c>
      <c r="O605" s="445"/>
      <c r="P605" s="441"/>
      <c r="Q605" s="445">
        <v>1077</v>
      </c>
      <c r="R605" s="445" t="s">
        <v>5532</v>
      </c>
      <c r="S605" s="446">
        <v>45860</v>
      </c>
      <c r="T605" s="446">
        <v>45852</v>
      </c>
      <c r="U605" s="446"/>
      <c r="V605" s="447"/>
      <c r="W605" s="447">
        <v>45859</v>
      </c>
      <c r="X605" s="447" t="s">
        <v>8044</v>
      </c>
      <c r="Y605" s="420"/>
      <c r="Z605" s="224" t="str">
        <f t="shared" si="54"/>
        <v>AG. MEDIÇÃO</v>
      </c>
      <c r="AA605" s="207" t="str">
        <f t="shared" si="55"/>
        <v>ENTREGUE</v>
      </c>
      <c r="AB605" s="207" t="str">
        <f t="shared" si="56"/>
        <v>AG. MEDIÇÃO</v>
      </c>
      <c r="AC605" s="156">
        <f t="shared" ca="1" si="57"/>
        <v>5</v>
      </c>
      <c r="AD605" s="156" t="str">
        <f t="shared" ca="1" si="58"/>
        <v>ATRASADO</v>
      </c>
      <c r="AE605" s="156">
        <f t="shared" ca="1" si="59"/>
        <v>2</v>
      </c>
    </row>
    <row r="606" spans="1:31" ht="36" hidden="1" customHeight="1">
      <c r="A606" s="414"/>
      <c r="B606" s="429" t="s">
        <v>7916</v>
      </c>
      <c r="C606" s="429" t="s">
        <v>853</v>
      </c>
      <c r="D606" s="429"/>
      <c r="E606" s="429" t="s">
        <v>854</v>
      </c>
      <c r="F606" s="429" t="s">
        <v>427</v>
      </c>
      <c r="G606" s="433"/>
      <c r="H606" s="429" t="s">
        <v>7930</v>
      </c>
      <c r="I606" s="433" t="s">
        <v>4717</v>
      </c>
      <c r="J606" s="432">
        <v>46174</v>
      </c>
      <c r="K606" s="429" t="s">
        <v>2493</v>
      </c>
      <c r="L606" s="436"/>
      <c r="M606" s="436" t="s">
        <v>62</v>
      </c>
      <c r="N606" s="437"/>
      <c r="O606" s="437" t="s">
        <v>85</v>
      </c>
      <c r="P606" s="437" t="s">
        <v>2494</v>
      </c>
      <c r="Q606" s="433" t="s">
        <v>2494</v>
      </c>
      <c r="R606" s="499" t="s">
        <v>8060</v>
      </c>
      <c r="S606" s="438">
        <v>46212</v>
      </c>
      <c r="T606" s="438">
        <v>46197</v>
      </c>
      <c r="U606" s="438"/>
      <c r="V606" s="438"/>
      <c r="W606" s="439">
        <v>46203</v>
      </c>
      <c r="X606" s="439">
        <v>46212</v>
      </c>
      <c r="Y606" s="420"/>
      <c r="Z606" s="224" t="str">
        <f t="shared" si="54"/>
        <v>AG. MEDIÇÃO</v>
      </c>
      <c r="AA606" s="207" t="str">
        <f t="shared" si="55"/>
        <v>ENTREGUE</v>
      </c>
      <c r="AB606" s="207" t="str">
        <f t="shared" si="56"/>
        <v>AG. MEDIÇÃO</v>
      </c>
      <c r="AC606" s="156">
        <f t="shared" ca="1" si="57"/>
        <v>4</v>
      </c>
      <c r="AD606" s="156" t="str">
        <f t="shared" ca="1" si="58"/>
        <v>ATRASADO</v>
      </c>
      <c r="AE606" s="156">
        <f t="shared" ca="1" si="59"/>
        <v>1</v>
      </c>
    </row>
    <row r="607" spans="1:31" ht="36" hidden="1" customHeight="1">
      <c r="A607" s="414"/>
      <c r="B607" s="429" t="s">
        <v>7915</v>
      </c>
      <c r="C607" s="429" t="s">
        <v>853</v>
      </c>
      <c r="D607" s="429"/>
      <c r="E607" s="429" t="s">
        <v>854</v>
      </c>
      <c r="F607" s="429" t="s">
        <v>427</v>
      </c>
      <c r="G607" s="433"/>
      <c r="H607" s="429" t="s">
        <v>7929</v>
      </c>
      <c r="I607" s="433" t="s">
        <v>7931</v>
      </c>
      <c r="J607" s="432">
        <v>46174</v>
      </c>
      <c r="K607" s="429" t="s">
        <v>2493</v>
      </c>
      <c r="L607" s="436" t="s">
        <v>7949</v>
      </c>
      <c r="M607" s="436" t="s">
        <v>7948</v>
      </c>
      <c r="N607" s="437"/>
      <c r="O607" s="437"/>
      <c r="P607" s="437">
        <v>133</v>
      </c>
      <c r="Q607" s="433">
        <v>133</v>
      </c>
      <c r="R607" s="491" t="s">
        <v>8324</v>
      </c>
      <c r="S607" s="438" t="s">
        <v>4820</v>
      </c>
      <c r="T607" s="438">
        <v>46195</v>
      </c>
      <c r="U607" s="438"/>
      <c r="V607" s="438"/>
      <c r="W607" s="439">
        <v>46198</v>
      </c>
      <c r="X607" s="439" t="s">
        <v>8044</v>
      </c>
      <c r="Y607" s="420"/>
      <c r="Z607" s="224" t="str">
        <f t="shared" si="54"/>
        <v>AG. MEDIÇÃO</v>
      </c>
      <c r="AA607" s="207" t="str">
        <f t="shared" si="55"/>
        <v>ENTREGUE</v>
      </c>
      <c r="AB607" s="207" t="str">
        <f t="shared" si="56"/>
        <v>AG. MEDIÇÃO</v>
      </c>
      <c r="AC607" s="156">
        <f t="shared" ca="1" si="57"/>
        <v>3</v>
      </c>
      <c r="AD607" s="156" t="str">
        <f t="shared" ca="1" si="58"/>
        <v>NO PRAZO</v>
      </c>
      <c r="AE607" s="156">
        <f t="shared" ca="1" si="59"/>
        <v>0</v>
      </c>
    </row>
    <row r="608" spans="1:31" ht="36" hidden="1" customHeight="1">
      <c r="A608" s="414"/>
      <c r="B608" s="429" t="s">
        <v>7825</v>
      </c>
      <c r="C608" s="430" t="s">
        <v>79</v>
      </c>
      <c r="D608" s="430" t="s">
        <v>872</v>
      </c>
      <c r="E608" s="432" t="s">
        <v>619</v>
      </c>
      <c r="F608" s="429" t="s">
        <v>42</v>
      </c>
      <c r="G608" s="434" t="s">
        <v>7847</v>
      </c>
      <c r="H608" s="636" t="s">
        <v>7848</v>
      </c>
      <c r="I608" s="433" t="s">
        <v>7849</v>
      </c>
      <c r="J608" s="432">
        <v>46174</v>
      </c>
      <c r="K608" s="429" t="s">
        <v>2493</v>
      </c>
      <c r="L608" s="436"/>
      <c r="M608" s="436" t="s">
        <v>77</v>
      </c>
      <c r="N608" s="433"/>
      <c r="O608" s="437" t="s">
        <v>85</v>
      </c>
      <c r="P608" s="433" t="s">
        <v>2494</v>
      </c>
      <c r="Q608" s="437" t="s">
        <v>2494</v>
      </c>
      <c r="R608" s="437" t="s">
        <v>7911</v>
      </c>
      <c r="S608" s="438">
        <v>46196</v>
      </c>
      <c r="T608" s="438">
        <v>46189</v>
      </c>
      <c r="U608" s="438"/>
      <c r="V608" s="439"/>
      <c r="W608" s="439">
        <v>46190</v>
      </c>
      <c r="X608" s="439">
        <v>46196</v>
      </c>
      <c r="Y608" s="420"/>
      <c r="Z608" s="224" t="str">
        <f t="shared" si="54"/>
        <v>AG. MEDIÇÃO</v>
      </c>
      <c r="AA608" s="207" t="str">
        <f t="shared" si="55"/>
        <v>ENTREGUE</v>
      </c>
      <c r="AB608" s="207" t="str">
        <f t="shared" si="56"/>
        <v>AG. MEDIÇÃO</v>
      </c>
      <c r="AC608" s="156">
        <f t="shared" ca="1" si="57"/>
        <v>1</v>
      </c>
      <c r="AD608" s="156" t="str">
        <f t="shared" ca="1" si="58"/>
        <v>NO PRAZO</v>
      </c>
      <c r="AE608" s="156">
        <f t="shared" ca="1" si="59"/>
        <v>-2</v>
      </c>
    </row>
    <row r="609" spans="1:31" ht="36" hidden="1" customHeight="1">
      <c r="A609" s="414"/>
      <c r="B609" s="429" t="s">
        <v>7990</v>
      </c>
      <c r="C609" s="429" t="s">
        <v>555</v>
      </c>
      <c r="D609" s="429" t="s">
        <v>577</v>
      </c>
      <c r="E609" s="429" t="s">
        <v>556</v>
      </c>
      <c r="F609" s="429" t="s">
        <v>42</v>
      </c>
      <c r="G609" s="433"/>
      <c r="H609" s="429" t="s">
        <v>8013</v>
      </c>
      <c r="I609" s="433" t="s">
        <v>8014</v>
      </c>
      <c r="J609" s="432">
        <v>46204</v>
      </c>
      <c r="K609" s="429" t="s">
        <v>2493</v>
      </c>
      <c r="L609" s="436"/>
      <c r="M609" s="436" t="s">
        <v>62</v>
      </c>
      <c r="N609" s="437"/>
      <c r="O609" s="437" t="s">
        <v>85</v>
      </c>
      <c r="P609" s="437" t="s">
        <v>2494</v>
      </c>
      <c r="Q609" s="433" t="s">
        <v>2494</v>
      </c>
      <c r="R609" s="499" t="s">
        <v>8135</v>
      </c>
      <c r="S609" s="438">
        <v>46251</v>
      </c>
      <c r="T609" s="438">
        <v>46206</v>
      </c>
      <c r="U609" s="438"/>
      <c r="V609" s="438"/>
      <c r="W609" s="439">
        <v>46210</v>
      </c>
      <c r="X609" s="439">
        <v>46251</v>
      </c>
      <c r="Y609" s="420"/>
      <c r="Z609" s="224" t="str">
        <f t="shared" si="54"/>
        <v>AG. MEDIÇÃO</v>
      </c>
      <c r="AA609" s="207" t="str">
        <f t="shared" si="55"/>
        <v>ENTREGUE</v>
      </c>
      <c r="AB609" s="207" t="str">
        <f t="shared" si="56"/>
        <v>AG. MEDIÇÃO</v>
      </c>
      <c r="AC609" s="156">
        <f t="shared" ca="1" si="57"/>
        <v>2</v>
      </c>
      <c r="AD609" s="156" t="str">
        <f t="shared" ca="1" si="58"/>
        <v>NO PRAZO</v>
      </c>
      <c r="AE609" s="156">
        <f t="shared" ca="1" si="59"/>
        <v>-1</v>
      </c>
    </row>
    <row r="610" spans="1:31" ht="36" hidden="1" customHeight="1">
      <c r="A610" s="414"/>
      <c r="B610" s="429" t="s">
        <v>7995</v>
      </c>
      <c r="C610" s="429" t="s">
        <v>79</v>
      </c>
      <c r="D610" s="429" t="s">
        <v>1956</v>
      </c>
      <c r="E610" s="429" t="s">
        <v>619</v>
      </c>
      <c r="F610" s="429" t="s">
        <v>42</v>
      </c>
      <c r="G610" s="433"/>
      <c r="H610" s="429" t="s">
        <v>8059</v>
      </c>
      <c r="I610" s="433" t="s">
        <v>8067</v>
      </c>
      <c r="J610" s="432">
        <v>46204</v>
      </c>
      <c r="K610" s="429" t="s">
        <v>2493</v>
      </c>
      <c r="L610" s="436"/>
      <c r="M610" s="436" t="s">
        <v>62</v>
      </c>
      <c r="N610" s="437"/>
      <c r="O610" s="437" t="s">
        <v>85</v>
      </c>
      <c r="P610" s="437" t="s">
        <v>2494</v>
      </c>
      <c r="Q610" s="433" t="s">
        <v>2494</v>
      </c>
      <c r="R610" s="499" t="s">
        <v>8117</v>
      </c>
      <c r="S610" s="438">
        <v>46223</v>
      </c>
      <c r="T610" s="438">
        <v>46211</v>
      </c>
      <c r="U610" s="438"/>
      <c r="V610" s="438"/>
      <c r="W610" s="439">
        <v>46212</v>
      </c>
      <c r="X610" s="439">
        <v>46223</v>
      </c>
      <c r="Y610" s="420"/>
      <c r="Z610" s="224" t="str">
        <f t="shared" si="54"/>
        <v>AG. MEDIÇÃO</v>
      </c>
      <c r="AA610" s="207" t="str">
        <f t="shared" si="55"/>
        <v>ENTREGUE</v>
      </c>
      <c r="AB610" s="207" t="str">
        <f t="shared" si="56"/>
        <v>AG. MEDIÇÃO</v>
      </c>
      <c r="AC610" s="156">
        <f t="shared" ca="1" si="57"/>
        <v>1</v>
      </c>
      <c r="AD610" s="156" t="str">
        <f t="shared" ca="1" si="58"/>
        <v>NO PRAZO</v>
      </c>
      <c r="AE610" s="156">
        <f t="shared" ca="1" si="59"/>
        <v>-2</v>
      </c>
    </row>
    <row r="611" spans="1:31" ht="36" hidden="1" customHeight="1">
      <c r="A611" s="414"/>
      <c r="B611" s="429" t="s">
        <v>8279</v>
      </c>
      <c r="C611" s="429" t="s">
        <v>79</v>
      </c>
      <c r="D611" s="429" t="s">
        <v>872</v>
      </c>
      <c r="E611" s="429" t="s">
        <v>619</v>
      </c>
      <c r="F611" s="429" t="s">
        <v>42</v>
      </c>
      <c r="G611" s="562" t="s">
        <v>8300</v>
      </c>
      <c r="H611" s="562" t="s">
        <v>8301</v>
      </c>
      <c r="I611" s="585" t="s">
        <v>8302</v>
      </c>
      <c r="J611" s="432">
        <v>46235</v>
      </c>
      <c r="K611" s="429" t="s">
        <v>2493</v>
      </c>
      <c r="L611" s="436"/>
      <c r="M611" s="436" t="s">
        <v>62</v>
      </c>
      <c r="N611" s="437"/>
      <c r="O611" s="437" t="s">
        <v>85</v>
      </c>
      <c r="P611" s="437" t="s">
        <v>2494</v>
      </c>
      <c r="Q611" s="437" t="s">
        <v>2494</v>
      </c>
      <c r="R611" s="499" t="s">
        <v>8464</v>
      </c>
      <c r="S611" s="438">
        <v>46254</v>
      </c>
      <c r="T611" s="438">
        <v>46242</v>
      </c>
      <c r="U611" s="438"/>
      <c r="V611" s="438"/>
      <c r="W611" s="438">
        <v>46248</v>
      </c>
      <c r="X611" s="439">
        <v>46254</v>
      </c>
      <c r="Y611" s="420"/>
      <c r="Z611" s="224" t="str">
        <f t="shared" si="54"/>
        <v>AG. MEDIÇÃO</v>
      </c>
      <c r="AA611" s="207" t="str">
        <f t="shared" si="55"/>
        <v>ENTREGUE</v>
      </c>
      <c r="AB611" s="207" t="str">
        <f t="shared" si="56"/>
        <v>AG. MEDIÇÃO</v>
      </c>
      <c r="AC611" s="156">
        <f t="shared" ca="1" si="57"/>
        <v>4</v>
      </c>
      <c r="AD611" s="156" t="str">
        <f t="shared" ca="1" si="58"/>
        <v>ATRASADO</v>
      </c>
      <c r="AE611" s="156">
        <f t="shared" ca="1" si="59"/>
        <v>1</v>
      </c>
    </row>
    <row r="612" spans="1:31" ht="36" hidden="1" customHeight="1">
      <c r="A612" s="414"/>
      <c r="B612" s="429" t="s">
        <v>7937</v>
      </c>
      <c r="C612" s="429" t="s">
        <v>606</v>
      </c>
      <c r="D612" s="429" t="s">
        <v>4025</v>
      </c>
      <c r="E612" s="429" t="s">
        <v>607</v>
      </c>
      <c r="F612" s="429" t="s">
        <v>42</v>
      </c>
      <c r="G612" s="433" t="s">
        <v>7960</v>
      </c>
      <c r="H612" s="429" t="s">
        <v>7961</v>
      </c>
      <c r="I612" s="433" t="s">
        <v>7962</v>
      </c>
      <c r="J612" s="432">
        <v>46174</v>
      </c>
      <c r="K612" s="429" t="s">
        <v>2493</v>
      </c>
      <c r="L612" s="436"/>
      <c r="M612" s="436" t="s">
        <v>62</v>
      </c>
      <c r="N612" s="437"/>
      <c r="O612" s="437" t="s">
        <v>85</v>
      </c>
      <c r="P612" s="437" t="s">
        <v>2494</v>
      </c>
      <c r="Q612" s="433" t="s">
        <v>2494</v>
      </c>
      <c r="R612" s="499" t="s">
        <v>8063</v>
      </c>
      <c r="S612" s="438">
        <v>46212</v>
      </c>
      <c r="T612" s="438">
        <v>46176</v>
      </c>
      <c r="U612" s="438"/>
      <c r="V612" s="438"/>
      <c r="W612" s="439">
        <v>46177</v>
      </c>
      <c r="X612" s="439">
        <v>46212</v>
      </c>
      <c r="Y612" s="420"/>
      <c r="Z612" s="224" t="str">
        <f t="shared" si="54"/>
        <v>AG. MEDIÇÃO</v>
      </c>
      <c r="AA612" s="207" t="str">
        <f t="shared" si="55"/>
        <v>ENTREGUE</v>
      </c>
      <c r="AB612" s="207" t="str">
        <f t="shared" si="56"/>
        <v>AG. MEDIÇÃO</v>
      </c>
      <c r="AC612" s="156">
        <f t="shared" ca="1" si="57"/>
        <v>1</v>
      </c>
      <c r="AD612" s="156" t="str">
        <f t="shared" ca="1" si="58"/>
        <v>NO PRAZO</v>
      </c>
      <c r="AE612" s="156">
        <f t="shared" ca="1" si="59"/>
        <v>-2</v>
      </c>
    </row>
    <row r="613" spans="1:31" ht="36" hidden="1" customHeight="1">
      <c r="A613" s="414"/>
      <c r="B613" s="440" t="s">
        <v>5150</v>
      </c>
      <c r="C613" s="440" t="s">
        <v>4804</v>
      </c>
      <c r="D613" s="440"/>
      <c r="E613" s="440"/>
      <c r="F613" s="440" t="s">
        <v>4806</v>
      </c>
      <c r="G613" s="441"/>
      <c r="H613" s="440" t="s">
        <v>5151</v>
      </c>
      <c r="I613" s="441" t="s">
        <v>5152</v>
      </c>
      <c r="J613" s="450">
        <v>45748</v>
      </c>
      <c r="K613" s="429" t="s">
        <v>2493</v>
      </c>
      <c r="L613" s="444"/>
      <c r="M613" s="444" t="s">
        <v>827</v>
      </c>
      <c r="N613" s="441" t="s">
        <v>2572</v>
      </c>
      <c r="O613" s="445" t="s">
        <v>3350</v>
      </c>
      <c r="P613" s="441" t="s">
        <v>2494</v>
      </c>
      <c r="Q613" s="445" t="s">
        <v>2494</v>
      </c>
      <c r="R613" s="445" t="s">
        <v>5153</v>
      </c>
      <c r="S613" s="446">
        <v>45826</v>
      </c>
      <c r="T613" s="446">
        <v>45772</v>
      </c>
      <c r="U613" s="446"/>
      <c r="V613" s="447"/>
      <c r="W613" s="447">
        <v>45792</v>
      </c>
      <c r="X613" s="447" t="s">
        <v>8044</v>
      </c>
      <c r="Y613" s="420"/>
      <c r="Z613" s="224" t="str">
        <f t="shared" si="54"/>
        <v>AG. MEDIÇÃO</v>
      </c>
      <c r="AA613" s="207" t="str">
        <f t="shared" si="55"/>
        <v>ENTREGUE</v>
      </c>
      <c r="AB613" s="207" t="str">
        <f t="shared" si="56"/>
        <v>AG. MEDIÇÃO</v>
      </c>
      <c r="AC613" s="156">
        <f t="shared" ca="1" si="57"/>
        <v>14</v>
      </c>
      <c r="AD613" s="156" t="str">
        <f t="shared" ca="1" si="58"/>
        <v>ATRASADO</v>
      </c>
      <c r="AE613" s="156">
        <f t="shared" ca="1" si="59"/>
        <v>11</v>
      </c>
    </row>
    <row r="614" spans="1:31" ht="36" hidden="1" customHeight="1">
      <c r="A614" s="414"/>
      <c r="B614" s="429" t="s">
        <v>7914</v>
      </c>
      <c r="C614" s="429" t="s">
        <v>678</v>
      </c>
      <c r="D614" s="429" t="s">
        <v>2369</v>
      </c>
      <c r="E614" s="429" t="s">
        <v>679</v>
      </c>
      <c r="F614" s="429" t="s">
        <v>427</v>
      </c>
      <c r="G614" s="433"/>
      <c r="H614" s="429" t="s">
        <v>7927</v>
      </c>
      <c r="I614" s="433" t="s">
        <v>7928</v>
      </c>
      <c r="J614" s="432">
        <v>46174</v>
      </c>
      <c r="K614" s="429" t="s">
        <v>2493</v>
      </c>
      <c r="L614" s="436"/>
      <c r="M614" s="436" t="s">
        <v>62</v>
      </c>
      <c r="N614" s="437"/>
      <c r="O614" s="437" t="s">
        <v>85</v>
      </c>
      <c r="P614" s="437" t="s">
        <v>2494</v>
      </c>
      <c r="Q614" s="433" t="s">
        <v>2494</v>
      </c>
      <c r="R614" s="499" t="s">
        <v>8061</v>
      </c>
      <c r="S614" s="438">
        <v>46212</v>
      </c>
      <c r="T614" s="438">
        <v>46197</v>
      </c>
      <c r="U614" s="438"/>
      <c r="V614" s="438"/>
      <c r="W614" s="439">
        <v>46199</v>
      </c>
      <c r="X614" s="439">
        <v>46212</v>
      </c>
      <c r="Y614" s="420"/>
      <c r="Z614" s="224" t="str">
        <f t="shared" si="54"/>
        <v>AG. MEDIÇÃO</v>
      </c>
      <c r="AA614" s="207" t="str">
        <f t="shared" si="55"/>
        <v>ENTREGUE</v>
      </c>
      <c r="AB614" s="207" t="str">
        <f t="shared" si="56"/>
        <v>AG. MEDIÇÃO</v>
      </c>
      <c r="AC614" s="156">
        <f t="shared" ca="1" si="57"/>
        <v>2</v>
      </c>
      <c r="AD614" s="156" t="str">
        <f t="shared" ca="1" si="58"/>
        <v>NO PRAZO</v>
      </c>
      <c r="AE614" s="156">
        <f t="shared" ca="1" si="59"/>
        <v>-1</v>
      </c>
    </row>
    <row r="615" spans="1:31" ht="36" hidden="1" customHeight="1">
      <c r="A615" s="414"/>
      <c r="B615" s="440" t="s">
        <v>5805</v>
      </c>
      <c r="C615" s="440" t="s">
        <v>4873</v>
      </c>
      <c r="D615" s="440"/>
      <c r="E615" s="440"/>
      <c r="F615" s="440" t="s">
        <v>4875</v>
      </c>
      <c r="G615" s="441"/>
      <c r="H615" s="639" t="s">
        <v>5806</v>
      </c>
      <c r="I615" s="441" t="s">
        <v>5807</v>
      </c>
      <c r="J615" s="450">
        <v>45931</v>
      </c>
      <c r="K615" s="429" t="s">
        <v>2493</v>
      </c>
      <c r="L615" s="444"/>
      <c r="M615" s="444" t="s">
        <v>1764</v>
      </c>
      <c r="N615" s="441"/>
      <c r="O615" s="445"/>
      <c r="P615" s="441" t="s">
        <v>2494</v>
      </c>
      <c r="Q615" s="445" t="s">
        <v>2494</v>
      </c>
      <c r="R615" s="445" t="s">
        <v>6723</v>
      </c>
      <c r="S615" s="446">
        <v>46011</v>
      </c>
      <c r="T615" s="446">
        <v>45931</v>
      </c>
      <c r="U615" s="446"/>
      <c r="V615" s="447"/>
      <c r="W615" s="447">
        <v>45957</v>
      </c>
      <c r="X615" s="447">
        <v>46011</v>
      </c>
      <c r="Y615" s="420"/>
      <c r="Z615" s="224" t="str">
        <f t="shared" si="54"/>
        <v>AG. MEDIÇÃO</v>
      </c>
      <c r="AA615" s="207" t="str">
        <f t="shared" si="55"/>
        <v>ENTREGUE</v>
      </c>
      <c r="AB615" s="207" t="str">
        <f t="shared" si="56"/>
        <v>AG. MEDIÇÃO</v>
      </c>
      <c r="AC615" s="156">
        <f t="shared" ca="1" si="57"/>
        <v>18</v>
      </c>
      <c r="AD615" s="156" t="str">
        <f t="shared" ca="1" si="58"/>
        <v>ATRASADO</v>
      </c>
      <c r="AE615" s="156">
        <f t="shared" ca="1" si="59"/>
        <v>15</v>
      </c>
    </row>
    <row r="616" spans="1:31" ht="36" hidden="1" customHeight="1">
      <c r="A616" s="414"/>
      <c r="B616" s="429" t="s">
        <v>7988</v>
      </c>
      <c r="C616" s="429" t="s">
        <v>79</v>
      </c>
      <c r="D616" s="429" t="s">
        <v>293</v>
      </c>
      <c r="E616" s="429" t="s">
        <v>619</v>
      </c>
      <c r="F616" s="429" t="s">
        <v>42</v>
      </c>
      <c r="G616" s="433" t="s">
        <v>8006</v>
      </c>
      <c r="H616" s="429" t="s">
        <v>8007</v>
      </c>
      <c r="I616" s="433" t="s">
        <v>8004</v>
      </c>
      <c r="J616" s="432">
        <v>46174</v>
      </c>
      <c r="K616" s="429" t="s">
        <v>2493</v>
      </c>
      <c r="L616" s="436"/>
      <c r="M616" s="436" t="s">
        <v>8005</v>
      </c>
      <c r="N616" s="437"/>
      <c r="O616" s="437" t="s">
        <v>85</v>
      </c>
      <c r="P616" s="437" t="s">
        <v>2494</v>
      </c>
      <c r="Q616" s="433" t="s">
        <v>2494</v>
      </c>
      <c r="R616" s="499" t="s">
        <v>5494</v>
      </c>
      <c r="S616" s="438">
        <v>46247</v>
      </c>
      <c r="T616" s="438">
        <v>46204</v>
      </c>
      <c r="U616" s="438"/>
      <c r="V616" s="438"/>
      <c r="W616" s="439">
        <v>46204</v>
      </c>
      <c r="X616" s="439">
        <v>46247</v>
      </c>
      <c r="Y616" s="420"/>
      <c r="Z616" s="224" t="str">
        <f t="shared" si="54"/>
        <v>AG. MEDIÇÃO</v>
      </c>
      <c r="AA616" s="207" t="str">
        <f t="shared" si="55"/>
        <v>ENTREGUE</v>
      </c>
      <c r="AB616" s="207" t="str">
        <f t="shared" si="56"/>
        <v>AG. MEDIÇÃO</v>
      </c>
      <c r="AC616" s="156">
        <f t="shared" ca="1" si="57"/>
        <v>0</v>
      </c>
      <c r="AD616" s="156" t="str">
        <f t="shared" ca="1" si="58"/>
        <v>NO PRAZO</v>
      </c>
      <c r="AE616" s="156">
        <f t="shared" ca="1" si="59"/>
        <v>-3</v>
      </c>
    </row>
    <row r="617" spans="1:31" ht="36" hidden="1" customHeight="1">
      <c r="A617" s="414"/>
      <c r="B617" s="429" t="s">
        <v>8443</v>
      </c>
      <c r="C617" s="429" t="s">
        <v>2359</v>
      </c>
      <c r="D617" s="429" t="s">
        <v>2361</v>
      </c>
      <c r="E617" s="429" t="s">
        <v>2360</v>
      </c>
      <c r="F617" s="429" t="s">
        <v>427</v>
      </c>
      <c r="G617" s="433" t="s">
        <v>8450</v>
      </c>
      <c r="H617" s="429" t="s">
        <v>8451</v>
      </c>
      <c r="I617" s="433" t="s">
        <v>8452</v>
      </c>
      <c r="J617" s="599">
        <v>46235</v>
      </c>
      <c r="K617" s="429" t="s">
        <v>2493</v>
      </c>
      <c r="L617" s="436" t="s">
        <v>124</v>
      </c>
      <c r="M617" s="436" t="s">
        <v>62</v>
      </c>
      <c r="N617" s="433"/>
      <c r="O617" s="433" t="s">
        <v>85</v>
      </c>
      <c r="P617" s="429">
        <v>290</v>
      </c>
      <c r="Q617" s="429">
        <v>298</v>
      </c>
      <c r="R617" s="437" t="s">
        <v>8528</v>
      </c>
      <c r="S617" s="438">
        <v>46260</v>
      </c>
      <c r="T617" s="438">
        <v>46253</v>
      </c>
      <c r="U617" s="438"/>
      <c r="V617" s="438"/>
      <c r="W617" s="439">
        <v>46258</v>
      </c>
      <c r="X617" s="439">
        <v>46260</v>
      </c>
      <c r="Y617" s="420"/>
      <c r="Z617" s="224" t="str">
        <f t="shared" si="54"/>
        <v>AG. MEDIÇÃO</v>
      </c>
      <c r="AA617" s="207" t="str">
        <f t="shared" si="55"/>
        <v>ENTREGUE</v>
      </c>
      <c r="AB617" s="207" t="str">
        <f t="shared" si="56"/>
        <v>AG. MEDIÇÃO</v>
      </c>
      <c r="AC617" s="156">
        <f t="shared" ca="1" si="57"/>
        <v>3</v>
      </c>
      <c r="AD617" s="156" t="str">
        <f t="shared" ca="1" si="58"/>
        <v>NO PRAZO</v>
      </c>
      <c r="AE617" s="156">
        <f t="shared" ca="1" si="59"/>
        <v>0</v>
      </c>
    </row>
    <row r="618" spans="1:31" ht="36" hidden="1" customHeight="1">
      <c r="A618" s="414"/>
      <c r="B618" s="440" t="s">
        <v>4405</v>
      </c>
      <c r="C618" s="440" t="s">
        <v>425</v>
      </c>
      <c r="D618" s="440" t="s">
        <v>485</v>
      </c>
      <c r="E618" s="440" t="s">
        <v>484</v>
      </c>
      <c r="F618" s="440" t="s">
        <v>2559</v>
      </c>
      <c r="G618" s="441" t="s">
        <v>4406</v>
      </c>
      <c r="H618" s="440" t="s">
        <v>4407</v>
      </c>
      <c r="I618" s="441" t="s">
        <v>4408</v>
      </c>
      <c r="J618" s="450">
        <v>45536</v>
      </c>
      <c r="K618" s="429" t="s">
        <v>2493</v>
      </c>
      <c r="L618" s="444" t="s">
        <v>76</v>
      </c>
      <c r="M618" s="444" t="s">
        <v>4409</v>
      </c>
      <c r="N618" s="441" t="s">
        <v>2572</v>
      </c>
      <c r="O618" s="445" t="s">
        <v>3350</v>
      </c>
      <c r="P618" s="445">
        <v>450</v>
      </c>
      <c r="Q618" s="445">
        <v>755</v>
      </c>
      <c r="R618" s="445" t="s">
        <v>4410</v>
      </c>
      <c r="S618" s="446">
        <v>45575</v>
      </c>
      <c r="T618" s="446">
        <v>45547</v>
      </c>
      <c r="U618" s="446">
        <v>45548</v>
      </c>
      <c r="V618" s="447">
        <v>45553</v>
      </c>
      <c r="W618" s="447">
        <v>45569</v>
      </c>
      <c r="X618" s="447" t="s">
        <v>8044</v>
      </c>
      <c r="Y618" s="420"/>
      <c r="Z618" s="224" t="str">
        <f t="shared" si="54"/>
        <v>AG. MEDIÇÃO</v>
      </c>
      <c r="AA618" s="207" t="str">
        <f t="shared" si="55"/>
        <v>ENTREGUE</v>
      </c>
      <c r="AB618" s="207" t="str">
        <f t="shared" si="56"/>
        <v>AG. MEDIÇÃO</v>
      </c>
      <c r="AC618" s="156">
        <f t="shared" ca="1" si="57"/>
        <v>16</v>
      </c>
      <c r="AD618" s="156" t="str">
        <f t="shared" ca="1" si="58"/>
        <v>ATRASADO</v>
      </c>
      <c r="AE618" s="156">
        <f t="shared" ca="1" si="59"/>
        <v>13</v>
      </c>
    </row>
    <row r="619" spans="1:31" ht="36" hidden="1" customHeight="1">
      <c r="A619" s="414"/>
      <c r="B619" s="440" t="s">
        <v>4532</v>
      </c>
      <c r="C619" s="440" t="s">
        <v>606</v>
      </c>
      <c r="D619" s="440" t="s">
        <v>4533</v>
      </c>
      <c r="E619" s="440" t="s">
        <v>607</v>
      </c>
      <c r="F619" s="440" t="s">
        <v>42</v>
      </c>
      <c r="G619" s="440" t="s">
        <v>4534</v>
      </c>
      <c r="H619" s="440" t="s">
        <v>4535</v>
      </c>
      <c r="I619" s="441" t="s">
        <v>4536</v>
      </c>
      <c r="J619" s="450">
        <v>45566</v>
      </c>
      <c r="K619" s="429" t="s">
        <v>2493</v>
      </c>
      <c r="L619" s="444"/>
      <c r="M619" s="444" t="s">
        <v>132</v>
      </c>
      <c r="N619" s="441" t="s">
        <v>2572</v>
      </c>
      <c r="O619" s="445" t="s">
        <v>3350</v>
      </c>
      <c r="P619" s="441" t="s">
        <v>2494</v>
      </c>
      <c r="Q619" s="441" t="s">
        <v>2494</v>
      </c>
      <c r="R619" s="445" t="s">
        <v>3139</v>
      </c>
      <c r="S619" s="446">
        <v>45608</v>
      </c>
      <c r="T619" s="446">
        <v>45590</v>
      </c>
      <c r="U619" s="446"/>
      <c r="V619" s="447"/>
      <c r="W619" s="447">
        <v>45600</v>
      </c>
      <c r="X619" s="447" t="s">
        <v>8044</v>
      </c>
      <c r="Y619" s="420"/>
      <c r="Z619" s="224" t="str">
        <f t="shared" si="54"/>
        <v>AG. MEDIÇÃO</v>
      </c>
      <c r="AA619" s="207" t="str">
        <f t="shared" si="55"/>
        <v>ENTREGUE</v>
      </c>
      <c r="AB619" s="207" t="str">
        <f t="shared" si="56"/>
        <v>AG. MEDIÇÃO</v>
      </c>
      <c r="AC619" s="156">
        <f t="shared" ca="1" si="57"/>
        <v>6</v>
      </c>
      <c r="AD619" s="156" t="str">
        <f t="shared" ca="1" si="58"/>
        <v>ATRASADO</v>
      </c>
      <c r="AE619" s="156">
        <f t="shared" ca="1" si="59"/>
        <v>3</v>
      </c>
    </row>
    <row r="620" spans="1:31" ht="36" hidden="1" customHeight="1">
      <c r="A620" s="414"/>
      <c r="B620" s="440" t="s">
        <v>4451</v>
      </c>
      <c r="C620" s="440" t="s">
        <v>425</v>
      </c>
      <c r="D620" s="440" t="s">
        <v>4452</v>
      </c>
      <c r="E620" s="440" t="s">
        <v>1551</v>
      </c>
      <c r="F620" s="440" t="s">
        <v>42</v>
      </c>
      <c r="G620" s="441" t="s">
        <v>4453</v>
      </c>
      <c r="H620" s="440" t="s">
        <v>4454</v>
      </c>
      <c r="I620" s="441" t="s">
        <v>4455</v>
      </c>
      <c r="J620" s="450">
        <v>45536</v>
      </c>
      <c r="K620" s="429" t="s">
        <v>2493</v>
      </c>
      <c r="L620" s="444"/>
      <c r="M620" s="444" t="s">
        <v>51</v>
      </c>
      <c r="N620" s="441" t="s">
        <v>2572</v>
      </c>
      <c r="O620" s="445" t="s">
        <v>85</v>
      </c>
      <c r="P620" s="441" t="s">
        <v>2494</v>
      </c>
      <c r="Q620" s="441" t="s">
        <v>2494</v>
      </c>
      <c r="R620" s="445" t="s">
        <v>3246</v>
      </c>
      <c r="S620" s="446">
        <v>45555</v>
      </c>
      <c r="T620" s="446">
        <v>45548</v>
      </c>
      <c r="U620" s="446">
        <v>45551</v>
      </c>
      <c r="V620" s="447">
        <v>45554</v>
      </c>
      <c r="W620" s="447">
        <v>45553</v>
      </c>
      <c r="X620" s="447" t="s">
        <v>8044</v>
      </c>
      <c r="Y620" s="420"/>
      <c r="Z620" s="224" t="str">
        <f t="shared" si="54"/>
        <v>AG. MEDIÇÃO</v>
      </c>
      <c r="AA620" s="207" t="str">
        <f t="shared" si="55"/>
        <v>ENTREGUE</v>
      </c>
      <c r="AB620" s="207" t="str">
        <f t="shared" si="56"/>
        <v>AG. MEDIÇÃO</v>
      </c>
      <c r="AC620" s="156">
        <f t="shared" ca="1" si="57"/>
        <v>3</v>
      </c>
      <c r="AD620" s="156" t="str">
        <f t="shared" ca="1" si="58"/>
        <v>NO PRAZO</v>
      </c>
      <c r="AE620" s="156">
        <f t="shared" ca="1" si="59"/>
        <v>0</v>
      </c>
    </row>
    <row r="621" spans="1:31" ht="36" hidden="1" customHeight="1">
      <c r="A621" s="414"/>
      <c r="B621" s="440" t="s">
        <v>5310</v>
      </c>
      <c r="C621" s="440" t="s">
        <v>88</v>
      </c>
      <c r="D621" s="440"/>
      <c r="E621" s="440" t="s">
        <v>2196</v>
      </c>
      <c r="F621" s="440" t="s">
        <v>42</v>
      </c>
      <c r="G621" s="441" t="s">
        <v>5311</v>
      </c>
      <c r="H621" s="440" t="s">
        <v>5312</v>
      </c>
      <c r="I621" s="441" t="s">
        <v>5313</v>
      </c>
      <c r="J621" s="450">
        <v>45809</v>
      </c>
      <c r="K621" s="429" t="s">
        <v>2493</v>
      </c>
      <c r="L621" s="444"/>
      <c r="M621" s="444" t="s">
        <v>62</v>
      </c>
      <c r="N621" s="441"/>
      <c r="O621" s="445"/>
      <c r="P621" s="441" t="s">
        <v>2494</v>
      </c>
      <c r="Q621" s="445" t="s">
        <v>2494</v>
      </c>
      <c r="R621" s="445" t="s">
        <v>5314</v>
      </c>
      <c r="S621" s="446">
        <v>45845</v>
      </c>
      <c r="T621" s="446">
        <v>45813</v>
      </c>
      <c r="U621" s="446"/>
      <c r="V621" s="447"/>
      <c r="W621" s="447">
        <v>45817</v>
      </c>
      <c r="X621" s="447" t="s">
        <v>8044</v>
      </c>
      <c r="Y621" s="420"/>
      <c r="Z621" s="224" t="str">
        <f t="shared" si="54"/>
        <v>AG. MEDIÇÃO</v>
      </c>
      <c r="AA621" s="207" t="str">
        <f t="shared" si="55"/>
        <v>ENTREGUE</v>
      </c>
      <c r="AB621" s="207" t="str">
        <f t="shared" si="56"/>
        <v>AG. MEDIÇÃO</v>
      </c>
      <c r="AC621" s="156">
        <f t="shared" ca="1" si="57"/>
        <v>2</v>
      </c>
      <c r="AD621" s="156" t="str">
        <f t="shared" ca="1" si="58"/>
        <v>NO PRAZO</v>
      </c>
      <c r="AE621" s="156">
        <f t="shared" ca="1" si="59"/>
        <v>-1</v>
      </c>
    </row>
    <row r="622" spans="1:31" ht="36" hidden="1" customHeight="1">
      <c r="A622" s="414"/>
      <c r="B622" s="440" t="s">
        <v>5137</v>
      </c>
      <c r="C622" s="440" t="s">
        <v>88</v>
      </c>
      <c r="D622" s="440" t="s">
        <v>1331</v>
      </c>
      <c r="E622" s="440" t="s">
        <v>89</v>
      </c>
      <c r="F622" s="440" t="s">
        <v>42</v>
      </c>
      <c r="G622" s="441" t="s">
        <v>5138</v>
      </c>
      <c r="H622" s="440" t="s">
        <v>5139</v>
      </c>
      <c r="I622" s="441" t="s">
        <v>5140</v>
      </c>
      <c r="J622" s="450">
        <v>45748</v>
      </c>
      <c r="K622" s="429" t="s">
        <v>2493</v>
      </c>
      <c r="L622" s="444"/>
      <c r="M622" s="444" t="s">
        <v>200</v>
      </c>
      <c r="N622" s="441"/>
      <c r="O622" s="445"/>
      <c r="P622" s="441" t="s">
        <v>2494</v>
      </c>
      <c r="Q622" s="445" t="s">
        <v>2494</v>
      </c>
      <c r="R622" s="445" t="s">
        <v>5141</v>
      </c>
      <c r="S622" s="446">
        <v>45785</v>
      </c>
      <c r="T622" s="446">
        <v>45770</v>
      </c>
      <c r="U622" s="446">
        <v>45772</v>
      </c>
      <c r="V622" s="447">
        <v>45772</v>
      </c>
      <c r="W622" s="447">
        <v>45772</v>
      </c>
      <c r="X622" s="447" t="s">
        <v>8044</v>
      </c>
      <c r="Y622" s="420"/>
      <c r="Z622" s="224" t="str">
        <f t="shared" si="54"/>
        <v>AG. MEDIÇÃO</v>
      </c>
      <c r="AA622" s="207" t="str">
        <f t="shared" si="55"/>
        <v>ENTREGUE</v>
      </c>
      <c r="AB622" s="207" t="str">
        <f t="shared" si="56"/>
        <v>AG. MEDIÇÃO</v>
      </c>
      <c r="AC622" s="156">
        <f t="shared" ca="1" si="57"/>
        <v>2</v>
      </c>
      <c r="AD622" s="156" t="str">
        <f t="shared" ca="1" si="58"/>
        <v>NO PRAZO</v>
      </c>
      <c r="AE622" s="156">
        <f t="shared" ca="1" si="59"/>
        <v>-1</v>
      </c>
    </row>
    <row r="623" spans="1:31" ht="36" hidden="1" customHeight="1">
      <c r="A623" s="414"/>
      <c r="B623" s="440" t="s">
        <v>4331</v>
      </c>
      <c r="C623" s="440" t="s">
        <v>111</v>
      </c>
      <c r="D623" s="440" t="s">
        <v>348</v>
      </c>
      <c r="E623" s="440" t="s">
        <v>2504</v>
      </c>
      <c r="F623" s="440" t="s">
        <v>42</v>
      </c>
      <c r="G623" s="441" t="s">
        <v>4332</v>
      </c>
      <c r="H623" s="440" t="s">
        <v>4333</v>
      </c>
      <c r="I623" s="441" t="s">
        <v>4334</v>
      </c>
      <c r="J623" s="450">
        <v>45536</v>
      </c>
      <c r="K623" s="429" t="s">
        <v>2493</v>
      </c>
      <c r="L623" s="444" t="s">
        <v>1380</v>
      </c>
      <c r="M623" s="444" t="s">
        <v>51</v>
      </c>
      <c r="N623" s="441" t="s">
        <v>2572</v>
      </c>
      <c r="O623" s="445" t="s">
        <v>85</v>
      </c>
      <c r="P623" s="445">
        <v>750</v>
      </c>
      <c r="Q623" s="445">
        <v>734</v>
      </c>
      <c r="R623" s="445" t="s">
        <v>4335</v>
      </c>
      <c r="S623" s="446">
        <v>45549</v>
      </c>
      <c r="T623" s="446">
        <v>45538</v>
      </c>
      <c r="U623" s="446">
        <v>45541</v>
      </c>
      <c r="V623" s="447">
        <v>45546</v>
      </c>
      <c r="W623" s="447">
        <v>45547</v>
      </c>
      <c r="X623" s="447" t="s">
        <v>8044</v>
      </c>
      <c r="Y623" s="420"/>
      <c r="Z623" s="224" t="str">
        <f t="shared" si="54"/>
        <v>AG. MEDIÇÃO</v>
      </c>
      <c r="AA623" s="207" t="str">
        <f t="shared" si="55"/>
        <v>ENTREGUE</v>
      </c>
      <c r="AB623" s="207" t="str">
        <f t="shared" si="56"/>
        <v>AG. MEDIÇÃO</v>
      </c>
      <c r="AC623" s="156">
        <f t="shared" ca="1" si="57"/>
        <v>7</v>
      </c>
      <c r="AD623" s="156" t="str">
        <f t="shared" ca="1" si="58"/>
        <v>ATRASADO</v>
      </c>
      <c r="AE623" s="156">
        <f t="shared" ca="1" si="59"/>
        <v>4</v>
      </c>
    </row>
    <row r="624" spans="1:31" ht="36" hidden="1" customHeight="1">
      <c r="A624" s="414"/>
      <c r="B624" s="440" t="s">
        <v>3271</v>
      </c>
      <c r="C624" s="440" t="s">
        <v>232</v>
      </c>
      <c r="D624" s="440"/>
      <c r="E624" s="440"/>
      <c r="F624" s="440" t="s">
        <v>42</v>
      </c>
      <c r="G624" s="441" t="s">
        <v>3272</v>
      </c>
      <c r="H624" s="440" t="s">
        <v>3273</v>
      </c>
      <c r="I624" s="449"/>
      <c r="J624" s="450">
        <v>45231</v>
      </c>
      <c r="K624" s="429" t="s">
        <v>2493</v>
      </c>
      <c r="L624" s="444"/>
      <c r="M624" s="444" t="s">
        <v>51</v>
      </c>
      <c r="N624" s="441" t="s">
        <v>2572</v>
      </c>
      <c r="O624" s="445" t="s">
        <v>85</v>
      </c>
      <c r="P624" s="441" t="s">
        <v>2494</v>
      </c>
      <c r="Q624" s="441" t="s">
        <v>2494</v>
      </c>
      <c r="R624" s="445" t="s">
        <v>3274</v>
      </c>
      <c r="S624" s="446">
        <v>45273</v>
      </c>
      <c r="T624" s="446">
        <v>45254</v>
      </c>
      <c r="U624" s="446">
        <v>45257</v>
      </c>
      <c r="V624" s="446">
        <v>45258</v>
      </c>
      <c r="W624" s="446">
        <v>45260</v>
      </c>
      <c r="X624" s="447" t="s">
        <v>8044</v>
      </c>
      <c r="Y624" s="420"/>
      <c r="Z624" s="224" t="str">
        <f t="shared" si="54"/>
        <v>AG. MEDIÇÃO</v>
      </c>
      <c r="AA624" s="207" t="str">
        <f t="shared" si="55"/>
        <v>ENTREGUE</v>
      </c>
      <c r="AB624" s="207" t="str">
        <f t="shared" si="56"/>
        <v>AG. MEDIÇÃO</v>
      </c>
      <c r="AC624" s="156">
        <f t="shared" ca="1" si="57"/>
        <v>4</v>
      </c>
      <c r="AD624" s="156" t="str">
        <f t="shared" ca="1" si="58"/>
        <v>ATRASADO</v>
      </c>
      <c r="AE624" s="156">
        <f t="shared" ca="1" si="59"/>
        <v>1</v>
      </c>
    </row>
    <row r="625" spans="1:31" ht="36" hidden="1" customHeight="1">
      <c r="A625" s="414"/>
      <c r="B625" s="440" t="s">
        <v>5549</v>
      </c>
      <c r="C625" s="440" t="s">
        <v>555</v>
      </c>
      <c r="D625" s="440"/>
      <c r="E625" s="440" t="s">
        <v>556</v>
      </c>
      <c r="F625" s="440" t="s">
        <v>42</v>
      </c>
      <c r="G625" s="441" t="s">
        <v>5550</v>
      </c>
      <c r="H625" s="440" t="s">
        <v>5551</v>
      </c>
      <c r="I625" s="441" t="s">
        <v>5552</v>
      </c>
      <c r="J625" s="450">
        <v>45839</v>
      </c>
      <c r="K625" s="429" t="s">
        <v>2493</v>
      </c>
      <c r="L625" s="444"/>
      <c r="M625" s="444" t="s">
        <v>62</v>
      </c>
      <c r="N625" s="441"/>
      <c r="O625" s="445"/>
      <c r="P625" s="441" t="s">
        <v>2494</v>
      </c>
      <c r="Q625" s="445" t="s">
        <v>2494</v>
      </c>
      <c r="R625" s="445" t="s">
        <v>5553</v>
      </c>
      <c r="S625" s="446">
        <v>45881</v>
      </c>
      <c r="T625" s="446">
        <v>45854</v>
      </c>
      <c r="U625" s="446">
        <v>45858</v>
      </c>
      <c r="V625" s="447">
        <v>45861</v>
      </c>
      <c r="W625" s="447">
        <v>45861</v>
      </c>
      <c r="X625" s="447">
        <v>45881</v>
      </c>
      <c r="Y625" s="420"/>
      <c r="Z625" s="224" t="str">
        <f t="shared" si="54"/>
        <v>AG. MEDIÇÃO</v>
      </c>
      <c r="AA625" s="207" t="str">
        <f t="shared" si="55"/>
        <v>ENTREGUE</v>
      </c>
      <c r="AB625" s="207" t="str">
        <f t="shared" si="56"/>
        <v>AG. MEDIÇÃO</v>
      </c>
      <c r="AC625" s="156">
        <f t="shared" ca="1" si="57"/>
        <v>5</v>
      </c>
      <c r="AD625" s="156" t="str">
        <f t="shared" ca="1" si="58"/>
        <v>ATRASADO</v>
      </c>
      <c r="AE625" s="156">
        <f t="shared" ca="1" si="59"/>
        <v>2</v>
      </c>
    </row>
    <row r="626" spans="1:31" ht="36" hidden="1" customHeight="1">
      <c r="A626" s="414"/>
      <c r="B626" s="440" t="s">
        <v>3280</v>
      </c>
      <c r="C626" s="461" t="s">
        <v>261</v>
      </c>
      <c r="D626" s="461"/>
      <c r="E626" s="461"/>
      <c r="F626" s="461" t="s">
        <v>42</v>
      </c>
      <c r="G626" s="441" t="s">
        <v>3281</v>
      </c>
      <c r="H626" s="440" t="s">
        <v>3282</v>
      </c>
      <c r="I626" s="449"/>
      <c r="J626" s="450">
        <v>45261</v>
      </c>
      <c r="K626" s="429" t="s">
        <v>2493</v>
      </c>
      <c r="L626" s="444"/>
      <c r="M626" s="444" t="s">
        <v>774</v>
      </c>
      <c r="N626" s="441" t="s">
        <v>2572</v>
      </c>
      <c r="O626" s="445" t="s">
        <v>85</v>
      </c>
      <c r="P626" s="441" t="s">
        <v>2494</v>
      </c>
      <c r="Q626" s="441" t="s">
        <v>2494</v>
      </c>
      <c r="R626" s="445" t="s">
        <v>3127</v>
      </c>
      <c r="S626" s="446">
        <v>45273</v>
      </c>
      <c r="T626" s="446">
        <v>45264</v>
      </c>
      <c r="U626" s="446"/>
      <c r="V626" s="446">
        <v>45266</v>
      </c>
      <c r="W626" s="446">
        <v>45266</v>
      </c>
      <c r="X626" s="447" t="s">
        <v>8044</v>
      </c>
      <c r="Y626" s="420"/>
      <c r="Z626" s="224" t="str">
        <f t="shared" si="54"/>
        <v>AG. MEDIÇÃO</v>
      </c>
      <c r="AA626" s="207" t="str">
        <f t="shared" si="55"/>
        <v>ENTREGUE</v>
      </c>
      <c r="AB626" s="207" t="str">
        <f t="shared" si="56"/>
        <v>AG. MEDIÇÃO</v>
      </c>
      <c r="AC626" s="156">
        <f t="shared" ca="1" si="57"/>
        <v>2</v>
      </c>
      <c r="AD626" s="156" t="str">
        <f t="shared" ca="1" si="58"/>
        <v>NO PRAZO</v>
      </c>
      <c r="AE626" s="156">
        <f t="shared" ca="1" si="59"/>
        <v>-1</v>
      </c>
    </row>
    <row r="627" spans="1:31" ht="36" hidden="1" customHeight="1">
      <c r="A627" s="414"/>
      <c r="B627" s="440" t="s">
        <v>4341</v>
      </c>
      <c r="C627" s="440" t="s">
        <v>606</v>
      </c>
      <c r="D627" s="440" t="s">
        <v>4025</v>
      </c>
      <c r="E627" s="440" t="s">
        <v>607</v>
      </c>
      <c r="F627" s="440" t="s">
        <v>42</v>
      </c>
      <c r="G627" s="441" t="s">
        <v>4342</v>
      </c>
      <c r="H627" s="440" t="s">
        <v>4343</v>
      </c>
      <c r="I627" s="441" t="s">
        <v>4344</v>
      </c>
      <c r="J627" s="450">
        <v>45536</v>
      </c>
      <c r="K627" s="429" t="s">
        <v>2493</v>
      </c>
      <c r="L627" s="444" t="s">
        <v>1380</v>
      </c>
      <c r="M627" s="444" t="s">
        <v>774</v>
      </c>
      <c r="N627" s="441" t="s">
        <v>2572</v>
      </c>
      <c r="O627" s="445" t="s">
        <v>85</v>
      </c>
      <c r="P627" s="445">
        <v>150</v>
      </c>
      <c r="Q627" s="445">
        <v>160</v>
      </c>
      <c r="R627" s="445" t="s">
        <v>4345</v>
      </c>
      <c r="S627" s="446">
        <v>45549</v>
      </c>
      <c r="T627" s="446">
        <v>45541</v>
      </c>
      <c r="U627" s="446">
        <v>45545</v>
      </c>
      <c r="V627" s="447">
        <v>45547</v>
      </c>
      <c r="W627" s="447">
        <v>45546</v>
      </c>
      <c r="X627" s="447" t="s">
        <v>8044</v>
      </c>
      <c r="Y627" s="420"/>
      <c r="Z627" s="224" t="str">
        <f t="shared" si="54"/>
        <v>AG. MEDIÇÃO</v>
      </c>
      <c r="AA627" s="207" t="str">
        <f t="shared" si="55"/>
        <v>ENTREGUE</v>
      </c>
      <c r="AB627" s="207" t="str">
        <f t="shared" si="56"/>
        <v>AG. MEDIÇÃO</v>
      </c>
      <c r="AC627" s="156">
        <f t="shared" ca="1" si="57"/>
        <v>3</v>
      </c>
      <c r="AD627" s="156" t="str">
        <f t="shared" ca="1" si="58"/>
        <v>NO PRAZO</v>
      </c>
      <c r="AE627" s="156">
        <f t="shared" ca="1" si="59"/>
        <v>0</v>
      </c>
    </row>
    <row r="628" spans="1:31" ht="36" hidden="1" customHeight="1">
      <c r="A628" s="414"/>
      <c r="B628" s="429" t="s">
        <v>7791</v>
      </c>
      <c r="C628" s="430" t="s">
        <v>1572</v>
      </c>
      <c r="D628" s="430" t="s">
        <v>1574</v>
      </c>
      <c r="E628" s="432" t="s">
        <v>1573</v>
      </c>
      <c r="F628" s="429" t="s">
        <v>427</v>
      </c>
      <c r="G628" s="434" t="s">
        <v>7802</v>
      </c>
      <c r="H628" s="636" t="s">
        <v>7803</v>
      </c>
      <c r="I628" s="433" t="s">
        <v>7804</v>
      </c>
      <c r="J628" s="432">
        <v>46174</v>
      </c>
      <c r="K628" s="429" t="s">
        <v>2493</v>
      </c>
      <c r="L628" s="436" t="s">
        <v>124</v>
      </c>
      <c r="M628" s="436" t="s">
        <v>7909</v>
      </c>
      <c r="N628" s="433"/>
      <c r="O628" s="437" t="s">
        <v>85</v>
      </c>
      <c r="P628" s="433">
        <v>1688</v>
      </c>
      <c r="Q628" s="437">
        <v>1535</v>
      </c>
      <c r="R628" s="437" t="s">
        <v>8274</v>
      </c>
      <c r="S628" s="438">
        <v>46240</v>
      </c>
      <c r="T628" s="438">
        <v>46188</v>
      </c>
      <c r="U628" s="438"/>
      <c r="V628" s="439"/>
      <c r="W628" s="439">
        <v>46193</v>
      </c>
      <c r="X628" s="439">
        <v>46240</v>
      </c>
      <c r="Y628" s="420"/>
      <c r="Z628" s="224" t="str">
        <f t="shared" si="54"/>
        <v>AG. MEDIÇÃO</v>
      </c>
      <c r="AA628" s="207" t="str">
        <f t="shared" si="55"/>
        <v>ENTREGUE</v>
      </c>
      <c r="AB628" s="207" t="str">
        <f t="shared" si="56"/>
        <v>AG. MEDIÇÃO</v>
      </c>
      <c r="AC628" s="156">
        <f t="shared" ca="1" si="57"/>
        <v>4</v>
      </c>
      <c r="AD628" s="156" t="str">
        <f t="shared" ca="1" si="58"/>
        <v>ATRASADO</v>
      </c>
      <c r="AE628" s="156">
        <f t="shared" ca="1" si="59"/>
        <v>1</v>
      </c>
    </row>
    <row r="629" spans="1:31" ht="36" hidden="1" customHeight="1">
      <c r="A629" s="414"/>
      <c r="B629" s="440" t="s">
        <v>4015</v>
      </c>
      <c r="C629" s="440" t="s">
        <v>232</v>
      </c>
      <c r="D629" s="440" t="s">
        <v>4016</v>
      </c>
      <c r="E629" s="440" t="s">
        <v>389</v>
      </c>
      <c r="F629" s="440" t="s">
        <v>42</v>
      </c>
      <c r="G629" s="441" t="s">
        <v>4017</v>
      </c>
      <c r="H629" s="440" t="s">
        <v>4018</v>
      </c>
      <c r="I629" s="441" t="s">
        <v>4019</v>
      </c>
      <c r="J629" s="450">
        <v>45474</v>
      </c>
      <c r="K629" s="429" t="s">
        <v>2493</v>
      </c>
      <c r="L629" s="444" t="s">
        <v>1208</v>
      </c>
      <c r="M629" s="444" t="s">
        <v>132</v>
      </c>
      <c r="N629" s="441" t="s">
        <v>2572</v>
      </c>
      <c r="O629" s="445" t="s">
        <v>85</v>
      </c>
      <c r="P629" s="445"/>
      <c r="Q629" s="445">
        <v>409</v>
      </c>
      <c r="R629" s="445" t="s">
        <v>4020</v>
      </c>
      <c r="S629" s="446">
        <v>45497</v>
      </c>
      <c r="T629" s="446">
        <v>45488</v>
      </c>
      <c r="U629" s="446">
        <v>45491</v>
      </c>
      <c r="V629" s="447">
        <v>45495</v>
      </c>
      <c r="W629" s="447">
        <v>45495</v>
      </c>
      <c r="X629" s="447" t="s">
        <v>8044</v>
      </c>
      <c r="Y629" s="420"/>
      <c r="Z629" s="224" t="str">
        <f t="shared" si="54"/>
        <v>AG. MEDIÇÃO</v>
      </c>
      <c r="AA629" s="207" t="str">
        <f t="shared" si="55"/>
        <v>ENTREGUE</v>
      </c>
      <c r="AB629" s="207" t="str">
        <f t="shared" si="56"/>
        <v>AG. MEDIÇÃO</v>
      </c>
      <c r="AC629" s="156">
        <f t="shared" ca="1" si="57"/>
        <v>5</v>
      </c>
      <c r="AD629" s="156" t="str">
        <f t="shared" ca="1" si="58"/>
        <v>ATRASADO</v>
      </c>
      <c r="AE629" s="156">
        <f t="shared" ca="1" si="59"/>
        <v>2</v>
      </c>
    </row>
    <row r="630" spans="1:31" ht="36" hidden="1" customHeight="1">
      <c r="A630" s="414"/>
      <c r="B630" s="440" t="s">
        <v>4051</v>
      </c>
      <c r="C630" s="440" t="s">
        <v>479</v>
      </c>
      <c r="D630" s="440" t="s">
        <v>481</v>
      </c>
      <c r="E630" s="440" t="s">
        <v>480</v>
      </c>
      <c r="F630" s="440" t="s">
        <v>42</v>
      </c>
      <c r="G630" s="441" t="s">
        <v>4052</v>
      </c>
      <c r="H630" s="440" t="s">
        <v>4053</v>
      </c>
      <c r="I630" s="441" t="s">
        <v>4054</v>
      </c>
      <c r="J630" s="450">
        <v>45474</v>
      </c>
      <c r="K630" s="429" t="s">
        <v>2493</v>
      </c>
      <c r="L630" s="444" t="s">
        <v>3105</v>
      </c>
      <c r="M630" s="444" t="s">
        <v>51</v>
      </c>
      <c r="N630" s="441" t="s">
        <v>2572</v>
      </c>
      <c r="O630" s="445" t="s">
        <v>85</v>
      </c>
      <c r="P630" s="445"/>
      <c r="Q630" s="445">
        <v>204</v>
      </c>
      <c r="R630" s="445" t="s">
        <v>4055</v>
      </c>
      <c r="S630" s="446">
        <v>45532</v>
      </c>
      <c r="T630" s="446">
        <v>45497</v>
      </c>
      <c r="U630" s="446">
        <v>45499</v>
      </c>
      <c r="V630" s="447">
        <v>45511</v>
      </c>
      <c r="W630" s="447">
        <v>45511</v>
      </c>
      <c r="X630" s="447" t="s">
        <v>8044</v>
      </c>
      <c r="Y630" s="420"/>
      <c r="Z630" s="224" t="str">
        <f t="shared" si="54"/>
        <v>AG. MEDIÇÃO</v>
      </c>
      <c r="AA630" s="207" t="str">
        <f t="shared" si="55"/>
        <v>ENTREGUE</v>
      </c>
      <c r="AB630" s="207" t="str">
        <f t="shared" si="56"/>
        <v>AG. MEDIÇÃO</v>
      </c>
      <c r="AC630" s="156">
        <f t="shared" ca="1" si="57"/>
        <v>10</v>
      </c>
      <c r="AD630" s="156" t="str">
        <f t="shared" ca="1" si="58"/>
        <v>ATRASADO</v>
      </c>
      <c r="AE630" s="156">
        <f t="shared" ca="1" si="59"/>
        <v>7</v>
      </c>
    </row>
    <row r="631" spans="1:31" ht="36" hidden="1" customHeight="1">
      <c r="A631" s="414"/>
      <c r="B631" s="440" t="s">
        <v>5132</v>
      </c>
      <c r="C631" s="440" t="s">
        <v>232</v>
      </c>
      <c r="D631" s="440" t="s">
        <v>1685</v>
      </c>
      <c r="E631" s="440" t="s">
        <v>389</v>
      </c>
      <c r="F631" s="440" t="s">
        <v>42</v>
      </c>
      <c r="G631" s="441" t="s">
        <v>5133</v>
      </c>
      <c r="H631" s="440" t="s">
        <v>5134</v>
      </c>
      <c r="I631" s="441" t="s">
        <v>5135</v>
      </c>
      <c r="J631" s="450">
        <v>45748</v>
      </c>
      <c r="K631" s="429" t="s">
        <v>2493</v>
      </c>
      <c r="L631" s="444" t="s">
        <v>124</v>
      </c>
      <c r="M631" s="444" t="s">
        <v>200</v>
      </c>
      <c r="N631" s="441"/>
      <c r="O631" s="445"/>
      <c r="P631" s="441">
        <v>432</v>
      </c>
      <c r="Q631" s="445">
        <v>495</v>
      </c>
      <c r="R631" s="445" t="s">
        <v>5136</v>
      </c>
      <c r="S631" s="446">
        <v>45785</v>
      </c>
      <c r="T631" s="446">
        <v>45770</v>
      </c>
      <c r="U631" s="446">
        <v>45771</v>
      </c>
      <c r="V631" s="447">
        <v>45772</v>
      </c>
      <c r="W631" s="447">
        <v>45775</v>
      </c>
      <c r="X631" s="447" t="s">
        <v>8044</v>
      </c>
      <c r="Y631" s="420"/>
      <c r="Z631" s="224" t="str">
        <f t="shared" si="54"/>
        <v>AG. MEDIÇÃO</v>
      </c>
      <c r="AA631" s="207" t="str">
        <f t="shared" si="55"/>
        <v>ENTREGUE</v>
      </c>
      <c r="AB631" s="207" t="str">
        <f t="shared" si="56"/>
        <v>AG. MEDIÇÃO</v>
      </c>
      <c r="AC631" s="156">
        <f t="shared" ca="1" si="57"/>
        <v>3</v>
      </c>
      <c r="AD631" s="156" t="str">
        <f t="shared" ca="1" si="58"/>
        <v>NO PRAZO</v>
      </c>
      <c r="AE631" s="156">
        <f t="shared" ca="1" si="59"/>
        <v>0</v>
      </c>
    </row>
    <row r="632" spans="1:31" ht="36" hidden="1" customHeight="1">
      <c r="A632" s="414"/>
      <c r="B632" s="440" t="s">
        <v>3963</v>
      </c>
      <c r="C632" s="440" t="s">
        <v>232</v>
      </c>
      <c r="D632" s="440" t="s">
        <v>2579</v>
      </c>
      <c r="E632" s="440" t="s">
        <v>389</v>
      </c>
      <c r="F632" s="440" t="s">
        <v>42</v>
      </c>
      <c r="G632" s="441" t="s">
        <v>3964</v>
      </c>
      <c r="H632" s="440" t="s">
        <v>3965</v>
      </c>
      <c r="I632" s="441" t="s">
        <v>3966</v>
      </c>
      <c r="J632" s="450">
        <v>45474</v>
      </c>
      <c r="K632" s="429" t="s">
        <v>2493</v>
      </c>
      <c r="L632" s="444"/>
      <c r="M632" s="444" t="s">
        <v>1764</v>
      </c>
      <c r="N632" s="441" t="s">
        <v>2572</v>
      </c>
      <c r="O632" s="445" t="s">
        <v>85</v>
      </c>
      <c r="P632" s="441" t="s">
        <v>2494</v>
      </c>
      <c r="Q632" s="441" t="s">
        <v>2494</v>
      </c>
      <c r="R632" s="445" t="s">
        <v>3967</v>
      </c>
      <c r="S632" s="446">
        <v>45497</v>
      </c>
      <c r="T632" s="446">
        <v>45482</v>
      </c>
      <c r="U632" s="446">
        <v>45484</v>
      </c>
      <c r="V632" s="447">
        <v>45488</v>
      </c>
      <c r="W632" s="447">
        <v>45488</v>
      </c>
      <c r="X632" s="447" t="s">
        <v>8044</v>
      </c>
      <c r="Y632" s="420"/>
      <c r="Z632" s="224" t="str">
        <f t="shared" si="54"/>
        <v>AG. MEDIÇÃO</v>
      </c>
      <c r="AA632" s="207" t="str">
        <f t="shared" si="55"/>
        <v>ENTREGUE</v>
      </c>
      <c r="AB632" s="207" t="str">
        <f t="shared" si="56"/>
        <v>AG. MEDIÇÃO</v>
      </c>
      <c r="AC632" s="156">
        <f t="shared" ca="1" si="57"/>
        <v>4</v>
      </c>
      <c r="AD632" s="156" t="str">
        <f t="shared" ca="1" si="58"/>
        <v>ATRASADO</v>
      </c>
      <c r="AE632" s="156">
        <f t="shared" ca="1" si="59"/>
        <v>1</v>
      </c>
    </row>
    <row r="633" spans="1:31" ht="36" hidden="1" customHeight="1">
      <c r="A633" s="414"/>
      <c r="B633" s="440" t="s">
        <v>4379</v>
      </c>
      <c r="C633" s="440" t="s">
        <v>425</v>
      </c>
      <c r="D633" s="440" t="s">
        <v>4380</v>
      </c>
      <c r="E633" s="440" t="s">
        <v>1551</v>
      </c>
      <c r="F633" s="440" t="s">
        <v>42</v>
      </c>
      <c r="G633" s="441" t="s">
        <v>4381</v>
      </c>
      <c r="H633" s="440" t="s">
        <v>4382</v>
      </c>
      <c r="I633" s="441" t="s">
        <v>4383</v>
      </c>
      <c r="J633" s="450">
        <v>45536</v>
      </c>
      <c r="K633" s="429" t="s">
        <v>2493</v>
      </c>
      <c r="L633" s="444" t="s">
        <v>51</v>
      </c>
      <c r="M633" s="444" t="s">
        <v>51</v>
      </c>
      <c r="N633" s="441" t="s">
        <v>2572</v>
      </c>
      <c r="O633" s="445" t="s">
        <v>85</v>
      </c>
      <c r="P633" s="445">
        <v>80</v>
      </c>
      <c r="Q633" s="445">
        <v>260</v>
      </c>
      <c r="R633" s="445" t="s">
        <v>4384</v>
      </c>
      <c r="S633" s="446">
        <v>45549</v>
      </c>
      <c r="T633" s="446">
        <v>45545</v>
      </c>
      <c r="U633" s="446">
        <v>45546</v>
      </c>
      <c r="V633" s="447">
        <v>45549</v>
      </c>
      <c r="W633" s="447">
        <v>45547</v>
      </c>
      <c r="X633" s="447" t="s">
        <v>8044</v>
      </c>
      <c r="Y633" s="420"/>
      <c r="Z633" s="224" t="str">
        <f t="shared" si="54"/>
        <v>AG. MEDIÇÃO</v>
      </c>
      <c r="AA633" s="207" t="str">
        <f t="shared" si="55"/>
        <v>ENTREGUE</v>
      </c>
      <c r="AB633" s="207" t="str">
        <f t="shared" si="56"/>
        <v>AG. MEDIÇÃO</v>
      </c>
      <c r="AC633" s="156">
        <f t="shared" ca="1" si="57"/>
        <v>2</v>
      </c>
      <c r="AD633" s="156" t="str">
        <f t="shared" ca="1" si="58"/>
        <v>NO PRAZO</v>
      </c>
      <c r="AE633" s="156">
        <f t="shared" ca="1" si="59"/>
        <v>-1</v>
      </c>
    </row>
    <row r="634" spans="1:31" ht="36" hidden="1" customHeight="1">
      <c r="A634" s="414"/>
      <c r="B634" s="440" t="s">
        <v>5205</v>
      </c>
      <c r="C634" s="440" t="s">
        <v>606</v>
      </c>
      <c r="D634" s="440" t="s">
        <v>1709</v>
      </c>
      <c r="E634" s="440" t="s">
        <v>607</v>
      </c>
      <c r="F634" s="440" t="s">
        <v>42</v>
      </c>
      <c r="G634" s="441"/>
      <c r="H634" s="440" t="s">
        <v>5206</v>
      </c>
      <c r="I634" s="441" t="s">
        <v>5207</v>
      </c>
      <c r="J634" s="450">
        <v>45778</v>
      </c>
      <c r="K634" s="429" t="s">
        <v>2493</v>
      </c>
      <c r="L634" s="444"/>
      <c r="M634" s="444" t="s">
        <v>1478</v>
      </c>
      <c r="N634" s="441"/>
      <c r="O634" s="445"/>
      <c r="P634" s="441" t="s">
        <v>2494</v>
      </c>
      <c r="Q634" s="445" t="s">
        <v>2494</v>
      </c>
      <c r="R634" s="445" t="s">
        <v>5086</v>
      </c>
      <c r="S634" s="446">
        <v>45826</v>
      </c>
      <c r="T634" s="446">
        <v>45796</v>
      </c>
      <c r="U634" s="446"/>
      <c r="V634" s="447"/>
      <c r="W634" s="447">
        <v>45796</v>
      </c>
      <c r="X634" s="447" t="s">
        <v>8044</v>
      </c>
      <c r="Y634" s="420"/>
      <c r="Z634" s="224" t="str">
        <f t="shared" si="54"/>
        <v>AG. MEDIÇÃO</v>
      </c>
      <c r="AA634" s="207" t="str">
        <f t="shared" si="55"/>
        <v>ENTREGUE</v>
      </c>
      <c r="AB634" s="207" t="str">
        <f t="shared" si="56"/>
        <v>AG. MEDIÇÃO</v>
      </c>
      <c r="AC634" s="156">
        <f t="shared" ca="1" si="57"/>
        <v>0</v>
      </c>
      <c r="AD634" s="156" t="str">
        <f t="shared" ca="1" si="58"/>
        <v>NO PRAZO</v>
      </c>
      <c r="AE634" s="156">
        <f t="shared" ca="1" si="59"/>
        <v>-3</v>
      </c>
    </row>
    <row r="635" spans="1:31" ht="36" hidden="1" customHeight="1">
      <c r="A635" s="414"/>
      <c r="B635" s="429" t="s">
        <v>7369</v>
      </c>
      <c r="C635" s="429" t="s">
        <v>160</v>
      </c>
      <c r="D635" s="429"/>
      <c r="E635" s="429" t="s">
        <v>161</v>
      </c>
      <c r="F635" s="429" t="s">
        <v>42</v>
      </c>
      <c r="G635" s="433" t="s">
        <v>7324</v>
      </c>
      <c r="H635" s="652" t="s">
        <v>7325</v>
      </c>
      <c r="I635" s="433" t="s">
        <v>7326</v>
      </c>
      <c r="J635" s="432">
        <v>46113</v>
      </c>
      <c r="K635" s="429" t="s">
        <v>2493</v>
      </c>
      <c r="L635" s="436" t="s">
        <v>109</v>
      </c>
      <c r="M635" s="436" t="s">
        <v>77</v>
      </c>
      <c r="N635" s="433"/>
      <c r="O635" s="437" t="s">
        <v>85</v>
      </c>
      <c r="P635" s="433">
        <v>1900</v>
      </c>
      <c r="Q635" s="437">
        <v>1804</v>
      </c>
      <c r="R635" s="437" t="s">
        <v>8338</v>
      </c>
      <c r="S635" s="438">
        <v>46246</v>
      </c>
      <c r="T635" s="438">
        <v>46127</v>
      </c>
      <c r="U635" s="438"/>
      <c r="V635" s="439"/>
      <c r="W635" s="439">
        <v>46130</v>
      </c>
      <c r="X635" s="439">
        <v>46246</v>
      </c>
      <c r="Y635" s="420"/>
      <c r="Z635" s="224" t="str">
        <f t="shared" si="54"/>
        <v>AG. MEDIÇÃO</v>
      </c>
      <c r="AA635" s="207" t="str">
        <f t="shared" si="55"/>
        <v>ENTREGUE</v>
      </c>
      <c r="AB635" s="207" t="str">
        <f t="shared" si="56"/>
        <v>AG. MEDIÇÃO</v>
      </c>
      <c r="AC635" s="156">
        <f t="shared" ca="1" si="57"/>
        <v>2</v>
      </c>
      <c r="AD635" s="156" t="str">
        <f t="shared" ca="1" si="58"/>
        <v>NO PRAZO</v>
      </c>
      <c r="AE635" s="156">
        <f t="shared" ca="1" si="59"/>
        <v>-1</v>
      </c>
    </row>
    <row r="636" spans="1:31" ht="36" hidden="1" customHeight="1">
      <c r="A636" s="414"/>
      <c r="B636" s="440" t="s">
        <v>4494</v>
      </c>
      <c r="C636" s="440" t="s">
        <v>425</v>
      </c>
      <c r="D636" s="440" t="s">
        <v>440</v>
      </c>
      <c r="E636" s="440" t="s">
        <v>426</v>
      </c>
      <c r="F636" s="440" t="s">
        <v>427</v>
      </c>
      <c r="G636" s="441"/>
      <c r="H636" s="440" t="s">
        <v>4495</v>
      </c>
      <c r="I636" s="441" t="s">
        <v>4496</v>
      </c>
      <c r="J636" s="450">
        <v>45566</v>
      </c>
      <c r="K636" s="429" t="s">
        <v>2493</v>
      </c>
      <c r="L636" s="444"/>
      <c r="M636" s="444" t="s">
        <v>51</v>
      </c>
      <c r="N636" s="441" t="s">
        <v>2572</v>
      </c>
      <c r="O636" s="445" t="s">
        <v>3350</v>
      </c>
      <c r="P636" s="441" t="s">
        <v>2494</v>
      </c>
      <c r="Q636" s="441" t="s">
        <v>2494</v>
      </c>
      <c r="R636" s="445" t="s">
        <v>4497</v>
      </c>
      <c r="S636" s="446">
        <v>45608</v>
      </c>
      <c r="T636" s="446">
        <v>45580</v>
      </c>
      <c r="U636" s="446">
        <v>45581</v>
      </c>
      <c r="V636" s="447">
        <v>45586</v>
      </c>
      <c r="W636" s="447">
        <v>45593</v>
      </c>
      <c r="X636" s="447" t="s">
        <v>8044</v>
      </c>
      <c r="Y636" s="420"/>
      <c r="Z636" s="224" t="str">
        <f t="shared" si="54"/>
        <v>AG. MEDIÇÃO</v>
      </c>
      <c r="AA636" s="207" t="str">
        <f t="shared" si="55"/>
        <v>ENTREGUE</v>
      </c>
      <c r="AB636" s="207" t="str">
        <f t="shared" si="56"/>
        <v>AG. MEDIÇÃO</v>
      </c>
      <c r="AC636" s="156">
        <f t="shared" ca="1" si="57"/>
        <v>9</v>
      </c>
      <c r="AD636" s="156" t="str">
        <f t="shared" ca="1" si="58"/>
        <v>ATRASADO</v>
      </c>
      <c r="AE636" s="156">
        <f t="shared" ca="1" si="59"/>
        <v>6</v>
      </c>
    </row>
    <row r="637" spans="1:31" ht="36" hidden="1" customHeight="1">
      <c r="A637" s="414"/>
      <c r="B637" s="440" t="s">
        <v>4562</v>
      </c>
      <c r="C637" s="440" t="s">
        <v>142</v>
      </c>
      <c r="D637" s="440" t="s">
        <v>4563</v>
      </c>
      <c r="E637" s="440" t="s">
        <v>143</v>
      </c>
      <c r="F637" s="440" t="s">
        <v>42</v>
      </c>
      <c r="G637" s="441" t="s">
        <v>4564</v>
      </c>
      <c r="H637" s="440" t="s">
        <v>4565</v>
      </c>
      <c r="I637" s="441" t="s">
        <v>4566</v>
      </c>
      <c r="J637" s="450">
        <v>45597</v>
      </c>
      <c r="K637" s="429" t="s">
        <v>2493</v>
      </c>
      <c r="L637" s="444"/>
      <c r="M637" s="444" t="s">
        <v>132</v>
      </c>
      <c r="N637" s="441" t="s">
        <v>2572</v>
      </c>
      <c r="O637" s="445" t="s">
        <v>3350</v>
      </c>
      <c r="P637" s="441" t="s">
        <v>2494</v>
      </c>
      <c r="Q637" s="441" t="s">
        <v>2494</v>
      </c>
      <c r="R637" s="445" t="s">
        <v>4567</v>
      </c>
      <c r="S637" s="446">
        <v>45621</v>
      </c>
      <c r="T637" s="446">
        <v>45603</v>
      </c>
      <c r="U637" s="446">
        <v>45604</v>
      </c>
      <c r="V637" s="447">
        <v>45607</v>
      </c>
      <c r="W637" s="447">
        <v>45607</v>
      </c>
      <c r="X637" s="447" t="s">
        <v>8044</v>
      </c>
      <c r="Y637" s="420"/>
      <c r="Z637" s="224" t="str">
        <f t="shared" si="54"/>
        <v>AG. MEDIÇÃO</v>
      </c>
      <c r="AA637" s="207" t="str">
        <f t="shared" si="55"/>
        <v>ENTREGUE</v>
      </c>
      <c r="AB637" s="207" t="str">
        <f t="shared" si="56"/>
        <v>AG. MEDIÇÃO</v>
      </c>
      <c r="AC637" s="156">
        <f t="shared" ca="1" si="57"/>
        <v>2</v>
      </c>
      <c r="AD637" s="156" t="str">
        <f t="shared" ca="1" si="58"/>
        <v>NO PRAZO</v>
      </c>
      <c r="AE637" s="156">
        <f t="shared" ca="1" si="59"/>
        <v>-1</v>
      </c>
    </row>
    <row r="638" spans="1:31" ht="36" hidden="1" customHeight="1">
      <c r="A638" s="414"/>
      <c r="B638" s="440" t="s">
        <v>4298</v>
      </c>
      <c r="C638" s="440" t="s">
        <v>232</v>
      </c>
      <c r="D638" s="440" t="s">
        <v>2687</v>
      </c>
      <c r="E638" s="440" t="s">
        <v>389</v>
      </c>
      <c r="F638" s="440" t="s">
        <v>42</v>
      </c>
      <c r="G638" s="441" t="s">
        <v>4299</v>
      </c>
      <c r="H638" s="440" t="s">
        <v>4300</v>
      </c>
      <c r="I638" s="441" t="s">
        <v>4301</v>
      </c>
      <c r="J638" s="450">
        <v>45505</v>
      </c>
      <c r="K638" s="429" t="s">
        <v>2493</v>
      </c>
      <c r="L638" s="444" t="s">
        <v>1380</v>
      </c>
      <c r="M638" s="444" t="s">
        <v>132</v>
      </c>
      <c r="N638" s="441" t="s">
        <v>2572</v>
      </c>
      <c r="O638" s="445" t="s">
        <v>85</v>
      </c>
      <c r="P638" s="445"/>
      <c r="Q638" s="445">
        <v>444</v>
      </c>
      <c r="R638" s="445" t="s">
        <v>4302</v>
      </c>
      <c r="S638" s="446">
        <v>45545</v>
      </c>
      <c r="T638" s="446">
        <v>45533</v>
      </c>
      <c r="U638" s="446">
        <v>45538</v>
      </c>
      <c r="V638" s="447">
        <v>45541</v>
      </c>
      <c r="W638" s="447">
        <v>45540</v>
      </c>
      <c r="X638" s="447" t="s">
        <v>8044</v>
      </c>
      <c r="Y638" s="420"/>
      <c r="Z638" s="224" t="str">
        <f t="shared" si="54"/>
        <v>AG. MEDIÇÃO</v>
      </c>
      <c r="AA638" s="207" t="str">
        <f t="shared" si="55"/>
        <v>ENTREGUE</v>
      </c>
      <c r="AB638" s="207" t="str">
        <f t="shared" si="56"/>
        <v>AG. MEDIÇÃO</v>
      </c>
      <c r="AC638" s="156">
        <f t="shared" ca="1" si="57"/>
        <v>5</v>
      </c>
      <c r="AD638" s="156" t="str">
        <f t="shared" ca="1" si="58"/>
        <v>ATRASADO</v>
      </c>
      <c r="AE638" s="156">
        <f t="shared" ca="1" si="59"/>
        <v>2</v>
      </c>
    </row>
    <row r="639" spans="1:31" ht="36" hidden="1" customHeight="1">
      <c r="A639" s="414"/>
      <c r="B639" s="440" t="s">
        <v>4094</v>
      </c>
      <c r="C639" s="440" t="s">
        <v>328</v>
      </c>
      <c r="D639" s="440" t="s">
        <v>333</v>
      </c>
      <c r="E639" s="440" t="s">
        <v>329</v>
      </c>
      <c r="F639" s="440" t="s">
        <v>42</v>
      </c>
      <c r="G639" s="441" t="s">
        <v>4095</v>
      </c>
      <c r="H639" s="440" t="s">
        <v>4096</v>
      </c>
      <c r="I639" s="441" t="s">
        <v>4097</v>
      </c>
      <c r="J639" s="450">
        <v>45505</v>
      </c>
      <c r="K639" s="429" t="s">
        <v>2493</v>
      </c>
      <c r="L639" s="444"/>
      <c r="M639" s="444" t="s">
        <v>827</v>
      </c>
      <c r="N639" s="441" t="s">
        <v>2572</v>
      </c>
      <c r="O639" s="445" t="s">
        <v>85</v>
      </c>
      <c r="P639" s="441" t="s">
        <v>2494</v>
      </c>
      <c r="Q639" s="441" t="s">
        <v>2494</v>
      </c>
      <c r="R639" s="445" t="s">
        <v>4098</v>
      </c>
      <c r="S639" s="446">
        <v>45532</v>
      </c>
      <c r="T639" s="446">
        <v>45505</v>
      </c>
      <c r="U639" s="446" t="s">
        <v>4099</v>
      </c>
      <c r="V639" s="447">
        <v>45518</v>
      </c>
      <c r="W639" s="447">
        <v>45518</v>
      </c>
      <c r="X639" s="447" t="s">
        <v>8044</v>
      </c>
      <c r="Y639" s="420"/>
      <c r="Z639" s="224" t="str">
        <f t="shared" si="54"/>
        <v>AG. MEDIÇÃO</v>
      </c>
      <c r="AA639" s="207" t="str">
        <f t="shared" si="55"/>
        <v>ENTREGUE</v>
      </c>
      <c r="AB639" s="207" t="str">
        <f t="shared" si="56"/>
        <v>AG. MEDIÇÃO</v>
      </c>
      <c r="AC639" s="156">
        <f t="shared" ca="1" si="57"/>
        <v>9</v>
      </c>
      <c r="AD639" s="156" t="str">
        <f t="shared" ca="1" si="58"/>
        <v>ATRASADO</v>
      </c>
      <c r="AE639" s="156">
        <f t="shared" ca="1" si="59"/>
        <v>6</v>
      </c>
    </row>
    <row r="640" spans="1:31" ht="36" hidden="1" customHeight="1">
      <c r="A640" s="414"/>
      <c r="B640" s="440" t="s">
        <v>4142</v>
      </c>
      <c r="C640" s="440" t="s">
        <v>241</v>
      </c>
      <c r="D640" s="440" t="s">
        <v>1177</v>
      </c>
      <c r="E640" s="440" t="s">
        <v>242</v>
      </c>
      <c r="F640" s="440" t="s">
        <v>42</v>
      </c>
      <c r="G640" s="441" t="s">
        <v>4143</v>
      </c>
      <c r="H640" s="440" t="s">
        <v>4144</v>
      </c>
      <c r="I640" s="441" t="s">
        <v>4145</v>
      </c>
      <c r="J640" s="450">
        <v>45505</v>
      </c>
      <c r="K640" s="429" t="s">
        <v>2493</v>
      </c>
      <c r="L640" s="444"/>
      <c r="M640" s="444" t="s">
        <v>132</v>
      </c>
      <c r="N640" s="441" t="s">
        <v>2572</v>
      </c>
      <c r="O640" s="445" t="s">
        <v>85</v>
      </c>
      <c r="P640" s="441" t="s">
        <v>2494</v>
      </c>
      <c r="Q640" s="441" t="s">
        <v>2494</v>
      </c>
      <c r="R640" s="445" t="s">
        <v>4146</v>
      </c>
      <c r="S640" s="446">
        <v>45532</v>
      </c>
      <c r="T640" s="446">
        <v>45516</v>
      </c>
      <c r="U640" s="446">
        <v>45517</v>
      </c>
      <c r="V640" s="447">
        <v>45523</v>
      </c>
      <c r="W640" s="447">
        <v>45523</v>
      </c>
      <c r="X640" s="447" t="s">
        <v>8044</v>
      </c>
      <c r="Y640" s="420"/>
      <c r="Z640" s="224" t="str">
        <f t="shared" si="54"/>
        <v>AG. MEDIÇÃO</v>
      </c>
      <c r="AA640" s="207" t="str">
        <f t="shared" si="55"/>
        <v>ENTREGUE</v>
      </c>
      <c r="AB640" s="207" t="str">
        <f t="shared" si="56"/>
        <v>AG. MEDIÇÃO</v>
      </c>
      <c r="AC640" s="156">
        <f t="shared" ca="1" si="57"/>
        <v>5</v>
      </c>
      <c r="AD640" s="156" t="str">
        <f t="shared" ca="1" si="58"/>
        <v>ATRASADO</v>
      </c>
      <c r="AE640" s="156">
        <f t="shared" ca="1" si="59"/>
        <v>2</v>
      </c>
    </row>
    <row r="641" spans="1:31" ht="36" hidden="1" customHeight="1">
      <c r="A641" s="414"/>
      <c r="B641" s="440" t="s">
        <v>5118</v>
      </c>
      <c r="C641" s="440" t="s">
        <v>232</v>
      </c>
      <c r="D641" s="440" t="s">
        <v>390</v>
      </c>
      <c r="E641" s="440" t="s">
        <v>389</v>
      </c>
      <c r="F641" s="440" t="s">
        <v>42</v>
      </c>
      <c r="G641" s="441" t="s">
        <v>5119</v>
      </c>
      <c r="H641" s="440" t="s">
        <v>5120</v>
      </c>
      <c r="I641" s="441" t="s">
        <v>5121</v>
      </c>
      <c r="J641" s="450">
        <v>45748</v>
      </c>
      <c r="K641" s="429" t="s">
        <v>2493</v>
      </c>
      <c r="L641" s="444"/>
      <c r="M641" s="444" t="s">
        <v>62</v>
      </c>
      <c r="N641" s="441" t="s">
        <v>2572</v>
      </c>
      <c r="O641" s="445" t="s">
        <v>3350</v>
      </c>
      <c r="P641" s="441" t="s">
        <v>2494</v>
      </c>
      <c r="Q641" s="445" t="s">
        <v>2494</v>
      </c>
      <c r="R641" s="444" t="s">
        <v>5122</v>
      </c>
      <c r="S641" s="446">
        <v>45785</v>
      </c>
      <c r="T641" s="446">
        <v>45754</v>
      </c>
      <c r="U641" s="446">
        <v>45771</v>
      </c>
      <c r="V641" s="447">
        <v>45771</v>
      </c>
      <c r="W641" s="447">
        <v>45771</v>
      </c>
      <c r="X641" s="447" t="s">
        <v>8044</v>
      </c>
      <c r="Y641" s="420"/>
      <c r="Z641" s="224" t="str">
        <f t="shared" si="54"/>
        <v>AG. MEDIÇÃO</v>
      </c>
      <c r="AA641" s="207" t="str">
        <f t="shared" si="55"/>
        <v>ENTREGUE</v>
      </c>
      <c r="AB641" s="207" t="str">
        <f t="shared" si="56"/>
        <v>AG. MEDIÇÃO</v>
      </c>
      <c r="AC641" s="156">
        <f t="shared" ca="1" si="57"/>
        <v>13</v>
      </c>
      <c r="AD641" s="156" t="str">
        <f t="shared" ca="1" si="58"/>
        <v>ATRASADO</v>
      </c>
      <c r="AE641" s="156">
        <f t="shared" ca="1" si="59"/>
        <v>10</v>
      </c>
    </row>
    <row r="642" spans="1:31" ht="36" hidden="1" customHeight="1">
      <c r="A642" s="414"/>
      <c r="B642" s="440" t="s">
        <v>5635</v>
      </c>
      <c r="C642" s="440" t="s">
        <v>232</v>
      </c>
      <c r="D642" s="440" t="s">
        <v>390</v>
      </c>
      <c r="E642" s="440" t="s">
        <v>389</v>
      </c>
      <c r="F642" s="440" t="s">
        <v>42</v>
      </c>
      <c r="G642" s="441" t="s">
        <v>5636</v>
      </c>
      <c r="H642" s="440" t="s">
        <v>5637</v>
      </c>
      <c r="I642" s="441" t="s">
        <v>5638</v>
      </c>
      <c r="J642" s="450">
        <v>45870</v>
      </c>
      <c r="K642" s="429" t="s">
        <v>2493</v>
      </c>
      <c r="L642" s="444" t="s">
        <v>1155</v>
      </c>
      <c r="M642" s="444" t="s">
        <v>1155</v>
      </c>
      <c r="N642" s="441" t="s">
        <v>2572</v>
      </c>
      <c r="O642" s="445"/>
      <c r="P642" s="441">
        <v>30</v>
      </c>
      <c r="Q642" s="445">
        <v>15</v>
      </c>
      <c r="R642" s="445" t="s">
        <v>5639</v>
      </c>
      <c r="S642" s="446">
        <v>45881</v>
      </c>
      <c r="T642" s="446">
        <v>45874</v>
      </c>
      <c r="U642" s="446">
        <v>45875</v>
      </c>
      <c r="V642" s="447">
        <v>45876</v>
      </c>
      <c r="W642" s="447">
        <v>45875</v>
      </c>
      <c r="X642" s="447">
        <v>45881</v>
      </c>
      <c r="Y642" s="420"/>
      <c r="Z642" s="224" t="str">
        <f t="shared" si="54"/>
        <v>AG. MEDIÇÃO</v>
      </c>
      <c r="AA642" s="207" t="str">
        <f t="shared" si="55"/>
        <v>ENTREGUE</v>
      </c>
      <c r="AB642" s="207" t="str">
        <f t="shared" si="56"/>
        <v>AG. MEDIÇÃO</v>
      </c>
      <c r="AC642" s="156">
        <f t="shared" ca="1" si="57"/>
        <v>1</v>
      </c>
      <c r="AD642" s="156" t="str">
        <f t="shared" ca="1" si="58"/>
        <v>NO PRAZO</v>
      </c>
      <c r="AE642" s="156">
        <f t="shared" ca="1" si="59"/>
        <v>-2</v>
      </c>
    </row>
    <row r="643" spans="1:31" ht="36" hidden="1" customHeight="1">
      <c r="A643" s="414"/>
      <c r="B643" s="440" t="s">
        <v>4599</v>
      </c>
      <c r="C643" s="440" t="s">
        <v>606</v>
      </c>
      <c r="D643" s="440" t="s">
        <v>899</v>
      </c>
      <c r="E643" s="440" t="s">
        <v>607</v>
      </c>
      <c r="F643" s="440" t="s">
        <v>42</v>
      </c>
      <c r="G643" s="441" t="s">
        <v>4600</v>
      </c>
      <c r="H643" s="440" t="s">
        <v>4601</v>
      </c>
      <c r="I643" s="441" t="s">
        <v>4602</v>
      </c>
      <c r="J643" s="450">
        <v>45597</v>
      </c>
      <c r="K643" s="429" t="s">
        <v>2493</v>
      </c>
      <c r="L643" s="444" t="s">
        <v>200</v>
      </c>
      <c r="M643" s="444" t="s">
        <v>200</v>
      </c>
      <c r="N643" s="441" t="s">
        <v>2572</v>
      </c>
      <c r="O643" s="445" t="s">
        <v>3350</v>
      </c>
      <c r="P643" s="445">
        <v>150</v>
      </c>
      <c r="Q643" s="445">
        <v>192</v>
      </c>
      <c r="R643" s="445" t="s">
        <v>4603</v>
      </c>
      <c r="S643" s="446">
        <v>45621</v>
      </c>
      <c r="T643" s="446">
        <v>45615</v>
      </c>
      <c r="U643" s="446"/>
      <c r="V643" s="447"/>
      <c r="W643" s="447">
        <v>45619</v>
      </c>
      <c r="X643" s="447" t="s">
        <v>8044</v>
      </c>
      <c r="Y643" s="420"/>
      <c r="Z643" s="224" t="str">
        <f t="shared" si="54"/>
        <v>AG. MEDIÇÃO</v>
      </c>
      <c r="AA643" s="207" t="str">
        <f t="shared" si="55"/>
        <v>ENTREGUE</v>
      </c>
      <c r="AB643" s="207" t="str">
        <f t="shared" si="56"/>
        <v>AG. MEDIÇÃO</v>
      </c>
      <c r="AC643" s="156">
        <f t="shared" ca="1" si="57"/>
        <v>3</v>
      </c>
      <c r="AD643" s="156" t="str">
        <f t="shared" ca="1" si="58"/>
        <v>NO PRAZO</v>
      </c>
      <c r="AE643" s="156">
        <f t="shared" ca="1" si="59"/>
        <v>0</v>
      </c>
    </row>
    <row r="644" spans="1:31" ht="36" hidden="1" customHeight="1">
      <c r="A644" s="414"/>
      <c r="B644" s="440" t="s">
        <v>3402</v>
      </c>
      <c r="C644" s="440" t="s">
        <v>479</v>
      </c>
      <c r="D644" s="440"/>
      <c r="E644" s="440"/>
      <c r="F644" s="440" t="s">
        <v>42</v>
      </c>
      <c r="G644" s="441" t="s">
        <v>3403</v>
      </c>
      <c r="H644" s="440" t="s">
        <v>3404</v>
      </c>
      <c r="I644" s="441"/>
      <c r="J644" s="450">
        <v>45292</v>
      </c>
      <c r="K644" s="429" t="s">
        <v>2493</v>
      </c>
      <c r="L644" s="444" t="s">
        <v>1204</v>
      </c>
      <c r="M644" s="444" t="s">
        <v>714</v>
      </c>
      <c r="N644" s="441" t="s">
        <v>2572</v>
      </c>
      <c r="O644" s="445" t="s">
        <v>85</v>
      </c>
      <c r="P644" s="445"/>
      <c r="Q644" s="441">
        <v>311</v>
      </c>
      <c r="R644" s="445" t="s">
        <v>3405</v>
      </c>
      <c r="S644" s="446">
        <v>45345</v>
      </c>
      <c r="T644" s="446">
        <v>45307</v>
      </c>
      <c r="U644" s="446">
        <v>45308</v>
      </c>
      <c r="V644" s="446">
        <v>45313</v>
      </c>
      <c r="W644" s="447">
        <v>45316</v>
      </c>
      <c r="X644" s="447" t="s">
        <v>8044</v>
      </c>
      <c r="Y644" s="420"/>
      <c r="Z644" s="224" t="str">
        <f t="shared" si="54"/>
        <v>AG. MEDIÇÃO</v>
      </c>
      <c r="AA644" s="207" t="str">
        <f t="shared" si="55"/>
        <v>ENTREGUE</v>
      </c>
      <c r="AB644" s="207" t="str">
        <f t="shared" si="56"/>
        <v>AG. MEDIÇÃO</v>
      </c>
      <c r="AC644" s="156">
        <f t="shared" ca="1" si="57"/>
        <v>7</v>
      </c>
      <c r="AD644" s="156" t="str">
        <f t="shared" ca="1" si="58"/>
        <v>ATRASADO</v>
      </c>
      <c r="AE644" s="156">
        <f t="shared" ca="1" si="59"/>
        <v>4</v>
      </c>
    </row>
    <row r="645" spans="1:31" ht="36" hidden="1" customHeight="1">
      <c r="A645" s="414"/>
      <c r="B645" s="429" t="s">
        <v>7769</v>
      </c>
      <c r="C645" s="430" t="s">
        <v>571</v>
      </c>
      <c r="D645" s="430" t="s">
        <v>3773</v>
      </c>
      <c r="E645" s="432" t="s">
        <v>572</v>
      </c>
      <c r="F645" s="429" t="s">
        <v>42</v>
      </c>
      <c r="G645" s="434" t="s">
        <v>7724</v>
      </c>
      <c r="H645" s="636" t="s">
        <v>7725</v>
      </c>
      <c r="I645" s="433" t="s">
        <v>7726</v>
      </c>
      <c r="J645" s="432">
        <v>46174</v>
      </c>
      <c r="K645" s="429" t="s">
        <v>2493</v>
      </c>
      <c r="L645" s="436"/>
      <c r="M645" s="436" t="s">
        <v>132</v>
      </c>
      <c r="N645" s="433"/>
      <c r="O645" s="437" t="s">
        <v>85</v>
      </c>
      <c r="P645" s="433" t="s">
        <v>2494</v>
      </c>
      <c r="Q645" s="437" t="s">
        <v>2494</v>
      </c>
      <c r="R645" s="437" t="s">
        <v>8022</v>
      </c>
      <c r="S645" s="438">
        <v>46209</v>
      </c>
      <c r="T645" s="438">
        <v>46179</v>
      </c>
      <c r="U645" s="438"/>
      <c r="V645" s="439"/>
      <c r="W645" s="439">
        <v>46182</v>
      </c>
      <c r="X645" s="439">
        <v>46209</v>
      </c>
      <c r="Y645" s="420"/>
      <c r="Z645" s="224" t="str">
        <f t="shared" ref="Z645:Z708" si="60">IF(K645="CANCELADO","CANCELADO",IF(AA645="PENDENTE","AG. RELATÓRIO",IF(S645="SIM","AG. MEDIÇÃO",IF(S645&gt;0,"AG. MEDIÇÃO","PENDENTE"))))</f>
        <v>AG. MEDIÇÃO</v>
      </c>
      <c r="AA645" s="207" t="str">
        <f t="shared" ref="AA645:AA708" si="61">IF(K645="CANCELADO","CANCELADO",IF(X645="","PENDENTE","ENTREGUE"))</f>
        <v>ENTREGUE</v>
      </c>
      <c r="AB645" s="207" t="str">
        <f t="shared" ref="AB645:AB708" si="62">IF(K645="SEM SINAL","SEM SINAL",IF(K645="PARALISADO","PARALISADO",IF(Z645="PENDENTE","AG. MEDIÇÃO",IF(K645="CANCELADO","CANCELADO",Z645))))</f>
        <v>AG. MEDIÇÃO</v>
      </c>
      <c r="AC645" s="156">
        <f t="shared" ref="AC645:AC708" ca="1" si="63">IFERROR(IF(K645="CANCELADO","CANCELADO",IF(T645="","DATA ENTRADA",IF(AND(T645&gt;0,W645=""),NETWORKDAYS(T645,TODAY())-1,NETWORKDAYS(T645,W645)-1))),"CHECAR DATA")</f>
        <v>1</v>
      </c>
      <c r="AD645" s="156" t="str">
        <f t="shared" ref="AD645:AD708" ca="1" si="64">IF(AC645&lt;=3,"NO PRAZO","ATRASADO")</f>
        <v>NO PRAZO</v>
      </c>
      <c r="AE645" s="156">
        <f t="shared" ref="AE645:AE708" ca="1" si="65">IFERROR(AC645-3,AC645)</f>
        <v>-2</v>
      </c>
    </row>
    <row r="646" spans="1:31" ht="36" hidden="1" customHeight="1">
      <c r="A646" s="414"/>
      <c r="B646" s="440" t="s">
        <v>4728</v>
      </c>
      <c r="C646" s="440" t="s">
        <v>4729</v>
      </c>
      <c r="D646" s="440" t="s">
        <v>4730</v>
      </c>
      <c r="E646" s="440" t="s">
        <v>2235</v>
      </c>
      <c r="F646" s="440" t="s">
        <v>42</v>
      </c>
      <c r="G646" s="441" t="s">
        <v>4731</v>
      </c>
      <c r="H646" s="440" t="s">
        <v>4732</v>
      </c>
      <c r="I646" s="441" t="s">
        <v>4733</v>
      </c>
      <c r="J646" s="450">
        <v>45658</v>
      </c>
      <c r="K646" s="429" t="s">
        <v>2493</v>
      </c>
      <c r="L646" s="444" t="s">
        <v>1208</v>
      </c>
      <c r="M646" s="444" t="s">
        <v>200</v>
      </c>
      <c r="N646" s="441" t="s">
        <v>2572</v>
      </c>
      <c r="O646" s="445" t="s">
        <v>4560</v>
      </c>
      <c r="P646" s="445">
        <v>200</v>
      </c>
      <c r="Q646" s="445">
        <v>238</v>
      </c>
      <c r="R646" s="445" t="s">
        <v>4734</v>
      </c>
      <c r="S646" s="446">
        <v>45698</v>
      </c>
      <c r="T646" s="446">
        <v>45680</v>
      </c>
      <c r="U646" s="446">
        <v>45684</v>
      </c>
      <c r="V646" s="447">
        <v>45691</v>
      </c>
      <c r="W646" s="447">
        <v>45692</v>
      </c>
      <c r="X646" s="447" t="s">
        <v>8044</v>
      </c>
      <c r="Y646" s="420"/>
      <c r="Z646" s="224" t="str">
        <f t="shared" si="60"/>
        <v>AG. MEDIÇÃO</v>
      </c>
      <c r="AA646" s="207" t="str">
        <f t="shared" si="61"/>
        <v>ENTREGUE</v>
      </c>
      <c r="AB646" s="207" t="str">
        <f t="shared" si="62"/>
        <v>AG. MEDIÇÃO</v>
      </c>
      <c r="AC646" s="156">
        <f t="shared" ca="1" si="63"/>
        <v>8</v>
      </c>
      <c r="AD646" s="156" t="str">
        <f t="shared" ca="1" si="64"/>
        <v>ATRASADO</v>
      </c>
      <c r="AE646" s="156">
        <f t="shared" ca="1" si="65"/>
        <v>5</v>
      </c>
    </row>
    <row r="647" spans="1:31" ht="36" hidden="1" customHeight="1">
      <c r="A647" s="414"/>
      <c r="B647" s="440" t="s">
        <v>5184</v>
      </c>
      <c r="C647" s="440" t="s">
        <v>571</v>
      </c>
      <c r="D647" s="440" t="s">
        <v>3773</v>
      </c>
      <c r="E647" s="440" t="s">
        <v>572</v>
      </c>
      <c r="F647" s="440" t="s">
        <v>42</v>
      </c>
      <c r="G647" s="441" t="s">
        <v>5185</v>
      </c>
      <c r="H647" s="440" t="s">
        <v>5186</v>
      </c>
      <c r="I647" s="441" t="s">
        <v>5187</v>
      </c>
      <c r="J647" s="450">
        <v>45778</v>
      </c>
      <c r="K647" s="429" t="s">
        <v>2493</v>
      </c>
      <c r="L647" s="444"/>
      <c r="M647" s="444" t="s">
        <v>1760</v>
      </c>
      <c r="N647" s="441"/>
      <c r="O647" s="445"/>
      <c r="P647" s="441" t="s">
        <v>2494</v>
      </c>
      <c r="Q647" s="445" t="s">
        <v>2494</v>
      </c>
      <c r="R647" s="445" t="s">
        <v>5188</v>
      </c>
      <c r="S647" s="446">
        <v>45826</v>
      </c>
      <c r="T647" s="446">
        <v>45789</v>
      </c>
      <c r="U647" s="446"/>
      <c r="V647" s="447"/>
      <c r="W647" s="447">
        <v>45790</v>
      </c>
      <c r="X647" s="447" t="s">
        <v>8044</v>
      </c>
      <c r="Y647" s="420"/>
      <c r="Z647" s="224" t="str">
        <f t="shared" si="60"/>
        <v>AG. MEDIÇÃO</v>
      </c>
      <c r="AA647" s="207" t="str">
        <f t="shared" si="61"/>
        <v>ENTREGUE</v>
      </c>
      <c r="AB647" s="207" t="str">
        <f t="shared" si="62"/>
        <v>AG. MEDIÇÃO</v>
      </c>
      <c r="AC647" s="156">
        <f t="shared" ca="1" si="63"/>
        <v>1</v>
      </c>
      <c r="AD647" s="156" t="str">
        <f t="shared" ca="1" si="64"/>
        <v>NO PRAZO</v>
      </c>
      <c r="AE647" s="156">
        <f t="shared" ca="1" si="65"/>
        <v>-2</v>
      </c>
    </row>
    <row r="648" spans="1:31" ht="36" hidden="1" customHeight="1">
      <c r="A648" s="414"/>
      <c r="B648" s="429" t="s">
        <v>7416</v>
      </c>
      <c r="C648" s="429" t="s">
        <v>232</v>
      </c>
      <c r="D648" s="429" t="s">
        <v>232</v>
      </c>
      <c r="E648" s="429" t="s">
        <v>389</v>
      </c>
      <c r="F648" s="429" t="s">
        <v>42</v>
      </c>
      <c r="G648" s="433" t="s">
        <v>7396</v>
      </c>
      <c r="H648" s="652" t="s">
        <v>7397</v>
      </c>
      <c r="I648" s="433" t="s">
        <v>7395</v>
      </c>
      <c r="J648" s="432">
        <v>46113</v>
      </c>
      <c r="K648" s="429" t="s">
        <v>2493</v>
      </c>
      <c r="L648" s="436"/>
      <c r="M648" s="436" t="s">
        <v>77</v>
      </c>
      <c r="N648" s="433"/>
      <c r="O648" s="437"/>
      <c r="P648" s="433" t="s">
        <v>2494</v>
      </c>
      <c r="Q648" s="437" t="s">
        <v>2494</v>
      </c>
      <c r="R648" s="437" t="s">
        <v>4727</v>
      </c>
      <c r="S648" s="438">
        <v>46147</v>
      </c>
      <c r="T648" s="438">
        <v>46141</v>
      </c>
      <c r="U648" s="438"/>
      <c r="V648" s="439"/>
      <c r="W648" s="439">
        <v>46142</v>
      </c>
      <c r="X648" s="439">
        <v>46147</v>
      </c>
      <c r="Y648" s="420"/>
      <c r="Z648" s="224" t="str">
        <f t="shared" si="60"/>
        <v>AG. MEDIÇÃO</v>
      </c>
      <c r="AA648" s="207" t="str">
        <f t="shared" si="61"/>
        <v>ENTREGUE</v>
      </c>
      <c r="AB648" s="207" t="str">
        <f t="shared" si="62"/>
        <v>AG. MEDIÇÃO</v>
      </c>
      <c r="AC648" s="156">
        <f t="shared" ca="1" si="63"/>
        <v>1</v>
      </c>
      <c r="AD648" s="156" t="str">
        <f t="shared" ca="1" si="64"/>
        <v>NO PRAZO</v>
      </c>
      <c r="AE648" s="156">
        <f t="shared" ca="1" si="65"/>
        <v>-2</v>
      </c>
    </row>
    <row r="649" spans="1:31" ht="36" hidden="1" customHeight="1">
      <c r="A649" s="414"/>
      <c r="B649" s="440" t="s">
        <v>4161</v>
      </c>
      <c r="C649" s="440" t="s">
        <v>479</v>
      </c>
      <c r="D649" s="440" t="s">
        <v>493</v>
      </c>
      <c r="E649" s="440" t="s">
        <v>480</v>
      </c>
      <c r="F649" s="440" t="s">
        <v>42</v>
      </c>
      <c r="G649" s="441" t="s">
        <v>4162</v>
      </c>
      <c r="H649" s="440" t="s">
        <v>4163</v>
      </c>
      <c r="I649" s="441" t="s">
        <v>4164</v>
      </c>
      <c r="J649" s="450">
        <v>45505</v>
      </c>
      <c r="K649" s="429" t="s">
        <v>2493</v>
      </c>
      <c r="L649" s="444"/>
      <c r="M649" s="444" t="s">
        <v>51</v>
      </c>
      <c r="N649" s="441" t="s">
        <v>2572</v>
      </c>
      <c r="O649" s="445" t="s">
        <v>85</v>
      </c>
      <c r="P649" s="441" t="s">
        <v>2494</v>
      </c>
      <c r="Q649" s="441" t="s">
        <v>2494</v>
      </c>
      <c r="R649" s="445" t="s">
        <v>4165</v>
      </c>
      <c r="S649" s="446">
        <v>45532</v>
      </c>
      <c r="T649" s="446">
        <v>45516</v>
      </c>
      <c r="U649" s="446">
        <v>45519</v>
      </c>
      <c r="V649" s="447">
        <v>45519</v>
      </c>
      <c r="W649" s="447">
        <v>45519</v>
      </c>
      <c r="X649" s="447" t="s">
        <v>8044</v>
      </c>
      <c r="Y649" s="420"/>
      <c r="Z649" s="224" t="str">
        <f t="shared" si="60"/>
        <v>AG. MEDIÇÃO</v>
      </c>
      <c r="AA649" s="207" t="str">
        <f t="shared" si="61"/>
        <v>ENTREGUE</v>
      </c>
      <c r="AB649" s="207" t="str">
        <f t="shared" si="62"/>
        <v>AG. MEDIÇÃO</v>
      </c>
      <c r="AC649" s="156">
        <f t="shared" ca="1" si="63"/>
        <v>3</v>
      </c>
      <c r="AD649" s="156" t="str">
        <f t="shared" ca="1" si="64"/>
        <v>NO PRAZO</v>
      </c>
      <c r="AE649" s="156">
        <f t="shared" ca="1" si="65"/>
        <v>0</v>
      </c>
    </row>
    <row r="650" spans="1:31" ht="36" hidden="1" customHeight="1">
      <c r="A650" s="414"/>
      <c r="B650" s="440" t="s">
        <v>5123</v>
      </c>
      <c r="C650" s="440" t="s">
        <v>111</v>
      </c>
      <c r="D650" s="440" t="s">
        <v>2504</v>
      </c>
      <c r="E650" s="440" t="s">
        <v>600</v>
      </c>
      <c r="F650" s="440" t="s">
        <v>42</v>
      </c>
      <c r="G650" s="441" t="s">
        <v>5124</v>
      </c>
      <c r="H650" s="440" t="s">
        <v>5125</v>
      </c>
      <c r="I650" s="441" t="s">
        <v>5126</v>
      </c>
      <c r="J650" s="450">
        <v>45751</v>
      </c>
      <c r="K650" s="429" t="s">
        <v>2493</v>
      </c>
      <c r="L650" s="444" t="s">
        <v>1208</v>
      </c>
      <c r="M650" s="444" t="s">
        <v>62</v>
      </c>
      <c r="N650" s="441"/>
      <c r="O650" s="445"/>
      <c r="P650" s="441"/>
      <c r="Q650" s="445">
        <v>601</v>
      </c>
      <c r="R650" s="445" t="s">
        <v>5127</v>
      </c>
      <c r="S650" s="446">
        <v>45785</v>
      </c>
      <c r="T650" s="446">
        <v>45756</v>
      </c>
      <c r="U650" s="446">
        <v>45758</v>
      </c>
      <c r="V650" s="447"/>
      <c r="W650" s="447">
        <v>45771</v>
      </c>
      <c r="X650" s="447" t="s">
        <v>8044</v>
      </c>
      <c r="Y650" s="420"/>
      <c r="Z650" s="224" t="str">
        <f t="shared" si="60"/>
        <v>AG. MEDIÇÃO</v>
      </c>
      <c r="AA650" s="207" t="str">
        <f t="shared" si="61"/>
        <v>ENTREGUE</v>
      </c>
      <c r="AB650" s="207" t="str">
        <f t="shared" si="62"/>
        <v>AG. MEDIÇÃO</v>
      </c>
      <c r="AC650" s="156">
        <f t="shared" ca="1" si="63"/>
        <v>11</v>
      </c>
      <c r="AD650" s="156" t="str">
        <f t="shared" ca="1" si="64"/>
        <v>ATRASADO</v>
      </c>
      <c r="AE650" s="156">
        <f t="shared" ca="1" si="65"/>
        <v>8</v>
      </c>
    </row>
    <row r="651" spans="1:31" ht="36" hidden="1" customHeight="1">
      <c r="A651" s="414"/>
      <c r="B651" s="440" t="s">
        <v>5147</v>
      </c>
      <c r="C651" s="440" t="s">
        <v>232</v>
      </c>
      <c r="D651" s="440" t="s">
        <v>419</v>
      </c>
      <c r="E651" s="440" t="s">
        <v>389</v>
      </c>
      <c r="F651" s="440" t="s">
        <v>42</v>
      </c>
      <c r="G651" s="441"/>
      <c r="H651" s="440" t="s">
        <v>5148</v>
      </c>
      <c r="I651" s="441" t="s">
        <v>5149</v>
      </c>
      <c r="J651" s="450">
        <v>45748</v>
      </c>
      <c r="K651" s="429" t="s">
        <v>2493</v>
      </c>
      <c r="L651" s="444"/>
      <c r="M651" s="444" t="s">
        <v>62</v>
      </c>
      <c r="N651" s="441" t="s">
        <v>2572</v>
      </c>
      <c r="O651" s="445" t="s">
        <v>3350</v>
      </c>
      <c r="P651" s="441" t="s">
        <v>2494</v>
      </c>
      <c r="Q651" s="445" t="s">
        <v>2494</v>
      </c>
      <c r="R651" s="445" t="s">
        <v>5053</v>
      </c>
      <c r="S651" s="446">
        <v>45785</v>
      </c>
      <c r="T651" s="446">
        <v>45770</v>
      </c>
      <c r="U651" s="446">
        <v>45772</v>
      </c>
      <c r="V651" s="447">
        <v>45772</v>
      </c>
      <c r="W651" s="447">
        <v>45772</v>
      </c>
      <c r="X651" s="447" t="s">
        <v>8044</v>
      </c>
      <c r="Y651" s="420"/>
      <c r="Z651" s="224" t="str">
        <f t="shared" si="60"/>
        <v>AG. MEDIÇÃO</v>
      </c>
      <c r="AA651" s="207" t="str">
        <f t="shared" si="61"/>
        <v>ENTREGUE</v>
      </c>
      <c r="AB651" s="207" t="str">
        <f t="shared" si="62"/>
        <v>AG. MEDIÇÃO</v>
      </c>
      <c r="AC651" s="156">
        <f t="shared" ca="1" si="63"/>
        <v>2</v>
      </c>
      <c r="AD651" s="156" t="str">
        <f t="shared" ca="1" si="64"/>
        <v>NO PRAZO</v>
      </c>
      <c r="AE651" s="156">
        <f t="shared" ca="1" si="65"/>
        <v>-1</v>
      </c>
    </row>
    <row r="652" spans="1:31" ht="36" hidden="1" customHeight="1">
      <c r="A652" s="414"/>
      <c r="B652" s="440" t="s">
        <v>4385</v>
      </c>
      <c r="C652" s="440" t="s">
        <v>267</v>
      </c>
      <c r="D652" s="440" t="s">
        <v>1080</v>
      </c>
      <c r="E652" s="440" t="s">
        <v>268</v>
      </c>
      <c r="F652" s="440" t="s">
        <v>42</v>
      </c>
      <c r="G652" s="441" t="s">
        <v>4386</v>
      </c>
      <c r="H652" s="440" t="s">
        <v>4387</v>
      </c>
      <c r="I652" s="441" t="s">
        <v>4388</v>
      </c>
      <c r="J652" s="450">
        <v>45536</v>
      </c>
      <c r="K652" s="429" t="s">
        <v>2493</v>
      </c>
      <c r="L652" s="444" t="s">
        <v>76</v>
      </c>
      <c r="M652" s="444" t="s">
        <v>51</v>
      </c>
      <c r="N652" s="441" t="s">
        <v>2572</v>
      </c>
      <c r="O652" s="445" t="s">
        <v>85</v>
      </c>
      <c r="P652" s="445">
        <v>230</v>
      </c>
      <c r="Q652" s="445">
        <v>273</v>
      </c>
      <c r="R652" s="445" t="s">
        <v>4389</v>
      </c>
      <c r="S652" s="446">
        <v>45549</v>
      </c>
      <c r="T652" s="446">
        <v>45545</v>
      </c>
      <c r="U652" s="446">
        <v>45546</v>
      </c>
      <c r="V652" s="447">
        <v>45549</v>
      </c>
      <c r="W652" s="447">
        <v>45547</v>
      </c>
      <c r="X652" s="447" t="s">
        <v>8044</v>
      </c>
      <c r="Y652" s="420"/>
      <c r="Z652" s="224" t="str">
        <f t="shared" si="60"/>
        <v>AG. MEDIÇÃO</v>
      </c>
      <c r="AA652" s="207" t="str">
        <f t="shared" si="61"/>
        <v>ENTREGUE</v>
      </c>
      <c r="AB652" s="207" t="str">
        <f t="shared" si="62"/>
        <v>AG. MEDIÇÃO</v>
      </c>
      <c r="AC652" s="156">
        <f t="shared" ca="1" si="63"/>
        <v>2</v>
      </c>
      <c r="AD652" s="156" t="str">
        <f t="shared" ca="1" si="64"/>
        <v>NO PRAZO</v>
      </c>
      <c r="AE652" s="156">
        <f t="shared" ca="1" si="65"/>
        <v>-1</v>
      </c>
    </row>
    <row r="653" spans="1:31" ht="36" hidden="1" customHeight="1">
      <c r="A653" s="414"/>
      <c r="B653" s="440" t="s">
        <v>4545</v>
      </c>
      <c r="C653" s="440" t="s">
        <v>267</v>
      </c>
      <c r="D653" s="440" t="s">
        <v>1080</v>
      </c>
      <c r="E653" s="440" t="s">
        <v>268</v>
      </c>
      <c r="F653" s="440" t="s">
        <v>42</v>
      </c>
      <c r="G653" s="440" t="s">
        <v>4386</v>
      </c>
      <c r="H653" s="440" t="s">
        <v>4387</v>
      </c>
      <c r="I653" s="441" t="s">
        <v>4546</v>
      </c>
      <c r="J653" s="450">
        <v>45566</v>
      </c>
      <c r="K653" s="429" t="s">
        <v>2493</v>
      </c>
      <c r="L653" s="444"/>
      <c r="M653" s="444" t="s">
        <v>132</v>
      </c>
      <c r="N653" s="441" t="s">
        <v>2572</v>
      </c>
      <c r="O653" s="445" t="s">
        <v>85</v>
      </c>
      <c r="P653" s="441" t="s">
        <v>2494</v>
      </c>
      <c r="Q653" s="441" t="s">
        <v>2494</v>
      </c>
      <c r="R653" s="445" t="s">
        <v>4547</v>
      </c>
      <c r="S653" s="446">
        <v>45608</v>
      </c>
      <c r="T653" s="446"/>
      <c r="U653" s="446"/>
      <c r="V653" s="447"/>
      <c r="W653" s="447"/>
      <c r="X653" s="447" t="s">
        <v>8044</v>
      </c>
      <c r="Y653" s="420"/>
      <c r="Z653" s="224" t="str">
        <f t="shared" si="60"/>
        <v>AG. MEDIÇÃO</v>
      </c>
      <c r="AA653" s="207" t="str">
        <f t="shared" si="61"/>
        <v>ENTREGUE</v>
      </c>
      <c r="AB653" s="207" t="str">
        <f t="shared" si="62"/>
        <v>AG. MEDIÇÃO</v>
      </c>
      <c r="AC653" s="156" t="str">
        <f t="shared" ca="1" si="63"/>
        <v>DATA ENTRADA</v>
      </c>
      <c r="AD653" s="156" t="str">
        <f t="shared" ca="1" si="64"/>
        <v>ATRASADO</v>
      </c>
      <c r="AE653" s="156" t="str">
        <f t="shared" ca="1" si="65"/>
        <v>DATA ENTRADA</v>
      </c>
    </row>
    <row r="654" spans="1:31" ht="36" hidden="1" customHeight="1">
      <c r="A654" s="414"/>
      <c r="B654" s="429" t="s">
        <v>7203</v>
      </c>
      <c r="C654" s="429" t="s">
        <v>315</v>
      </c>
      <c r="D654" s="429" t="s">
        <v>1193</v>
      </c>
      <c r="E654" s="429" t="s">
        <v>316</v>
      </c>
      <c r="F654" s="429" t="s">
        <v>42</v>
      </c>
      <c r="G654" s="433" t="s">
        <v>7216</v>
      </c>
      <c r="H654" s="652" t="s">
        <v>7213</v>
      </c>
      <c r="I654" s="433" t="s">
        <v>7212</v>
      </c>
      <c r="J654" s="432">
        <v>46082</v>
      </c>
      <c r="K654" s="429" t="s">
        <v>2493</v>
      </c>
      <c r="L654" s="436" t="s">
        <v>200</v>
      </c>
      <c r="M654" s="436" t="s">
        <v>200</v>
      </c>
      <c r="N654" s="433"/>
      <c r="O654" s="437"/>
      <c r="P654" s="433">
        <v>250</v>
      </c>
      <c r="Q654" s="437">
        <v>167</v>
      </c>
      <c r="R654" s="437" t="s">
        <v>7222</v>
      </c>
      <c r="S654" s="438">
        <v>46113</v>
      </c>
      <c r="T654" s="438">
        <v>46108</v>
      </c>
      <c r="U654" s="438">
        <v>46109</v>
      </c>
      <c r="V654" s="439">
        <v>46112</v>
      </c>
      <c r="W654" s="439">
        <v>46112</v>
      </c>
      <c r="X654" s="439">
        <v>46113</v>
      </c>
      <c r="Y654" s="420"/>
      <c r="Z654" s="224" t="str">
        <f t="shared" si="60"/>
        <v>AG. MEDIÇÃO</v>
      </c>
      <c r="AA654" s="207" t="str">
        <f t="shared" si="61"/>
        <v>ENTREGUE</v>
      </c>
      <c r="AB654" s="207" t="str">
        <f t="shared" si="62"/>
        <v>AG. MEDIÇÃO</v>
      </c>
      <c r="AC654" s="156">
        <f t="shared" ca="1" si="63"/>
        <v>2</v>
      </c>
      <c r="AD654" s="156" t="str">
        <f t="shared" ca="1" si="64"/>
        <v>NO PRAZO</v>
      </c>
      <c r="AE654" s="156">
        <f t="shared" ca="1" si="65"/>
        <v>-1</v>
      </c>
    </row>
    <row r="655" spans="1:31" ht="36" hidden="1" customHeight="1">
      <c r="A655" s="414"/>
      <c r="B655" s="429" t="s">
        <v>7204</v>
      </c>
      <c r="C655" s="429" t="s">
        <v>315</v>
      </c>
      <c r="D655" s="429" t="s">
        <v>1193</v>
      </c>
      <c r="E655" s="429" t="s">
        <v>316</v>
      </c>
      <c r="F655" s="429" t="s">
        <v>42</v>
      </c>
      <c r="G655" s="433" t="s">
        <v>7210</v>
      </c>
      <c r="H655" s="652" t="s">
        <v>7214</v>
      </c>
      <c r="I655" s="433" t="s">
        <v>7212</v>
      </c>
      <c r="J655" s="432">
        <v>46082</v>
      </c>
      <c r="K655" s="429" t="s">
        <v>2493</v>
      </c>
      <c r="L655" s="436"/>
      <c r="M655" s="436" t="s">
        <v>200</v>
      </c>
      <c r="N655" s="433"/>
      <c r="O655" s="437"/>
      <c r="P655" s="433" t="s">
        <v>2494</v>
      </c>
      <c r="Q655" s="437" t="s">
        <v>2494</v>
      </c>
      <c r="R655" s="437" t="s">
        <v>4121</v>
      </c>
      <c r="S655" s="438">
        <v>46114</v>
      </c>
      <c r="T655" s="438">
        <v>46108</v>
      </c>
      <c r="U655" s="438">
        <v>46109</v>
      </c>
      <c r="V655" s="439">
        <v>46112</v>
      </c>
      <c r="W655" s="439">
        <v>46112</v>
      </c>
      <c r="X655" s="439">
        <v>46113</v>
      </c>
      <c r="Y655" s="420"/>
      <c r="Z655" s="224" t="str">
        <f t="shared" si="60"/>
        <v>AG. MEDIÇÃO</v>
      </c>
      <c r="AA655" s="207" t="str">
        <f t="shared" si="61"/>
        <v>ENTREGUE</v>
      </c>
      <c r="AB655" s="207" t="str">
        <f t="shared" si="62"/>
        <v>AG. MEDIÇÃO</v>
      </c>
      <c r="AC655" s="156">
        <f t="shared" ca="1" si="63"/>
        <v>2</v>
      </c>
      <c r="AD655" s="156" t="str">
        <f t="shared" ca="1" si="64"/>
        <v>NO PRAZO</v>
      </c>
      <c r="AE655" s="156">
        <f t="shared" ca="1" si="65"/>
        <v>-1</v>
      </c>
    </row>
    <row r="656" spans="1:31" ht="36" hidden="1" customHeight="1">
      <c r="A656" s="414"/>
      <c r="B656" s="429" t="s">
        <v>7205</v>
      </c>
      <c r="C656" s="429" t="s">
        <v>315</v>
      </c>
      <c r="D656" s="429" t="s">
        <v>1193</v>
      </c>
      <c r="E656" s="429" t="s">
        <v>316</v>
      </c>
      <c r="F656" s="429" t="s">
        <v>42</v>
      </c>
      <c r="G656" s="433" t="s">
        <v>7210</v>
      </c>
      <c r="H656" s="652" t="s">
        <v>7215</v>
      </c>
      <c r="I656" s="433" t="s">
        <v>7212</v>
      </c>
      <c r="J656" s="432">
        <v>46082</v>
      </c>
      <c r="K656" s="429" t="s">
        <v>2493</v>
      </c>
      <c r="L656" s="436"/>
      <c r="M656" s="436" t="s">
        <v>200</v>
      </c>
      <c r="N656" s="433"/>
      <c r="O656" s="437"/>
      <c r="P656" s="433" t="s">
        <v>2494</v>
      </c>
      <c r="Q656" s="437" t="s">
        <v>2494</v>
      </c>
      <c r="R656" s="437" t="s">
        <v>4121</v>
      </c>
      <c r="S656" s="438">
        <v>46132</v>
      </c>
      <c r="T656" s="438">
        <v>46108</v>
      </c>
      <c r="U656" s="438">
        <v>46109</v>
      </c>
      <c r="V656" s="439">
        <v>46112</v>
      </c>
      <c r="W656" s="439">
        <v>46112</v>
      </c>
      <c r="X656" s="439">
        <v>46113</v>
      </c>
      <c r="Y656" s="420"/>
      <c r="Z656" s="224" t="str">
        <f t="shared" si="60"/>
        <v>AG. MEDIÇÃO</v>
      </c>
      <c r="AA656" s="207" t="str">
        <f t="shared" si="61"/>
        <v>ENTREGUE</v>
      </c>
      <c r="AB656" s="207" t="str">
        <f t="shared" si="62"/>
        <v>AG. MEDIÇÃO</v>
      </c>
      <c r="AC656" s="156">
        <f t="shared" ca="1" si="63"/>
        <v>2</v>
      </c>
      <c r="AD656" s="156" t="str">
        <f t="shared" ca="1" si="64"/>
        <v>NO PRAZO</v>
      </c>
      <c r="AE656" s="156">
        <f t="shared" ca="1" si="65"/>
        <v>-1</v>
      </c>
    </row>
    <row r="657" spans="1:31" ht="36" hidden="1" customHeight="1">
      <c r="A657" s="414"/>
      <c r="B657" s="429" t="s">
        <v>7277</v>
      </c>
      <c r="C657" s="429" t="s">
        <v>315</v>
      </c>
      <c r="D657" s="429" t="s">
        <v>1193</v>
      </c>
      <c r="E657" s="429" t="s">
        <v>316</v>
      </c>
      <c r="F657" s="429" t="s">
        <v>42</v>
      </c>
      <c r="G657" s="433" t="s">
        <v>7210</v>
      </c>
      <c r="H657" s="652" t="s">
        <v>7211</v>
      </c>
      <c r="I657" s="433" t="s">
        <v>7212</v>
      </c>
      <c r="J657" s="432">
        <v>46082</v>
      </c>
      <c r="K657" s="429" t="s">
        <v>2493</v>
      </c>
      <c r="L657" s="436"/>
      <c r="M657" s="436" t="s">
        <v>200</v>
      </c>
      <c r="N657" s="433"/>
      <c r="O657" s="437"/>
      <c r="P657" s="433" t="s">
        <v>2494</v>
      </c>
      <c r="Q657" s="437" t="s">
        <v>2494</v>
      </c>
      <c r="R657" s="437" t="s">
        <v>4121</v>
      </c>
      <c r="S657" s="438">
        <v>46146</v>
      </c>
      <c r="T657" s="438">
        <v>46108</v>
      </c>
      <c r="U657" s="438">
        <v>46109</v>
      </c>
      <c r="V657" s="439">
        <v>46112</v>
      </c>
      <c r="W657" s="439">
        <v>46112</v>
      </c>
      <c r="X657" s="439">
        <v>46113</v>
      </c>
      <c r="Y657" s="420"/>
      <c r="Z657" s="224" t="str">
        <f t="shared" si="60"/>
        <v>AG. MEDIÇÃO</v>
      </c>
      <c r="AA657" s="207" t="str">
        <f t="shared" si="61"/>
        <v>ENTREGUE</v>
      </c>
      <c r="AB657" s="207" t="str">
        <f t="shared" si="62"/>
        <v>AG. MEDIÇÃO</v>
      </c>
      <c r="AC657" s="156">
        <f t="shared" ca="1" si="63"/>
        <v>2</v>
      </c>
      <c r="AD657" s="156" t="str">
        <f t="shared" ca="1" si="64"/>
        <v>NO PRAZO</v>
      </c>
      <c r="AE657" s="156">
        <f t="shared" ca="1" si="65"/>
        <v>-1</v>
      </c>
    </row>
    <row r="658" spans="1:31" ht="36" hidden="1" customHeight="1">
      <c r="A658" s="414"/>
      <c r="B658" s="440" t="s">
        <v>4166</v>
      </c>
      <c r="C658" s="440" t="s">
        <v>150</v>
      </c>
      <c r="D658" s="440" t="s">
        <v>261</v>
      </c>
      <c r="E658" s="440" t="s">
        <v>151</v>
      </c>
      <c r="F658" s="440" t="s">
        <v>42</v>
      </c>
      <c r="G658" s="441"/>
      <c r="H658" s="440" t="s">
        <v>4167</v>
      </c>
      <c r="I658" s="441" t="s">
        <v>4168</v>
      </c>
      <c r="J658" s="450">
        <v>45505</v>
      </c>
      <c r="K658" s="429" t="s">
        <v>2493</v>
      </c>
      <c r="L658" s="444" t="s">
        <v>1319</v>
      </c>
      <c r="M658" s="444" t="s">
        <v>51</v>
      </c>
      <c r="N658" s="441" t="s">
        <v>2572</v>
      </c>
      <c r="O658" s="445" t="s">
        <v>85</v>
      </c>
      <c r="P658" s="445"/>
      <c r="Q658" s="445">
        <v>216</v>
      </c>
      <c r="R658" s="445" t="s">
        <v>4169</v>
      </c>
      <c r="S658" s="446">
        <v>45532</v>
      </c>
      <c r="T658" s="446">
        <v>45514</v>
      </c>
      <c r="U658" s="446">
        <v>45516</v>
      </c>
      <c r="V658" s="446">
        <v>45516</v>
      </c>
      <c r="W658" s="446">
        <v>45516</v>
      </c>
      <c r="X658" s="447" t="s">
        <v>8044</v>
      </c>
      <c r="Y658" s="420"/>
      <c r="Z658" s="224" t="str">
        <f t="shared" si="60"/>
        <v>AG. MEDIÇÃO</v>
      </c>
      <c r="AA658" s="207" t="str">
        <f t="shared" si="61"/>
        <v>ENTREGUE</v>
      </c>
      <c r="AB658" s="207" t="str">
        <f t="shared" si="62"/>
        <v>AG. MEDIÇÃO</v>
      </c>
      <c r="AC658" s="156">
        <f t="shared" ca="1" si="63"/>
        <v>0</v>
      </c>
      <c r="AD658" s="156" t="str">
        <f t="shared" ca="1" si="64"/>
        <v>NO PRAZO</v>
      </c>
      <c r="AE658" s="156">
        <f t="shared" ca="1" si="65"/>
        <v>-3</v>
      </c>
    </row>
    <row r="659" spans="1:31" ht="36" hidden="1" customHeight="1">
      <c r="A659" s="414"/>
      <c r="B659" s="440" t="s">
        <v>4325</v>
      </c>
      <c r="C659" s="440" t="s">
        <v>117</v>
      </c>
      <c r="D659" s="440" t="s">
        <v>4326</v>
      </c>
      <c r="E659" s="440" t="s">
        <v>3677</v>
      </c>
      <c r="F659" s="440" t="s">
        <v>42</v>
      </c>
      <c r="G659" s="441" t="s">
        <v>4327</v>
      </c>
      <c r="H659" s="440" t="s">
        <v>4328</v>
      </c>
      <c r="I659" s="441" t="s">
        <v>4329</v>
      </c>
      <c r="J659" s="450">
        <v>45536</v>
      </c>
      <c r="K659" s="429" t="s">
        <v>2493</v>
      </c>
      <c r="L659" s="444" t="s">
        <v>1208</v>
      </c>
      <c r="M659" s="444" t="s">
        <v>132</v>
      </c>
      <c r="N659" s="441" t="s">
        <v>2572</v>
      </c>
      <c r="O659" s="445" t="s">
        <v>85</v>
      </c>
      <c r="P659" s="445">
        <v>300</v>
      </c>
      <c r="Q659" s="445">
        <v>350</v>
      </c>
      <c r="R659" s="445" t="s">
        <v>4330</v>
      </c>
      <c r="S659" s="446">
        <v>45549</v>
      </c>
      <c r="T659" s="446">
        <v>45538</v>
      </c>
      <c r="U659" s="446">
        <v>45542</v>
      </c>
      <c r="V659" s="447">
        <v>45542</v>
      </c>
      <c r="W659" s="447">
        <v>45546</v>
      </c>
      <c r="X659" s="447" t="s">
        <v>8044</v>
      </c>
      <c r="Y659" s="420"/>
      <c r="Z659" s="224" t="str">
        <f t="shared" si="60"/>
        <v>AG. MEDIÇÃO</v>
      </c>
      <c r="AA659" s="207" t="str">
        <f t="shared" si="61"/>
        <v>ENTREGUE</v>
      </c>
      <c r="AB659" s="207" t="str">
        <f t="shared" si="62"/>
        <v>AG. MEDIÇÃO</v>
      </c>
      <c r="AC659" s="156">
        <f t="shared" ca="1" si="63"/>
        <v>6</v>
      </c>
      <c r="AD659" s="156" t="str">
        <f t="shared" ca="1" si="64"/>
        <v>ATRASADO</v>
      </c>
      <c r="AE659" s="156">
        <f t="shared" ca="1" si="65"/>
        <v>3</v>
      </c>
    </row>
    <row r="660" spans="1:31" ht="36" hidden="1" customHeight="1">
      <c r="A660" s="414"/>
      <c r="B660" s="440" t="s">
        <v>4416</v>
      </c>
      <c r="C660" s="440" t="s">
        <v>117</v>
      </c>
      <c r="D660" s="440" t="s">
        <v>527</v>
      </c>
      <c r="E660" s="440" t="s">
        <v>3677</v>
      </c>
      <c r="F660" s="440" t="s">
        <v>42</v>
      </c>
      <c r="G660" s="441" t="s">
        <v>4417</v>
      </c>
      <c r="H660" s="440" t="s">
        <v>4418</v>
      </c>
      <c r="I660" s="441" t="s">
        <v>4419</v>
      </c>
      <c r="J660" s="450">
        <v>45536</v>
      </c>
      <c r="K660" s="429" t="s">
        <v>2493</v>
      </c>
      <c r="L660" s="444" t="s">
        <v>1208</v>
      </c>
      <c r="M660" s="444" t="s">
        <v>132</v>
      </c>
      <c r="N660" s="441" t="s">
        <v>2572</v>
      </c>
      <c r="O660" s="445" t="s">
        <v>3350</v>
      </c>
      <c r="P660" s="445">
        <v>200</v>
      </c>
      <c r="Q660" s="445">
        <v>335</v>
      </c>
      <c r="R660" s="445" t="s">
        <v>4420</v>
      </c>
      <c r="S660" s="446">
        <v>45575</v>
      </c>
      <c r="T660" s="446">
        <v>45547</v>
      </c>
      <c r="U660" s="446">
        <v>45548</v>
      </c>
      <c r="V660" s="447">
        <v>45553</v>
      </c>
      <c r="W660" s="447">
        <v>45558</v>
      </c>
      <c r="X660" s="447" t="s">
        <v>8044</v>
      </c>
      <c r="Y660" s="420"/>
      <c r="Z660" s="224" t="str">
        <f t="shared" si="60"/>
        <v>AG. MEDIÇÃO</v>
      </c>
      <c r="AA660" s="207" t="str">
        <f t="shared" si="61"/>
        <v>ENTREGUE</v>
      </c>
      <c r="AB660" s="207" t="str">
        <f t="shared" si="62"/>
        <v>AG. MEDIÇÃO</v>
      </c>
      <c r="AC660" s="156">
        <f t="shared" ca="1" si="63"/>
        <v>7</v>
      </c>
      <c r="AD660" s="156" t="str">
        <f t="shared" ca="1" si="64"/>
        <v>ATRASADO</v>
      </c>
      <c r="AE660" s="156">
        <f t="shared" ca="1" si="65"/>
        <v>4</v>
      </c>
    </row>
    <row r="661" spans="1:31" ht="36" hidden="1" customHeight="1">
      <c r="A661" s="414"/>
      <c r="B661" s="440" t="s">
        <v>4466</v>
      </c>
      <c r="C661" s="440" t="s">
        <v>117</v>
      </c>
      <c r="D661" s="440" t="s">
        <v>527</v>
      </c>
      <c r="E661" s="440" t="s">
        <v>3677</v>
      </c>
      <c r="F661" s="440" t="s">
        <v>42</v>
      </c>
      <c r="G661" s="441" t="s">
        <v>4467</v>
      </c>
      <c r="H661" s="440" t="s">
        <v>4468</v>
      </c>
      <c r="I661" s="441" t="s">
        <v>4469</v>
      </c>
      <c r="J661" s="450">
        <v>45536</v>
      </c>
      <c r="K661" s="429" t="s">
        <v>2493</v>
      </c>
      <c r="L661" s="444"/>
      <c r="M661" s="444" t="s">
        <v>51</v>
      </c>
      <c r="N661" s="441" t="s">
        <v>2572</v>
      </c>
      <c r="O661" s="445" t="s">
        <v>3350</v>
      </c>
      <c r="P661" s="441" t="s">
        <v>2494</v>
      </c>
      <c r="Q661" s="441" t="s">
        <v>2494</v>
      </c>
      <c r="R661" s="445" t="s">
        <v>4470</v>
      </c>
      <c r="S661" s="446">
        <v>45575</v>
      </c>
      <c r="T661" s="446">
        <v>45561</v>
      </c>
      <c r="U661" s="446">
        <v>45562</v>
      </c>
      <c r="V661" s="447">
        <v>45565</v>
      </c>
      <c r="W661" s="447">
        <v>45569</v>
      </c>
      <c r="X661" s="447" t="s">
        <v>8044</v>
      </c>
      <c r="Y661" s="420"/>
      <c r="Z661" s="224" t="str">
        <f t="shared" si="60"/>
        <v>AG. MEDIÇÃO</v>
      </c>
      <c r="AA661" s="207" t="str">
        <f t="shared" si="61"/>
        <v>ENTREGUE</v>
      </c>
      <c r="AB661" s="207" t="str">
        <f t="shared" si="62"/>
        <v>AG. MEDIÇÃO</v>
      </c>
      <c r="AC661" s="156">
        <f t="shared" ca="1" si="63"/>
        <v>6</v>
      </c>
      <c r="AD661" s="156" t="str">
        <f t="shared" ca="1" si="64"/>
        <v>ATRASADO</v>
      </c>
      <c r="AE661" s="156">
        <f t="shared" ca="1" si="65"/>
        <v>3</v>
      </c>
    </row>
    <row r="662" spans="1:31" ht="36" hidden="1" customHeight="1">
      <c r="A662" s="414"/>
      <c r="B662" s="440" t="s">
        <v>4435</v>
      </c>
      <c r="C662" s="440" t="s">
        <v>336</v>
      </c>
      <c r="D662" s="440" t="s">
        <v>338</v>
      </c>
      <c r="E662" s="440" t="s">
        <v>337</v>
      </c>
      <c r="F662" s="440" t="s">
        <v>42</v>
      </c>
      <c r="G662" s="441" t="s">
        <v>4436</v>
      </c>
      <c r="H662" s="440" t="s">
        <v>4437</v>
      </c>
      <c r="I662" s="441" t="s">
        <v>4438</v>
      </c>
      <c r="J662" s="450">
        <v>45536</v>
      </c>
      <c r="K662" s="429" t="s">
        <v>2493</v>
      </c>
      <c r="L662" s="444" t="s">
        <v>4439</v>
      </c>
      <c r="M662" s="444" t="s">
        <v>4440</v>
      </c>
      <c r="N662" s="441" t="s">
        <v>2572</v>
      </c>
      <c r="O662" s="445" t="s">
        <v>4441</v>
      </c>
      <c r="P662" s="445">
        <v>150</v>
      </c>
      <c r="Q662" s="445">
        <v>135</v>
      </c>
      <c r="R662" s="445" t="s">
        <v>4442</v>
      </c>
      <c r="S662" s="446">
        <v>45575</v>
      </c>
      <c r="T662" s="446">
        <v>45547</v>
      </c>
      <c r="U662" s="446">
        <v>45548</v>
      </c>
      <c r="V662" s="447">
        <v>45553</v>
      </c>
      <c r="W662" s="447">
        <v>45559</v>
      </c>
      <c r="X662" s="447" t="s">
        <v>8044</v>
      </c>
      <c r="Y662" s="420"/>
      <c r="Z662" s="224" t="str">
        <f t="shared" si="60"/>
        <v>AG. MEDIÇÃO</v>
      </c>
      <c r="AA662" s="207" t="str">
        <f t="shared" si="61"/>
        <v>ENTREGUE</v>
      </c>
      <c r="AB662" s="207" t="str">
        <f t="shared" si="62"/>
        <v>AG. MEDIÇÃO</v>
      </c>
      <c r="AC662" s="156">
        <f t="shared" ca="1" si="63"/>
        <v>8</v>
      </c>
      <c r="AD662" s="156" t="str">
        <f t="shared" ca="1" si="64"/>
        <v>ATRASADO</v>
      </c>
      <c r="AE662" s="156">
        <f t="shared" ca="1" si="65"/>
        <v>5</v>
      </c>
    </row>
    <row r="663" spans="1:31" ht="36" hidden="1" customHeight="1">
      <c r="A663" s="414"/>
      <c r="B663" s="440" t="s">
        <v>4351</v>
      </c>
      <c r="C663" s="440" t="s">
        <v>293</v>
      </c>
      <c r="D663" s="440"/>
      <c r="E663" s="440" t="s">
        <v>842</v>
      </c>
      <c r="F663" s="440" t="s">
        <v>42</v>
      </c>
      <c r="G663" s="441" t="s">
        <v>4352</v>
      </c>
      <c r="H663" s="440" t="s">
        <v>4353</v>
      </c>
      <c r="I663" s="441" t="s">
        <v>4354</v>
      </c>
      <c r="J663" s="450">
        <v>45536</v>
      </c>
      <c r="K663" s="429" t="s">
        <v>2493</v>
      </c>
      <c r="L663" s="444" t="s">
        <v>4355</v>
      </c>
      <c r="M663" s="444" t="s">
        <v>51</v>
      </c>
      <c r="N663" s="441" t="s">
        <v>2572</v>
      </c>
      <c r="O663" s="445" t="s">
        <v>85</v>
      </c>
      <c r="P663" s="445">
        <v>550</v>
      </c>
      <c r="Q663" s="445">
        <v>532</v>
      </c>
      <c r="R663" s="445" t="s">
        <v>4356</v>
      </c>
      <c r="S663" s="446">
        <v>45555</v>
      </c>
      <c r="T663" s="446">
        <v>45541</v>
      </c>
      <c r="U663" s="446">
        <v>45544</v>
      </c>
      <c r="V663" s="447">
        <v>45547</v>
      </c>
      <c r="W663" s="447">
        <v>45552</v>
      </c>
      <c r="X663" s="447" t="s">
        <v>8044</v>
      </c>
      <c r="Y663" s="420"/>
      <c r="Z663" s="224" t="str">
        <f t="shared" si="60"/>
        <v>AG. MEDIÇÃO</v>
      </c>
      <c r="AA663" s="207" t="str">
        <f t="shared" si="61"/>
        <v>ENTREGUE</v>
      </c>
      <c r="AB663" s="207" t="str">
        <f t="shared" si="62"/>
        <v>AG. MEDIÇÃO</v>
      </c>
      <c r="AC663" s="156">
        <f t="shared" ca="1" si="63"/>
        <v>7</v>
      </c>
      <c r="AD663" s="156" t="str">
        <f t="shared" ca="1" si="64"/>
        <v>ATRASADO</v>
      </c>
      <c r="AE663" s="156">
        <f t="shared" ca="1" si="65"/>
        <v>4</v>
      </c>
    </row>
    <row r="664" spans="1:31" ht="36" hidden="1" customHeight="1">
      <c r="A664" s="414"/>
      <c r="B664" s="440" t="s">
        <v>3906</v>
      </c>
      <c r="C664" s="440" t="s">
        <v>989</v>
      </c>
      <c r="D664" s="440" t="s">
        <v>2939</v>
      </c>
      <c r="E664" s="440" t="s">
        <v>2235</v>
      </c>
      <c r="F664" s="440" t="s">
        <v>42</v>
      </c>
      <c r="G664" s="441" t="s">
        <v>3907</v>
      </c>
      <c r="H664" s="440" t="s">
        <v>3908</v>
      </c>
      <c r="I664" s="441" t="s">
        <v>3909</v>
      </c>
      <c r="J664" s="450">
        <v>45444</v>
      </c>
      <c r="K664" s="429" t="s">
        <v>2493</v>
      </c>
      <c r="L664" s="444" t="s">
        <v>67</v>
      </c>
      <c r="M664" s="444" t="s">
        <v>827</v>
      </c>
      <c r="N664" s="441" t="s">
        <v>2572</v>
      </c>
      <c r="O664" s="445" t="s">
        <v>85</v>
      </c>
      <c r="P664" s="445"/>
      <c r="Q664" s="441">
        <v>228</v>
      </c>
      <c r="R664" s="445" t="s">
        <v>3910</v>
      </c>
      <c r="S664" s="446">
        <v>45497</v>
      </c>
      <c r="T664" s="446">
        <v>45469</v>
      </c>
      <c r="U664" s="446">
        <v>45470</v>
      </c>
      <c r="V664" s="446">
        <v>45474</v>
      </c>
      <c r="W664" s="447">
        <v>45474</v>
      </c>
      <c r="X664" s="447" t="s">
        <v>8044</v>
      </c>
      <c r="Y664" s="420"/>
      <c r="Z664" s="224" t="str">
        <f t="shared" si="60"/>
        <v>AG. MEDIÇÃO</v>
      </c>
      <c r="AA664" s="207" t="str">
        <f t="shared" si="61"/>
        <v>ENTREGUE</v>
      </c>
      <c r="AB664" s="207" t="str">
        <f t="shared" si="62"/>
        <v>AG. MEDIÇÃO</v>
      </c>
      <c r="AC664" s="156">
        <f t="shared" ca="1" si="63"/>
        <v>3</v>
      </c>
      <c r="AD664" s="156" t="str">
        <f t="shared" ca="1" si="64"/>
        <v>NO PRAZO</v>
      </c>
      <c r="AE664" s="156">
        <f t="shared" ca="1" si="65"/>
        <v>0</v>
      </c>
    </row>
    <row r="665" spans="1:31" ht="36" hidden="1" customHeight="1">
      <c r="A665" s="414"/>
      <c r="B665" s="440" t="s">
        <v>3934</v>
      </c>
      <c r="C665" s="440" t="s">
        <v>989</v>
      </c>
      <c r="D665" s="440" t="s">
        <v>2939</v>
      </c>
      <c r="E665" s="440" t="s">
        <v>2235</v>
      </c>
      <c r="F665" s="440" t="s">
        <v>42</v>
      </c>
      <c r="G665" s="441" t="s">
        <v>3935</v>
      </c>
      <c r="H665" s="440" t="s">
        <v>3936</v>
      </c>
      <c r="I665" s="441" t="s">
        <v>3937</v>
      </c>
      <c r="J665" s="450">
        <v>45474</v>
      </c>
      <c r="K665" s="429" t="s">
        <v>2493</v>
      </c>
      <c r="L665" s="444" t="s">
        <v>50</v>
      </c>
      <c r="M665" s="444" t="s">
        <v>827</v>
      </c>
      <c r="N665" s="441" t="s">
        <v>2572</v>
      </c>
      <c r="O665" s="445" t="s">
        <v>85</v>
      </c>
      <c r="P665" s="445"/>
      <c r="Q665" s="445">
        <v>206</v>
      </c>
      <c r="R665" s="445" t="s">
        <v>3938</v>
      </c>
      <c r="S665" s="446">
        <v>45497</v>
      </c>
      <c r="T665" s="446">
        <v>45474</v>
      </c>
      <c r="U665" s="446">
        <v>45475</v>
      </c>
      <c r="V665" s="446">
        <v>45481</v>
      </c>
      <c r="W665" s="447">
        <v>45481</v>
      </c>
      <c r="X665" s="447" t="s">
        <v>8044</v>
      </c>
      <c r="Y665" s="420"/>
      <c r="Z665" s="224" t="str">
        <f t="shared" si="60"/>
        <v>AG. MEDIÇÃO</v>
      </c>
      <c r="AA665" s="207" t="str">
        <f t="shared" si="61"/>
        <v>ENTREGUE</v>
      </c>
      <c r="AB665" s="207" t="str">
        <f t="shared" si="62"/>
        <v>AG. MEDIÇÃO</v>
      </c>
      <c r="AC665" s="156">
        <f t="shared" ca="1" si="63"/>
        <v>5</v>
      </c>
      <c r="AD665" s="156" t="str">
        <f t="shared" ca="1" si="64"/>
        <v>ATRASADO</v>
      </c>
      <c r="AE665" s="156">
        <f t="shared" ca="1" si="65"/>
        <v>2</v>
      </c>
    </row>
    <row r="666" spans="1:31" ht="36" hidden="1" customHeight="1">
      <c r="A666" s="414"/>
      <c r="B666" s="440" t="s">
        <v>3854</v>
      </c>
      <c r="C666" s="440" t="s">
        <v>410</v>
      </c>
      <c r="D666" s="440" t="s">
        <v>584</v>
      </c>
      <c r="E666" s="440"/>
      <c r="F666" s="440" t="s">
        <v>42</v>
      </c>
      <c r="G666" s="441" t="s">
        <v>3855</v>
      </c>
      <c r="H666" s="440" t="s">
        <v>3856</v>
      </c>
      <c r="I666" s="441" t="s">
        <v>3857</v>
      </c>
      <c r="J666" s="450">
        <v>45444</v>
      </c>
      <c r="K666" s="429" t="s">
        <v>2493</v>
      </c>
      <c r="L666" s="444" t="s">
        <v>1380</v>
      </c>
      <c r="M666" s="444" t="s">
        <v>132</v>
      </c>
      <c r="N666" s="441" t="s">
        <v>2572</v>
      </c>
      <c r="O666" s="445" t="s">
        <v>85</v>
      </c>
      <c r="P666" s="445"/>
      <c r="Q666" s="441">
        <v>383</v>
      </c>
      <c r="R666" s="445" t="s">
        <v>3858</v>
      </c>
      <c r="S666" s="446">
        <v>45469</v>
      </c>
      <c r="T666" s="446">
        <v>45453</v>
      </c>
      <c r="U666" s="446">
        <v>45455</v>
      </c>
      <c r="V666" s="447">
        <v>45466</v>
      </c>
      <c r="W666" s="447">
        <v>45466</v>
      </c>
      <c r="X666" s="447" t="s">
        <v>8044</v>
      </c>
      <c r="Y666" s="420"/>
      <c r="Z666" s="224" t="str">
        <f t="shared" si="60"/>
        <v>AG. MEDIÇÃO</v>
      </c>
      <c r="AA666" s="207" t="str">
        <f t="shared" si="61"/>
        <v>ENTREGUE</v>
      </c>
      <c r="AB666" s="207" t="str">
        <f t="shared" si="62"/>
        <v>AG. MEDIÇÃO</v>
      </c>
      <c r="AC666" s="156">
        <f t="shared" ca="1" si="63"/>
        <v>9</v>
      </c>
      <c r="AD666" s="156" t="str">
        <f t="shared" ca="1" si="64"/>
        <v>ATRASADO</v>
      </c>
      <c r="AE666" s="156">
        <f t="shared" ca="1" si="65"/>
        <v>6</v>
      </c>
    </row>
    <row r="667" spans="1:31" ht="36" hidden="1" customHeight="1">
      <c r="A667" s="414"/>
      <c r="B667" s="440" t="s">
        <v>4513</v>
      </c>
      <c r="C667" s="440" t="s">
        <v>353</v>
      </c>
      <c r="D667" s="440" t="s">
        <v>355</v>
      </c>
      <c r="E667" s="440" t="s">
        <v>354</v>
      </c>
      <c r="F667" s="440" t="s">
        <v>42</v>
      </c>
      <c r="G667" s="441"/>
      <c r="H667" s="440" t="s">
        <v>4514</v>
      </c>
      <c r="I667" s="441" t="s">
        <v>4515</v>
      </c>
      <c r="J667" s="450">
        <v>45566</v>
      </c>
      <c r="K667" s="429" t="s">
        <v>2493</v>
      </c>
      <c r="L667" s="444"/>
      <c r="M667" s="444" t="s">
        <v>4516</v>
      </c>
      <c r="N667" s="441" t="s">
        <v>2573</v>
      </c>
      <c r="O667" s="445" t="s">
        <v>2573</v>
      </c>
      <c r="P667" s="445" t="s">
        <v>2494</v>
      </c>
      <c r="Q667" s="445" t="s">
        <v>2494</v>
      </c>
      <c r="R667" s="445" t="s">
        <v>4517</v>
      </c>
      <c r="S667" s="446">
        <v>45588</v>
      </c>
      <c r="T667" s="446">
        <v>45586</v>
      </c>
      <c r="U667" s="446"/>
      <c r="V667" s="447"/>
      <c r="W667" s="447">
        <v>45588</v>
      </c>
      <c r="X667" s="447" t="s">
        <v>8044</v>
      </c>
      <c r="Y667" s="420"/>
      <c r="Z667" s="224" t="str">
        <f t="shared" si="60"/>
        <v>AG. MEDIÇÃO</v>
      </c>
      <c r="AA667" s="207" t="str">
        <f t="shared" si="61"/>
        <v>ENTREGUE</v>
      </c>
      <c r="AB667" s="207" t="str">
        <f t="shared" si="62"/>
        <v>AG. MEDIÇÃO</v>
      </c>
      <c r="AC667" s="156">
        <f t="shared" ca="1" si="63"/>
        <v>2</v>
      </c>
      <c r="AD667" s="156" t="str">
        <f t="shared" ca="1" si="64"/>
        <v>NO PRAZO</v>
      </c>
      <c r="AE667" s="156">
        <f t="shared" ca="1" si="65"/>
        <v>-1</v>
      </c>
    </row>
    <row r="668" spans="1:31" ht="36" hidden="1" customHeight="1">
      <c r="A668" s="414"/>
      <c r="B668" s="440" t="s">
        <v>3185</v>
      </c>
      <c r="C668" s="440" t="s">
        <v>232</v>
      </c>
      <c r="D668" s="440"/>
      <c r="E668" s="440"/>
      <c r="F668" s="440" t="s">
        <v>42</v>
      </c>
      <c r="G668" s="441" t="s">
        <v>3186</v>
      </c>
      <c r="H668" s="440" t="s">
        <v>3187</v>
      </c>
      <c r="I668" s="449"/>
      <c r="J668" s="450">
        <v>45231</v>
      </c>
      <c r="K668" s="429" t="s">
        <v>2493</v>
      </c>
      <c r="L668" s="444"/>
      <c r="M668" s="444" t="s">
        <v>774</v>
      </c>
      <c r="N668" s="441" t="s">
        <v>2572</v>
      </c>
      <c r="O668" s="445" t="s">
        <v>2573</v>
      </c>
      <c r="P668" s="441" t="s">
        <v>2494</v>
      </c>
      <c r="Q668" s="441" t="s">
        <v>2494</v>
      </c>
      <c r="R668" s="445" t="s">
        <v>3188</v>
      </c>
      <c r="S668" s="446">
        <v>45250</v>
      </c>
      <c r="T668" s="446">
        <v>45231</v>
      </c>
      <c r="U668" s="446"/>
      <c r="V668" s="446">
        <v>45234</v>
      </c>
      <c r="W668" s="446">
        <v>45234</v>
      </c>
      <c r="X668" s="447" t="s">
        <v>8044</v>
      </c>
      <c r="Y668" s="420"/>
      <c r="Z668" s="224" t="str">
        <f t="shared" si="60"/>
        <v>AG. MEDIÇÃO</v>
      </c>
      <c r="AA668" s="207" t="str">
        <f t="shared" si="61"/>
        <v>ENTREGUE</v>
      </c>
      <c r="AB668" s="207" t="str">
        <f t="shared" si="62"/>
        <v>AG. MEDIÇÃO</v>
      </c>
      <c r="AC668" s="156">
        <f t="shared" ca="1" si="63"/>
        <v>2</v>
      </c>
      <c r="AD668" s="156" t="str">
        <f t="shared" ca="1" si="64"/>
        <v>NO PRAZO</v>
      </c>
      <c r="AE668" s="156">
        <f t="shared" ca="1" si="65"/>
        <v>-1</v>
      </c>
    </row>
    <row r="669" spans="1:31" ht="36" hidden="1" customHeight="1">
      <c r="A669" s="414"/>
      <c r="B669" s="440" t="s">
        <v>3287</v>
      </c>
      <c r="C669" s="440" t="s">
        <v>298</v>
      </c>
      <c r="D669" s="440"/>
      <c r="E669" s="440"/>
      <c r="F669" s="440" t="s">
        <v>42</v>
      </c>
      <c r="G669" s="441" t="s">
        <v>3288</v>
      </c>
      <c r="H669" s="440" t="s">
        <v>3289</v>
      </c>
      <c r="I669" s="449"/>
      <c r="J669" s="450">
        <v>45261</v>
      </c>
      <c r="K669" s="429" t="s">
        <v>2493</v>
      </c>
      <c r="L669" s="444"/>
      <c r="M669" s="444" t="s">
        <v>774</v>
      </c>
      <c r="N669" s="441" t="s">
        <v>2572</v>
      </c>
      <c r="O669" s="445" t="s">
        <v>85</v>
      </c>
      <c r="P669" s="441" t="s">
        <v>2494</v>
      </c>
      <c r="Q669" s="441" t="s">
        <v>2494</v>
      </c>
      <c r="R669" s="445" t="s">
        <v>3290</v>
      </c>
      <c r="S669" s="446">
        <v>45273</v>
      </c>
      <c r="T669" s="446">
        <v>45271</v>
      </c>
      <c r="U669" s="446"/>
      <c r="V669" s="446">
        <v>45271</v>
      </c>
      <c r="W669" s="446">
        <v>45271</v>
      </c>
      <c r="X669" s="447" t="s">
        <v>8044</v>
      </c>
      <c r="Y669" s="420"/>
      <c r="Z669" s="224" t="str">
        <f t="shared" si="60"/>
        <v>AG. MEDIÇÃO</v>
      </c>
      <c r="AA669" s="207" t="str">
        <f t="shared" si="61"/>
        <v>ENTREGUE</v>
      </c>
      <c r="AB669" s="207" t="str">
        <f t="shared" si="62"/>
        <v>AG. MEDIÇÃO</v>
      </c>
      <c r="AC669" s="156">
        <f t="shared" ca="1" si="63"/>
        <v>0</v>
      </c>
      <c r="AD669" s="156" t="str">
        <f t="shared" ca="1" si="64"/>
        <v>NO PRAZO</v>
      </c>
      <c r="AE669" s="156">
        <f t="shared" ca="1" si="65"/>
        <v>-3</v>
      </c>
    </row>
    <row r="670" spans="1:31" ht="36" hidden="1" customHeight="1">
      <c r="A670" s="463"/>
      <c r="B670" s="440" t="s">
        <v>4293</v>
      </c>
      <c r="C670" s="440" t="s">
        <v>111</v>
      </c>
      <c r="D670" s="440" t="s">
        <v>348</v>
      </c>
      <c r="E670" s="440" t="s">
        <v>2504</v>
      </c>
      <c r="F670" s="440" t="s">
        <v>42</v>
      </c>
      <c r="G670" s="441" t="s">
        <v>4294</v>
      </c>
      <c r="H670" s="440" t="s">
        <v>4295</v>
      </c>
      <c r="I670" s="441" t="s">
        <v>4296</v>
      </c>
      <c r="J670" s="450">
        <v>45505</v>
      </c>
      <c r="K670" s="429" t="s">
        <v>2493</v>
      </c>
      <c r="L670" s="444" t="s">
        <v>1380</v>
      </c>
      <c r="M670" s="444" t="s">
        <v>51</v>
      </c>
      <c r="N670" s="441" t="s">
        <v>2572</v>
      </c>
      <c r="O670" s="445" t="s">
        <v>85</v>
      </c>
      <c r="P670" s="445"/>
      <c r="Q670" s="445">
        <v>993</v>
      </c>
      <c r="R670" s="445" t="s">
        <v>4297</v>
      </c>
      <c r="S670" s="446">
        <v>45545</v>
      </c>
      <c r="T670" s="446">
        <v>45533</v>
      </c>
      <c r="U670" s="446">
        <v>45538</v>
      </c>
      <c r="V670" s="447">
        <v>45541</v>
      </c>
      <c r="W670" s="447">
        <v>45541</v>
      </c>
      <c r="X670" s="447" t="s">
        <v>8044</v>
      </c>
      <c r="Y670" s="420"/>
      <c r="Z670" s="224" t="str">
        <f t="shared" si="60"/>
        <v>AG. MEDIÇÃO</v>
      </c>
      <c r="AA670" s="207" t="str">
        <f t="shared" si="61"/>
        <v>ENTREGUE</v>
      </c>
      <c r="AB670" s="207" t="str">
        <f t="shared" si="62"/>
        <v>AG. MEDIÇÃO</v>
      </c>
      <c r="AC670" s="156">
        <f t="shared" ca="1" si="63"/>
        <v>6</v>
      </c>
      <c r="AD670" s="156" t="str">
        <f t="shared" ca="1" si="64"/>
        <v>ATRASADO</v>
      </c>
      <c r="AE670" s="156">
        <f t="shared" ca="1" si="65"/>
        <v>3</v>
      </c>
    </row>
    <row r="671" spans="1:31" ht="36" hidden="1" customHeight="1">
      <c r="A671" s="414"/>
      <c r="B671" s="440" t="s">
        <v>5195</v>
      </c>
      <c r="C671" s="440" t="s">
        <v>1572</v>
      </c>
      <c r="D671" s="440" t="s">
        <v>1574</v>
      </c>
      <c r="E671" s="440" t="s">
        <v>1573</v>
      </c>
      <c r="F671" s="440" t="s">
        <v>427</v>
      </c>
      <c r="G671" s="441" t="s">
        <v>5196</v>
      </c>
      <c r="H671" s="440" t="s">
        <v>5197</v>
      </c>
      <c r="I671" s="441" t="s">
        <v>5198</v>
      </c>
      <c r="J671" s="450">
        <v>45778</v>
      </c>
      <c r="K671" s="429" t="s">
        <v>2493</v>
      </c>
      <c r="L671" s="444" t="s">
        <v>239</v>
      </c>
      <c r="M671" s="444" t="s">
        <v>1478</v>
      </c>
      <c r="N671" s="441" t="s">
        <v>2572</v>
      </c>
      <c r="O671" s="445" t="s">
        <v>3350</v>
      </c>
      <c r="P671" s="441">
        <v>258</v>
      </c>
      <c r="Q671" s="445">
        <v>210</v>
      </c>
      <c r="R671" s="445" t="s">
        <v>5199</v>
      </c>
      <c r="S671" s="446">
        <v>45826</v>
      </c>
      <c r="T671" s="446">
        <v>45793</v>
      </c>
      <c r="U671" s="446"/>
      <c r="V671" s="447"/>
      <c r="W671" s="447">
        <v>45800</v>
      </c>
      <c r="X671" s="447" t="s">
        <v>8044</v>
      </c>
      <c r="Y671" s="420"/>
      <c r="Z671" s="224" t="str">
        <f t="shared" si="60"/>
        <v>AG. MEDIÇÃO</v>
      </c>
      <c r="AA671" s="207" t="str">
        <f t="shared" si="61"/>
        <v>ENTREGUE</v>
      </c>
      <c r="AB671" s="207" t="str">
        <f t="shared" si="62"/>
        <v>AG. MEDIÇÃO</v>
      </c>
      <c r="AC671" s="156">
        <f t="shared" ca="1" si="63"/>
        <v>5</v>
      </c>
      <c r="AD671" s="156" t="str">
        <f t="shared" ca="1" si="64"/>
        <v>ATRASADO</v>
      </c>
      <c r="AE671" s="156">
        <f t="shared" ca="1" si="65"/>
        <v>2</v>
      </c>
    </row>
    <row r="672" spans="1:31" ht="36" hidden="1" customHeight="1">
      <c r="A672" s="414"/>
      <c r="B672" s="429" t="s">
        <v>7794</v>
      </c>
      <c r="C672" s="430" t="s">
        <v>2359</v>
      </c>
      <c r="D672" s="430" t="s">
        <v>2231</v>
      </c>
      <c r="E672" s="432" t="s">
        <v>2360</v>
      </c>
      <c r="F672" s="429" t="s">
        <v>427</v>
      </c>
      <c r="G672" s="434" t="s">
        <v>7809</v>
      </c>
      <c r="H672" s="636" t="s">
        <v>7808</v>
      </c>
      <c r="I672" s="433" t="s">
        <v>7810</v>
      </c>
      <c r="J672" s="432">
        <v>46174</v>
      </c>
      <c r="K672" s="429" t="s">
        <v>2493</v>
      </c>
      <c r="L672" s="436" t="s">
        <v>124</v>
      </c>
      <c r="M672" s="436" t="s">
        <v>7972</v>
      </c>
      <c r="N672" s="433"/>
      <c r="O672" s="437" t="s">
        <v>85</v>
      </c>
      <c r="P672" s="433">
        <v>192</v>
      </c>
      <c r="Q672" s="437">
        <v>155</v>
      </c>
      <c r="R672" s="437" t="s">
        <v>8311</v>
      </c>
      <c r="S672" s="438">
        <v>46244</v>
      </c>
      <c r="T672" s="438">
        <v>46188</v>
      </c>
      <c r="U672" s="438"/>
      <c r="V672" s="439"/>
      <c r="W672" s="439">
        <v>46197</v>
      </c>
      <c r="X672" s="439">
        <v>46244</v>
      </c>
      <c r="Y672" s="420"/>
      <c r="Z672" s="224" t="str">
        <f t="shared" si="60"/>
        <v>AG. MEDIÇÃO</v>
      </c>
      <c r="AA672" s="207" t="str">
        <f t="shared" si="61"/>
        <v>ENTREGUE</v>
      </c>
      <c r="AB672" s="207" t="str">
        <f t="shared" si="62"/>
        <v>AG. MEDIÇÃO</v>
      </c>
      <c r="AC672" s="156">
        <f t="shared" ca="1" si="63"/>
        <v>7</v>
      </c>
      <c r="AD672" s="156" t="str">
        <f t="shared" ca="1" si="64"/>
        <v>ATRASADO</v>
      </c>
      <c r="AE672" s="156">
        <f t="shared" ca="1" si="65"/>
        <v>4</v>
      </c>
    </row>
    <row r="673" spans="1:31" ht="36" hidden="1" customHeight="1">
      <c r="A673" s="414"/>
      <c r="B673" s="440" t="s">
        <v>4799</v>
      </c>
      <c r="C673" s="440" t="s">
        <v>2496</v>
      </c>
      <c r="D673" s="440"/>
      <c r="E673" s="440"/>
      <c r="F673" s="440" t="s">
        <v>2498</v>
      </c>
      <c r="G673" s="441"/>
      <c r="H673" s="440" t="s">
        <v>4800</v>
      </c>
      <c r="I673" s="441" t="s">
        <v>4801</v>
      </c>
      <c r="J673" s="450">
        <v>45689</v>
      </c>
      <c r="K673" s="429" t="s">
        <v>2493</v>
      </c>
      <c r="L673" s="444"/>
      <c r="M673" s="444" t="s">
        <v>2501</v>
      </c>
      <c r="N673" s="441"/>
      <c r="O673" s="445"/>
      <c r="P673" s="441" t="s">
        <v>2494</v>
      </c>
      <c r="Q673" s="445" t="s">
        <v>2494</v>
      </c>
      <c r="R673" s="445" t="s">
        <v>4802</v>
      </c>
      <c r="S673" s="446">
        <v>45734</v>
      </c>
      <c r="T673" s="446">
        <v>45699</v>
      </c>
      <c r="U673" s="446">
        <v>45700</v>
      </c>
      <c r="V673" s="447"/>
      <c r="W673" s="447">
        <v>45714</v>
      </c>
      <c r="X673" s="447" t="s">
        <v>8044</v>
      </c>
      <c r="Y673" s="420"/>
      <c r="Z673" s="224" t="str">
        <f t="shared" si="60"/>
        <v>AG. MEDIÇÃO</v>
      </c>
      <c r="AA673" s="207" t="str">
        <f t="shared" si="61"/>
        <v>ENTREGUE</v>
      </c>
      <c r="AB673" s="207" t="str">
        <f t="shared" si="62"/>
        <v>AG. MEDIÇÃO</v>
      </c>
      <c r="AC673" s="156">
        <f t="shared" ca="1" si="63"/>
        <v>11</v>
      </c>
      <c r="AD673" s="156" t="str">
        <f t="shared" ca="1" si="64"/>
        <v>ATRASADO</v>
      </c>
      <c r="AE673" s="156">
        <f t="shared" ca="1" si="65"/>
        <v>8</v>
      </c>
    </row>
    <row r="674" spans="1:31" ht="36" hidden="1" customHeight="1">
      <c r="A674" s="414"/>
      <c r="B674" s="440" t="s">
        <v>4920</v>
      </c>
      <c r="C674" s="440" t="s">
        <v>248</v>
      </c>
      <c r="D674" s="440" t="s">
        <v>440</v>
      </c>
      <c r="E674" s="440" t="s">
        <v>249</v>
      </c>
      <c r="F674" s="440" t="s">
        <v>42</v>
      </c>
      <c r="G674" s="441"/>
      <c r="H674" s="440" t="s">
        <v>4921</v>
      </c>
      <c r="I674" s="441" t="s">
        <v>4922</v>
      </c>
      <c r="J674" s="450">
        <v>45717</v>
      </c>
      <c r="K674" s="429" t="s">
        <v>2493</v>
      </c>
      <c r="L674" s="444" t="s">
        <v>124</v>
      </c>
      <c r="M674" s="444" t="s">
        <v>132</v>
      </c>
      <c r="N674" s="441" t="s">
        <v>2572</v>
      </c>
      <c r="O674" s="445" t="s">
        <v>3350</v>
      </c>
      <c r="P674" s="441">
        <v>1100</v>
      </c>
      <c r="Q674" s="445">
        <v>1115</v>
      </c>
      <c r="R674" s="445" t="s">
        <v>4923</v>
      </c>
      <c r="S674" s="446">
        <v>45734</v>
      </c>
      <c r="T674" s="446">
        <v>45728</v>
      </c>
      <c r="U674" s="446">
        <v>45729</v>
      </c>
      <c r="V674" s="447">
        <v>45730</v>
      </c>
      <c r="W674" s="447">
        <v>45730</v>
      </c>
      <c r="X674" s="447" t="s">
        <v>8044</v>
      </c>
      <c r="Y674" s="420"/>
      <c r="Z674" s="224" t="str">
        <f t="shared" si="60"/>
        <v>AG. MEDIÇÃO</v>
      </c>
      <c r="AA674" s="207" t="str">
        <f t="shared" si="61"/>
        <v>ENTREGUE</v>
      </c>
      <c r="AB674" s="207" t="str">
        <f t="shared" si="62"/>
        <v>AG. MEDIÇÃO</v>
      </c>
      <c r="AC674" s="156">
        <f t="shared" ca="1" si="63"/>
        <v>2</v>
      </c>
      <c r="AD674" s="156" t="str">
        <f t="shared" ca="1" si="64"/>
        <v>NO PRAZO</v>
      </c>
      <c r="AE674" s="156">
        <f t="shared" ca="1" si="65"/>
        <v>-1</v>
      </c>
    </row>
    <row r="675" spans="1:31" ht="36" hidden="1" customHeight="1">
      <c r="A675" s="414"/>
      <c r="B675" s="440" t="s">
        <v>4126</v>
      </c>
      <c r="C675" s="440" t="s">
        <v>410</v>
      </c>
      <c r="D675" s="440" t="s">
        <v>4127</v>
      </c>
      <c r="E675" s="440" t="s">
        <v>411</v>
      </c>
      <c r="F675" s="440" t="s">
        <v>42</v>
      </c>
      <c r="G675" s="441" t="s">
        <v>4128</v>
      </c>
      <c r="H675" s="440" t="s">
        <v>4129</v>
      </c>
      <c r="I675" s="441" t="s">
        <v>4130</v>
      </c>
      <c r="J675" s="450">
        <v>45505</v>
      </c>
      <c r="K675" s="429" t="s">
        <v>2493</v>
      </c>
      <c r="L675" s="444" t="s">
        <v>1208</v>
      </c>
      <c r="M675" s="444" t="s">
        <v>51</v>
      </c>
      <c r="N675" s="441" t="s">
        <v>2572</v>
      </c>
      <c r="O675" s="445" t="s">
        <v>85</v>
      </c>
      <c r="P675" s="445"/>
      <c r="Q675" s="445">
        <v>396</v>
      </c>
      <c r="R675" s="445" t="s">
        <v>4131</v>
      </c>
      <c r="S675" s="446">
        <v>45532</v>
      </c>
      <c r="T675" s="446">
        <v>45505</v>
      </c>
      <c r="U675" s="446">
        <v>45516</v>
      </c>
      <c r="V675" s="447">
        <v>45525</v>
      </c>
      <c r="W675" s="447">
        <v>45525</v>
      </c>
      <c r="X675" s="447" t="s">
        <v>8044</v>
      </c>
      <c r="Y675" s="420"/>
      <c r="Z675" s="224" t="str">
        <f t="shared" si="60"/>
        <v>AG. MEDIÇÃO</v>
      </c>
      <c r="AA675" s="207" t="str">
        <f t="shared" si="61"/>
        <v>ENTREGUE</v>
      </c>
      <c r="AB675" s="207" t="str">
        <f t="shared" si="62"/>
        <v>AG. MEDIÇÃO</v>
      </c>
      <c r="AC675" s="156">
        <f t="shared" ca="1" si="63"/>
        <v>14</v>
      </c>
      <c r="AD675" s="156" t="str">
        <f t="shared" ca="1" si="64"/>
        <v>ATRASADO</v>
      </c>
      <c r="AE675" s="156">
        <f t="shared" ca="1" si="65"/>
        <v>11</v>
      </c>
    </row>
    <row r="676" spans="1:31" ht="36" hidden="1" customHeight="1">
      <c r="A676" s="414"/>
      <c r="B676" s="440" t="s">
        <v>3242</v>
      </c>
      <c r="C676" s="440" t="s">
        <v>989</v>
      </c>
      <c r="D676" s="440"/>
      <c r="E676" s="440"/>
      <c r="F676" s="440" t="s">
        <v>42</v>
      </c>
      <c r="G676" s="441" t="s">
        <v>3243</v>
      </c>
      <c r="H676" s="440" t="s">
        <v>3244</v>
      </c>
      <c r="I676" s="449"/>
      <c r="J676" s="450">
        <v>45231</v>
      </c>
      <c r="K676" s="429" t="s">
        <v>2493</v>
      </c>
      <c r="L676" s="444"/>
      <c r="M676" s="444" t="s">
        <v>3245</v>
      </c>
      <c r="N676" s="441" t="s">
        <v>2572</v>
      </c>
      <c r="O676" s="445" t="s">
        <v>85</v>
      </c>
      <c r="P676" s="441" t="s">
        <v>2494</v>
      </c>
      <c r="Q676" s="441" t="s">
        <v>2494</v>
      </c>
      <c r="R676" s="445" t="s">
        <v>3246</v>
      </c>
      <c r="S676" s="446">
        <v>45260</v>
      </c>
      <c r="T676" s="446">
        <v>45253</v>
      </c>
      <c r="U676" s="446"/>
      <c r="V676" s="446">
        <v>45254</v>
      </c>
      <c r="W676" s="446">
        <v>45254</v>
      </c>
      <c r="X676" s="447" t="s">
        <v>8044</v>
      </c>
      <c r="Y676" s="420"/>
      <c r="Z676" s="224" t="str">
        <f t="shared" si="60"/>
        <v>AG. MEDIÇÃO</v>
      </c>
      <c r="AA676" s="207" t="str">
        <f t="shared" si="61"/>
        <v>ENTREGUE</v>
      </c>
      <c r="AB676" s="207" t="str">
        <f t="shared" si="62"/>
        <v>AG. MEDIÇÃO</v>
      </c>
      <c r="AC676" s="156">
        <f t="shared" ca="1" si="63"/>
        <v>1</v>
      </c>
      <c r="AD676" s="156" t="str">
        <f t="shared" ca="1" si="64"/>
        <v>NO PRAZO</v>
      </c>
      <c r="AE676" s="156">
        <f t="shared" ca="1" si="65"/>
        <v>-2</v>
      </c>
    </row>
    <row r="677" spans="1:31" ht="36" hidden="1" customHeight="1">
      <c r="A677" s="414"/>
      <c r="B677" s="440" t="s">
        <v>4421</v>
      </c>
      <c r="C677" s="440" t="s">
        <v>425</v>
      </c>
      <c r="D677" s="440" t="s">
        <v>4422</v>
      </c>
      <c r="E677" s="440" t="s">
        <v>1551</v>
      </c>
      <c r="F677" s="440" t="s">
        <v>42</v>
      </c>
      <c r="G677" s="441" t="s">
        <v>4423</v>
      </c>
      <c r="H677" s="440" t="s">
        <v>4424</v>
      </c>
      <c r="I677" s="441" t="s">
        <v>4425</v>
      </c>
      <c r="J677" s="450">
        <v>45536</v>
      </c>
      <c r="K677" s="429" t="s">
        <v>2493</v>
      </c>
      <c r="L677" s="444" t="s">
        <v>76</v>
      </c>
      <c r="M677" s="444" t="s">
        <v>132</v>
      </c>
      <c r="N677" s="441" t="s">
        <v>2572</v>
      </c>
      <c r="O677" s="445" t="s">
        <v>85</v>
      </c>
      <c r="P677" s="445">
        <v>100</v>
      </c>
      <c r="Q677" s="445">
        <v>167</v>
      </c>
      <c r="R677" s="445" t="s">
        <v>4426</v>
      </c>
      <c r="S677" s="446">
        <v>45555</v>
      </c>
      <c r="T677" s="446">
        <v>45547</v>
      </c>
      <c r="U677" s="446">
        <v>45552</v>
      </c>
      <c r="V677" s="447">
        <v>45553</v>
      </c>
      <c r="W677" s="447">
        <v>45553</v>
      </c>
      <c r="X677" s="447" t="s">
        <v>8044</v>
      </c>
      <c r="Y677" s="420"/>
      <c r="Z677" s="224" t="str">
        <f t="shared" si="60"/>
        <v>AG. MEDIÇÃO</v>
      </c>
      <c r="AA677" s="207" t="str">
        <f t="shared" si="61"/>
        <v>ENTREGUE</v>
      </c>
      <c r="AB677" s="207" t="str">
        <f t="shared" si="62"/>
        <v>AG. MEDIÇÃO</v>
      </c>
      <c r="AC677" s="156">
        <f t="shared" ca="1" si="63"/>
        <v>4</v>
      </c>
      <c r="AD677" s="156" t="str">
        <f t="shared" ca="1" si="64"/>
        <v>ATRASADO</v>
      </c>
      <c r="AE677" s="156">
        <f t="shared" ca="1" si="65"/>
        <v>1</v>
      </c>
    </row>
    <row r="678" spans="1:31" ht="36" hidden="1" customHeight="1">
      <c r="A678" s="414"/>
      <c r="B678" s="440" t="s">
        <v>4993</v>
      </c>
      <c r="C678" s="440" t="s">
        <v>142</v>
      </c>
      <c r="D678" s="440" t="s">
        <v>144</v>
      </c>
      <c r="E678" s="440" t="s">
        <v>143</v>
      </c>
      <c r="F678" s="440" t="s">
        <v>42</v>
      </c>
      <c r="G678" s="441" t="s">
        <v>4994</v>
      </c>
      <c r="H678" s="440" t="s">
        <v>4995</v>
      </c>
      <c r="I678" s="441" t="s">
        <v>4996</v>
      </c>
      <c r="J678" s="450">
        <v>45717</v>
      </c>
      <c r="K678" s="429" t="s">
        <v>2493</v>
      </c>
      <c r="L678" s="444" t="s">
        <v>200</v>
      </c>
      <c r="M678" s="444" t="s">
        <v>200</v>
      </c>
      <c r="N678" s="441" t="s">
        <v>2572</v>
      </c>
      <c r="O678" s="445" t="s">
        <v>3350</v>
      </c>
      <c r="P678" s="441">
        <v>300</v>
      </c>
      <c r="Q678" s="445">
        <v>300</v>
      </c>
      <c r="R678" s="445" t="s">
        <v>4997</v>
      </c>
      <c r="S678" s="446">
        <v>45742</v>
      </c>
      <c r="T678" s="446">
        <v>45733</v>
      </c>
      <c r="U678" s="446">
        <v>45735</v>
      </c>
      <c r="V678" s="447">
        <v>45737</v>
      </c>
      <c r="W678" s="447">
        <v>45741</v>
      </c>
      <c r="X678" s="447" t="s">
        <v>8044</v>
      </c>
      <c r="Y678" s="420"/>
      <c r="Z678" s="224" t="str">
        <f t="shared" si="60"/>
        <v>AG. MEDIÇÃO</v>
      </c>
      <c r="AA678" s="207" t="str">
        <f t="shared" si="61"/>
        <v>ENTREGUE</v>
      </c>
      <c r="AB678" s="207" t="str">
        <f t="shared" si="62"/>
        <v>AG. MEDIÇÃO</v>
      </c>
      <c r="AC678" s="156">
        <f t="shared" ca="1" si="63"/>
        <v>6</v>
      </c>
      <c r="AD678" s="156" t="str">
        <f t="shared" ca="1" si="64"/>
        <v>ATRASADO</v>
      </c>
      <c r="AE678" s="156">
        <f t="shared" ca="1" si="65"/>
        <v>3</v>
      </c>
    </row>
    <row r="679" spans="1:31" ht="36" hidden="1" customHeight="1">
      <c r="A679" s="414"/>
      <c r="B679" s="440" t="s">
        <v>4431</v>
      </c>
      <c r="C679" s="440" t="s">
        <v>336</v>
      </c>
      <c r="D679" s="440" t="s">
        <v>338</v>
      </c>
      <c r="E679" s="440" t="s">
        <v>337</v>
      </c>
      <c r="F679" s="440" t="s">
        <v>42</v>
      </c>
      <c r="G679" s="441" t="s">
        <v>4432</v>
      </c>
      <c r="H679" s="440" t="s">
        <v>4433</v>
      </c>
      <c r="I679" s="441" t="s">
        <v>4434</v>
      </c>
      <c r="J679" s="450">
        <v>45536</v>
      </c>
      <c r="K679" s="429" t="s">
        <v>2493</v>
      </c>
      <c r="L679" s="444"/>
      <c r="M679" s="444" t="s">
        <v>774</v>
      </c>
      <c r="N679" s="441" t="s">
        <v>2572</v>
      </c>
      <c r="O679" s="445" t="s">
        <v>3350</v>
      </c>
      <c r="P679" s="441" t="s">
        <v>2494</v>
      </c>
      <c r="Q679" s="441" t="s">
        <v>2494</v>
      </c>
      <c r="R679" s="445" t="s">
        <v>3386</v>
      </c>
      <c r="S679" s="446">
        <v>45575</v>
      </c>
      <c r="T679" s="446">
        <v>45547</v>
      </c>
      <c r="U679" s="446">
        <v>45548</v>
      </c>
      <c r="V679" s="447">
        <v>45553</v>
      </c>
      <c r="W679" s="447">
        <v>45559</v>
      </c>
      <c r="X679" s="447" t="s">
        <v>8044</v>
      </c>
      <c r="Y679" s="420"/>
      <c r="Z679" s="224" t="str">
        <f t="shared" si="60"/>
        <v>AG. MEDIÇÃO</v>
      </c>
      <c r="AA679" s="207" t="str">
        <f t="shared" si="61"/>
        <v>ENTREGUE</v>
      </c>
      <c r="AB679" s="207" t="str">
        <f t="shared" si="62"/>
        <v>AG. MEDIÇÃO</v>
      </c>
      <c r="AC679" s="156">
        <f t="shared" ca="1" si="63"/>
        <v>8</v>
      </c>
      <c r="AD679" s="156" t="str">
        <f t="shared" ca="1" si="64"/>
        <v>ATRASADO</v>
      </c>
      <c r="AE679" s="156">
        <f t="shared" ca="1" si="65"/>
        <v>5</v>
      </c>
    </row>
    <row r="680" spans="1:31" ht="36" hidden="1" customHeight="1">
      <c r="A680" s="414"/>
      <c r="B680" s="440" t="s">
        <v>4764</v>
      </c>
      <c r="C680" s="440" t="s">
        <v>336</v>
      </c>
      <c r="D680" s="440" t="s">
        <v>338</v>
      </c>
      <c r="E680" s="440" t="s">
        <v>337</v>
      </c>
      <c r="F680" s="440" t="s">
        <v>42</v>
      </c>
      <c r="G680" s="441" t="s">
        <v>4765</v>
      </c>
      <c r="H680" s="440" t="s">
        <v>4766</v>
      </c>
      <c r="I680" s="441" t="s">
        <v>4767</v>
      </c>
      <c r="J680" s="450">
        <v>45689</v>
      </c>
      <c r="K680" s="429" t="s">
        <v>2493</v>
      </c>
      <c r="L680" s="444"/>
      <c r="M680" s="444" t="s">
        <v>200</v>
      </c>
      <c r="N680" s="441" t="s">
        <v>2572</v>
      </c>
      <c r="O680" s="445" t="s">
        <v>3350</v>
      </c>
      <c r="P680" s="441" t="s">
        <v>2494</v>
      </c>
      <c r="Q680" s="445" t="s">
        <v>2494</v>
      </c>
      <c r="R680" s="445" t="s">
        <v>4768</v>
      </c>
      <c r="S680" s="446">
        <v>45700</v>
      </c>
      <c r="T680" s="446">
        <v>45694</v>
      </c>
      <c r="U680" s="446">
        <v>45700</v>
      </c>
      <c r="V680" s="447">
        <v>45700</v>
      </c>
      <c r="W680" s="447">
        <v>45700</v>
      </c>
      <c r="X680" s="447" t="s">
        <v>8044</v>
      </c>
      <c r="Y680" s="420"/>
      <c r="Z680" s="224" t="str">
        <f t="shared" si="60"/>
        <v>AG. MEDIÇÃO</v>
      </c>
      <c r="AA680" s="207" t="str">
        <f t="shared" si="61"/>
        <v>ENTREGUE</v>
      </c>
      <c r="AB680" s="207" t="str">
        <f t="shared" si="62"/>
        <v>AG. MEDIÇÃO</v>
      </c>
      <c r="AC680" s="156">
        <f t="shared" ca="1" si="63"/>
        <v>4</v>
      </c>
      <c r="AD680" s="156" t="str">
        <f t="shared" ca="1" si="64"/>
        <v>ATRASADO</v>
      </c>
      <c r="AE680" s="156">
        <f t="shared" ca="1" si="65"/>
        <v>1</v>
      </c>
    </row>
    <row r="681" spans="1:31" ht="36" hidden="1" customHeight="1">
      <c r="A681" s="414"/>
      <c r="B681" s="440" t="s">
        <v>3268</v>
      </c>
      <c r="C681" s="440" t="s">
        <v>152</v>
      </c>
      <c r="D681" s="440"/>
      <c r="E681" s="440"/>
      <c r="F681" s="440" t="s">
        <v>42</v>
      </c>
      <c r="G681" s="441" t="s">
        <v>3269</v>
      </c>
      <c r="H681" s="440" t="s">
        <v>3270</v>
      </c>
      <c r="I681" s="449"/>
      <c r="J681" s="450">
        <v>45231</v>
      </c>
      <c r="K681" s="429" t="s">
        <v>2493</v>
      </c>
      <c r="L681" s="444"/>
      <c r="M681" s="444" t="s">
        <v>714</v>
      </c>
      <c r="N681" s="441" t="s">
        <v>2572</v>
      </c>
      <c r="O681" s="445" t="s">
        <v>2573</v>
      </c>
      <c r="P681" s="441" t="s">
        <v>2494</v>
      </c>
      <c r="Q681" s="441" t="s">
        <v>2494</v>
      </c>
      <c r="R681" s="445" t="s">
        <v>3191</v>
      </c>
      <c r="S681" s="446">
        <v>45273</v>
      </c>
      <c r="T681" s="446">
        <v>45259</v>
      </c>
      <c r="U681" s="446"/>
      <c r="V681" s="446">
        <v>45260</v>
      </c>
      <c r="W681" s="446">
        <v>45260</v>
      </c>
      <c r="X681" s="447" t="s">
        <v>8044</v>
      </c>
      <c r="Y681" s="420"/>
      <c r="Z681" s="224" t="str">
        <f t="shared" si="60"/>
        <v>AG. MEDIÇÃO</v>
      </c>
      <c r="AA681" s="207" t="str">
        <f t="shared" si="61"/>
        <v>ENTREGUE</v>
      </c>
      <c r="AB681" s="207" t="str">
        <f t="shared" si="62"/>
        <v>AG. MEDIÇÃO</v>
      </c>
      <c r="AC681" s="156">
        <f t="shared" ca="1" si="63"/>
        <v>1</v>
      </c>
      <c r="AD681" s="156" t="str">
        <f t="shared" ca="1" si="64"/>
        <v>NO PRAZO</v>
      </c>
      <c r="AE681" s="156">
        <f t="shared" ca="1" si="65"/>
        <v>-2</v>
      </c>
    </row>
    <row r="682" spans="1:31" ht="36" hidden="1" customHeight="1">
      <c r="A682" s="414"/>
      <c r="B682" s="429" t="s">
        <v>7641</v>
      </c>
      <c r="C682" s="430" t="s">
        <v>2359</v>
      </c>
      <c r="D682" s="431"/>
      <c r="E682" s="432" t="s">
        <v>2360</v>
      </c>
      <c r="F682" s="429" t="s">
        <v>427</v>
      </c>
      <c r="G682" s="434" t="s">
        <v>7605</v>
      </c>
      <c r="H682" s="636" t="s">
        <v>7606</v>
      </c>
      <c r="I682" s="433" t="s">
        <v>7607</v>
      </c>
      <c r="J682" s="432">
        <v>46143</v>
      </c>
      <c r="K682" s="429" t="s">
        <v>2493</v>
      </c>
      <c r="L682" s="487"/>
      <c r="M682" s="436" t="s">
        <v>77</v>
      </c>
      <c r="N682" s="433"/>
      <c r="O682" s="437" t="s">
        <v>85</v>
      </c>
      <c r="P682" s="433" t="s">
        <v>2494</v>
      </c>
      <c r="Q682" s="437" t="s">
        <v>2494</v>
      </c>
      <c r="R682" s="437" t="s">
        <v>7971</v>
      </c>
      <c r="S682" s="438">
        <v>46254</v>
      </c>
      <c r="T682" s="438">
        <v>46167</v>
      </c>
      <c r="U682" s="438"/>
      <c r="V682" s="439"/>
      <c r="W682" s="439">
        <v>46168</v>
      </c>
      <c r="X682" s="439">
        <v>46205</v>
      </c>
      <c r="Y682" s="420"/>
      <c r="Z682" s="224" t="str">
        <f t="shared" si="60"/>
        <v>AG. MEDIÇÃO</v>
      </c>
      <c r="AA682" s="207" t="str">
        <f t="shared" si="61"/>
        <v>ENTREGUE</v>
      </c>
      <c r="AB682" s="207" t="str">
        <f t="shared" si="62"/>
        <v>AG. MEDIÇÃO</v>
      </c>
      <c r="AC682" s="156">
        <f t="shared" ca="1" si="63"/>
        <v>1</v>
      </c>
      <c r="AD682" s="156" t="str">
        <f t="shared" ca="1" si="64"/>
        <v>NO PRAZO</v>
      </c>
      <c r="AE682" s="156">
        <f t="shared" ca="1" si="65"/>
        <v>-2</v>
      </c>
    </row>
    <row r="683" spans="1:31" ht="36" hidden="1" customHeight="1">
      <c r="A683" s="414"/>
      <c r="B683" s="429" t="s">
        <v>7614</v>
      </c>
      <c r="C683" s="430" t="s">
        <v>2359</v>
      </c>
      <c r="D683" s="431" t="s">
        <v>7028</v>
      </c>
      <c r="E683" s="432" t="s">
        <v>2360</v>
      </c>
      <c r="F683" s="429" t="s">
        <v>427</v>
      </c>
      <c r="G683" s="434" t="s">
        <v>7594</v>
      </c>
      <c r="H683" s="636" t="s">
        <v>7595</v>
      </c>
      <c r="I683" s="433" t="s">
        <v>7596</v>
      </c>
      <c r="J683" s="432">
        <v>46143</v>
      </c>
      <c r="K683" s="429" t="s">
        <v>2493</v>
      </c>
      <c r="L683" s="487"/>
      <c r="M683" s="436" t="s">
        <v>77</v>
      </c>
      <c r="N683" s="433"/>
      <c r="O683" s="437" t="s">
        <v>85</v>
      </c>
      <c r="P683" s="433" t="s">
        <v>2494</v>
      </c>
      <c r="Q683" s="437" t="s">
        <v>2494</v>
      </c>
      <c r="R683" s="437" t="s">
        <v>7925</v>
      </c>
      <c r="S683" s="438">
        <v>46196</v>
      </c>
      <c r="T683" s="438">
        <v>46167</v>
      </c>
      <c r="U683" s="438"/>
      <c r="V683" s="439"/>
      <c r="W683" s="439">
        <v>46167</v>
      </c>
      <c r="X683" s="439">
        <v>46196</v>
      </c>
      <c r="Y683" s="420"/>
      <c r="Z683" s="224" t="str">
        <f t="shared" si="60"/>
        <v>AG. MEDIÇÃO</v>
      </c>
      <c r="AA683" s="207" t="str">
        <f t="shared" si="61"/>
        <v>ENTREGUE</v>
      </c>
      <c r="AB683" s="207" t="str">
        <f t="shared" si="62"/>
        <v>AG. MEDIÇÃO</v>
      </c>
      <c r="AC683" s="156">
        <f t="shared" ca="1" si="63"/>
        <v>0</v>
      </c>
      <c r="AD683" s="156" t="str">
        <f t="shared" ca="1" si="64"/>
        <v>NO PRAZO</v>
      </c>
      <c r="AE683" s="156">
        <f t="shared" ca="1" si="65"/>
        <v>-3</v>
      </c>
    </row>
    <row r="684" spans="1:31" ht="36" hidden="1" customHeight="1">
      <c r="A684" s="414"/>
      <c r="B684" s="440" t="s">
        <v>3380</v>
      </c>
      <c r="C684" s="440" t="s">
        <v>373</v>
      </c>
      <c r="D684" s="440"/>
      <c r="E684" s="440"/>
      <c r="F684" s="440" t="s">
        <v>42</v>
      </c>
      <c r="G684" s="441" t="s">
        <v>3381</v>
      </c>
      <c r="H684" s="440" t="s">
        <v>3382</v>
      </c>
      <c r="I684" s="441"/>
      <c r="J684" s="450">
        <v>45292</v>
      </c>
      <c r="K684" s="429" t="s">
        <v>2493</v>
      </c>
      <c r="L684" s="444" t="s">
        <v>1204</v>
      </c>
      <c r="M684" s="444" t="s">
        <v>714</v>
      </c>
      <c r="N684" s="441" t="s">
        <v>2572</v>
      </c>
      <c r="O684" s="445" t="s">
        <v>85</v>
      </c>
      <c r="P684" s="445"/>
      <c r="Q684" s="441">
        <v>288</v>
      </c>
      <c r="R684" s="445" t="s">
        <v>3383</v>
      </c>
      <c r="S684" s="446">
        <v>45345</v>
      </c>
      <c r="T684" s="446">
        <v>45296</v>
      </c>
      <c r="U684" s="446">
        <v>45296</v>
      </c>
      <c r="V684" s="446">
        <v>45299</v>
      </c>
      <c r="W684" s="447">
        <v>45302</v>
      </c>
      <c r="X684" s="447" t="s">
        <v>8044</v>
      </c>
      <c r="Y684" s="420"/>
      <c r="Z684" s="224" t="str">
        <f t="shared" si="60"/>
        <v>AG. MEDIÇÃO</v>
      </c>
      <c r="AA684" s="207" t="str">
        <f t="shared" si="61"/>
        <v>ENTREGUE</v>
      </c>
      <c r="AB684" s="207" t="str">
        <f t="shared" si="62"/>
        <v>AG. MEDIÇÃO</v>
      </c>
      <c r="AC684" s="156">
        <f t="shared" ca="1" si="63"/>
        <v>4</v>
      </c>
      <c r="AD684" s="156" t="str">
        <f t="shared" ca="1" si="64"/>
        <v>ATRASADO</v>
      </c>
      <c r="AE684" s="156">
        <f t="shared" ca="1" si="65"/>
        <v>1</v>
      </c>
    </row>
    <row r="685" spans="1:31" ht="36" hidden="1" customHeight="1">
      <c r="A685" s="414"/>
      <c r="B685" s="429" t="s">
        <v>8202</v>
      </c>
      <c r="C685" s="429" t="s">
        <v>600</v>
      </c>
      <c r="D685" s="429"/>
      <c r="E685" s="429" t="s">
        <v>601</v>
      </c>
      <c r="F685" s="429" t="s">
        <v>42</v>
      </c>
      <c r="G685" s="562" t="s">
        <v>8230</v>
      </c>
      <c r="H685" s="562" t="s">
        <v>8227</v>
      </c>
      <c r="I685" s="562" t="s">
        <v>8231</v>
      </c>
      <c r="J685" s="432">
        <v>46204</v>
      </c>
      <c r="K685" s="429" t="s">
        <v>2493</v>
      </c>
      <c r="L685" s="436"/>
      <c r="M685" s="436" t="s">
        <v>62</v>
      </c>
      <c r="N685" s="437"/>
      <c r="O685" s="437"/>
      <c r="P685" s="436" t="s">
        <v>2494</v>
      </c>
      <c r="Q685" s="436" t="s">
        <v>2494</v>
      </c>
      <c r="R685" s="499"/>
      <c r="S685" s="438"/>
      <c r="T685" s="438">
        <v>46234</v>
      </c>
      <c r="U685" s="438"/>
      <c r="V685" s="438">
        <v>46238</v>
      </c>
      <c r="W685" s="438">
        <v>46238</v>
      </c>
      <c r="X685" s="439"/>
      <c r="Y685" s="420"/>
      <c r="Z685" s="224" t="str">
        <f t="shared" si="60"/>
        <v>AG. RELATÓRIO</v>
      </c>
      <c r="AA685" s="207" t="str">
        <f t="shared" si="61"/>
        <v>PENDENTE</v>
      </c>
      <c r="AB685" s="207" t="str">
        <f t="shared" si="62"/>
        <v>AG. RELATÓRIO</v>
      </c>
      <c r="AC685" s="156">
        <f t="shared" ca="1" si="63"/>
        <v>2</v>
      </c>
      <c r="AD685" s="156" t="str">
        <f t="shared" ca="1" si="64"/>
        <v>NO PRAZO</v>
      </c>
      <c r="AE685" s="156">
        <f t="shared" ca="1" si="65"/>
        <v>-1</v>
      </c>
    </row>
    <row r="686" spans="1:31" ht="36" hidden="1" customHeight="1">
      <c r="A686" s="414"/>
      <c r="B686" s="440" t="s">
        <v>4197</v>
      </c>
      <c r="C686" s="440" t="s">
        <v>571</v>
      </c>
      <c r="D686" s="440" t="s">
        <v>4198</v>
      </c>
      <c r="E686" s="440" t="s">
        <v>572</v>
      </c>
      <c r="F686" s="440" t="s">
        <v>42</v>
      </c>
      <c r="G686" s="441" t="s">
        <v>4199</v>
      </c>
      <c r="H686" s="440" t="s">
        <v>4200</v>
      </c>
      <c r="I686" s="441" t="s">
        <v>4201</v>
      </c>
      <c r="J686" s="450">
        <v>45505</v>
      </c>
      <c r="K686" s="429" t="s">
        <v>2493</v>
      </c>
      <c r="L686" s="444"/>
      <c r="M686" s="444" t="s">
        <v>132</v>
      </c>
      <c r="N686" s="441" t="s">
        <v>2572</v>
      </c>
      <c r="O686" s="445" t="s">
        <v>85</v>
      </c>
      <c r="P686" s="441" t="s">
        <v>2494</v>
      </c>
      <c r="Q686" s="441" t="s">
        <v>2494</v>
      </c>
      <c r="R686" s="445" t="s">
        <v>3191</v>
      </c>
      <c r="S686" s="446">
        <v>45545</v>
      </c>
      <c r="T686" s="446">
        <v>45524</v>
      </c>
      <c r="U686" s="446">
        <v>45525</v>
      </c>
      <c r="V686" s="447">
        <v>45525</v>
      </c>
      <c r="W686" s="447">
        <v>45525</v>
      </c>
      <c r="X686" s="447" t="s">
        <v>8044</v>
      </c>
      <c r="Y686" s="420"/>
      <c r="Z686" s="224" t="str">
        <f t="shared" si="60"/>
        <v>AG. MEDIÇÃO</v>
      </c>
      <c r="AA686" s="207" t="str">
        <f t="shared" si="61"/>
        <v>ENTREGUE</v>
      </c>
      <c r="AB686" s="207" t="str">
        <f t="shared" si="62"/>
        <v>AG. MEDIÇÃO</v>
      </c>
      <c r="AC686" s="156">
        <f t="shared" ca="1" si="63"/>
        <v>1</v>
      </c>
      <c r="AD686" s="156" t="str">
        <f t="shared" ca="1" si="64"/>
        <v>NO PRAZO</v>
      </c>
      <c r="AE686" s="156">
        <f t="shared" ca="1" si="65"/>
        <v>-2</v>
      </c>
    </row>
    <row r="687" spans="1:31" ht="36" hidden="1" customHeight="1">
      <c r="A687" s="414"/>
      <c r="B687" s="440" t="s">
        <v>4471</v>
      </c>
      <c r="C687" s="440" t="s">
        <v>232</v>
      </c>
      <c r="D687" s="440" t="s">
        <v>1064</v>
      </c>
      <c r="E687" s="440" t="s">
        <v>389</v>
      </c>
      <c r="F687" s="440" t="s">
        <v>42</v>
      </c>
      <c r="G687" s="441" t="s">
        <v>4472</v>
      </c>
      <c r="H687" s="440" t="s">
        <v>4473</v>
      </c>
      <c r="I687" s="441" t="s">
        <v>4474</v>
      </c>
      <c r="J687" s="450">
        <v>45566</v>
      </c>
      <c r="K687" s="429" t="s">
        <v>2493</v>
      </c>
      <c r="L687" s="444"/>
      <c r="M687" s="444" t="s">
        <v>132</v>
      </c>
      <c r="N687" s="441" t="s">
        <v>2572</v>
      </c>
      <c r="O687" s="445" t="s">
        <v>3350</v>
      </c>
      <c r="P687" s="441" t="s">
        <v>2494</v>
      </c>
      <c r="Q687" s="441" t="s">
        <v>2494</v>
      </c>
      <c r="R687" s="445" t="s">
        <v>3246</v>
      </c>
      <c r="S687" s="446">
        <v>45575</v>
      </c>
      <c r="T687" s="446">
        <v>45566</v>
      </c>
      <c r="U687" s="446">
        <v>45567</v>
      </c>
      <c r="V687" s="447">
        <v>45567</v>
      </c>
      <c r="W687" s="447">
        <v>45567</v>
      </c>
      <c r="X687" s="447" t="s">
        <v>8044</v>
      </c>
      <c r="Y687" s="420"/>
      <c r="Z687" s="224" t="str">
        <f t="shared" si="60"/>
        <v>AG. MEDIÇÃO</v>
      </c>
      <c r="AA687" s="207" t="str">
        <f t="shared" si="61"/>
        <v>ENTREGUE</v>
      </c>
      <c r="AB687" s="207" t="str">
        <f t="shared" si="62"/>
        <v>AG. MEDIÇÃO</v>
      </c>
      <c r="AC687" s="156">
        <f t="shared" ca="1" si="63"/>
        <v>1</v>
      </c>
      <c r="AD687" s="156" t="str">
        <f t="shared" ca="1" si="64"/>
        <v>NO PRAZO</v>
      </c>
      <c r="AE687" s="156">
        <f t="shared" ca="1" si="65"/>
        <v>-2</v>
      </c>
    </row>
    <row r="688" spans="1:31" ht="36" hidden="1" customHeight="1">
      <c r="A688" s="414"/>
      <c r="B688" s="440" t="s">
        <v>4950</v>
      </c>
      <c r="C688" s="440" t="s">
        <v>54</v>
      </c>
      <c r="D688" s="440" t="s">
        <v>286</v>
      </c>
      <c r="E688" s="440" t="s">
        <v>55</v>
      </c>
      <c r="F688" s="440" t="s">
        <v>42</v>
      </c>
      <c r="G688" s="441" t="s">
        <v>4951</v>
      </c>
      <c r="H688" s="440" t="s">
        <v>4952</v>
      </c>
      <c r="I688" s="441" t="s">
        <v>4953</v>
      </c>
      <c r="J688" s="450">
        <v>45717</v>
      </c>
      <c r="K688" s="429" t="s">
        <v>2493</v>
      </c>
      <c r="L688" s="444"/>
      <c r="M688" s="444" t="s">
        <v>132</v>
      </c>
      <c r="N688" s="441" t="s">
        <v>2572</v>
      </c>
      <c r="O688" s="445" t="s">
        <v>3350</v>
      </c>
      <c r="P688" s="441" t="s">
        <v>2494</v>
      </c>
      <c r="Q688" s="445" t="s">
        <v>2494</v>
      </c>
      <c r="R688" s="445" t="s">
        <v>4954</v>
      </c>
      <c r="S688" s="446">
        <v>45739</v>
      </c>
      <c r="T688" s="446">
        <v>45730</v>
      </c>
      <c r="U688" s="446">
        <v>45733</v>
      </c>
      <c r="V688" s="447">
        <v>45734</v>
      </c>
      <c r="W688" s="447">
        <v>45734</v>
      </c>
      <c r="X688" s="447" t="s">
        <v>8044</v>
      </c>
      <c r="Y688" s="420"/>
      <c r="Z688" s="224" t="str">
        <f t="shared" si="60"/>
        <v>AG. MEDIÇÃO</v>
      </c>
      <c r="AA688" s="207" t="str">
        <f t="shared" si="61"/>
        <v>ENTREGUE</v>
      </c>
      <c r="AB688" s="207" t="str">
        <f t="shared" si="62"/>
        <v>AG. MEDIÇÃO</v>
      </c>
      <c r="AC688" s="156">
        <f t="shared" ca="1" si="63"/>
        <v>2</v>
      </c>
      <c r="AD688" s="156" t="str">
        <f t="shared" ca="1" si="64"/>
        <v>NO PRAZO</v>
      </c>
      <c r="AE688" s="156">
        <f t="shared" ca="1" si="65"/>
        <v>-1</v>
      </c>
    </row>
    <row r="689" spans="1:31" ht="36" hidden="1" customHeight="1">
      <c r="A689" s="414"/>
      <c r="B689" s="440" t="s">
        <v>4625</v>
      </c>
      <c r="C689" s="440" t="s">
        <v>232</v>
      </c>
      <c r="D689" s="440" t="s">
        <v>2687</v>
      </c>
      <c r="E689" s="440" t="s">
        <v>389</v>
      </c>
      <c r="F689" s="440" t="s">
        <v>42</v>
      </c>
      <c r="G689" s="441" t="s">
        <v>4626</v>
      </c>
      <c r="H689" s="440" t="s">
        <v>4627</v>
      </c>
      <c r="I689" s="441" t="s">
        <v>4628</v>
      </c>
      <c r="J689" s="450">
        <v>45597</v>
      </c>
      <c r="K689" s="429" t="s">
        <v>2493</v>
      </c>
      <c r="L689" s="444"/>
      <c r="M689" s="444" t="s">
        <v>132</v>
      </c>
      <c r="N689" s="441" t="s">
        <v>2572</v>
      </c>
      <c r="O689" s="445" t="s">
        <v>4560</v>
      </c>
      <c r="P689" s="445"/>
      <c r="Q689" s="445"/>
      <c r="R689" s="445" t="s">
        <v>4629</v>
      </c>
      <c r="S689" s="446">
        <v>45632</v>
      </c>
      <c r="T689" s="446">
        <v>45624</v>
      </c>
      <c r="U689" s="446"/>
      <c r="V689" s="447"/>
      <c r="W689" s="447">
        <v>45629</v>
      </c>
      <c r="X689" s="447" t="s">
        <v>8044</v>
      </c>
      <c r="Y689" s="420"/>
      <c r="Z689" s="224" t="str">
        <f t="shared" si="60"/>
        <v>AG. MEDIÇÃO</v>
      </c>
      <c r="AA689" s="207" t="str">
        <f t="shared" si="61"/>
        <v>ENTREGUE</v>
      </c>
      <c r="AB689" s="207" t="str">
        <f t="shared" si="62"/>
        <v>AG. MEDIÇÃO</v>
      </c>
      <c r="AC689" s="156">
        <f t="shared" ca="1" si="63"/>
        <v>3</v>
      </c>
      <c r="AD689" s="156" t="str">
        <f t="shared" ca="1" si="64"/>
        <v>NO PRAZO</v>
      </c>
      <c r="AE689" s="156">
        <f t="shared" ca="1" si="65"/>
        <v>0</v>
      </c>
    </row>
    <row r="690" spans="1:31" ht="36" hidden="1" customHeight="1">
      <c r="A690" s="414"/>
      <c r="B690" s="440" t="s">
        <v>4147</v>
      </c>
      <c r="C690" s="440" t="s">
        <v>70</v>
      </c>
      <c r="D690" s="440" t="s">
        <v>507</v>
      </c>
      <c r="E690" s="440" t="s">
        <v>71</v>
      </c>
      <c r="F690" s="440" t="s">
        <v>42</v>
      </c>
      <c r="G690" s="441" t="s">
        <v>4148</v>
      </c>
      <c r="H690" s="440" t="s">
        <v>4149</v>
      </c>
      <c r="I690" s="441" t="s">
        <v>4150</v>
      </c>
      <c r="J690" s="450">
        <v>45505</v>
      </c>
      <c r="K690" s="429" t="s">
        <v>2493</v>
      </c>
      <c r="L690" s="444"/>
      <c r="M690" s="444" t="s">
        <v>132</v>
      </c>
      <c r="N690" s="441" t="s">
        <v>2572</v>
      </c>
      <c r="O690" s="445" t="s">
        <v>85</v>
      </c>
      <c r="P690" s="441" t="s">
        <v>2494</v>
      </c>
      <c r="Q690" s="441" t="s">
        <v>2494</v>
      </c>
      <c r="R690" s="445" t="s">
        <v>4151</v>
      </c>
      <c r="S690" s="446">
        <v>45532</v>
      </c>
      <c r="T690" s="446">
        <v>45516</v>
      </c>
      <c r="U690" s="446">
        <v>45523</v>
      </c>
      <c r="V690" s="446">
        <v>45523</v>
      </c>
      <c r="W690" s="446">
        <v>45523</v>
      </c>
      <c r="X690" s="447" t="s">
        <v>8044</v>
      </c>
      <c r="Y690" s="420"/>
      <c r="Z690" s="224" t="str">
        <f t="shared" si="60"/>
        <v>AG. MEDIÇÃO</v>
      </c>
      <c r="AA690" s="207" t="str">
        <f t="shared" si="61"/>
        <v>ENTREGUE</v>
      </c>
      <c r="AB690" s="207" t="str">
        <f t="shared" si="62"/>
        <v>AG. MEDIÇÃO</v>
      </c>
      <c r="AC690" s="156">
        <f t="shared" ca="1" si="63"/>
        <v>5</v>
      </c>
      <c r="AD690" s="156" t="str">
        <f t="shared" ca="1" si="64"/>
        <v>ATRASADO</v>
      </c>
      <c r="AE690" s="156">
        <f t="shared" ca="1" si="65"/>
        <v>2</v>
      </c>
    </row>
    <row r="691" spans="1:31" ht="36" hidden="1" customHeight="1">
      <c r="A691" s="414"/>
      <c r="B691" s="440" t="s">
        <v>4170</v>
      </c>
      <c r="C691" s="440" t="s">
        <v>111</v>
      </c>
      <c r="D691" s="440" t="s">
        <v>369</v>
      </c>
      <c r="E691" s="440" t="s">
        <v>4101</v>
      </c>
      <c r="F691" s="440" t="s">
        <v>42</v>
      </c>
      <c r="G691" s="441" t="s">
        <v>4171</v>
      </c>
      <c r="H691" s="440" t="s">
        <v>4172</v>
      </c>
      <c r="I691" s="441" t="s">
        <v>4173</v>
      </c>
      <c r="J691" s="450">
        <v>45505</v>
      </c>
      <c r="K691" s="429" t="s">
        <v>2493</v>
      </c>
      <c r="L691" s="444" t="s">
        <v>1208</v>
      </c>
      <c r="M691" s="444" t="s">
        <v>132</v>
      </c>
      <c r="N691" s="441" t="s">
        <v>2572</v>
      </c>
      <c r="O691" s="445" t="s">
        <v>85</v>
      </c>
      <c r="P691" s="445"/>
      <c r="Q691" s="445">
        <v>768</v>
      </c>
      <c r="R691" s="445" t="s">
        <v>4174</v>
      </c>
      <c r="S691" s="446">
        <v>45532</v>
      </c>
      <c r="T691" s="446">
        <v>45518</v>
      </c>
      <c r="U691" s="446">
        <v>45519</v>
      </c>
      <c r="V691" s="447">
        <v>45520</v>
      </c>
      <c r="W691" s="447">
        <v>45520</v>
      </c>
      <c r="X691" s="447" t="s">
        <v>8044</v>
      </c>
      <c r="Y691" s="420"/>
      <c r="Z691" s="224" t="str">
        <f t="shared" si="60"/>
        <v>AG. MEDIÇÃO</v>
      </c>
      <c r="AA691" s="207" t="str">
        <f t="shared" si="61"/>
        <v>ENTREGUE</v>
      </c>
      <c r="AB691" s="207" t="str">
        <f t="shared" si="62"/>
        <v>AG. MEDIÇÃO</v>
      </c>
      <c r="AC691" s="156">
        <f t="shared" ca="1" si="63"/>
        <v>2</v>
      </c>
      <c r="AD691" s="156" t="str">
        <f t="shared" ca="1" si="64"/>
        <v>NO PRAZO</v>
      </c>
      <c r="AE691" s="156">
        <f t="shared" ca="1" si="65"/>
        <v>-1</v>
      </c>
    </row>
    <row r="692" spans="1:31" ht="36" hidden="1" customHeight="1">
      <c r="A692" s="414"/>
      <c r="B692" s="440" t="s">
        <v>4156</v>
      </c>
      <c r="C692" s="440" t="s">
        <v>79</v>
      </c>
      <c r="D692" s="440" t="s">
        <v>620</v>
      </c>
      <c r="E692" s="440" t="s">
        <v>619</v>
      </c>
      <c r="F692" s="440" t="s">
        <v>42</v>
      </c>
      <c r="G692" s="441" t="s">
        <v>4157</v>
      </c>
      <c r="H692" s="440" t="s">
        <v>4158</v>
      </c>
      <c r="I692" s="441" t="s">
        <v>4159</v>
      </c>
      <c r="J692" s="450">
        <v>45505</v>
      </c>
      <c r="K692" s="429" t="s">
        <v>2493</v>
      </c>
      <c r="L692" s="444" t="s">
        <v>1208</v>
      </c>
      <c r="M692" s="444" t="s">
        <v>51</v>
      </c>
      <c r="N692" s="441" t="s">
        <v>2572</v>
      </c>
      <c r="O692" s="445" t="s">
        <v>85</v>
      </c>
      <c r="P692" s="445"/>
      <c r="Q692" s="445">
        <v>199</v>
      </c>
      <c r="R692" s="445" t="s">
        <v>4160</v>
      </c>
      <c r="S692" s="446">
        <v>45532</v>
      </c>
      <c r="T692" s="446">
        <v>45516</v>
      </c>
      <c r="U692" s="446">
        <v>45519</v>
      </c>
      <c r="V692" s="447">
        <v>45519</v>
      </c>
      <c r="W692" s="447">
        <v>45519</v>
      </c>
      <c r="X692" s="447" t="s">
        <v>8044</v>
      </c>
      <c r="Y692" s="420"/>
      <c r="Z692" s="224" t="str">
        <f t="shared" si="60"/>
        <v>AG. MEDIÇÃO</v>
      </c>
      <c r="AA692" s="207" t="str">
        <f t="shared" si="61"/>
        <v>ENTREGUE</v>
      </c>
      <c r="AB692" s="207" t="str">
        <f t="shared" si="62"/>
        <v>AG. MEDIÇÃO</v>
      </c>
      <c r="AC692" s="156">
        <f t="shared" ca="1" si="63"/>
        <v>3</v>
      </c>
      <c r="AD692" s="156" t="str">
        <f t="shared" ca="1" si="64"/>
        <v>NO PRAZO</v>
      </c>
      <c r="AE692" s="156">
        <f t="shared" ca="1" si="65"/>
        <v>0</v>
      </c>
    </row>
    <row r="693" spans="1:31" ht="36" hidden="1" customHeight="1">
      <c r="A693" s="414"/>
      <c r="B693" s="429" t="s">
        <v>7798</v>
      </c>
      <c r="C693" s="430" t="s">
        <v>479</v>
      </c>
      <c r="D693" s="431" t="s">
        <v>481</v>
      </c>
      <c r="E693" s="432" t="s">
        <v>480</v>
      </c>
      <c r="F693" s="429" t="s">
        <v>42</v>
      </c>
      <c r="G693" s="434" t="s">
        <v>7799</v>
      </c>
      <c r="H693" s="636" t="s">
        <v>7800</v>
      </c>
      <c r="I693" s="433" t="s">
        <v>7711</v>
      </c>
      <c r="J693" s="432">
        <v>46174</v>
      </c>
      <c r="K693" s="429" t="s">
        <v>2493</v>
      </c>
      <c r="L693" s="436"/>
      <c r="M693" s="436" t="s">
        <v>62</v>
      </c>
      <c r="N693" s="433"/>
      <c r="O693" s="437" t="s">
        <v>85</v>
      </c>
      <c r="P693" s="433" t="s">
        <v>2494</v>
      </c>
      <c r="Q693" s="437" t="s">
        <v>2494</v>
      </c>
      <c r="R693" s="437" t="s">
        <v>7964</v>
      </c>
      <c r="S693" s="438">
        <v>46205</v>
      </c>
      <c r="T693" s="438">
        <v>46178</v>
      </c>
      <c r="U693" s="438"/>
      <c r="V693" s="439"/>
      <c r="W693" s="439">
        <v>46186</v>
      </c>
      <c r="X693" s="439">
        <v>46205</v>
      </c>
      <c r="Y693" s="420"/>
      <c r="Z693" s="224" t="str">
        <f t="shared" si="60"/>
        <v>AG. MEDIÇÃO</v>
      </c>
      <c r="AA693" s="207" t="str">
        <f t="shared" si="61"/>
        <v>ENTREGUE</v>
      </c>
      <c r="AB693" s="207" t="str">
        <f t="shared" si="62"/>
        <v>AG. MEDIÇÃO</v>
      </c>
      <c r="AC693" s="156">
        <f t="shared" ca="1" si="63"/>
        <v>5</v>
      </c>
      <c r="AD693" s="156" t="str">
        <f t="shared" ca="1" si="64"/>
        <v>ATRASADO</v>
      </c>
      <c r="AE693" s="156">
        <f t="shared" ca="1" si="65"/>
        <v>2</v>
      </c>
    </row>
    <row r="694" spans="1:31" ht="36" hidden="1" customHeight="1">
      <c r="A694" s="414"/>
      <c r="B694" s="429" t="s">
        <v>7740</v>
      </c>
      <c r="C694" s="430" t="s">
        <v>479</v>
      </c>
      <c r="D694" s="431" t="s">
        <v>481</v>
      </c>
      <c r="E694" s="432" t="s">
        <v>480</v>
      </c>
      <c r="F694" s="429" t="s">
        <v>42</v>
      </c>
      <c r="G694" s="434" t="s">
        <v>7710</v>
      </c>
      <c r="H694" s="636" t="s">
        <v>7709</v>
      </c>
      <c r="I694" s="433" t="s">
        <v>7711</v>
      </c>
      <c r="J694" s="432">
        <v>46174</v>
      </c>
      <c r="K694" s="429" t="s">
        <v>2493</v>
      </c>
      <c r="L694" s="436"/>
      <c r="M694" s="436" t="s">
        <v>62</v>
      </c>
      <c r="N694" s="433"/>
      <c r="O694" s="437" t="s">
        <v>85</v>
      </c>
      <c r="P694" s="433">
        <v>87</v>
      </c>
      <c r="Q694" s="437">
        <v>91</v>
      </c>
      <c r="R694" s="437" t="s">
        <v>7974</v>
      </c>
      <c r="S694" s="438">
        <v>46246</v>
      </c>
      <c r="T694" s="438">
        <v>46178</v>
      </c>
      <c r="U694" s="438"/>
      <c r="V694" s="439"/>
      <c r="W694" s="439">
        <v>46186</v>
      </c>
      <c r="X694" s="439">
        <v>46246</v>
      </c>
      <c r="Y694" s="420"/>
      <c r="Z694" s="224" t="str">
        <f t="shared" si="60"/>
        <v>AG. MEDIÇÃO</v>
      </c>
      <c r="AA694" s="207" t="str">
        <f t="shared" si="61"/>
        <v>ENTREGUE</v>
      </c>
      <c r="AB694" s="207" t="str">
        <f t="shared" si="62"/>
        <v>AG. MEDIÇÃO</v>
      </c>
      <c r="AC694" s="156">
        <f t="shared" ca="1" si="63"/>
        <v>5</v>
      </c>
      <c r="AD694" s="156" t="str">
        <f t="shared" ca="1" si="64"/>
        <v>ATRASADO</v>
      </c>
      <c r="AE694" s="156">
        <f t="shared" ca="1" si="65"/>
        <v>2</v>
      </c>
    </row>
    <row r="695" spans="1:31" ht="36" hidden="1" customHeight="1">
      <c r="A695" s="414"/>
      <c r="B695" s="429" t="s">
        <v>7822</v>
      </c>
      <c r="C695" s="430" t="s">
        <v>479</v>
      </c>
      <c r="D695" s="431" t="s">
        <v>481</v>
      </c>
      <c r="E695" s="432" t="s">
        <v>480</v>
      </c>
      <c r="F695" s="429" t="s">
        <v>42</v>
      </c>
      <c r="G695" s="434" t="s">
        <v>8010</v>
      </c>
      <c r="H695" s="636" t="s">
        <v>7862</v>
      </c>
      <c r="I695" s="433" t="s">
        <v>3982</v>
      </c>
      <c r="J695" s="432">
        <v>46174</v>
      </c>
      <c r="K695" s="429" t="s">
        <v>2493</v>
      </c>
      <c r="L695" s="436" t="s">
        <v>124</v>
      </c>
      <c r="M695" s="436" t="s">
        <v>77</v>
      </c>
      <c r="N695" s="433"/>
      <c r="O695" s="437" t="s">
        <v>85</v>
      </c>
      <c r="P695" s="433">
        <v>210</v>
      </c>
      <c r="Q695" s="437">
        <v>309</v>
      </c>
      <c r="R695" s="437" t="s">
        <v>7963</v>
      </c>
      <c r="S695" s="438">
        <v>46205</v>
      </c>
      <c r="T695" s="438">
        <v>46189</v>
      </c>
      <c r="U695" s="438">
        <v>46190</v>
      </c>
      <c r="V695" s="439">
        <v>46191</v>
      </c>
      <c r="W695" s="439">
        <v>46191</v>
      </c>
      <c r="X695" s="439">
        <v>46205</v>
      </c>
      <c r="Y695" s="420"/>
      <c r="Z695" s="224" t="str">
        <f t="shared" si="60"/>
        <v>AG. MEDIÇÃO</v>
      </c>
      <c r="AA695" s="207" t="str">
        <f t="shared" si="61"/>
        <v>ENTREGUE</v>
      </c>
      <c r="AB695" s="207" t="str">
        <f t="shared" si="62"/>
        <v>AG. MEDIÇÃO</v>
      </c>
      <c r="AC695" s="156">
        <f t="shared" ca="1" si="63"/>
        <v>2</v>
      </c>
      <c r="AD695" s="156" t="str">
        <f t="shared" ca="1" si="64"/>
        <v>NO PRAZO</v>
      </c>
      <c r="AE695" s="156">
        <f t="shared" ca="1" si="65"/>
        <v>-1</v>
      </c>
    </row>
    <row r="696" spans="1:31" ht="36" hidden="1" customHeight="1">
      <c r="A696" s="414"/>
      <c r="B696" s="440" t="s">
        <v>3984</v>
      </c>
      <c r="C696" s="440" t="s">
        <v>479</v>
      </c>
      <c r="D696" s="440" t="s">
        <v>481</v>
      </c>
      <c r="E696" s="440" t="s">
        <v>480</v>
      </c>
      <c r="F696" s="440" t="s">
        <v>42</v>
      </c>
      <c r="G696" s="441" t="s">
        <v>3985</v>
      </c>
      <c r="H696" s="440" t="s">
        <v>3986</v>
      </c>
      <c r="I696" s="441" t="s">
        <v>3987</v>
      </c>
      <c r="J696" s="450">
        <v>45474</v>
      </c>
      <c r="K696" s="429" t="s">
        <v>2493</v>
      </c>
      <c r="L696" s="444" t="s">
        <v>124</v>
      </c>
      <c r="M696" s="444" t="s">
        <v>51</v>
      </c>
      <c r="N696" s="441" t="s">
        <v>2572</v>
      </c>
      <c r="O696" s="445" t="s">
        <v>85</v>
      </c>
      <c r="P696" s="445"/>
      <c r="Q696" s="445">
        <v>155</v>
      </c>
      <c r="R696" s="445" t="s">
        <v>3988</v>
      </c>
      <c r="S696" s="446">
        <v>45497</v>
      </c>
      <c r="T696" s="446">
        <v>45482</v>
      </c>
      <c r="U696" s="446">
        <v>45484</v>
      </c>
      <c r="V696" s="447">
        <v>45492</v>
      </c>
      <c r="W696" s="447">
        <v>45492</v>
      </c>
      <c r="X696" s="447" t="s">
        <v>8044</v>
      </c>
      <c r="Y696" s="420"/>
      <c r="Z696" s="224" t="str">
        <f t="shared" si="60"/>
        <v>AG. MEDIÇÃO</v>
      </c>
      <c r="AA696" s="207" t="str">
        <f t="shared" si="61"/>
        <v>ENTREGUE</v>
      </c>
      <c r="AB696" s="207" t="str">
        <f t="shared" si="62"/>
        <v>AG. MEDIÇÃO</v>
      </c>
      <c r="AC696" s="156">
        <f t="shared" ca="1" si="63"/>
        <v>8</v>
      </c>
      <c r="AD696" s="156" t="str">
        <f t="shared" ca="1" si="64"/>
        <v>ATRASADO</v>
      </c>
      <c r="AE696" s="156">
        <f t="shared" ca="1" si="65"/>
        <v>5</v>
      </c>
    </row>
    <row r="697" spans="1:31" ht="36" hidden="1" customHeight="1">
      <c r="A697" s="414"/>
      <c r="B697" s="429" t="s">
        <v>7646</v>
      </c>
      <c r="C697" s="430" t="s">
        <v>79</v>
      </c>
      <c r="D697" s="431" t="s">
        <v>385</v>
      </c>
      <c r="E697" s="432" t="s">
        <v>619</v>
      </c>
      <c r="F697" s="429" t="s">
        <v>42</v>
      </c>
      <c r="G697" s="434" t="s">
        <v>7622</v>
      </c>
      <c r="H697" s="636" t="s">
        <v>7623</v>
      </c>
      <c r="I697" s="433" t="s">
        <v>7621</v>
      </c>
      <c r="J697" s="432">
        <v>46143</v>
      </c>
      <c r="K697" s="429" t="s">
        <v>2493</v>
      </c>
      <c r="L697" s="487"/>
      <c r="M697" s="436" t="s">
        <v>77</v>
      </c>
      <c r="N697" s="433"/>
      <c r="O697" s="437" t="s">
        <v>85</v>
      </c>
      <c r="P697" s="433" t="s">
        <v>2494</v>
      </c>
      <c r="Q697" s="437" t="s">
        <v>2494</v>
      </c>
      <c r="R697" s="437" t="s">
        <v>7003</v>
      </c>
      <c r="S697" s="438">
        <v>46191</v>
      </c>
      <c r="T697" s="438">
        <v>46161</v>
      </c>
      <c r="U697" s="438"/>
      <c r="V697" s="439"/>
      <c r="W697" s="439">
        <v>46161</v>
      </c>
      <c r="X697" s="439">
        <v>46191</v>
      </c>
      <c r="Y697" s="420"/>
      <c r="Z697" s="224" t="str">
        <f t="shared" si="60"/>
        <v>AG. MEDIÇÃO</v>
      </c>
      <c r="AA697" s="207" t="str">
        <f t="shared" si="61"/>
        <v>ENTREGUE</v>
      </c>
      <c r="AB697" s="207" t="str">
        <f t="shared" si="62"/>
        <v>AG. MEDIÇÃO</v>
      </c>
      <c r="AC697" s="156">
        <f t="shared" ca="1" si="63"/>
        <v>0</v>
      </c>
      <c r="AD697" s="156" t="str">
        <f t="shared" ca="1" si="64"/>
        <v>NO PRAZO</v>
      </c>
      <c r="AE697" s="156">
        <f t="shared" ca="1" si="65"/>
        <v>-3</v>
      </c>
    </row>
    <row r="698" spans="1:31" ht="36" hidden="1" customHeight="1">
      <c r="A698" s="414"/>
      <c r="B698" s="440" t="s">
        <v>4206</v>
      </c>
      <c r="C698" s="440" t="s">
        <v>232</v>
      </c>
      <c r="D698" s="440" t="s">
        <v>2687</v>
      </c>
      <c r="E698" s="440" t="s">
        <v>389</v>
      </c>
      <c r="F698" s="440" t="s">
        <v>42</v>
      </c>
      <c r="G698" s="441" t="s">
        <v>4207</v>
      </c>
      <c r="H698" s="440" t="s">
        <v>4208</v>
      </c>
      <c r="I698" s="441" t="s">
        <v>4209</v>
      </c>
      <c r="J698" s="450">
        <v>45505</v>
      </c>
      <c r="K698" s="429" t="s">
        <v>2493</v>
      </c>
      <c r="L698" s="444" t="s">
        <v>1380</v>
      </c>
      <c r="M698" s="444" t="s">
        <v>132</v>
      </c>
      <c r="N698" s="441" t="s">
        <v>2572</v>
      </c>
      <c r="O698" s="445" t="s">
        <v>85</v>
      </c>
      <c r="P698" s="445"/>
      <c r="Q698" s="445">
        <v>369</v>
      </c>
      <c r="R698" s="445" t="s">
        <v>4210</v>
      </c>
      <c r="S698" s="446">
        <v>45545</v>
      </c>
      <c r="T698" s="446">
        <v>45524</v>
      </c>
      <c r="U698" s="446">
        <v>45537</v>
      </c>
      <c r="V698" s="447">
        <v>45537</v>
      </c>
      <c r="W698" s="447">
        <v>45537</v>
      </c>
      <c r="X698" s="447" t="s">
        <v>8044</v>
      </c>
      <c r="Y698" s="420"/>
      <c r="Z698" s="224" t="str">
        <f t="shared" si="60"/>
        <v>AG. MEDIÇÃO</v>
      </c>
      <c r="AA698" s="207" t="str">
        <f t="shared" si="61"/>
        <v>ENTREGUE</v>
      </c>
      <c r="AB698" s="207" t="str">
        <f t="shared" si="62"/>
        <v>AG. MEDIÇÃO</v>
      </c>
      <c r="AC698" s="156">
        <f t="shared" ca="1" si="63"/>
        <v>9</v>
      </c>
      <c r="AD698" s="156" t="str">
        <f t="shared" ca="1" si="64"/>
        <v>ATRASADO</v>
      </c>
      <c r="AE698" s="156">
        <f t="shared" ca="1" si="65"/>
        <v>6</v>
      </c>
    </row>
    <row r="699" spans="1:31" ht="36" hidden="1" customHeight="1">
      <c r="A699" s="414"/>
      <c r="B699" s="429" t="s">
        <v>7543</v>
      </c>
      <c r="C699" s="430" t="s">
        <v>248</v>
      </c>
      <c r="D699" s="431"/>
      <c r="E699" s="432" t="s">
        <v>967</v>
      </c>
      <c r="F699" s="429" t="s">
        <v>2559</v>
      </c>
      <c r="G699" s="434" t="s">
        <v>7447</v>
      </c>
      <c r="H699" s="636" t="s">
        <v>7448</v>
      </c>
      <c r="I699" s="433" t="s">
        <v>7449</v>
      </c>
      <c r="J699" s="432">
        <v>46143</v>
      </c>
      <c r="K699" s="429" t="s">
        <v>2493</v>
      </c>
      <c r="L699" s="436" t="s">
        <v>124</v>
      </c>
      <c r="M699" s="436" t="s">
        <v>77</v>
      </c>
      <c r="N699" s="433"/>
      <c r="O699" s="437" t="s">
        <v>85</v>
      </c>
      <c r="P699" s="433">
        <v>1600</v>
      </c>
      <c r="Q699" s="437">
        <v>1726</v>
      </c>
      <c r="R699" s="437" t="s">
        <v>8339</v>
      </c>
      <c r="S699" s="438">
        <v>46246</v>
      </c>
      <c r="T699" s="438">
        <v>46153</v>
      </c>
      <c r="U699" s="438"/>
      <c r="V699" s="439"/>
      <c r="W699" s="439">
        <v>46158</v>
      </c>
      <c r="X699" s="439">
        <v>46246</v>
      </c>
      <c r="Y699" s="420"/>
      <c r="Z699" s="224" t="str">
        <f t="shared" si="60"/>
        <v>AG. MEDIÇÃO</v>
      </c>
      <c r="AA699" s="207" t="str">
        <f t="shared" si="61"/>
        <v>ENTREGUE</v>
      </c>
      <c r="AB699" s="207" t="str">
        <f t="shared" si="62"/>
        <v>AG. MEDIÇÃO</v>
      </c>
      <c r="AC699" s="156">
        <f t="shared" ca="1" si="63"/>
        <v>4</v>
      </c>
      <c r="AD699" s="156" t="str">
        <f t="shared" ca="1" si="64"/>
        <v>ATRASADO</v>
      </c>
      <c r="AE699" s="156">
        <f t="shared" ca="1" si="65"/>
        <v>1</v>
      </c>
    </row>
    <row r="700" spans="1:31" ht="36" hidden="1" customHeight="1">
      <c r="A700" s="414"/>
      <c r="B700" s="440" t="s">
        <v>4175</v>
      </c>
      <c r="C700" s="440" t="s">
        <v>241</v>
      </c>
      <c r="D700" s="440" t="s">
        <v>1177</v>
      </c>
      <c r="E700" s="440" t="s">
        <v>242</v>
      </c>
      <c r="F700" s="440" t="s">
        <v>42</v>
      </c>
      <c r="G700" s="441" t="s">
        <v>4176</v>
      </c>
      <c r="H700" s="440" t="s">
        <v>4177</v>
      </c>
      <c r="I700" s="441" t="s">
        <v>4178</v>
      </c>
      <c r="J700" s="450">
        <v>45505</v>
      </c>
      <c r="K700" s="429" t="s">
        <v>2493</v>
      </c>
      <c r="L700" s="444" t="s">
        <v>50</v>
      </c>
      <c r="M700" s="444" t="s">
        <v>132</v>
      </c>
      <c r="N700" s="441" t="s">
        <v>2572</v>
      </c>
      <c r="O700" s="445" t="s">
        <v>85</v>
      </c>
      <c r="P700" s="445"/>
      <c r="Q700" s="445">
        <v>362</v>
      </c>
      <c r="R700" s="445" t="s">
        <v>4179</v>
      </c>
      <c r="S700" s="446">
        <v>45532</v>
      </c>
      <c r="T700" s="446">
        <v>45518</v>
      </c>
      <c r="U700" s="446">
        <v>45519</v>
      </c>
      <c r="V700" s="447">
        <v>45520</v>
      </c>
      <c r="W700" s="447">
        <v>45520</v>
      </c>
      <c r="X700" s="447" t="s">
        <v>8044</v>
      </c>
      <c r="Y700" s="420"/>
      <c r="Z700" s="224" t="str">
        <f t="shared" si="60"/>
        <v>AG. MEDIÇÃO</v>
      </c>
      <c r="AA700" s="207" t="str">
        <f t="shared" si="61"/>
        <v>ENTREGUE</v>
      </c>
      <c r="AB700" s="207" t="str">
        <f t="shared" si="62"/>
        <v>AG. MEDIÇÃO</v>
      </c>
      <c r="AC700" s="156">
        <f t="shared" ca="1" si="63"/>
        <v>2</v>
      </c>
      <c r="AD700" s="156" t="str">
        <f t="shared" ca="1" si="64"/>
        <v>NO PRAZO</v>
      </c>
      <c r="AE700" s="156">
        <f t="shared" ca="1" si="65"/>
        <v>-1</v>
      </c>
    </row>
    <row r="701" spans="1:31" ht="36" hidden="1" customHeight="1">
      <c r="A701" s="414"/>
      <c r="B701" s="429" t="s">
        <v>8203</v>
      </c>
      <c r="C701" s="429" t="s">
        <v>600</v>
      </c>
      <c r="D701" s="429"/>
      <c r="E701" s="429" t="s">
        <v>601</v>
      </c>
      <c r="F701" s="429" t="s">
        <v>42</v>
      </c>
      <c r="G701" s="562" t="s">
        <v>8230</v>
      </c>
      <c r="H701" s="562" t="s">
        <v>8228</v>
      </c>
      <c r="I701" s="562" t="s">
        <v>8232</v>
      </c>
      <c r="J701" s="432">
        <v>46204</v>
      </c>
      <c r="K701" s="429" t="s">
        <v>2493</v>
      </c>
      <c r="L701" s="436"/>
      <c r="M701" s="436" t="s">
        <v>62</v>
      </c>
      <c r="N701" s="437"/>
      <c r="O701" s="437"/>
      <c r="P701" s="436" t="s">
        <v>2494</v>
      </c>
      <c r="Q701" s="436" t="s">
        <v>2494</v>
      </c>
      <c r="R701" s="499"/>
      <c r="S701" s="438"/>
      <c r="T701" s="438">
        <v>46234</v>
      </c>
      <c r="U701" s="438"/>
      <c r="V701" s="438">
        <v>46238</v>
      </c>
      <c r="W701" s="438">
        <v>46238</v>
      </c>
      <c r="X701" s="439"/>
      <c r="Y701" s="420"/>
      <c r="Z701" s="224" t="str">
        <f t="shared" si="60"/>
        <v>AG. RELATÓRIO</v>
      </c>
      <c r="AA701" s="207" t="str">
        <f t="shared" si="61"/>
        <v>PENDENTE</v>
      </c>
      <c r="AB701" s="207" t="str">
        <f t="shared" si="62"/>
        <v>AG. RELATÓRIO</v>
      </c>
      <c r="AC701" s="156">
        <f t="shared" ca="1" si="63"/>
        <v>2</v>
      </c>
      <c r="AD701" s="156" t="str">
        <f t="shared" ca="1" si="64"/>
        <v>NO PRAZO</v>
      </c>
      <c r="AE701" s="156">
        <f t="shared" ca="1" si="65"/>
        <v>-1</v>
      </c>
    </row>
    <row r="702" spans="1:31" ht="36" hidden="1" customHeight="1">
      <c r="A702" s="414"/>
      <c r="B702" s="440" t="s">
        <v>4239</v>
      </c>
      <c r="C702" s="440" t="s">
        <v>54</v>
      </c>
      <c r="D702" s="440" t="s">
        <v>592</v>
      </c>
      <c r="E702" s="440" t="s">
        <v>55</v>
      </c>
      <c r="F702" s="440" t="s">
        <v>42</v>
      </c>
      <c r="G702" s="441" t="s">
        <v>4240</v>
      </c>
      <c r="H702" s="440" t="s">
        <v>4241</v>
      </c>
      <c r="I702" s="441" t="s">
        <v>4242</v>
      </c>
      <c r="J702" s="450">
        <v>45505</v>
      </c>
      <c r="K702" s="429" t="s">
        <v>2493</v>
      </c>
      <c r="L702" s="444" t="s">
        <v>1380</v>
      </c>
      <c r="M702" s="444" t="s">
        <v>132</v>
      </c>
      <c r="N702" s="441" t="s">
        <v>2572</v>
      </c>
      <c r="O702" s="445" t="s">
        <v>85</v>
      </c>
      <c r="P702" s="445"/>
      <c r="Q702" s="445">
        <v>451</v>
      </c>
      <c r="R702" s="445" t="s">
        <v>4243</v>
      </c>
      <c r="S702" s="446">
        <v>45545</v>
      </c>
      <c r="T702" s="446">
        <v>45530</v>
      </c>
      <c r="U702" s="446">
        <v>45539</v>
      </c>
      <c r="V702" s="447">
        <v>45541</v>
      </c>
      <c r="W702" s="447">
        <v>45540</v>
      </c>
      <c r="X702" s="447" t="s">
        <v>8044</v>
      </c>
      <c r="Y702" s="420"/>
      <c r="Z702" s="224" t="str">
        <f t="shared" si="60"/>
        <v>AG. MEDIÇÃO</v>
      </c>
      <c r="AA702" s="207" t="str">
        <f t="shared" si="61"/>
        <v>ENTREGUE</v>
      </c>
      <c r="AB702" s="207" t="str">
        <f t="shared" si="62"/>
        <v>AG. MEDIÇÃO</v>
      </c>
      <c r="AC702" s="156">
        <f t="shared" ca="1" si="63"/>
        <v>8</v>
      </c>
      <c r="AD702" s="156" t="str">
        <f t="shared" ca="1" si="64"/>
        <v>ATRASADO</v>
      </c>
      <c r="AE702" s="156">
        <f t="shared" ca="1" si="65"/>
        <v>5</v>
      </c>
    </row>
    <row r="703" spans="1:31" ht="36" hidden="1" customHeight="1">
      <c r="A703" s="414"/>
      <c r="B703" s="440" t="s">
        <v>4735</v>
      </c>
      <c r="C703" s="440" t="s">
        <v>79</v>
      </c>
      <c r="D703" s="440" t="s">
        <v>1076</v>
      </c>
      <c r="E703" s="440" t="s">
        <v>619</v>
      </c>
      <c r="F703" s="440" t="s">
        <v>42</v>
      </c>
      <c r="G703" s="441" t="s">
        <v>4736</v>
      </c>
      <c r="H703" s="440" t="s">
        <v>4737</v>
      </c>
      <c r="I703" s="441" t="s">
        <v>4738</v>
      </c>
      <c r="J703" s="450">
        <v>45658</v>
      </c>
      <c r="K703" s="429" t="s">
        <v>2493</v>
      </c>
      <c r="L703" s="444"/>
      <c r="M703" s="444" t="s">
        <v>1764</v>
      </c>
      <c r="N703" s="441" t="s">
        <v>2572</v>
      </c>
      <c r="O703" s="445" t="s">
        <v>4560</v>
      </c>
      <c r="P703" s="445" t="s">
        <v>2494</v>
      </c>
      <c r="Q703" s="445" t="s">
        <v>2494</v>
      </c>
      <c r="R703" s="445" t="s">
        <v>3315</v>
      </c>
      <c r="S703" s="446">
        <v>45698</v>
      </c>
      <c r="T703" s="446">
        <v>45680</v>
      </c>
      <c r="U703" s="446">
        <v>45684</v>
      </c>
      <c r="V703" s="447">
        <v>45686</v>
      </c>
      <c r="W703" s="447">
        <v>45686</v>
      </c>
      <c r="X703" s="447" t="s">
        <v>8044</v>
      </c>
      <c r="Y703" s="420"/>
      <c r="Z703" s="224" t="str">
        <f t="shared" si="60"/>
        <v>AG. MEDIÇÃO</v>
      </c>
      <c r="AA703" s="207" t="str">
        <f t="shared" si="61"/>
        <v>ENTREGUE</v>
      </c>
      <c r="AB703" s="207" t="str">
        <f t="shared" si="62"/>
        <v>AG. MEDIÇÃO</v>
      </c>
      <c r="AC703" s="156">
        <f t="shared" ca="1" si="63"/>
        <v>4</v>
      </c>
      <c r="AD703" s="156" t="str">
        <f t="shared" ca="1" si="64"/>
        <v>ATRASADO</v>
      </c>
      <c r="AE703" s="156">
        <f t="shared" ca="1" si="65"/>
        <v>1</v>
      </c>
    </row>
    <row r="704" spans="1:31" ht="36" hidden="1" customHeight="1">
      <c r="A704" s="414"/>
      <c r="B704" s="440" t="s">
        <v>4357</v>
      </c>
      <c r="C704" s="440" t="s">
        <v>111</v>
      </c>
      <c r="D704" s="440" t="s">
        <v>348</v>
      </c>
      <c r="E704" s="440" t="s">
        <v>2504</v>
      </c>
      <c r="F704" s="440" t="s">
        <v>42</v>
      </c>
      <c r="G704" s="441" t="s">
        <v>4358</v>
      </c>
      <c r="H704" s="440" t="s">
        <v>4359</v>
      </c>
      <c r="I704" s="440" t="s">
        <v>4360</v>
      </c>
      <c r="J704" s="450">
        <v>45536</v>
      </c>
      <c r="K704" s="429" t="s">
        <v>2493</v>
      </c>
      <c r="L704" s="440"/>
      <c r="M704" s="444" t="s">
        <v>1122</v>
      </c>
      <c r="N704" s="441" t="s">
        <v>2572</v>
      </c>
      <c r="O704" s="445" t="s">
        <v>85</v>
      </c>
      <c r="P704" s="445">
        <v>150</v>
      </c>
      <c r="Q704" s="441"/>
      <c r="R704" s="440" t="s">
        <v>4361</v>
      </c>
      <c r="S704" s="446">
        <v>45549</v>
      </c>
      <c r="T704" s="446">
        <v>45541</v>
      </c>
      <c r="U704" s="446">
        <v>45544</v>
      </c>
      <c r="V704" s="447">
        <v>45547</v>
      </c>
      <c r="W704" s="447">
        <v>45546</v>
      </c>
      <c r="X704" s="447" t="s">
        <v>8044</v>
      </c>
      <c r="Y704" s="420"/>
      <c r="Z704" s="224" t="str">
        <f t="shared" si="60"/>
        <v>AG. MEDIÇÃO</v>
      </c>
      <c r="AA704" s="207" t="str">
        <f t="shared" si="61"/>
        <v>ENTREGUE</v>
      </c>
      <c r="AB704" s="207" t="str">
        <f t="shared" si="62"/>
        <v>AG. MEDIÇÃO</v>
      </c>
      <c r="AC704" s="156">
        <f t="shared" ca="1" si="63"/>
        <v>3</v>
      </c>
      <c r="AD704" s="156" t="str">
        <f t="shared" ca="1" si="64"/>
        <v>NO PRAZO</v>
      </c>
      <c r="AE704" s="156">
        <f t="shared" ca="1" si="65"/>
        <v>0</v>
      </c>
    </row>
    <row r="705" spans="1:31" ht="36" hidden="1" customHeight="1">
      <c r="A705" s="414"/>
      <c r="B705" s="440" t="s">
        <v>4658</v>
      </c>
      <c r="C705" s="440" t="s">
        <v>111</v>
      </c>
      <c r="D705" s="440" t="s">
        <v>348</v>
      </c>
      <c r="E705" s="440" t="s">
        <v>2504</v>
      </c>
      <c r="F705" s="440" t="s">
        <v>42</v>
      </c>
      <c r="G705" s="441" t="s">
        <v>4659</v>
      </c>
      <c r="H705" s="440" t="s">
        <v>4660</v>
      </c>
      <c r="I705" s="441" t="s">
        <v>4661</v>
      </c>
      <c r="J705" s="450">
        <v>45627</v>
      </c>
      <c r="K705" s="429" t="s">
        <v>2493</v>
      </c>
      <c r="L705" s="444"/>
      <c r="M705" s="444" t="s">
        <v>714</v>
      </c>
      <c r="N705" s="441" t="s">
        <v>2572</v>
      </c>
      <c r="O705" s="445" t="s">
        <v>4560</v>
      </c>
      <c r="P705" s="445"/>
      <c r="Q705" s="445"/>
      <c r="R705" s="445" t="s">
        <v>4662</v>
      </c>
      <c r="S705" s="446">
        <v>45649</v>
      </c>
      <c r="T705" s="446">
        <v>45644</v>
      </c>
      <c r="U705" s="446">
        <v>45645</v>
      </c>
      <c r="V705" s="447"/>
      <c r="W705" s="447">
        <v>45645</v>
      </c>
      <c r="X705" s="447" t="s">
        <v>8044</v>
      </c>
      <c r="Y705" s="420"/>
      <c r="Z705" s="224" t="str">
        <f t="shared" si="60"/>
        <v>AG. MEDIÇÃO</v>
      </c>
      <c r="AA705" s="207" t="str">
        <f t="shared" si="61"/>
        <v>ENTREGUE</v>
      </c>
      <c r="AB705" s="207" t="str">
        <f t="shared" si="62"/>
        <v>AG. MEDIÇÃO</v>
      </c>
      <c r="AC705" s="156">
        <f t="shared" ca="1" si="63"/>
        <v>1</v>
      </c>
      <c r="AD705" s="156" t="str">
        <f t="shared" ca="1" si="64"/>
        <v>NO PRAZO</v>
      </c>
      <c r="AE705" s="156">
        <f t="shared" ca="1" si="65"/>
        <v>-2</v>
      </c>
    </row>
    <row r="706" spans="1:31" ht="36" hidden="1" customHeight="1">
      <c r="A706" s="414"/>
      <c r="B706" s="429" t="s">
        <v>8199</v>
      </c>
      <c r="C706" s="429" t="s">
        <v>54</v>
      </c>
      <c r="D706" s="429" t="s">
        <v>8438</v>
      </c>
      <c r="E706" s="429" t="s">
        <v>601</v>
      </c>
      <c r="F706" s="429" t="s">
        <v>42</v>
      </c>
      <c r="G706" s="433" t="s">
        <v>8216</v>
      </c>
      <c r="H706" s="429" t="s">
        <v>8215</v>
      </c>
      <c r="I706" s="433" t="s">
        <v>5203</v>
      </c>
      <c r="J706" s="432">
        <v>46204</v>
      </c>
      <c r="K706" s="429" t="s">
        <v>2493</v>
      </c>
      <c r="L706" s="436"/>
      <c r="M706" s="436" t="s">
        <v>8217</v>
      </c>
      <c r="N706" s="437"/>
      <c r="O706" s="437" t="s">
        <v>85</v>
      </c>
      <c r="P706" s="437" t="s">
        <v>2494</v>
      </c>
      <c r="Q706" s="433" t="s">
        <v>2494</v>
      </c>
      <c r="R706" s="499" t="s">
        <v>8122</v>
      </c>
      <c r="S706" s="438">
        <v>46253</v>
      </c>
      <c r="T706" s="438">
        <v>46227</v>
      </c>
      <c r="U706" s="438"/>
      <c r="V706" s="438"/>
      <c r="W706" s="439">
        <v>46227</v>
      </c>
      <c r="X706" s="439">
        <v>46253</v>
      </c>
      <c r="Y706" s="420"/>
      <c r="Z706" s="224" t="str">
        <f t="shared" si="60"/>
        <v>AG. MEDIÇÃO</v>
      </c>
      <c r="AA706" s="207" t="str">
        <f t="shared" si="61"/>
        <v>ENTREGUE</v>
      </c>
      <c r="AB706" s="207" t="str">
        <f t="shared" si="62"/>
        <v>AG. MEDIÇÃO</v>
      </c>
      <c r="AC706" s="156">
        <f t="shared" ca="1" si="63"/>
        <v>0</v>
      </c>
      <c r="AD706" s="156" t="str">
        <f t="shared" ca="1" si="64"/>
        <v>NO PRAZO</v>
      </c>
      <c r="AE706" s="156">
        <f t="shared" ca="1" si="65"/>
        <v>-3</v>
      </c>
    </row>
    <row r="707" spans="1:31" ht="36" hidden="1" customHeight="1">
      <c r="A707" s="414"/>
      <c r="B707" s="440" t="s">
        <v>4390</v>
      </c>
      <c r="C707" s="440" t="s">
        <v>293</v>
      </c>
      <c r="D707" s="440" t="s">
        <v>383</v>
      </c>
      <c r="E707" s="440" t="s">
        <v>842</v>
      </c>
      <c r="F707" s="440" t="s">
        <v>42</v>
      </c>
      <c r="G707" s="441" t="s">
        <v>4391</v>
      </c>
      <c r="H707" s="440" t="s">
        <v>4392</v>
      </c>
      <c r="I707" s="441" t="s">
        <v>4393</v>
      </c>
      <c r="J707" s="450">
        <v>45536</v>
      </c>
      <c r="K707" s="429" t="s">
        <v>2493</v>
      </c>
      <c r="L707" s="444" t="s">
        <v>4394</v>
      </c>
      <c r="M707" s="444" t="s">
        <v>1122</v>
      </c>
      <c r="N707" s="441" t="s">
        <v>2572</v>
      </c>
      <c r="O707" s="445" t="s">
        <v>85</v>
      </c>
      <c r="P707" s="445">
        <v>1080</v>
      </c>
      <c r="Q707" s="445">
        <v>1114</v>
      </c>
      <c r="R707" s="445" t="s">
        <v>4395</v>
      </c>
      <c r="S707" s="446">
        <v>45555</v>
      </c>
      <c r="T707" s="446">
        <v>45546</v>
      </c>
      <c r="U707" s="446">
        <v>45547</v>
      </c>
      <c r="V707" s="447">
        <v>45550</v>
      </c>
      <c r="W707" s="447">
        <v>45552</v>
      </c>
      <c r="X707" s="447" t="s">
        <v>8044</v>
      </c>
      <c r="Y707" s="420"/>
      <c r="Z707" s="224" t="str">
        <f t="shared" si="60"/>
        <v>AG. MEDIÇÃO</v>
      </c>
      <c r="AA707" s="207" t="str">
        <f t="shared" si="61"/>
        <v>ENTREGUE</v>
      </c>
      <c r="AB707" s="207" t="str">
        <f t="shared" si="62"/>
        <v>AG. MEDIÇÃO</v>
      </c>
      <c r="AC707" s="156">
        <f t="shared" ca="1" si="63"/>
        <v>4</v>
      </c>
      <c r="AD707" s="156" t="str">
        <f t="shared" ca="1" si="64"/>
        <v>ATRASADO</v>
      </c>
      <c r="AE707" s="156">
        <f t="shared" ca="1" si="65"/>
        <v>1</v>
      </c>
    </row>
    <row r="708" spans="1:31" ht="36" hidden="1" customHeight="1">
      <c r="A708" s="414"/>
      <c r="B708" s="440" t="s">
        <v>4506</v>
      </c>
      <c r="C708" s="440" t="s">
        <v>232</v>
      </c>
      <c r="D708" s="440" t="s">
        <v>390</v>
      </c>
      <c r="E708" s="440" t="s">
        <v>389</v>
      </c>
      <c r="F708" s="440" t="s">
        <v>42</v>
      </c>
      <c r="G708" s="441"/>
      <c r="H708" s="440" t="s">
        <v>4507</v>
      </c>
      <c r="I708" s="441" t="s">
        <v>4508</v>
      </c>
      <c r="J708" s="450">
        <v>45566</v>
      </c>
      <c r="K708" s="429" t="s">
        <v>2493</v>
      </c>
      <c r="L708" s="444"/>
      <c r="M708" s="444" t="s">
        <v>132</v>
      </c>
      <c r="N708" s="441" t="s">
        <v>2572</v>
      </c>
      <c r="O708" s="445" t="s">
        <v>3350</v>
      </c>
      <c r="P708" s="441" t="s">
        <v>2494</v>
      </c>
      <c r="Q708" s="441" t="s">
        <v>2494</v>
      </c>
      <c r="R708" s="445" t="s">
        <v>3999</v>
      </c>
      <c r="S708" s="446">
        <v>45588</v>
      </c>
      <c r="T708" s="446">
        <v>45582</v>
      </c>
      <c r="U708" s="446">
        <v>45583</v>
      </c>
      <c r="V708" s="447"/>
      <c r="W708" s="447">
        <v>45583</v>
      </c>
      <c r="X708" s="447" t="s">
        <v>8044</v>
      </c>
      <c r="Y708" s="420"/>
      <c r="Z708" s="224" t="str">
        <f t="shared" si="60"/>
        <v>AG. MEDIÇÃO</v>
      </c>
      <c r="AA708" s="207" t="str">
        <f t="shared" si="61"/>
        <v>ENTREGUE</v>
      </c>
      <c r="AB708" s="207" t="str">
        <f t="shared" si="62"/>
        <v>AG. MEDIÇÃO</v>
      </c>
      <c r="AC708" s="156">
        <f t="shared" ca="1" si="63"/>
        <v>1</v>
      </c>
      <c r="AD708" s="156" t="str">
        <f t="shared" ca="1" si="64"/>
        <v>NO PRAZO</v>
      </c>
      <c r="AE708" s="156">
        <f t="shared" ca="1" si="65"/>
        <v>-2</v>
      </c>
    </row>
    <row r="709" spans="1:31" ht="36" hidden="1" customHeight="1">
      <c r="A709" s="414"/>
      <c r="B709" s="440" t="s">
        <v>5076</v>
      </c>
      <c r="C709" s="440" t="s">
        <v>248</v>
      </c>
      <c r="D709" s="440" t="s">
        <v>440</v>
      </c>
      <c r="E709" s="440" t="s">
        <v>249</v>
      </c>
      <c r="F709" s="440" t="s">
        <v>42</v>
      </c>
      <c r="G709" s="441" t="s">
        <v>5077</v>
      </c>
      <c r="H709" s="440" t="s">
        <v>5078</v>
      </c>
      <c r="I709" s="441" t="s">
        <v>5079</v>
      </c>
      <c r="J709" s="450">
        <v>45717</v>
      </c>
      <c r="K709" s="429" t="s">
        <v>2493</v>
      </c>
      <c r="L709" s="444" t="s">
        <v>62</v>
      </c>
      <c r="M709" s="444" t="s">
        <v>62</v>
      </c>
      <c r="N709" s="441" t="s">
        <v>2572</v>
      </c>
      <c r="O709" s="445" t="s">
        <v>85</v>
      </c>
      <c r="P709" s="441"/>
      <c r="Q709" s="445">
        <v>280</v>
      </c>
      <c r="R709" s="445" t="s">
        <v>5080</v>
      </c>
      <c r="S709" s="446">
        <v>45785</v>
      </c>
      <c r="T709" s="446">
        <v>45743</v>
      </c>
      <c r="U709" s="446">
        <v>45744</v>
      </c>
      <c r="V709" s="447">
        <v>45745</v>
      </c>
      <c r="W709" s="447">
        <v>45751</v>
      </c>
      <c r="X709" s="447" t="s">
        <v>8044</v>
      </c>
      <c r="Y709" s="420"/>
      <c r="Z709" s="224" t="str">
        <f t="shared" ref="Z709:Z772" si="66">IF(K709="CANCELADO","CANCELADO",IF(AA709="PENDENTE","AG. RELATÓRIO",IF(S709="SIM","AG. MEDIÇÃO",IF(S709&gt;0,"AG. MEDIÇÃO","PENDENTE"))))</f>
        <v>AG. MEDIÇÃO</v>
      </c>
      <c r="AA709" s="207" t="str">
        <f t="shared" ref="AA709:AA772" si="67">IF(K709="CANCELADO","CANCELADO",IF(X709="","PENDENTE","ENTREGUE"))</f>
        <v>ENTREGUE</v>
      </c>
      <c r="AB709" s="207" t="str">
        <f t="shared" ref="AB709:AB772" si="68">IF(K709="SEM SINAL","SEM SINAL",IF(K709="PARALISADO","PARALISADO",IF(Z709="PENDENTE","AG. MEDIÇÃO",IF(K709="CANCELADO","CANCELADO",Z709))))</f>
        <v>AG. MEDIÇÃO</v>
      </c>
      <c r="AC709" s="156">
        <f t="shared" ref="AC709:AC772" ca="1" si="69">IFERROR(IF(K709="CANCELADO","CANCELADO",IF(T709="","DATA ENTRADA",IF(AND(T709&gt;0,W709=""),NETWORKDAYS(T709,TODAY())-1,NETWORKDAYS(T709,W709)-1))),"CHECAR DATA")</f>
        <v>6</v>
      </c>
      <c r="AD709" s="156" t="str">
        <f t="shared" ref="AD709:AD772" ca="1" si="70">IF(AC709&lt;=3,"NO PRAZO","ATRASADO")</f>
        <v>ATRASADO</v>
      </c>
      <c r="AE709" s="156">
        <f t="shared" ref="AE709:AE772" ca="1" si="71">IFERROR(AC709-3,AC709)</f>
        <v>3</v>
      </c>
    </row>
    <row r="710" spans="1:31" ht="36" hidden="1" customHeight="1">
      <c r="A710" s="414"/>
      <c r="B710" s="440" t="s">
        <v>4872</v>
      </c>
      <c r="C710" s="440" t="s">
        <v>4873</v>
      </c>
      <c r="D710" s="440"/>
      <c r="E710" s="440" t="s">
        <v>4874</v>
      </c>
      <c r="F710" s="440" t="s">
        <v>4875</v>
      </c>
      <c r="G710" s="441"/>
      <c r="H710" s="440" t="s">
        <v>4876</v>
      </c>
      <c r="I710" s="441" t="s">
        <v>4877</v>
      </c>
      <c r="J710" s="450">
        <v>45689</v>
      </c>
      <c r="K710" s="429" t="s">
        <v>2493</v>
      </c>
      <c r="L710" s="444"/>
      <c r="M710" s="444" t="s">
        <v>827</v>
      </c>
      <c r="N710" s="441" t="s">
        <v>2572</v>
      </c>
      <c r="O710" s="445" t="s">
        <v>3350</v>
      </c>
      <c r="P710" s="441" t="s">
        <v>2494</v>
      </c>
      <c r="Q710" s="445" t="s">
        <v>2494</v>
      </c>
      <c r="R710" s="445" t="s">
        <v>4878</v>
      </c>
      <c r="S710" s="446">
        <v>45785</v>
      </c>
      <c r="T710" s="446">
        <v>45714</v>
      </c>
      <c r="U710" s="446">
        <v>45727</v>
      </c>
      <c r="V710" s="447">
        <v>45730</v>
      </c>
      <c r="W710" s="447">
        <v>45768</v>
      </c>
      <c r="X710" s="447" t="s">
        <v>8044</v>
      </c>
      <c r="Y710" s="420"/>
      <c r="Z710" s="224" t="str">
        <f t="shared" si="66"/>
        <v>AG. MEDIÇÃO</v>
      </c>
      <c r="AA710" s="207" t="str">
        <f t="shared" si="67"/>
        <v>ENTREGUE</v>
      </c>
      <c r="AB710" s="207" t="str">
        <f t="shared" si="68"/>
        <v>AG. MEDIÇÃO</v>
      </c>
      <c r="AC710" s="156">
        <f t="shared" ca="1" si="69"/>
        <v>38</v>
      </c>
      <c r="AD710" s="156" t="str">
        <f t="shared" ca="1" si="70"/>
        <v>ATRASADO</v>
      </c>
      <c r="AE710" s="156">
        <f t="shared" ca="1" si="71"/>
        <v>35</v>
      </c>
    </row>
    <row r="711" spans="1:31" ht="36" hidden="1" customHeight="1">
      <c r="A711" s="414"/>
      <c r="B711" s="429" t="s">
        <v>7819</v>
      </c>
      <c r="C711" s="430" t="s">
        <v>425</v>
      </c>
      <c r="D711" s="430" t="s">
        <v>1458</v>
      </c>
      <c r="E711" s="432" t="s">
        <v>7833</v>
      </c>
      <c r="F711" s="429" t="s">
        <v>427</v>
      </c>
      <c r="G711" s="434" t="s">
        <v>7830</v>
      </c>
      <c r="H711" s="636" t="s">
        <v>7831</v>
      </c>
      <c r="I711" s="433" t="s">
        <v>7832</v>
      </c>
      <c r="J711" s="432">
        <v>46174</v>
      </c>
      <c r="K711" s="429" t="s">
        <v>2493</v>
      </c>
      <c r="L711" s="436"/>
      <c r="M711" s="436" t="s">
        <v>77</v>
      </c>
      <c r="N711" s="433"/>
      <c r="O711" s="437" t="s">
        <v>85</v>
      </c>
      <c r="P711" s="433" t="s">
        <v>2494</v>
      </c>
      <c r="Q711" s="437" t="s">
        <v>2494</v>
      </c>
      <c r="R711" s="437" t="s">
        <v>7912</v>
      </c>
      <c r="S711" s="438">
        <v>46196</v>
      </c>
      <c r="T711" s="438">
        <v>46188</v>
      </c>
      <c r="U711" s="438"/>
      <c r="V711" s="439"/>
      <c r="W711" s="439">
        <v>46189</v>
      </c>
      <c r="X711" s="439">
        <v>46196</v>
      </c>
      <c r="Y711" s="420"/>
      <c r="Z711" s="224" t="str">
        <f t="shared" si="66"/>
        <v>AG. MEDIÇÃO</v>
      </c>
      <c r="AA711" s="207" t="str">
        <f t="shared" si="67"/>
        <v>ENTREGUE</v>
      </c>
      <c r="AB711" s="207" t="str">
        <f t="shared" si="68"/>
        <v>AG. MEDIÇÃO</v>
      </c>
      <c r="AC711" s="156">
        <f t="shared" ca="1" si="69"/>
        <v>1</v>
      </c>
      <c r="AD711" s="156" t="str">
        <f t="shared" ca="1" si="70"/>
        <v>NO PRAZO</v>
      </c>
      <c r="AE711" s="156">
        <f t="shared" ca="1" si="71"/>
        <v>-2</v>
      </c>
    </row>
    <row r="712" spans="1:31" ht="36" hidden="1" customHeight="1">
      <c r="A712" s="414"/>
      <c r="B712" s="429" t="s">
        <v>7667</v>
      </c>
      <c r="C712" s="430" t="s">
        <v>54</v>
      </c>
      <c r="D712" s="431"/>
      <c r="E712" s="432"/>
      <c r="F712" s="429" t="s">
        <v>42</v>
      </c>
      <c r="G712" s="434" t="s">
        <v>7629</v>
      </c>
      <c r="H712" s="636" t="s">
        <v>7630</v>
      </c>
      <c r="I712" s="433" t="s">
        <v>7631</v>
      </c>
      <c r="J712" s="432">
        <v>46143</v>
      </c>
      <c r="K712" s="429" t="s">
        <v>2493</v>
      </c>
      <c r="L712" s="487"/>
      <c r="M712" s="436" t="s">
        <v>62</v>
      </c>
      <c r="N712" s="433"/>
      <c r="O712" s="437"/>
      <c r="P712" s="433" t="s">
        <v>2494</v>
      </c>
      <c r="Q712" s="437" t="s">
        <v>2494</v>
      </c>
      <c r="R712" s="437" t="s">
        <v>5086</v>
      </c>
      <c r="S712" s="438">
        <v>46178</v>
      </c>
      <c r="T712" s="438">
        <v>46168</v>
      </c>
      <c r="U712" s="438"/>
      <c r="V712" s="439"/>
      <c r="W712" s="439">
        <v>46169</v>
      </c>
      <c r="X712" s="439">
        <v>46178</v>
      </c>
      <c r="Y712" s="420"/>
      <c r="Z712" s="224" t="str">
        <f t="shared" si="66"/>
        <v>AG. MEDIÇÃO</v>
      </c>
      <c r="AA712" s="207" t="str">
        <f t="shared" si="67"/>
        <v>ENTREGUE</v>
      </c>
      <c r="AB712" s="207" t="str">
        <f t="shared" si="68"/>
        <v>AG. MEDIÇÃO</v>
      </c>
      <c r="AC712" s="156">
        <f t="shared" ca="1" si="69"/>
        <v>1</v>
      </c>
      <c r="AD712" s="156" t="str">
        <f t="shared" ca="1" si="70"/>
        <v>NO PRAZO</v>
      </c>
      <c r="AE712" s="156">
        <f t="shared" ca="1" si="71"/>
        <v>-2</v>
      </c>
    </row>
    <row r="713" spans="1:31" ht="36" hidden="1" customHeight="1">
      <c r="A713" s="414"/>
      <c r="B713" s="440" t="s">
        <v>5042</v>
      </c>
      <c r="C713" s="440" t="s">
        <v>150</v>
      </c>
      <c r="D713" s="440" t="s">
        <v>371</v>
      </c>
      <c r="E713" s="440" t="s">
        <v>151</v>
      </c>
      <c r="F713" s="440" t="s">
        <v>42</v>
      </c>
      <c r="G713" s="441" t="s">
        <v>5043</v>
      </c>
      <c r="H713" s="440" t="s">
        <v>5044</v>
      </c>
      <c r="I713" s="441" t="s">
        <v>5045</v>
      </c>
      <c r="J713" s="450">
        <v>45717</v>
      </c>
      <c r="K713" s="429" t="s">
        <v>2493</v>
      </c>
      <c r="L713" s="444"/>
      <c r="M713" s="444" t="s">
        <v>5046</v>
      </c>
      <c r="N713" s="441" t="s">
        <v>2572</v>
      </c>
      <c r="O713" s="445" t="s">
        <v>3350</v>
      </c>
      <c r="P713" s="441" t="s">
        <v>2494</v>
      </c>
      <c r="Q713" s="445" t="s">
        <v>2494</v>
      </c>
      <c r="R713" s="445" t="s">
        <v>5047</v>
      </c>
      <c r="S713" s="446">
        <v>45785</v>
      </c>
      <c r="T713" s="446">
        <v>45741</v>
      </c>
      <c r="U713" s="446">
        <v>45742</v>
      </c>
      <c r="V713" s="447">
        <v>45743</v>
      </c>
      <c r="W713" s="447">
        <v>45743</v>
      </c>
      <c r="X713" s="447" t="s">
        <v>8044</v>
      </c>
      <c r="Y713" s="420"/>
      <c r="Z713" s="224" t="str">
        <f t="shared" si="66"/>
        <v>AG. MEDIÇÃO</v>
      </c>
      <c r="AA713" s="207" t="str">
        <f t="shared" si="67"/>
        <v>ENTREGUE</v>
      </c>
      <c r="AB713" s="207" t="str">
        <f t="shared" si="68"/>
        <v>AG. MEDIÇÃO</v>
      </c>
      <c r="AC713" s="156">
        <f t="shared" ca="1" si="69"/>
        <v>2</v>
      </c>
      <c r="AD713" s="156" t="str">
        <f t="shared" ca="1" si="70"/>
        <v>NO PRAZO</v>
      </c>
      <c r="AE713" s="156">
        <f t="shared" ca="1" si="71"/>
        <v>-1</v>
      </c>
    </row>
    <row r="714" spans="1:31" ht="36" hidden="1" customHeight="1">
      <c r="A714" s="414"/>
      <c r="B714" s="440" t="s">
        <v>4320</v>
      </c>
      <c r="C714" s="440" t="s">
        <v>117</v>
      </c>
      <c r="D714" s="440" t="s">
        <v>527</v>
      </c>
      <c r="E714" s="440" t="s">
        <v>3677</v>
      </c>
      <c r="F714" s="440" t="s">
        <v>42</v>
      </c>
      <c r="G714" s="441" t="s">
        <v>4321</v>
      </c>
      <c r="H714" s="440" t="s">
        <v>4322</v>
      </c>
      <c r="I714" s="441" t="s">
        <v>4323</v>
      </c>
      <c r="J714" s="450">
        <v>45536</v>
      </c>
      <c r="K714" s="429" t="s">
        <v>2493</v>
      </c>
      <c r="L714" s="444"/>
      <c r="M714" s="444" t="s">
        <v>132</v>
      </c>
      <c r="N714" s="441" t="s">
        <v>2572</v>
      </c>
      <c r="O714" s="445" t="s">
        <v>3350</v>
      </c>
      <c r="P714" s="441" t="s">
        <v>2494</v>
      </c>
      <c r="Q714" s="441" t="s">
        <v>2494</v>
      </c>
      <c r="R714" s="445" t="s">
        <v>4324</v>
      </c>
      <c r="S714" s="446">
        <v>45545</v>
      </c>
      <c r="T714" s="446">
        <v>45538</v>
      </c>
      <c r="U714" s="446">
        <v>45540</v>
      </c>
      <c r="V714" s="447">
        <v>45540</v>
      </c>
      <c r="W714" s="447">
        <v>45540</v>
      </c>
      <c r="X714" s="447" t="s">
        <v>8044</v>
      </c>
      <c r="Y714" s="420"/>
      <c r="Z714" s="224" t="str">
        <f t="shared" si="66"/>
        <v>AG. MEDIÇÃO</v>
      </c>
      <c r="AA714" s="207" t="str">
        <f t="shared" si="67"/>
        <v>ENTREGUE</v>
      </c>
      <c r="AB714" s="207" t="str">
        <f t="shared" si="68"/>
        <v>AG. MEDIÇÃO</v>
      </c>
      <c r="AC714" s="156">
        <f t="shared" ca="1" si="69"/>
        <v>2</v>
      </c>
      <c r="AD714" s="156" t="str">
        <f t="shared" ca="1" si="70"/>
        <v>NO PRAZO</v>
      </c>
      <c r="AE714" s="156">
        <f t="shared" ca="1" si="71"/>
        <v>-1</v>
      </c>
    </row>
    <row r="715" spans="1:31" ht="36" hidden="1" customHeight="1">
      <c r="A715" s="414"/>
      <c r="B715" s="440" t="s">
        <v>4803</v>
      </c>
      <c r="C715" s="440" t="s">
        <v>4804</v>
      </c>
      <c r="D715" s="440"/>
      <c r="E715" s="440" t="s">
        <v>4805</v>
      </c>
      <c r="F715" s="440" t="s">
        <v>4806</v>
      </c>
      <c r="G715" s="441"/>
      <c r="H715" s="440" t="s">
        <v>4807</v>
      </c>
      <c r="I715" s="441" t="s">
        <v>4808</v>
      </c>
      <c r="J715" s="450">
        <v>45689</v>
      </c>
      <c r="K715" s="429" t="s">
        <v>2493</v>
      </c>
      <c r="L715" s="444"/>
      <c r="M715" s="444" t="s">
        <v>827</v>
      </c>
      <c r="N715" s="441" t="s">
        <v>2572</v>
      </c>
      <c r="O715" s="445" t="s">
        <v>3350</v>
      </c>
      <c r="P715" s="441" t="s">
        <v>2494</v>
      </c>
      <c r="Q715" s="445" t="s">
        <v>2494</v>
      </c>
      <c r="R715" s="445" t="s">
        <v>4809</v>
      </c>
      <c r="S715" s="446">
        <v>45785</v>
      </c>
      <c r="T715" s="446">
        <v>45699</v>
      </c>
      <c r="U715" s="446">
        <v>45707</v>
      </c>
      <c r="V715" s="447"/>
      <c r="W715" s="447">
        <v>45768</v>
      </c>
      <c r="X715" s="447" t="s">
        <v>8044</v>
      </c>
      <c r="Y715" s="420"/>
      <c r="Z715" s="224" t="str">
        <f t="shared" si="66"/>
        <v>AG. MEDIÇÃO</v>
      </c>
      <c r="AA715" s="207" t="str">
        <f t="shared" si="67"/>
        <v>ENTREGUE</v>
      </c>
      <c r="AB715" s="207" t="str">
        <f t="shared" si="68"/>
        <v>AG. MEDIÇÃO</v>
      </c>
      <c r="AC715" s="156">
        <f t="shared" ca="1" si="69"/>
        <v>49</v>
      </c>
      <c r="AD715" s="156" t="str">
        <f t="shared" ca="1" si="70"/>
        <v>ATRASADO</v>
      </c>
      <c r="AE715" s="156">
        <f t="shared" ca="1" si="71"/>
        <v>46</v>
      </c>
    </row>
    <row r="716" spans="1:31" ht="36" hidden="1" customHeight="1">
      <c r="A716" s="414"/>
      <c r="B716" s="429" t="s">
        <v>7913</v>
      </c>
      <c r="C716" s="429" t="s">
        <v>2359</v>
      </c>
      <c r="D716" s="429" t="s">
        <v>2366</v>
      </c>
      <c r="E716" s="429" t="s">
        <v>2360</v>
      </c>
      <c r="F716" s="429" t="s">
        <v>427</v>
      </c>
      <c r="G716" s="433" t="s">
        <v>7921</v>
      </c>
      <c r="H716" s="429" t="s">
        <v>7922</v>
      </c>
      <c r="I716" s="433" t="s">
        <v>7923</v>
      </c>
      <c r="J716" s="432">
        <v>46174</v>
      </c>
      <c r="K716" s="429" t="s">
        <v>2493</v>
      </c>
      <c r="L716" s="436"/>
      <c r="M716" s="436" t="s">
        <v>77</v>
      </c>
      <c r="N716" s="437"/>
      <c r="O716" s="437" t="s">
        <v>85</v>
      </c>
      <c r="P716" s="437" t="s">
        <v>2494</v>
      </c>
      <c r="Q716" s="433" t="s">
        <v>2494</v>
      </c>
      <c r="R716" s="499" t="s">
        <v>7924</v>
      </c>
      <c r="S716" s="438">
        <v>46196</v>
      </c>
      <c r="T716" s="438">
        <v>46188</v>
      </c>
      <c r="U716" s="438"/>
      <c r="V716" s="438"/>
      <c r="W716" s="439">
        <v>46189</v>
      </c>
      <c r="X716" s="439">
        <v>46196</v>
      </c>
      <c r="Y716" s="420"/>
      <c r="Z716" s="224" t="str">
        <f t="shared" si="66"/>
        <v>AG. MEDIÇÃO</v>
      </c>
      <c r="AA716" s="207" t="str">
        <f t="shared" si="67"/>
        <v>ENTREGUE</v>
      </c>
      <c r="AB716" s="207" t="str">
        <f t="shared" si="68"/>
        <v>AG. MEDIÇÃO</v>
      </c>
      <c r="AC716" s="156">
        <f t="shared" ca="1" si="69"/>
        <v>1</v>
      </c>
      <c r="AD716" s="156" t="str">
        <f t="shared" ca="1" si="70"/>
        <v>NO PRAZO</v>
      </c>
      <c r="AE716" s="156">
        <f t="shared" ca="1" si="71"/>
        <v>-2</v>
      </c>
    </row>
    <row r="717" spans="1:31" ht="36" hidden="1" customHeight="1">
      <c r="A717" s="414"/>
      <c r="B717" s="440" t="s">
        <v>5695</v>
      </c>
      <c r="C717" s="440" t="s">
        <v>2076</v>
      </c>
      <c r="D717" s="440" t="s">
        <v>2076</v>
      </c>
      <c r="E717" s="440" t="s">
        <v>642</v>
      </c>
      <c r="F717" s="440" t="s">
        <v>42</v>
      </c>
      <c r="G717" s="441" t="s">
        <v>5696</v>
      </c>
      <c r="H717" s="440" t="s">
        <v>5697</v>
      </c>
      <c r="I717" s="441" t="s">
        <v>5698</v>
      </c>
      <c r="J717" s="450">
        <v>45870</v>
      </c>
      <c r="K717" s="429" t="s">
        <v>2493</v>
      </c>
      <c r="L717" s="444" t="s">
        <v>200</v>
      </c>
      <c r="M717" s="444" t="s">
        <v>200</v>
      </c>
      <c r="N717" s="441"/>
      <c r="O717" s="445"/>
      <c r="P717" s="441"/>
      <c r="Q717" s="445"/>
      <c r="R717" s="445" t="s">
        <v>5699</v>
      </c>
      <c r="S717" s="446" t="s">
        <v>2076</v>
      </c>
      <c r="T717" s="446">
        <v>45891</v>
      </c>
      <c r="U717" s="446"/>
      <c r="V717" s="447"/>
      <c r="W717" s="447"/>
      <c r="X717" s="447" t="s">
        <v>8044</v>
      </c>
      <c r="Y717" s="420"/>
      <c r="Z717" s="224" t="str">
        <f t="shared" si="66"/>
        <v>AG. MEDIÇÃO</v>
      </c>
      <c r="AA717" s="207" t="str">
        <f t="shared" si="67"/>
        <v>ENTREGUE</v>
      </c>
      <c r="AB717" s="207" t="str">
        <f t="shared" si="68"/>
        <v>AG. MEDIÇÃO</v>
      </c>
      <c r="AC717" s="156">
        <f t="shared" ca="1" si="69"/>
        <v>278</v>
      </c>
      <c r="AD717" s="156" t="str">
        <f t="shared" ca="1" si="70"/>
        <v>ATRASADO</v>
      </c>
      <c r="AE717" s="156">
        <f t="shared" ca="1" si="71"/>
        <v>275</v>
      </c>
    </row>
    <row r="718" spans="1:31" ht="36" hidden="1" customHeight="1">
      <c r="A718" s="414"/>
      <c r="B718" s="440" t="s">
        <v>5467</v>
      </c>
      <c r="C718" s="440" t="s">
        <v>853</v>
      </c>
      <c r="D718" s="440" t="s">
        <v>1068</v>
      </c>
      <c r="E718" s="440" t="s">
        <v>854</v>
      </c>
      <c r="F718" s="440" t="s">
        <v>427</v>
      </c>
      <c r="G718" s="441"/>
      <c r="H718" s="440" t="s">
        <v>5468</v>
      </c>
      <c r="I718" s="441" t="s">
        <v>5469</v>
      </c>
      <c r="J718" s="450">
        <v>45839</v>
      </c>
      <c r="K718" s="429" t="s">
        <v>2493</v>
      </c>
      <c r="L718" s="444" t="s">
        <v>61</v>
      </c>
      <c r="M718" s="444" t="s">
        <v>1155</v>
      </c>
      <c r="N718" s="441"/>
      <c r="O718" s="445"/>
      <c r="P718" s="441">
        <v>520</v>
      </c>
      <c r="Q718" s="445">
        <v>690</v>
      </c>
      <c r="R718" s="445" t="s">
        <v>5470</v>
      </c>
      <c r="S718" s="446">
        <v>45845</v>
      </c>
      <c r="T718" s="446">
        <v>45840</v>
      </c>
      <c r="U718" s="446">
        <v>45842</v>
      </c>
      <c r="V718" s="447">
        <v>45845</v>
      </c>
      <c r="W718" s="447">
        <v>45845</v>
      </c>
      <c r="X718" s="447" t="s">
        <v>8044</v>
      </c>
      <c r="Y718" s="420"/>
      <c r="Z718" s="224" t="str">
        <f t="shared" si="66"/>
        <v>AG. MEDIÇÃO</v>
      </c>
      <c r="AA718" s="207" t="str">
        <f t="shared" si="67"/>
        <v>ENTREGUE</v>
      </c>
      <c r="AB718" s="207" t="str">
        <f t="shared" si="68"/>
        <v>AG. MEDIÇÃO</v>
      </c>
      <c r="AC718" s="156">
        <f t="shared" ca="1" si="69"/>
        <v>3</v>
      </c>
      <c r="AD718" s="156" t="str">
        <f t="shared" ca="1" si="70"/>
        <v>NO PRAZO</v>
      </c>
      <c r="AE718" s="156">
        <f t="shared" ca="1" si="71"/>
        <v>0</v>
      </c>
    </row>
    <row r="719" spans="1:31" ht="36" hidden="1" customHeight="1">
      <c r="A719" s="414"/>
      <c r="B719" s="440" t="s">
        <v>5544</v>
      </c>
      <c r="C719" s="440" t="s">
        <v>248</v>
      </c>
      <c r="D719" s="440" t="s">
        <v>2231</v>
      </c>
      <c r="E719" s="440" t="s">
        <v>1551</v>
      </c>
      <c r="F719" s="440" t="s">
        <v>42</v>
      </c>
      <c r="G719" s="441" t="s">
        <v>5545</v>
      </c>
      <c r="H719" s="440" t="s">
        <v>5546</v>
      </c>
      <c r="I719" s="441" t="s">
        <v>5547</v>
      </c>
      <c r="J719" s="450">
        <v>45839</v>
      </c>
      <c r="K719" s="429" t="s">
        <v>2493</v>
      </c>
      <c r="L719" s="444" t="s">
        <v>147</v>
      </c>
      <c r="M719" s="444" t="s">
        <v>1155</v>
      </c>
      <c r="N719" s="441" t="s">
        <v>2572</v>
      </c>
      <c r="O719" s="445"/>
      <c r="P719" s="445">
        <v>622</v>
      </c>
      <c r="Q719" s="445">
        <v>622</v>
      </c>
      <c r="R719" s="445" t="s">
        <v>5548</v>
      </c>
      <c r="S719" s="446">
        <v>45880</v>
      </c>
      <c r="T719" s="446">
        <v>45853</v>
      </c>
      <c r="U719" s="446"/>
      <c r="V719" s="447"/>
      <c r="W719" s="447">
        <v>45867</v>
      </c>
      <c r="X719" s="447">
        <v>45880</v>
      </c>
      <c r="Y719" s="420"/>
      <c r="Z719" s="224" t="str">
        <f t="shared" si="66"/>
        <v>AG. MEDIÇÃO</v>
      </c>
      <c r="AA719" s="207" t="str">
        <f t="shared" si="67"/>
        <v>ENTREGUE</v>
      </c>
      <c r="AB719" s="207" t="str">
        <f t="shared" si="68"/>
        <v>AG. MEDIÇÃO</v>
      </c>
      <c r="AC719" s="156">
        <f t="shared" ca="1" si="69"/>
        <v>10</v>
      </c>
      <c r="AD719" s="156" t="str">
        <f t="shared" ca="1" si="70"/>
        <v>ATRASADO</v>
      </c>
      <c r="AE719" s="156">
        <f t="shared" ca="1" si="71"/>
        <v>7</v>
      </c>
    </row>
    <row r="720" spans="1:31" ht="36" hidden="1" customHeight="1">
      <c r="A720" s="414"/>
      <c r="B720" s="440" t="s">
        <v>2824</v>
      </c>
      <c r="C720" s="440" t="s">
        <v>37</v>
      </c>
      <c r="D720" s="440"/>
      <c r="E720" s="440"/>
      <c r="F720" s="440" t="s">
        <v>42</v>
      </c>
      <c r="G720" s="441" t="s">
        <v>2825</v>
      </c>
      <c r="H720" s="440" t="s">
        <v>2826</v>
      </c>
      <c r="I720" s="449"/>
      <c r="J720" s="443">
        <v>45017</v>
      </c>
      <c r="K720" s="429" t="s">
        <v>2493</v>
      </c>
      <c r="L720" s="444" t="s">
        <v>689</v>
      </c>
      <c r="M720" s="444" t="s">
        <v>646</v>
      </c>
      <c r="N720" s="441" t="s">
        <v>2572</v>
      </c>
      <c r="O720" s="445"/>
      <c r="P720" s="445"/>
      <c r="Q720" s="441">
        <v>350</v>
      </c>
      <c r="R720" s="444" t="s">
        <v>2827</v>
      </c>
      <c r="S720" s="446">
        <v>45083</v>
      </c>
      <c r="T720" s="446">
        <v>45020</v>
      </c>
      <c r="U720" s="446">
        <v>45020</v>
      </c>
      <c r="V720" s="446">
        <v>45028</v>
      </c>
      <c r="W720" s="447">
        <v>45044</v>
      </c>
      <c r="X720" s="447" t="s">
        <v>8044</v>
      </c>
      <c r="Y720" s="420"/>
      <c r="Z720" s="224" t="str">
        <f t="shared" si="66"/>
        <v>AG. MEDIÇÃO</v>
      </c>
      <c r="AA720" s="207" t="str">
        <f t="shared" si="67"/>
        <v>ENTREGUE</v>
      </c>
      <c r="AB720" s="207" t="str">
        <f t="shared" si="68"/>
        <v>AG. MEDIÇÃO</v>
      </c>
      <c r="AC720" s="156">
        <f t="shared" ca="1" si="69"/>
        <v>18</v>
      </c>
      <c r="AD720" s="156" t="str">
        <f t="shared" ca="1" si="70"/>
        <v>ATRASADO</v>
      </c>
      <c r="AE720" s="156">
        <f t="shared" ca="1" si="71"/>
        <v>15</v>
      </c>
    </row>
    <row r="721" spans="1:31" ht="36" hidden="1" customHeight="1">
      <c r="A721" s="414"/>
      <c r="B721" s="440" t="s">
        <v>5724</v>
      </c>
      <c r="C721" s="440" t="s">
        <v>555</v>
      </c>
      <c r="D721" s="440" t="s">
        <v>5725</v>
      </c>
      <c r="E721" s="440" t="s">
        <v>556</v>
      </c>
      <c r="F721" s="440" t="s">
        <v>42</v>
      </c>
      <c r="G721" s="441"/>
      <c r="H721" s="440" t="s">
        <v>5726</v>
      </c>
      <c r="I721" s="441" t="s">
        <v>5727</v>
      </c>
      <c r="J721" s="450">
        <v>45901</v>
      </c>
      <c r="K721" s="429" t="s">
        <v>2493</v>
      </c>
      <c r="L721" s="444" t="s">
        <v>50</v>
      </c>
      <c r="M721" s="444" t="s">
        <v>1155</v>
      </c>
      <c r="N721" s="441"/>
      <c r="O721" s="445"/>
      <c r="P721" s="441"/>
      <c r="Q721" s="445"/>
      <c r="R721" s="445" t="s">
        <v>5728</v>
      </c>
      <c r="S721" s="446" t="s">
        <v>5729</v>
      </c>
      <c r="T721" s="446">
        <v>45909</v>
      </c>
      <c r="U721" s="446"/>
      <c r="V721" s="447"/>
      <c r="W721" s="447">
        <v>45911</v>
      </c>
      <c r="X721" s="447" t="s">
        <v>8044</v>
      </c>
      <c r="Y721" s="420"/>
      <c r="Z721" s="224" t="str">
        <f t="shared" si="66"/>
        <v>AG. MEDIÇÃO</v>
      </c>
      <c r="AA721" s="207" t="str">
        <f t="shared" si="67"/>
        <v>ENTREGUE</v>
      </c>
      <c r="AB721" s="207" t="str">
        <f t="shared" si="68"/>
        <v>AG. MEDIÇÃO</v>
      </c>
      <c r="AC721" s="156">
        <f t="shared" ca="1" si="69"/>
        <v>2</v>
      </c>
      <c r="AD721" s="156" t="str">
        <f t="shared" ca="1" si="70"/>
        <v>NO PRAZO</v>
      </c>
      <c r="AE721" s="156">
        <f t="shared" ca="1" si="71"/>
        <v>-1</v>
      </c>
    </row>
    <row r="722" spans="1:31" ht="36" hidden="1" customHeight="1">
      <c r="A722" s="414"/>
      <c r="B722" s="440" t="s">
        <v>5012</v>
      </c>
      <c r="C722" s="440" t="s">
        <v>555</v>
      </c>
      <c r="D722" s="440" t="s">
        <v>4960</v>
      </c>
      <c r="E722" s="440" t="s">
        <v>556</v>
      </c>
      <c r="F722" s="440" t="s">
        <v>42</v>
      </c>
      <c r="G722" s="441"/>
      <c r="H722" s="440" t="s">
        <v>5013</v>
      </c>
      <c r="I722" s="441" t="s">
        <v>5014</v>
      </c>
      <c r="J722" s="450">
        <v>45717</v>
      </c>
      <c r="K722" s="429" t="s">
        <v>2493</v>
      </c>
      <c r="L722" s="444" t="s">
        <v>200</v>
      </c>
      <c r="M722" s="444" t="s">
        <v>200</v>
      </c>
      <c r="N722" s="441" t="s">
        <v>2572</v>
      </c>
      <c r="O722" s="445" t="s">
        <v>3350</v>
      </c>
      <c r="P722" s="441"/>
      <c r="Q722" s="445">
        <v>600</v>
      </c>
      <c r="R722" s="445" t="s">
        <v>5015</v>
      </c>
      <c r="S722" s="446">
        <v>45739</v>
      </c>
      <c r="T722" s="446">
        <v>45735</v>
      </c>
      <c r="U722" s="446">
        <v>45736</v>
      </c>
      <c r="V722" s="447">
        <v>45740</v>
      </c>
      <c r="W722" s="447">
        <v>45738</v>
      </c>
      <c r="X722" s="447" t="s">
        <v>8044</v>
      </c>
      <c r="Y722" s="420"/>
      <c r="Z722" s="224" t="str">
        <f t="shared" si="66"/>
        <v>AG. MEDIÇÃO</v>
      </c>
      <c r="AA722" s="207" t="str">
        <f t="shared" si="67"/>
        <v>ENTREGUE</v>
      </c>
      <c r="AB722" s="207" t="str">
        <f t="shared" si="68"/>
        <v>AG. MEDIÇÃO</v>
      </c>
      <c r="AC722" s="156">
        <f t="shared" ca="1" si="69"/>
        <v>2</v>
      </c>
      <c r="AD722" s="156" t="str">
        <f t="shared" ca="1" si="70"/>
        <v>NO PRAZO</v>
      </c>
      <c r="AE722" s="156">
        <f t="shared" ca="1" si="71"/>
        <v>-1</v>
      </c>
    </row>
    <row r="723" spans="1:31" ht="36" hidden="1" customHeight="1">
      <c r="A723" s="414"/>
      <c r="B723" s="440" t="s">
        <v>4959</v>
      </c>
      <c r="C723" s="440" t="s">
        <v>555</v>
      </c>
      <c r="D723" s="440" t="s">
        <v>4960</v>
      </c>
      <c r="E723" s="440" t="s">
        <v>556</v>
      </c>
      <c r="F723" s="440" t="s">
        <v>42</v>
      </c>
      <c r="G723" s="441"/>
      <c r="H723" s="440" t="s">
        <v>4961</v>
      </c>
      <c r="I723" s="441" t="s">
        <v>4962</v>
      </c>
      <c r="J723" s="450">
        <v>45717</v>
      </c>
      <c r="K723" s="429" t="s">
        <v>2493</v>
      </c>
      <c r="L723" s="444"/>
      <c r="M723" s="444" t="s">
        <v>4963</v>
      </c>
      <c r="N723" s="441" t="s">
        <v>2572</v>
      </c>
      <c r="O723" s="445" t="s">
        <v>3350</v>
      </c>
      <c r="P723" s="441" t="s">
        <v>2494</v>
      </c>
      <c r="Q723" s="445" t="s">
        <v>2494</v>
      </c>
      <c r="R723" s="445" t="s">
        <v>4964</v>
      </c>
      <c r="S723" s="446">
        <v>45739</v>
      </c>
      <c r="T723" s="446">
        <v>45733</v>
      </c>
      <c r="U723" s="446">
        <v>45734</v>
      </c>
      <c r="V723" s="447">
        <v>45736</v>
      </c>
      <c r="W723" s="447">
        <v>45738</v>
      </c>
      <c r="X723" s="447" t="s">
        <v>8044</v>
      </c>
      <c r="Y723" s="420"/>
      <c r="Z723" s="224" t="str">
        <f t="shared" si="66"/>
        <v>AG. MEDIÇÃO</v>
      </c>
      <c r="AA723" s="207" t="str">
        <f t="shared" si="67"/>
        <v>ENTREGUE</v>
      </c>
      <c r="AB723" s="207" t="str">
        <f t="shared" si="68"/>
        <v>AG. MEDIÇÃO</v>
      </c>
      <c r="AC723" s="156">
        <f t="shared" ca="1" si="69"/>
        <v>4</v>
      </c>
      <c r="AD723" s="156" t="str">
        <f t="shared" ca="1" si="70"/>
        <v>ATRASADO</v>
      </c>
      <c r="AE723" s="156">
        <f t="shared" ca="1" si="71"/>
        <v>1</v>
      </c>
    </row>
    <row r="724" spans="1:31" ht="36" hidden="1" customHeight="1">
      <c r="A724" s="414"/>
      <c r="B724" s="440" t="s">
        <v>3503</v>
      </c>
      <c r="C724" s="440" t="s">
        <v>315</v>
      </c>
      <c r="D724" s="440"/>
      <c r="E724" s="440"/>
      <c r="F724" s="440" t="s">
        <v>42</v>
      </c>
      <c r="G724" s="441" t="s">
        <v>3504</v>
      </c>
      <c r="H724" s="440" t="s">
        <v>3505</v>
      </c>
      <c r="I724" s="441"/>
      <c r="J724" s="450">
        <v>45352</v>
      </c>
      <c r="K724" s="429" t="s">
        <v>2493</v>
      </c>
      <c r="L724" s="444" t="s">
        <v>1130</v>
      </c>
      <c r="M724" s="444" t="s">
        <v>51</v>
      </c>
      <c r="N724" s="441" t="s">
        <v>2572</v>
      </c>
      <c r="O724" s="445" t="s">
        <v>85</v>
      </c>
      <c r="P724" s="445"/>
      <c r="Q724" s="441">
        <v>430</v>
      </c>
      <c r="R724" s="445" t="s">
        <v>3506</v>
      </c>
      <c r="S724" s="446">
        <v>45377</v>
      </c>
      <c r="T724" s="446">
        <v>45369</v>
      </c>
      <c r="U724" s="446">
        <v>45370</v>
      </c>
      <c r="V724" s="446">
        <v>45370</v>
      </c>
      <c r="W724" s="447">
        <v>45370</v>
      </c>
      <c r="X724" s="447" t="s">
        <v>8044</v>
      </c>
      <c r="Y724" s="420"/>
      <c r="Z724" s="224" t="str">
        <f t="shared" si="66"/>
        <v>AG. MEDIÇÃO</v>
      </c>
      <c r="AA724" s="207" t="str">
        <f t="shared" si="67"/>
        <v>ENTREGUE</v>
      </c>
      <c r="AB724" s="207" t="str">
        <f t="shared" si="68"/>
        <v>AG. MEDIÇÃO</v>
      </c>
      <c r="AC724" s="156">
        <f t="shared" ca="1" si="69"/>
        <v>1</v>
      </c>
      <c r="AD724" s="156" t="str">
        <f t="shared" ca="1" si="70"/>
        <v>NO PRAZO</v>
      </c>
      <c r="AE724" s="156">
        <f t="shared" ca="1" si="71"/>
        <v>-2</v>
      </c>
    </row>
    <row r="725" spans="1:31" ht="36" hidden="1" customHeight="1">
      <c r="A725" s="414"/>
      <c r="B725" s="440" t="s">
        <v>3499</v>
      </c>
      <c r="C725" s="440" t="s">
        <v>315</v>
      </c>
      <c r="D725" s="440"/>
      <c r="E725" s="440"/>
      <c r="F725" s="440" t="s">
        <v>42</v>
      </c>
      <c r="G725" s="441" t="s">
        <v>3500</v>
      </c>
      <c r="H725" s="440" t="s">
        <v>3501</v>
      </c>
      <c r="I725" s="441"/>
      <c r="J725" s="450">
        <v>45352</v>
      </c>
      <c r="K725" s="429" t="s">
        <v>2493</v>
      </c>
      <c r="L725" s="444"/>
      <c r="M725" s="444" t="s">
        <v>51</v>
      </c>
      <c r="N725" s="441" t="s">
        <v>2572</v>
      </c>
      <c r="O725" s="445" t="s">
        <v>85</v>
      </c>
      <c r="P725" s="441" t="s">
        <v>2494</v>
      </c>
      <c r="Q725" s="441" t="s">
        <v>2494</v>
      </c>
      <c r="R725" s="445" t="s">
        <v>3502</v>
      </c>
      <c r="S725" s="446">
        <v>45377</v>
      </c>
      <c r="T725" s="446">
        <v>45369</v>
      </c>
      <c r="U725" s="446"/>
      <c r="V725" s="446">
        <v>45370</v>
      </c>
      <c r="W725" s="447">
        <v>45370</v>
      </c>
      <c r="X725" s="447" t="s">
        <v>8044</v>
      </c>
      <c r="Y725" s="420"/>
      <c r="Z725" s="224" t="str">
        <f t="shared" si="66"/>
        <v>AG. MEDIÇÃO</v>
      </c>
      <c r="AA725" s="207" t="str">
        <f t="shared" si="67"/>
        <v>ENTREGUE</v>
      </c>
      <c r="AB725" s="207" t="str">
        <f t="shared" si="68"/>
        <v>AG. MEDIÇÃO</v>
      </c>
      <c r="AC725" s="156">
        <f t="shared" ca="1" si="69"/>
        <v>1</v>
      </c>
      <c r="AD725" s="156" t="str">
        <f t="shared" ca="1" si="70"/>
        <v>NO PRAZO</v>
      </c>
      <c r="AE725" s="156">
        <f t="shared" ca="1" si="71"/>
        <v>-2</v>
      </c>
    </row>
    <row r="726" spans="1:31" ht="36" hidden="1" customHeight="1">
      <c r="A726" s="414"/>
      <c r="B726" s="440" t="s">
        <v>5264</v>
      </c>
      <c r="C726" s="440" t="s">
        <v>5265</v>
      </c>
      <c r="D726" s="440"/>
      <c r="E726" s="440"/>
      <c r="F726" s="440" t="s">
        <v>5165</v>
      </c>
      <c r="G726" s="441" t="s">
        <v>4654</v>
      </c>
      <c r="H726" s="440" t="s">
        <v>5266</v>
      </c>
      <c r="I726" s="441" t="s">
        <v>5267</v>
      </c>
      <c r="J726" s="450">
        <v>45778</v>
      </c>
      <c r="K726" s="429" t="s">
        <v>2493</v>
      </c>
      <c r="L726" s="444"/>
      <c r="M726" s="444" t="s">
        <v>1764</v>
      </c>
      <c r="N726" s="441"/>
      <c r="O726" s="445"/>
      <c r="P726" s="441" t="s">
        <v>2494</v>
      </c>
      <c r="Q726" s="445" t="s">
        <v>2494</v>
      </c>
      <c r="R726" s="445" t="s">
        <v>5268</v>
      </c>
      <c r="S726" s="446">
        <v>45951</v>
      </c>
      <c r="T726" s="446">
        <v>45807</v>
      </c>
      <c r="U726" s="446"/>
      <c r="V726" s="447"/>
      <c r="W726" s="447">
        <v>45950</v>
      </c>
      <c r="X726" s="447">
        <v>45951</v>
      </c>
      <c r="Y726" s="420"/>
      <c r="Z726" s="224" t="str">
        <f t="shared" si="66"/>
        <v>AG. MEDIÇÃO</v>
      </c>
      <c r="AA726" s="207" t="str">
        <f t="shared" si="67"/>
        <v>ENTREGUE</v>
      </c>
      <c r="AB726" s="207" t="str">
        <f t="shared" si="68"/>
        <v>AG. MEDIÇÃO</v>
      </c>
      <c r="AC726" s="156">
        <f t="shared" ca="1" si="69"/>
        <v>101</v>
      </c>
      <c r="AD726" s="156" t="str">
        <f t="shared" ca="1" si="70"/>
        <v>ATRASADO</v>
      </c>
      <c r="AE726" s="156">
        <f t="shared" ca="1" si="71"/>
        <v>98</v>
      </c>
    </row>
    <row r="727" spans="1:31" ht="36" hidden="1" customHeight="1">
      <c r="A727" s="414"/>
      <c r="B727" s="440" t="s">
        <v>3630</v>
      </c>
      <c r="C727" s="440" t="s">
        <v>425</v>
      </c>
      <c r="D727" s="440"/>
      <c r="E727" s="440"/>
      <c r="F727" s="440" t="s">
        <v>2559</v>
      </c>
      <c r="G727" s="441" t="s">
        <v>3631</v>
      </c>
      <c r="H727" s="440" t="s">
        <v>3632</v>
      </c>
      <c r="I727" s="441"/>
      <c r="J727" s="450">
        <v>45383</v>
      </c>
      <c r="K727" s="429" t="s">
        <v>2493</v>
      </c>
      <c r="L727" s="444"/>
      <c r="M727" s="444" t="s">
        <v>51</v>
      </c>
      <c r="N727" s="441" t="s">
        <v>2572</v>
      </c>
      <c r="O727" s="445" t="s">
        <v>85</v>
      </c>
      <c r="P727" s="441" t="s">
        <v>2494</v>
      </c>
      <c r="Q727" s="441" t="s">
        <v>2494</v>
      </c>
      <c r="R727" s="445" t="s">
        <v>3633</v>
      </c>
      <c r="S727" s="446">
        <v>45405</v>
      </c>
      <c r="T727" s="446">
        <v>45393</v>
      </c>
      <c r="U727" s="446"/>
      <c r="V727" s="446"/>
      <c r="W727" s="447">
        <v>45402</v>
      </c>
      <c r="X727" s="447" t="s">
        <v>8044</v>
      </c>
      <c r="Y727" s="420"/>
      <c r="Z727" s="224" t="str">
        <f t="shared" si="66"/>
        <v>AG. MEDIÇÃO</v>
      </c>
      <c r="AA727" s="207" t="str">
        <f t="shared" si="67"/>
        <v>ENTREGUE</v>
      </c>
      <c r="AB727" s="207" t="str">
        <f t="shared" si="68"/>
        <v>AG. MEDIÇÃO</v>
      </c>
      <c r="AC727" s="156">
        <f t="shared" ca="1" si="69"/>
        <v>6</v>
      </c>
      <c r="AD727" s="156" t="str">
        <f t="shared" ca="1" si="70"/>
        <v>ATRASADO</v>
      </c>
      <c r="AE727" s="156">
        <f t="shared" ca="1" si="71"/>
        <v>3</v>
      </c>
    </row>
    <row r="728" spans="1:31" ht="36" hidden="1" customHeight="1">
      <c r="A728" s="414"/>
      <c r="B728" s="440" t="s">
        <v>3669</v>
      </c>
      <c r="C728" s="440" t="s">
        <v>267</v>
      </c>
      <c r="D728" s="440"/>
      <c r="E728" s="440"/>
      <c r="F728" s="440" t="s">
        <v>42</v>
      </c>
      <c r="G728" s="441" t="s">
        <v>3348</v>
      </c>
      <c r="H728" s="440" t="s">
        <v>3670</v>
      </c>
      <c r="I728" s="441"/>
      <c r="J728" s="450">
        <v>45383</v>
      </c>
      <c r="K728" s="429" t="s">
        <v>2493</v>
      </c>
      <c r="L728" s="444" t="s">
        <v>1208</v>
      </c>
      <c r="M728" s="444" t="s">
        <v>132</v>
      </c>
      <c r="N728" s="441" t="s">
        <v>2572</v>
      </c>
      <c r="O728" s="445" t="s">
        <v>85</v>
      </c>
      <c r="P728" s="445"/>
      <c r="Q728" s="441">
        <v>211</v>
      </c>
      <c r="R728" s="445" t="s">
        <v>3671</v>
      </c>
      <c r="S728" s="446">
        <v>45439</v>
      </c>
      <c r="T728" s="446">
        <v>45400</v>
      </c>
      <c r="U728" s="446"/>
      <c r="V728" s="447">
        <v>45406</v>
      </c>
      <c r="W728" s="447">
        <v>45420</v>
      </c>
      <c r="X728" s="447" t="s">
        <v>8044</v>
      </c>
      <c r="Y728" s="420"/>
      <c r="Z728" s="224" t="str">
        <f t="shared" si="66"/>
        <v>AG. MEDIÇÃO</v>
      </c>
      <c r="AA728" s="207" t="str">
        <f t="shared" si="67"/>
        <v>ENTREGUE</v>
      </c>
      <c r="AB728" s="207" t="str">
        <f t="shared" si="68"/>
        <v>AG. MEDIÇÃO</v>
      </c>
      <c r="AC728" s="156">
        <f t="shared" ca="1" si="69"/>
        <v>14</v>
      </c>
      <c r="AD728" s="156" t="str">
        <f t="shared" ca="1" si="70"/>
        <v>ATRASADO</v>
      </c>
      <c r="AE728" s="156">
        <f t="shared" ca="1" si="71"/>
        <v>11</v>
      </c>
    </row>
    <row r="729" spans="1:31" ht="36" hidden="1" customHeight="1">
      <c r="A729" s="414"/>
      <c r="B729" s="440" t="s">
        <v>4548</v>
      </c>
      <c r="C729" s="440" t="s">
        <v>111</v>
      </c>
      <c r="D729" s="440" t="s">
        <v>1697</v>
      </c>
      <c r="E729" s="440" t="s">
        <v>2504</v>
      </c>
      <c r="F729" s="440" t="s">
        <v>42</v>
      </c>
      <c r="G729" s="440" t="s">
        <v>4549</v>
      </c>
      <c r="H729" s="440" t="s">
        <v>4550</v>
      </c>
      <c r="I729" s="441" t="s">
        <v>4551</v>
      </c>
      <c r="J729" s="450">
        <v>45597</v>
      </c>
      <c r="K729" s="429" t="s">
        <v>2493</v>
      </c>
      <c r="L729" s="444"/>
      <c r="M729" s="444" t="s">
        <v>132</v>
      </c>
      <c r="N729" s="441" t="s">
        <v>2572</v>
      </c>
      <c r="O729" s="445" t="s">
        <v>3350</v>
      </c>
      <c r="P729" s="441" t="s">
        <v>2494</v>
      </c>
      <c r="Q729" s="441" t="s">
        <v>2494</v>
      </c>
      <c r="R729" s="445" t="s">
        <v>4552</v>
      </c>
      <c r="S729" s="446">
        <v>45608</v>
      </c>
      <c r="T729" s="446">
        <v>45603</v>
      </c>
      <c r="U729" s="446">
        <v>45604</v>
      </c>
      <c r="V729" s="447">
        <v>45605</v>
      </c>
      <c r="W729" s="447">
        <v>45604</v>
      </c>
      <c r="X729" s="447" t="s">
        <v>8044</v>
      </c>
      <c r="Y729" s="420"/>
      <c r="Z729" s="224" t="str">
        <f t="shared" si="66"/>
        <v>AG. MEDIÇÃO</v>
      </c>
      <c r="AA729" s="207" t="str">
        <f t="shared" si="67"/>
        <v>ENTREGUE</v>
      </c>
      <c r="AB729" s="207" t="str">
        <f t="shared" si="68"/>
        <v>AG. MEDIÇÃO</v>
      </c>
      <c r="AC729" s="156">
        <f t="shared" ca="1" si="69"/>
        <v>1</v>
      </c>
      <c r="AD729" s="156" t="str">
        <f t="shared" ca="1" si="70"/>
        <v>NO PRAZO</v>
      </c>
      <c r="AE729" s="156">
        <f t="shared" ca="1" si="71"/>
        <v>-2</v>
      </c>
    </row>
    <row r="730" spans="1:31" ht="36" hidden="1" customHeight="1">
      <c r="A730" s="414"/>
      <c r="B730" s="440" t="s">
        <v>3576</v>
      </c>
      <c r="C730" s="440" t="s">
        <v>606</v>
      </c>
      <c r="D730" s="440"/>
      <c r="E730" s="440"/>
      <c r="F730" s="440" t="s">
        <v>42</v>
      </c>
      <c r="G730" s="441" t="s">
        <v>3577</v>
      </c>
      <c r="H730" s="440" t="s">
        <v>3578</v>
      </c>
      <c r="I730" s="441"/>
      <c r="J730" s="450">
        <v>45383</v>
      </c>
      <c r="K730" s="429" t="s">
        <v>2493</v>
      </c>
      <c r="L730" s="444"/>
      <c r="M730" s="444" t="s">
        <v>3579</v>
      </c>
      <c r="N730" s="441" t="s">
        <v>2572</v>
      </c>
      <c r="O730" s="445" t="s">
        <v>85</v>
      </c>
      <c r="P730" s="441" t="s">
        <v>2494</v>
      </c>
      <c r="Q730" s="441" t="s">
        <v>2494</v>
      </c>
      <c r="R730" s="445" t="s">
        <v>3580</v>
      </c>
      <c r="S730" s="446">
        <v>45405</v>
      </c>
      <c r="T730" s="446">
        <v>45384</v>
      </c>
      <c r="U730" s="446"/>
      <c r="V730" s="446">
        <v>45387</v>
      </c>
      <c r="W730" s="447">
        <v>45387</v>
      </c>
      <c r="X730" s="447" t="s">
        <v>8044</v>
      </c>
      <c r="Y730" s="420"/>
      <c r="Z730" s="224" t="str">
        <f t="shared" si="66"/>
        <v>AG. MEDIÇÃO</v>
      </c>
      <c r="AA730" s="207" t="str">
        <f t="shared" si="67"/>
        <v>ENTREGUE</v>
      </c>
      <c r="AB730" s="207" t="str">
        <f t="shared" si="68"/>
        <v>AG. MEDIÇÃO</v>
      </c>
      <c r="AC730" s="156">
        <f t="shared" ca="1" si="69"/>
        <v>3</v>
      </c>
      <c r="AD730" s="156" t="str">
        <f t="shared" ca="1" si="70"/>
        <v>NO PRAZO</v>
      </c>
      <c r="AE730" s="156">
        <f t="shared" ca="1" si="71"/>
        <v>0</v>
      </c>
    </row>
    <row r="731" spans="1:31" ht="36" hidden="1" customHeight="1">
      <c r="A731" s="414"/>
      <c r="B731" s="440" t="s">
        <v>5671</v>
      </c>
      <c r="C731" s="440" t="s">
        <v>606</v>
      </c>
      <c r="D731" s="440" t="s">
        <v>4533</v>
      </c>
      <c r="E731" s="440" t="s">
        <v>607</v>
      </c>
      <c r="F731" s="440" t="s">
        <v>42</v>
      </c>
      <c r="G731" s="441"/>
      <c r="H731" s="440" t="s">
        <v>5672</v>
      </c>
      <c r="I731" s="441" t="s">
        <v>5673</v>
      </c>
      <c r="J731" s="450">
        <v>45870</v>
      </c>
      <c r="K731" s="429" t="s">
        <v>2493</v>
      </c>
      <c r="L731" s="444" t="s">
        <v>147</v>
      </c>
      <c r="M731" s="444" t="s">
        <v>132</v>
      </c>
      <c r="N731" s="441"/>
      <c r="O731" s="445"/>
      <c r="P731" s="441">
        <v>250</v>
      </c>
      <c r="Q731" s="441">
        <v>307</v>
      </c>
      <c r="R731" s="445" t="s">
        <v>5674</v>
      </c>
      <c r="S731" s="446">
        <v>45904</v>
      </c>
      <c r="T731" s="446">
        <v>45889</v>
      </c>
      <c r="U731" s="446"/>
      <c r="V731" s="447"/>
      <c r="W731" s="447">
        <v>45896</v>
      </c>
      <c r="X731" s="447" t="s">
        <v>8044</v>
      </c>
      <c r="Y731" s="420"/>
      <c r="Z731" s="224" t="str">
        <f t="shared" si="66"/>
        <v>AG. MEDIÇÃO</v>
      </c>
      <c r="AA731" s="207" t="str">
        <f t="shared" si="67"/>
        <v>ENTREGUE</v>
      </c>
      <c r="AB731" s="207" t="str">
        <f t="shared" si="68"/>
        <v>AG. MEDIÇÃO</v>
      </c>
      <c r="AC731" s="156">
        <f t="shared" ca="1" si="69"/>
        <v>5</v>
      </c>
      <c r="AD731" s="156" t="str">
        <f t="shared" ca="1" si="70"/>
        <v>ATRASADO</v>
      </c>
      <c r="AE731" s="156">
        <f t="shared" ca="1" si="71"/>
        <v>2</v>
      </c>
    </row>
    <row r="732" spans="1:31" ht="36" hidden="1" customHeight="1">
      <c r="A732" s="414"/>
      <c r="B732" s="440" t="s">
        <v>5431</v>
      </c>
      <c r="C732" s="440" t="s">
        <v>134</v>
      </c>
      <c r="D732" s="440" t="s">
        <v>5432</v>
      </c>
      <c r="E732" s="440" t="s">
        <v>135</v>
      </c>
      <c r="F732" s="440" t="s">
        <v>42</v>
      </c>
      <c r="G732" s="441" t="s">
        <v>5433</v>
      </c>
      <c r="H732" s="440" t="s">
        <v>5434</v>
      </c>
      <c r="I732" s="441" t="s">
        <v>5435</v>
      </c>
      <c r="J732" s="450">
        <v>45809</v>
      </c>
      <c r="K732" s="429" t="s">
        <v>2493</v>
      </c>
      <c r="L732" s="444" t="s">
        <v>50</v>
      </c>
      <c r="M732" s="444" t="s">
        <v>170</v>
      </c>
      <c r="N732" s="441"/>
      <c r="O732" s="445"/>
      <c r="P732" s="441">
        <v>2900</v>
      </c>
      <c r="Q732" s="445">
        <v>3054</v>
      </c>
      <c r="R732" s="445" t="s">
        <v>5436</v>
      </c>
      <c r="S732" s="446">
        <v>45848</v>
      </c>
      <c r="T732" s="446">
        <v>45832</v>
      </c>
      <c r="U732" s="446"/>
      <c r="V732" s="447"/>
      <c r="W732" s="447">
        <v>45840</v>
      </c>
      <c r="X732" s="447" t="s">
        <v>8044</v>
      </c>
      <c r="Y732" s="420"/>
      <c r="Z732" s="224" t="str">
        <f t="shared" si="66"/>
        <v>AG. MEDIÇÃO</v>
      </c>
      <c r="AA732" s="207" t="str">
        <f t="shared" si="67"/>
        <v>ENTREGUE</v>
      </c>
      <c r="AB732" s="207" t="str">
        <f t="shared" si="68"/>
        <v>AG. MEDIÇÃO</v>
      </c>
      <c r="AC732" s="156">
        <f t="shared" ca="1" si="69"/>
        <v>6</v>
      </c>
      <c r="AD732" s="156" t="str">
        <f t="shared" ca="1" si="70"/>
        <v>ATRASADO</v>
      </c>
      <c r="AE732" s="156">
        <f t="shared" ca="1" si="71"/>
        <v>3</v>
      </c>
    </row>
    <row r="733" spans="1:31" ht="36" hidden="1" customHeight="1">
      <c r="A733" s="414"/>
      <c r="B733" s="440" t="s">
        <v>5533</v>
      </c>
      <c r="C733" s="440" t="s">
        <v>555</v>
      </c>
      <c r="D733" s="440" t="s">
        <v>2033</v>
      </c>
      <c r="E733" s="440" t="s">
        <v>556</v>
      </c>
      <c r="F733" s="440" t="s">
        <v>42</v>
      </c>
      <c r="G733" s="441"/>
      <c r="H733" s="440" t="s">
        <v>5534</v>
      </c>
      <c r="I733" s="441" t="s">
        <v>5535</v>
      </c>
      <c r="J733" s="450">
        <v>45839</v>
      </c>
      <c r="K733" s="429" t="s">
        <v>2493</v>
      </c>
      <c r="L733" s="444"/>
      <c r="M733" s="444" t="s">
        <v>62</v>
      </c>
      <c r="N733" s="441"/>
      <c r="O733" s="445"/>
      <c r="P733" s="441"/>
      <c r="Q733" s="445"/>
      <c r="R733" s="445" t="s">
        <v>5506</v>
      </c>
      <c r="S733" s="446" t="s">
        <v>2033</v>
      </c>
      <c r="T733" s="446">
        <v>45852</v>
      </c>
      <c r="U733" s="446"/>
      <c r="V733" s="447"/>
      <c r="W733" s="447">
        <v>45855</v>
      </c>
      <c r="X733" s="447" t="s">
        <v>8044</v>
      </c>
      <c r="Y733" s="420"/>
      <c r="Z733" s="224" t="str">
        <f t="shared" si="66"/>
        <v>AG. MEDIÇÃO</v>
      </c>
      <c r="AA733" s="207" t="str">
        <f t="shared" si="67"/>
        <v>ENTREGUE</v>
      </c>
      <c r="AB733" s="207" t="str">
        <f t="shared" si="68"/>
        <v>AG. MEDIÇÃO</v>
      </c>
      <c r="AC733" s="156">
        <f t="shared" ca="1" si="69"/>
        <v>3</v>
      </c>
      <c r="AD733" s="156" t="str">
        <f t="shared" ca="1" si="70"/>
        <v>NO PRAZO</v>
      </c>
      <c r="AE733" s="156">
        <f t="shared" ca="1" si="71"/>
        <v>0</v>
      </c>
    </row>
    <row r="734" spans="1:31" ht="36" hidden="1" customHeight="1">
      <c r="A734" s="414"/>
      <c r="B734" s="429" t="s">
        <v>8204</v>
      </c>
      <c r="C734" s="429" t="s">
        <v>600</v>
      </c>
      <c r="D734" s="429"/>
      <c r="E734" s="429" t="s">
        <v>601</v>
      </c>
      <c r="F734" s="429" t="s">
        <v>42</v>
      </c>
      <c r="G734" s="562" t="s">
        <v>8230</v>
      </c>
      <c r="H734" s="562" t="s">
        <v>8229</v>
      </c>
      <c r="I734" s="562" t="s">
        <v>8233</v>
      </c>
      <c r="J734" s="432">
        <v>46204</v>
      </c>
      <c r="K734" s="429" t="s">
        <v>2493</v>
      </c>
      <c r="L734" s="436"/>
      <c r="M734" s="436" t="s">
        <v>62</v>
      </c>
      <c r="N734" s="437"/>
      <c r="O734" s="437"/>
      <c r="P734" s="436" t="s">
        <v>2494</v>
      </c>
      <c r="Q734" s="436" t="s">
        <v>2494</v>
      </c>
      <c r="R734" s="499"/>
      <c r="S734" s="438"/>
      <c r="T734" s="438">
        <v>46234</v>
      </c>
      <c r="U734" s="438"/>
      <c r="V734" s="438">
        <v>46238</v>
      </c>
      <c r="W734" s="438">
        <v>46238</v>
      </c>
      <c r="X734" s="439"/>
      <c r="Y734" s="420"/>
      <c r="Z734" s="224" t="str">
        <f t="shared" si="66"/>
        <v>AG. RELATÓRIO</v>
      </c>
      <c r="AA734" s="207" t="str">
        <f t="shared" si="67"/>
        <v>PENDENTE</v>
      </c>
      <c r="AB734" s="207" t="str">
        <f t="shared" si="68"/>
        <v>AG. RELATÓRIO</v>
      </c>
      <c r="AC734" s="156">
        <f t="shared" ca="1" si="69"/>
        <v>2</v>
      </c>
      <c r="AD734" s="156" t="str">
        <f t="shared" ca="1" si="70"/>
        <v>NO PRAZO</v>
      </c>
      <c r="AE734" s="156">
        <f t="shared" ca="1" si="71"/>
        <v>-1</v>
      </c>
    </row>
    <row r="735" spans="1:31" ht="36" hidden="1" customHeight="1">
      <c r="A735" s="414"/>
      <c r="B735" s="440" t="s">
        <v>3660</v>
      </c>
      <c r="C735" s="440" t="s">
        <v>79</v>
      </c>
      <c r="D735" s="440"/>
      <c r="E735" s="440"/>
      <c r="F735" s="440" t="s">
        <v>42</v>
      </c>
      <c r="G735" s="441" t="s">
        <v>3348</v>
      </c>
      <c r="H735" s="440" t="s">
        <v>3661</v>
      </c>
      <c r="I735" s="441" t="s">
        <v>3662</v>
      </c>
      <c r="J735" s="450">
        <v>45383</v>
      </c>
      <c r="K735" s="429" t="s">
        <v>2493</v>
      </c>
      <c r="L735" s="444" t="s">
        <v>1208</v>
      </c>
      <c r="M735" s="444" t="s">
        <v>827</v>
      </c>
      <c r="N735" s="441" t="s">
        <v>2572</v>
      </c>
      <c r="O735" s="445" t="s">
        <v>85</v>
      </c>
      <c r="P735" s="445"/>
      <c r="Q735" s="441">
        <v>170</v>
      </c>
      <c r="R735" s="445" t="s">
        <v>3663</v>
      </c>
      <c r="S735" s="446">
        <v>45405</v>
      </c>
      <c r="T735" s="446">
        <v>45399</v>
      </c>
      <c r="U735" s="446">
        <v>45400</v>
      </c>
      <c r="V735" s="446"/>
      <c r="W735" s="447">
        <v>45400</v>
      </c>
      <c r="X735" s="447" t="s">
        <v>8044</v>
      </c>
      <c r="Y735" s="420"/>
      <c r="Z735" s="224" t="str">
        <f t="shared" si="66"/>
        <v>AG. MEDIÇÃO</v>
      </c>
      <c r="AA735" s="207" t="str">
        <f t="shared" si="67"/>
        <v>ENTREGUE</v>
      </c>
      <c r="AB735" s="207" t="str">
        <f t="shared" si="68"/>
        <v>AG. MEDIÇÃO</v>
      </c>
      <c r="AC735" s="156">
        <f t="shared" ca="1" si="69"/>
        <v>1</v>
      </c>
      <c r="AD735" s="156" t="str">
        <f t="shared" ca="1" si="70"/>
        <v>NO PRAZO</v>
      </c>
      <c r="AE735" s="156">
        <f t="shared" ca="1" si="71"/>
        <v>-2</v>
      </c>
    </row>
    <row r="736" spans="1:31" ht="36" hidden="1" customHeight="1">
      <c r="A736" s="414"/>
      <c r="B736" s="440" t="s">
        <v>5758</v>
      </c>
      <c r="C736" s="440" t="s">
        <v>5759</v>
      </c>
      <c r="D736" s="440" t="s">
        <v>2168</v>
      </c>
      <c r="E736" s="440" t="s">
        <v>224</v>
      </c>
      <c r="F736" s="440" t="s">
        <v>42</v>
      </c>
      <c r="G736" s="441"/>
      <c r="H736" s="440" t="s">
        <v>5760</v>
      </c>
      <c r="I736" s="441" t="s">
        <v>5761</v>
      </c>
      <c r="J736" s="450">
        <v>45901</v>
      </c>
      <c r="K736" s="429" t="s">
        <v>2493</v>
      </c>
      <c r="L736" s="444" t="s">
        <v>109</v>
      </c>
      <c r="M736" s="444" t="s">
        <v>200</v>
      </c>
      <c r="N736" s="441"/>
      <c r="O736" s="445"/>
      <c r="P736" s="441"/>
      <c r="Q736" s="445"/>
      <c r="R736" s="445" t="s">
        <v>5762</v>
      </c>
      <c r="S736" s="446" t="s">
        <v>2168</v>
      </c>
      <c r="T736" s="446"/>
      <c r="U736" s="446"/>
      <c r="V736" s="447"/>
      <c r="W736" s="447">
        <v>45940</v>
      </c>
      <c r="X736" s="447" t="s">
        <v>8044</v>
      </c>
      <c r="Y736" s="420"/>
      <c r="Z736" s="224" t="str">
        <f t="shared" si="66"/>
        <v>AG. MEDIÇÃO</v>
      </c>
      <c r="AA736" s="207" t="str">
        <f t="shared" si="67"/>
        <v>ENTREGUE</v>
      </c>
      <c r="AB736" s="207" t="str">
        <f t="shared" si="68"/>
        <v>AG. MEDIÇÃO</v>
      </c>
      <c r="AC736" s="156" t="str">
        <f t="shared" ca="1" si="69"/>
        <v>DATA ENTRADA</v>
      </c>
      <c r="AD736" s="156" t="str">
        <f t="shared" ca="1" si="70"/>
        <v>ATRASADO</v>
      </c>
      <c r="AE736" s="156" t="str">
        <f t="shared" ca="1" si="71"/>
        <v>DATA ENTRADA</v>
      </c>
    </row>
    <row r="737" spans="1:31" ht="36" hidden="1" customHeight="1">
      <c r="A737" s="414"/>
      <c r="B737" s="440" t="s">
        <v>5766</v>
      </c>
      <c r="C737" s="440" t="s">
        <v>5759</v>
      </c>
      <c r="D737" s="440" t="s">
        <v>2168</v>
      </c>
      <c r="E737" s="440" t="s">
        <v>224</v>
      </c>
      <c r="F737" s="440" t="s">
        <v>42</v>
      </c>
      <c r="G737" s="441"/>
      <c r="H737" s="440" t="s">
        <v>5767</v>
      </c>
      <c r="I737" s="441" t="s">
        <v>5768</v>
      </c>
      <c r="J737" s="450">
        <v>45901</v>
      </c>
      <c r="K737" s="429" t="s">
        <v>2493</v>
      </c>
      <c r="L737" s="444" t="s">
        <v>109</v>
      </c>
      <c r="M737" s="444" t="s">
        <v>200</v>
      </c>
      <c r="N737" s="441"/>
      <c r="O737" s="445"/>
      <c r="P737" s="441"/>
      <c r="Q737" s="445"/>
      <c r="R737" s="445" t="s">
        <v>5762</v>
      </c>
      <c r="S737" s="446" t="s">
        <v>2168</v>
      </c>
      <c r="T737" s="446"/>
      <c r="U737" s="446"/>
      <c r="V737" s="447"/>
      <c r="W737" s="447">
        <v>45940</v>
      </c>
      <c r="X737" s="447" t="s">
        <v>8044</v>
      </c>
      <c r="Y737" s="420"/>
      <c r="Z737" s="224" t="str">
        <f t="shared" si="66"/>
        <v>AG. MEDIÇÃO</v>
      </c>
      <c r="AA737" s="207" t="str">
        <f t="shared" si="67"/>
        <v>ENTREGUE</v>
      </c>
      <c r="AB737" s="207" t="str">
        <f t="shared" si="68"/>
        <v>AG. MEDIÇÃO</v>
      </c>
      <c r="AC737" s="156" t="str">
        <f t="shared" ca="1" si="69"/>
        <v>DATA ENTRADA</v>
      </c>
      <c r="AD737" s="156" t="str">
        <f t="shared" ca="1" si="70"/>
        <v>ATRASADO</v>
      </c>
      <c r="AE737" s="156" t="str">
        <f t="shared" ca="1" si="71"/>
        <v>DATA ENTRADA</v>
      </c>
    </row>
    <row r="738" spans="1:31" ht="36" hidden="1" customHeight="1">
      <c r="A738" s="414"/>
      <c r="B738" s="440" t="s">
        <v>5763</v>
      </c>
      <c r="C738" s="440" t="s">
        <v>5759</v>
      </c>
      <c r="D738" s="440" t="s">
        <v>2168</v>
      </c>
      <c r="E738" s="440" t="s">
        <v>224</v>
      </c>
      <c r="F738" s="440" t="s">
        <v>42</v>
      </c>
      <c r="G738" s="441"/>
      <c r="H738" s="440" t="s">
        <v>5764</v>
      </c>
      <c r="I738" s="441" t="s">
        <v>5765</v>
      </c>
      <c r="J738" s="450">
        <v>45901</v>
      </c>
      <c r="K738" s="429" t="s">
        <v>2493</v>
      </c>
      <c r="L738" s="444" t="s">
        <v>109</v>
      </c>
      <c r="M738" s="444" t="s">
        <v>200</v>
      </c>
      <c r="N738" s="441"/>
      <c r="O738" s="445"/>
      <c r="P738" s="441"/>
      <c r="Q738" s="445"/>
      <c r="R738" s="445" t="s">
        <v>5762</v>
      </c>
      <c r="S738" s="446" t="s">
        <v>2168</v>
      </c>
      <c r="T738" s="446"/>
      <c r="U738" s="446"/>
      <c r="V738" s="447"/>
      <c r="W738" s="447">
        <v>45940</v>
      </c>
      <c r="X738" s="447" t="s">
        <v>8044</v>
      </c>
      <c r="Y738" s="420"/>
      <c r="Z738" s="224" t="str">
        <f t="shared" si="66"/>
        <v>AG. MEDIÇÃO</v>
      </c>
      <c r="AA738" s="207" t="str">
        <f t="shared" si="67"/>
        <v>ENTREGUE</v>
      </c>
      <c r="AB738" s="207" t="str">
        <f t="shared" si="68"/>
        <v>AG. MEDIÇÃO</v>
      </c>
      <c r="AC738" s="156" t="str">
        <f t="shared" ca="1" si="69"/>
        <v>DATA ENTRADA</v>
      </c>
      <c r="AD738" s="156" t="str">
        <f t="shared" ca="1" si="70"/>
        <v>ATRASADO</v>
      </c>
      <c r="AE738" s="156" t="str">
        <f t="shared" ca="1" si="71"/>
        <v>DATA ENTRADA</v>
      </c>
    </row>
    <row r="739" spans="1:31" ht="36" hidden="1" customHeight="1">
      <c r="A739" s="414"/>
      <c r="B739" s="440" t="s">
        <v>4584</v>
      </c>
      <c r="C739" s="440" t="s">
        <v>111</v>
      </c>
      <c r="D739" s="440" t="s">
        <v>1053</v>
      </c>
      <c r="E739" s="440" t="s">
        <v>2504</v>
      </c>
      <c r="F739" s="440" t="s">
        <v>42</v>
      </c>
      <c r="G739" s="441" t="s">
        <v>4585</v>
      </c>
      <c r="H739" s="440" t="s">
        <v>4586</v>
      </c>
      <c r="I739" s="441" t="s">
        <v>4587</v>
      </c>
      <c r="J739" s="450">
        <v>45597</v>
      </c>
      <c r="K739" s="429" t="s">
        <v>2493</v>
      </c>
      <c r="L739" s="444" t="s">
        <v>50</v>
      </c>
      <c r="M739" s="444" t="s">
        <v>132</v>
      </c>
      <c r="N739" s="441" t="s">
        <v>2572</v>
      </c>
      <c r="O739" s="445" t="s">
        <v>85</v>
      </c>
      <c r="P739" s="445"/>
      <c r="Q739" s="445">
        <v>133</v>
      </c>
      <c r="R739" s="445" t="s">
        <v>4588</v>
      </c>
      <c r="S739" s="446">
        <v>45621</v>
      </c>
      <c r="T739" s="446">
        <v>45608</v>
      </c>
      <c r="U739" s="446">
        <v>45611</v>
      </c>
      <c r="V739" s="447"/>
      <c r="W739" s="447">
        <v>45614</v>
      </c>
      <c r="X739" s="447" t="s">
        <v>8044</v>
      </c>
      <c r="Y739" s="420"/>
      <c r="Z739" s="224" t="str">
        <f t="shared" si="66"/>
        <v>AG. MEDIÇÃO</v>
      </c>
      <c r="AA739" s="207" t="str">
        <f t="shared" si="67"/>
        <v>ENTREGUE</v>
      </c>
      <c r="AB739" s="207" t="str">
        <f t="shared" si="68"/>
        <v>AG. MEDIÇÃO</v>
      </c>
      <c r="AC739" s="156">
        <f t="shared" ca="1" si="69"/>
        <v>4</v>
      </c>
      <c r="AD739" s="156" t="str">
        <f t="shared" ca="1" si="70"/>
        <v>ATRASADO</v>
      </c>
      <c r="AE739" s="156">
        <f t="shared" ca="1" si="71"/>
        <v>1</v>
      </c>
    </row>
    <row r="740" spans="1:31" ht="36" hidden="1" customHeight="1">
      <c r="A740" s="414"/>
      <c r="B740" s="440" t="s">
        <v>2715</v>
      </c>
      <c r="C740" s="440" t="s">
        <v>117</v>
      </c>
      <c r="D740" s="440"/>
      <c r="E740" s="440"/>
      <c r="F740" s="440" t="s">
        <v>42</v>
      </c>
      <c r="G740" s="441" t="s">
        <v>2716</v>
      </c>
      <c r="H740" s="440" t="s">
        <v>2717</v>
      </c>
      <c r="I740" s="449"/>
      <c r="J740" s="443">
        <v>44986</v>
      </c>
      <c r="K740" s="429" t="s">
        <v>2493</v>
      </c>
      <c r="L740" s="444" t="s">
        <v>659</v>
      </c>
      <c r="M740" s="447" t="s">
        <v>714</v>
      </c>
      <c r="N740" s="441" t="s">
        <v>2572</v>
      </c>
      <c r="O740" s="441"/>
      <c r="P740" s="441"/>
      <c r="Q740" s="441">
        <v>220</v>
      </c>
      <c r="R740" s="445" t="s">
        <v>2718</v>
      </c>
      <c r="S740" s="446">
        <v>45066</v>
      </c>
      <c r="T740" s="446">
        <v>44974</v>
      </c>
      <c r="U740" s="446">
        <v>44995</v>
      </c>
      <c r="V740" s="447">
        <v>44999</v>
      </c>
      <c r="W740" s="447">
        <v>45005</v>
      </c>
      <c r="X740" s="447" t="s">
        <v>8044</v>
      </c>
      <c r="Y740" s="420"/>
      <c r="Z740" s="224" t="str">
        <f t="shared" si="66"/>
        <v>AG. MEDIÇÃO</v>
      </c>
      <c r="AA740" s="207" t="str">
        <f t="shared" si="67"/>
        <v>ENTREGUE</v>
      </c>
      <c r="AB740" s="207" t="str">
        <f t="shared" si="68"/>
        <v>AG. MEDIÇÃO</v>
      </c>
      <c r="AC740" s="156">
        <f t="shared" ca="1" si="69"/>
        <v>21</v>
      </c>
      <c r="AD740" s="156" t="str">
        <f t="shared" ca="1" si="70"/>
        <v>ATRASADO</v>
      </c>
      <c r="AE740" s="156">
        <f t="shared" ca="1" si="71"/>
        <v>18</v>
      </c>
    </row>
    <row r="741" spans="1:31" ht="36" hidden="1" customHeight="1">
      <c r="A741" s="414"/>
      <c r="B741" s="440" t="s">
        <v>2578</v>
      </c>
      <c r="C741" s="440" t="s">
        <v>2579</v>
      </c>
      <c r="D741" s="440"/>
      <c r="E741" s="440"/>
      <c r="F741" s="440" t="s">
        <v>42</v>
      </c>
      <c r="G741" s="441" t="s">
        <v>2580</v>
      </c>
      <c r="H741" s="440" t="s">
        <v>2581</v>
      </c>
      <c r="I741" s="442"/>
      <c r="J741" s="443">
        <v>44927</v>
      </c>
      <c r="K741" s="429" t="s">
        <v>2493</v>
      </c>
      <c r="L741" s="444"/>
      <c r="M741" s="444" t="s">
        <v>1155</v>
      </c>
      <c r="N741" s="441" t="s">
        <v>2572</v>
      </c>
      <c r="O741" s="445" t="s">
        <v>2573</v>
      </c>
      <c r="P741" s="441" t="s">
        <v>2494</v>
      </c>
      <c r="Q741" s="441" t="s">
        <v>2494</v>
      </c>
      <c r="R741" s="444" t="s">
        <v>2574</v>
      </c>
      <c r="S741" s="446" t="s">
        <v>288</v>
      </c>
      <c r="T741" s="446">
        <v>44928</v>
      </c>
      <c r="U741" s="446">
        <v>44928</v>
      </c>
      <c r="V741" s="447">
        <v>44942</v>
      </c>
      <c r="W741" s="447">
        <v>44942</v>
      </c>
      <c r="X741" s="447" t="s">
        <v>8044</v>
      </c>
      <c r="Y741" s="420"/>
      <c r="Z741" s="224" t="str">
        <f t="shared" si="66"/>
        <v>AG. MEDIÇÃO</v>
      </c>
      <c r="AA741" s="207" t="str">
        <f t="shared" si="67"/>
        <v>ENTREGUE</v>
      </c>
      <c r="AB741" s="207" t="str">
        <f t="shared" si="68"/>
        <v>AG. MEDIÇÃO</v>
      </c>
      <c r="AC741" s="156">
        <f t="shared" ca="1" si="69"/>
        <v>10</v>
      </c>
      <c r="AD741" s="156" t="str">
        <f t="shared" ca="1" si="70"/>
        <v>ATRASADO</v>
      </c>
      <c r="AE741" s="156">
        <f t="shared" ca="1" si="71"/>
        <v>7</v>
      </c>
    </row>
    <row r="742" spans="1:31" ht="36" hidden="1" customHeight="1">
      <c r="A742" s="414"/>
      <c r="B742" s="440" t="s">
        <v>4884</v>
      </c>
      <c r="C742" s="440" t="s">
        <v>261</v>
      </c>
      <c r="D742" s="440" t="s">
        <v>4885</v>
      </c>
      <c r="E742" s="440" t="s">
        <v>262</v>
      </c>
      <c r="F742" s="440" t="s">
        <v>42</v>
      </c>
      <c r="G742" s="441" t="s">
        <v>4886</v>
      </c>
      <c r="H742" s="440" t="s">
        <v>4887</v>
      </c>
      <c r="I742" s="441" t="s">
        <v>4888</v>
      </c>
      <c r="J742" s="450">
        <v>45689</v>
      </c>
      <c r="K742" s="429" t="s">
        <v>2493</v>
      </c>
      <c r="L742" s="444"/>
      <c r="M742" s="444" t="s">
        <v>200</v>
      </c>
      <c r="N742" s="441" t="s">
        <v>2572</v>
      </c>
      <c r="O742" s="445" t="s">
        <v>3350</v>
      </c>
      <c r="P742" s="441" t="s">
        <v>2494</v>
      </c>
      <c r="Q742" s="445" t="s">
        <v>2494</v>
      </c>
      <c r="R742" s="445" t="s">
        <v>4889</v>
      </c>
      <c r="S742" s="446">
        <v>45734</v>
      </c>
      <c r="T742" s="446">
        <v>45715</v>
      </c>
      <c r="U742" s="446">
        <v>45716</v>
      </c>
      <c r="V742" s="447"/>
      <c r="W742" s="447">
        <v>45716</v>
      </c>
      <c r="X742" s="447" t="s">
        <v>8044</v>
      </c>
      <c r="Y742" s="420"/>
      <c r="Z742" s="224" t="str">
        <f t="shared" si="66"/>
        <v>AG. MEDIÇÃO</v>
      </c>
      <c r="AA742" s="207" t="str">
        <f t="shared" si="67"/>
        <v>ENTREGUE</v>
      </c>
      <c r="AB742" s="207" t="str">
        <f t="shared" si="68"/>
        <v>AG. MEDIÇÃO</v>
      </c>
      <c r="AC742" s="156">
        <f t="shared" ca="1" si="69"/>
        <v>1</v>
      </c>
      <c r="AD742" s="156" t="str">
        <f t="shared" ca="1" si="70"/>
        <v>NO PRAZO</v>
      </c>
      <c r="AE742" s="156">
        <f t="shared" ca="1" si="71"/>
        <v>-2</v>
      </c>
    </row>
    <row r="743" spans="1:31" ht="36" hidden="1" customHeight="1">
      <c r="A743" s="414"/>
      <c r="B743" s="440" t="s">
        <v>4821</v>
      </c>
      <c r="C743" s="440" t="s">
        <v>425</v>
      </c>
      <c r="D743" s="440" t="s">
        <v>4822</v>
      </c>
      <c r="E743" s="440" t="s">
        <v>426</v>
      </c>
      <c r="F743" s="440" t="s">
        <v>427</v>
      </c>
      <c r="G743" s="441"/>
      <c r="H743" s="440" t="s">
        <v>4823</v>
      </c>
      <c r="I743" s="441" t="s">
        <v>4824</v>
      </c>
      <c r="J743" s="450">
        <v>45689</v>
      </c>
      <c r="K743" s="429" t="s">
        <v>2493</v>
      </c>
      <c r="L743" s="444" t="s">
        <v>124</v>
      </c>
      <c r="M743" s="444" t="s">
        <v>1598</v>
      </c>
      <c r="N743" s="441"/>
      <c r="O743" s="445"/>
      <c r="P743" s="441">
        <v>400</v>
      </c>
      <c r="Q743" s="445">
        <v>605</v>
      </c>
      <c r="R743" s="445" t="s">
        <v>4825</v>
      </c>
      <c r="S743" s="446">
        <v>45734</v>
      </c>
      <c r="T743" s="446">
        <v>45698</v>
      </c>
      <c r="U743" s="446">
        <v>45703</v>
      </c>
      <c r="V743" s="447">
        <v>45705</v>
      </c>
      <c r="W743" s="447">
        <v>45706</v>
      </c>
      <c r="X743" s="447" t="s">
        <v>8044</v>
      </c>
      <c r="Y743" s="420"/>
      <c r="Z743" s="224" t="str">
        <f t="shared" si="66"/>
        <v>AG. MEDIÇÃO</v>
      </c>
      <c r="AA743" s="207" t="str">
        <f t="shared" si="67"/>
        <v>ENTREGUE</v>
      </c>
      <c r="AB743" s="207" t="str">
        <f t="shared" si="68"/>
        <v>AG. MEDIÇÃO</v>
      </c>
      <c r="AC743" s="156">
        <f t="shared" ca="1" si="69"/>
        <v>6</v>
      </c>
      <c r="AD743" s="156" t="str">
        <f t="shared" ca="1" si="70"/>
        <v>ATRASADO</v>
      </c>
      <c r="AE743" s="156">
        <f t="shared" ca="1" si="71"/>
        <v>3</v>
      </c>
    </row>
    <row r="744" spans="1:31" ht="36" hidden="1" customHeight="1">
      <c r="A744" s="414"/>
      <c r="B744" s="466" t="s">
        <v>2502</v>
      </c>
      <c r="C744" s="466" t="s">
        <v>2503</v>
      </c>
      <c r="D744" s="466" t="s">
        <v>210</v>
      </c>
      <c r="E744" s="466" t="s">
        <v>2504</v>
      </c>
      <c r="F744" s="466" t="s">
        <v>42</v>
      </c>
      <c r="G744" s="475"/>
      <c r="H744" s="466" t="s">
        <v>2505</v>
      </c>
      <c r="I744" s="475" t="s">
        <v>2506</v>
      </c>
      <c r="J744" s="476">
        <v>45931</v>
      </c>
      <c r="K744" s="429" t="s">
        <v>2493</v>
      </c>
      <c r="L744" s="477" t="s">
        <v>94</v>
      </c>
      <c r="M744" s="477" t="s">
        <v>200</v>
      </c>
      <c r="N744" s="475"/>
      <c r="O744" s="479"/>
      <c r="P744" s="475"/>
      <c r="Q744" s="479"/>
      <c r="R744" s="479" t="s">
        <v>2507</v>
      </c>
      <c r="S744" s="520" t="s">
        <v>210</v>
      </c>
      <c r="T744" s="480">
        <v>45944</v>
      </c>
      <c r="U744" s="480"/>
      <c r="V744" s="481"/>
      <c r="W744" s="481">
        <v>45986</v>
      </c>
      <c r="X744" s="447" t="s">
        <v>8044</v>
      </c>
      <c r="Y744" s="420"/>
      <c r="Z744" s="224" t="str">
        <f t="shared" si="66"/>
        <v>AG. MEDIÇÃO</v>
      </c>
      <c r="AA744" s="207" t="str">
        <f t="shared" si="67"/>
        <v>ENTREGUE</v>
      </c>
      <c r="AB744" s="207" t="str">
        <f t="shared" si="68"/>
        <v>AG. MEDIÇÃO</v>
      </c>
      <c r="AC744" s="156">
        <f t="shared" ca="1" si="69"/>
        <v>30</v>
      </c>
      <c r="AD744" s="156" t="str">
        <f t="shared" ca="1" si="70"/>
        <v>ATRASADO</v>
      </c>
      <c r="AE744" s="156">
        <f t="shared" ca="1" si="71"/>
        <v>27</v>
      </c>
    </row>
    <row r="745" spans="1:31" ht="36" hidden="1" customHeight="1">
      <c r="A745" s="414"/>
      <c r="B745" s="429" t="s">
        <v>7202</v>
      </c>
      <c r="C745" s="429" t="s">
        <v>410</v>
      </c>
      <c r="D745" s="429" t="s">
        <v>7208</v>
      </c>
      <c r="E745" s="429" t="s">
        <v>7209</v>
      </c>
      <c r="F745" s="429" t="s">
        <v>42</v>
      </c>
      <c r="G745" s="433" t="s">
        <v>7206</v>
      </c>
      <c r="H745" s="652" t="s">
        <v>7207</v>
      </c>
      <c r="I745" s="433" t="s">
        <v>7219</v>
      </c>
      <c r="J745" s="432">
        <v>46113</v>
      </c>
      <c r="K745" s="429" t="s">
        <v>2493</v>
      </c>
      <c r="L745" s="436" t="s">
        <v>200</v>
      </c>
      <c r="M745" s="487" t="s">
        <v>200</v>
      </c>
      <c r="N745" s="433"/>
      <c r="O745" s="437"/>
      <c r="P745" s="433">
        <v>362</v>
      </c>
      <c r="Q745" s="437">
        <v>358</v>
      </c>
      <c r="R745" s="437" t="s">
        <v>7303</v>
      </c>
      <c r="S745" s="438">
        <v>46132</v>
      </c>
      <c r="T745" s="438">
        <v>46113</v>
      </c>
      <c r="U745" s="438"/>
      <c r="V745" s="439"/>
      <c r="W745" s="439">
        <v>46126</v>
      </c>
      <c r="X745" s="439">
        <v>46132</v>
      </c>
      <c r="Y745" s="420"/>
      <c r="Z745" s="224" t="str">
        <f t="shared" si="66"/>
        <v>AG. MEDIÇÃO</v>
      </c>
      <c r="AA745" s="207" t="str">
        <f t="shared" si="67"/>
        <v>ENTREGUE</v>
      </c>
      <c r="AB745" s="207" t="str">
        <f t="shared" si="68"/>
        <v>AG. MEDIÇÃO</v>
      </c>
      <c r="AC745" s="156">
        <f t="shared" ca="1" si="69"/>
        <v>9</v>
      </c>
      <c r="AD745" s="156" t="str">
        <f t="shared" ca="1" si="70"/>
        <v>ATRASADO</v>
      </c>
      <c r="AE745" s="156">
        <f t="shared" ca="1" si="71"/>
        <v>6</v>
      </c>
    </row>
    <row r="746" spans="1:31" ht="36" hidden="1" customHeight="1">
      <c r="A746" s="414"/>
      <c r="B746" s="429" t="s">
        <v>7842</v>
      </c>
      <c r="C746" s="430" t="s">
        <v>705</v>
      </c>
      <c r="D746" s="430" t="s">
        <v>8328</v>
      </c>
      <c r="E746" s="432" t="s">
        <v>706</v>
      </c>
      <c r="F746" s="429" t="s">
        <v>2559</v>
      </c>
      <c r="G746" s="434" t="s">
        <v>7858</v>
      </c>
      <c r="H746" s="636" t="s">
        <v>7857</v>
      </c>
      <c r="I746" s="433" t="s">
        <v>7859</v>
      </c>
      <c r="J746" s="432">
        <v>46174</v>
      </c>
      <c r="K746" s="429" t="s">
        <v>2493</v>
      </c>
      <c r="L746" s="436" t="s">
        <v>124</v>
      </c>
      <c r="M746" s="436" t="s">
        <v>77</v>
      </c>
      <c r="N746" s="433"/>
      <c r="O746" s="437" t="s">
        <v>85</v>
      </c>
      <c r="P746" s="433">
        <v>700</v>
      </c>
      <c r="Q746" s="437">
        <v>708</v>
      </c>
      <c r="R746" s="437" t="s">
        <v>8329</v>
      </c>
      <c r="S746" s="438">
        <v>46245</v>
      </c>
      <c r="T746" s="438">
        <v>46189</v>
      </c>
      <c r="U746" s="438"/>
      <c r="V746" s="439"/>
      <c r="W746" s="439">
        <v>46199</v>
      </c>
      <c r="X746" s="439">
        <v>46245</v>
      </c>
      <c r="Y746" s="420"/>
      <c r="Z746" s="224" t="str">
        <f t="shared" si="66"/>
        <v>AG. MEDIÇÃO</v>
      </c>
      <c r="AA746" s="207" t="str">
        <f t="shared" si="67"/>
        <v>ENTREGUE</v>
      </c>
      <c r="AB746" s="207" t="str">
        <f t="shared" si="68"/>
        <v>AG. MEDIÇÃO</v>
      </c>
      <c r="AC746" s="156">
        <f t="shared" ca="1" si="69"/>
        <v>8</v>
      </c>
      <c r="AD746" s="156" t="str">
        <f t="shared" ca="1" si="70"/>
        <v>ATRASADO</v>
      </c>
      <c r="AE746" s="156">
        <f t="shared" ca="1" si="71"/>
        <v>5</v>
      </c>
    </row>
    <row r="747" spans="1:31" ht="36" hidden="1" customHeight="1">
      <c r="A747" s="414"/>
      <c r="B747" s="440" t="s">
        <v>3939</v>
      </c>
      <c r="C747" s="440" t="s">
        <v>232</v>
      </c>
      <c r="D747" s="440" t="s">
        <v>893</v>
      </c>
      <c r="E747" s="440" t="s">
        <v>2235</v>
      </c>
      <c r="F747" s="440" t="s">
        <v>42</v>
      </c>
      <c r="G747" s="441" t="s">
        <v>3940</v>
      </c>
      <c r="H747" s="440" t="s">
        <v>3941</v>
      </c>
      <c r="I747" s="441" t="s">
        <v>3942</v>
      </c>
      <c r="J747" s="450">
        <v>45474</v>
      </c>
      <c r="K747" s="429" t="s">
        <v>2493</v>
      </c>
      <c r="L747" s="444" t="s">
        <v>124</v>
      </c>
      <c r="M747" s="444" t="s">
        <v>51</v>
      </c>
      <c r="N747" s="441" t="s">
        <v>2572</v>
      </c>
      <c r="O747" s="445" t="s">
        <v>85</v>
      </c>
      <c r="P747" s="445"/>
      <c r="Q747" s="445">
        <v>305</v>
      </c>
      <c r="R747" s="445" t="s">
        <v>3943</v>
      </c>
      <c r="S747" s="446">
        <v>45497</v>
      </c>
      <c r="T747" s="446">
        <v>45475</v>
      </c>
      <c r="U747" s="446">
        <v>45482</v>
      </c>
      <c r="V747" s="446">
        <v>45485</v>
      </c>
      <c r="W747" s="447">
        <v>45485</v>
      </c>
      <c r="X747" s="447" t="s">
        <v>8044</v>
      </c>
      <c r="Y747" s="420"/>
      <c r="Z747" s="224" t="str">
        <f t="shared" si="66"/>
        <v>AG. MEDIÇÃO</v>
      </c>
      <c r="AA747" s="207" t="str">
        <f t="shared" si="67"/>
        <v>ENTREGUE</v>
      </c>
      <c r="AB747" s="207" t="str">
        <f t="shared" si="68"/>
        <v>AG. MEDIÇÃO</v>
      </c>
      <c r="AC747" s="156">
        <f t="shared" ca="1" si="69"/>
        <v>8</v>
      </c>
      <c r="AD747" s="156" t="str">
        <f t="shared" ca="1" si="70"/>
        <v>ATRASADO</v>
      </c>
      <c r="AE747" s="156">
        <f t="shared" ca="1" si="71"/>
        <v>5</v>
      </c>
    </row>
    <row r="748" spans="1:31" ht="36" hidden="1" customHeight="1">
      <c r="A748" s="414"/>
      <c r="B748" s="440" t="s">
        <v>3689</v>
      </c>
      <c r="C748" s="440" t="s">
        <v>328</v>
      </c>
      <c r="D748" s="440"/>
      <c r="E748" s="440"/>
      <c r="F748" s="440" t="s">
        <v>42</v>
      </c>
      <c r="G748" s="441" t="s">
        <v>3348</v>
      </c>
      <c r="H748" s="440" t="s">
        <v>3690</v>
      </c>
      <c r="I748" s="441"/>
      <c r="J748" s="450">
        <v>45383</v>
      </c>
      <c r="K748" s="429" t="s">
        <v>2493</v>
      </c>
      <c r="L748" s="444" t="s">
        <v>3691</v>
      </c>
      <c r="M748" s="444" t="s">
        <v>3637</v>
      </c>
      <c r="N748" s="441" t="s">
        <v>2572</v>
      </c>
      <c r="O748" s="445" t="s">
        <v>85</v>
      </c>
      <c r="P748" s="445"/>
      <c r="Q748" s="441">
        <v>382</v>
      </c>
      <c r="R748" s="445" t="s">
        <v>3692</v>
      </c>
      <c r="S748" s="446">
        <v>45469</v>
      </c>
      <c r="T748" s="446">
        <v>45400</v>
      </c>
      <c r="U748" s="446">
        <v>45427</v>
      </c>
      <c r="V748" s="447">
        <v>45428</v>
      </c>
      <c r="W748" s="447">
        <v>45437</v>
      </c>
      <c r="X748" s="447" t="s">
        <v>8044</v>
      </c>
      <c r="Y748" s="420"/>
      <c r="Z748" s="224" t="str">
        <f t="shared" si="66"/>
        <v>AG. MEDIÇÃO</v>
      </c>
      <c r="AA748" s="207" t="str">
        <f t="shared" si="67"/>
        <v>ENTREGUE</v>
      </c>
      <c r="AB748" s="207" t="str">
        <f t="shared" si="68"/>
        <v>AG. MEDIÇÃO</v>
      </c>
      <c r="AC748" s="156">
        <f t="shared" ca="1" si="69"/>
        <v>26</v>
      </c>
      <c r="AD748" s="156" t="str">
        <f t="shared" ca="1" si="70"/>
        <v>ATRASADO</v>
      </c>
      <c r="AE748" s="156">
        <f t="shared" ca="1" si="71"/>
        <v>23</v>
      </c>
    </row>
    <row r="749" spans="1:31" ht="36" hidden="1" customHeight="1">
      <c r="A749" s="414"/>
      <c r="B749" s="440" t="s">
        <v>3703</v>
      </c>
      <c r="C749" s="440" t="s">
        <v>328</v>
      </c>
      <c r="D749" s="440"/>
      <c r="E749" s="440"/>
      <c r="F749" s="440" t="s">
        <v>42</v>
      </c>
      <c r="G749" s="441" t="s">
        <v>3348</v>
      </c>
      <c r="H749" s="440" t="s">
        <v>3704</v>
      </c>
      <c r="I749" s="441"/>
      <c r="J749" s="450">
        <v>45383</v>
      </c>
      <c r="K749" s="429" t="s">
        <v>2493</v>
      </c>
      <c r="L749" s="444"/>
      <c r="M749" s="444" t="s">
        <v>3637</v>
      </c>
      <c r="N749" s="441" t="s">
        <v>2572</v>
      </c>
      <c r="O749" s="445" t="s">
        <v>85</v>
      </c>
      <c r="P749" s="445"/>
      <c r="Q749" s="441">
        <v>278</v>
      </c>
      <c r="R749" s="452" t="s">
        <v>3705</v>
      </c>
      <c r="S749" s="446">
        <v>45497</v>
      </c>
      <c r="T749" s="446">
        <v>45404</v>
      </c>
      <c r="U749" s="446"/>
      <c r="V749" s="447" t="s">
        <v>3706</v>
      </c>
      <c r="W749" s="447">
        <v>45437</v>
      </c>
      <c r="X749" s="447" t="s">
        <v>8044</v>
      </c>
      <c r="Y749" s="420"/>
      <c r="Z749" s="224" t="str">
        <f t="shared" si="66"/>
        <v>AG. MEDIÇÃO</v>
      </c>
      <c r="AA749" s="207" t="str">
        <f t="shared" si="67"/>
        <v>ENTREGUE</v>
      </c>
      <c r="AB749" s="207" t="str">
        <f t="shared" si="68"/>
        <v>AG. MEDIÇÃO</v>
      </c>
      <c r="AC749" s="156">
        <f t="shared" ca="1" si="69"/>
        <v>24</v>
      </c>
      <c r="AD749" s="156" t="str">
        <f t="shared" ca="1" si="70"/>
        <v>ATRASADO</v>
      </c>
      <c r="AE749" s="156">
        <f t="shared" ca="1" si="71"/>
        <v>21</v>
      </c>
    </row>
    <row r="750" spans="1:31" ht="36" hidden="1" customHeight="1">
      <c r="A750" s="414"/>
      <c r="B750" s="466" t="s">
        <v>6751</v>
      </c>
      <c r="C750" s="483" t="s">
        <v>267</v>
      </c>
      <c r="D750" s="483"/>
      <c r="E750" s="483"/>
      <c r="F750" s="483" t="s">
        <v>42</v>
      </c>
      <c r="G750" s="467"/>
      <c r="H750" s="650" t="s">
        <v>6761</v>
      </c>
      <c r="I750" s="467" t="s">
        <v>6762</v>
      </c>
      <c r="J750" s="469">
        <v>45992</v>
      </c>
      <c r="K750" s="429" t="s">
        <v>2493</v>
      </c>
      <c r="L750" s="470"/>
      <c r="M750" s="470" t="s">
        <v>259</v>
      </c>
      <c r="N750" s="467"/>
      <c r="O750" s="472"/>
      <c r="P750" s="472" t="s">
        <v>2494</v>
      </c>
      <c r="Q750" s="467" t="s">
        <v>2494</v>
      </c>
      <c r="R750" s="472" t="s">
        <v>6930</v>
      </c>
      <c r="S750" s="473">
        <v>46052</v>
      </c>
      <c r="T750" s="473">
        <v>46020</v>
      </c>
      <c r="U750" s="473"/>
      <c r="V750" s="474"/>
      <c r="W750" s="474"/>
      <c r="X750" s="474">
        <v>46053</v>
      </c>
      <c r="Y750" s="420"/>
      <c r="Z750" s="224" t="str">
        <f t="shared" si="66"/>
        <v>AG. MEDIÇÃO</v>
      </c>
      <c r="AA750" s="207" t="str">
        <f t="shared" si="67"/>
        <v>ENTREGUE</v>
      </c>
      <c r="AB750" s="207" t="str">
        <f t="shared" si="68"/>
        <v>AG. MEDIÇÃO</v>
      </c>
      <c r="AC750" s="156">
        <f t="shared" ca="1" si="69"/>
        <v>187</v>
      </c>
      <c r="AD750" s="156" t="str">
        <f t="shared" ca="1" si="70"/>
        <v>ATRASADO</v>
      </c>
      <c r="AE750" s="156">
        <f t="shared" ca="1" si="71"/>
        <v>184</v>
      </c>
    </row>
    <row r="751" spans="1:31" ht="36" hidden="1" customHeight="1">
      <c r="A751" s="414"/>
      <c r="B751" s="440" t="s">
        <v>3535</v>
      </c>
      <c r="C751" s="440" t="s">
        <v>425</v>
      </c>
      <c r="D751" s="440"/>
      <c r="E751" s="440"/>
      <c r="F751" s="440" t="s">
        <v>427</v>
      </c>
      <c r="G751" s="441" t="s">
        <v>3536</v>
      </c>
      <c r="H751" s="440" t="s">
        <v>3537</v>
      </c>
      <c r="I751" s="441"/>
      <c r="J751" s="450">
        <v>45352</v>
      </c>
      <c r="K751" s="429" t="s">
        <v>2493</v>
      </c>
      <c r="L751" s="444"/>
      <c r="M751" s="444" t="s">
        <v>3114</v>
      </c>
      <c r="N751" s="441" t="s">
        <v>2572</v>
      </c>
      <c r="O751" s="445" t="s">
        <v>85</v>
      </c>
      <c r="P751" s="441" t="s">
        <v>2494</v>
      </c>
      <c r="Q751" s="441" t="s">
        <v>2494</v>
      </c>
      <c r="R751" s="445" t="s">
        <v>3538</v>
      </c>
      <c r="S751" s="446">
        <v>45374</v>
      </c>
      <c r="T751" s="446">
        <v>45379</v>
      </c>
      <c r="U751" s="446"/>
      <c r="V751" s="447">
        <v>45404</v>
      </c>
      <c r="W751" s="447">
        <v>45404</v>
      </c>
      <c r="X751" s="447" t="s">
        <v>8044</v>
      </c>
      <c r="Y751" s="420"/>
      <c r="Z751" s="224" t="str">
        <f t="shared" si="66"/>
        <v>AG. MEDIÇÃO</v>
      </c>
      <c r="AA751" s="207" t="str">
        <f t="shared" si="67"/>
        <v>ENTREGUE</v>
      </c>
      <c r="AB751" s="207" t="str">
        <f t="shared" si="68"/>
        <v>AG. MEDIÇÃO</v>
      </c>
      <c r="AC751" s="156">
        <f t="shared" ca="1" si="69"/>
        <v>17</v>
      </c>
      <c r="AD751" s="156" t="str">
        <f t="shared" ca="1" si="70"/>
        <v>ATRASADO</v>
      </c>
      <c r="AE751" s="156">
        <f t="shared" ca="1" si="71"/>
        <v>14</v>
      </c>
    </row>
    <row r="752" spans="1:31" ht="36" hidden="1" customHeight="1">
      <c r="A752" s="414"/>
      <c r="B752" s="440" t="s">
        <v>3531</v>
      </c>
      <c r="C752" s="440" t="s">
        <v>425</v>
      </c>
      <c r="D752" s="440"/>
      <c r="E752" s="440"/>
      <c r="F752" s="440" t="s">
        <v>427</v>
      </c>
      <c r="G752" s="441" t="s">
        <v>3532</v>
      </c>
      <c r="H752" s="440" t="s">
        <v>3533</v>
      </c>
      <c r="I752" s="441"/>
      <c r="J752" s="450">
        <v>45352</v>
      </c>
      <c r="K752" s="429" t="s">
        <v>2493</v>
      </c>
      <c r="L752" s="444"/>
      <c r="M752" s="444" t="s">
        <v>774</v>
      </c>
      <c r="N752" s="441" t="s">
        <v>2572</v>
      </c>
      <c r="O752" s="445" t="s">
        <v>85</v>
      </c>
      <c r="P752" s="441" t="s">
        <v>2494</v>
      </c>
      <c r="Q752" s="441" t="s">
        <v>2494</v>
      </c>
      <c r="R752" s="445" t="s">
        <v>3534</v>
      </c>
      <c r="S752" s="446">
        <v>45374</v>
      </c>
      <c r="T752" s="446">
        <v>45379</v>
      </c>
      <c r="U752" s="446"/>
      <c r="V752" s="447">
        <v>45404</v>
      </c>
      <c r="W752" s="447">
        <v>45404</v>
      </c>
      <c r="X752" s="447" t="s">
        <v>8044</v>
      </c>
      <c r="Y752" s="420"/>
      <c r="Z752" s="224" t="str">
        <f t="shared" si="66"/>
        <v>AG. MEDIÇÃO</v>
      </c>
      <c r="AA752" s="207" t="str">
        <f t="shared" si="67"/>
        <v>ENTREGUE</v>
      </c>
      <c r="AB752" s="207" t="str">
        <f t="shared" si="68"/>
        <v>AG. MEDIÇÃO</v>
      </c>
      <c r="AC752" s="156">
        <f t="shared" ca="1" si="69"/>
        <v>17</v>
      </c>
      <c r="AD752" s="156" t="str">
        <f t="shared" ca="1" si="70"/>
        <v>ATRASADO</v>
      </c>
      <c r="AE752" s="156">
        <f t="shared" ca="1" si="71"/>
        <v>14</v>
      </c>
    </row>
    <row r="753" spans="1:31" ht="36" hidden="1" customHeight="1">
      <c r="A753" s="414"/>
      <c r="B753" s="440" t="s">
        <v>3527</v>
      </c>
      <c r="C753" s="440" t="s">
        <v>425</v>
      </c>
      <c r="D753" s="440"/>
      <c r="E753" s="440"/>
      <c r="F753" s="440" t="s">
        <v>427</v>
      </c>
      <c r="G753" s="441" t="s">
        <v>3528</v>
      </c>
      <c r="H753" s="440" t="s">
        <v>3529</v>
      </c>
      <c r="I753" s="441"/>
      <c r="J753" s="450">
        <v>45352</v>
      </c>
      <c r="K753" s="429" t="s">
        <v>2493</v>
      </c>
      <c r="L753" s="444" t="s">
        <v>1380</v>
      </c>
      <c r="M753" s="444" t="s">
        <v>51</v>
      </c>
      <c r="N753" s="441" t="s">
        <v>2572</v>
      </c>
      <c r="O753" s="445" t="s">
        <v>85</v>
      </c>
      <c r="P753" s="445"/>
      <c r="Q753" s="441">
        <v>153</v>
      </c>
      <c r="R753" s="445" t="s">
        <v>3530</v>
      </c>
      <c r="S753" s="446">
        <v>45405</v>
      </c>
      <c r="T753" s="446">
        <v>45379</v>
      </c>
      <c r="U753" s="446">
        <v>45379</v>
      </c>
      <c r="V753" s="446">
        <v>45381</v>
      </c>
      <c r="W753" s="447">
        <v>45381</v>
      </c>
      <c r="X753" s="447" t="s">
        <v>8044</v>
      </c>
      <c r="Y753" s="420"/>
      <c r="Z753" s="224" t="str">
        <f t="shared" si="66"/>
        <v>AG. MEDIÇÃO</v>
      </c>
      <c r="AA753" s="207" t="str">
        <f t="shared" si="67"/>
        <v>ENTREGUE</v>
      </c>
      <c r="AB753" s="207" t="str">
        <f t="shared" si="68"/>
        <v>AG. MEDIÇÃO</v>
      </c>
      <c r="AC753" s="156">
        <f t="shared" ca="1" si="69"/>
        <v>1</v>
      </c>
      <c r="AD753" s="156" t="str">
        <f t="shared" ca="1" si="70"/>
        <v>NO PRAZO</v>
      </c>
      <c r="AE753" s="156">
        <f t="shared" ca="1" si="71"/>
        <v>-2</v>
      </c>
    </row>
    <row r="754" spans="1:31" ht="36" hidden="1" customHeight="1">
      <c r="A754" s="414"/>
      <c r="B754" s="440" t="s">
        <v>2582</v>
      </c>
      <c r="C754" s="440" t="s">
        <v>250</v>
      </c>
      <c r="D754" s="440"/>
      <c r="E754" s="440"/>
      <c r="F754" s="440" t="s">
        <v>427</v>
      </c>
      <c r="G754" s="441" t="s">
        <v>2583</v>
      </c>
      <c r="H754" s="440" t="s">
        <v>2584</v>
      </c>
      <c r="I754" s="442"/>
      <c r="J754" s="443">
        <v>44927</v>
      </c>
      <c r="K754" s="429" t="s">
        <v>2493</v>
      </c>
      <c r="L754" s="444" t="s">
        <v>2585</v>
      </c>
      <c r="M754" s="444" t="s">
        <v>722</v>
      </c>
      <c r="N754" s="441" t="s">
        <v>2572</v>
      </c>
      <c r="O754" s="445" t="s">
        <v>2573</v>
      </c>
      <c r="P754" s="445"/>
      <c r="Q754" s="445">
        <v>546</v>
      </c>
      <c r="R754" s="445" t="s">
        <v>2586</v>
      </c>
      <c r="S754" s="446" t="s">
        <v>288</v>
      </c>
      <c r="T754" s="446">
        <v>44928</v>
      </c>
      <c r="U754" s="446">
        <v>44928</v>
      </c>
      <c r="V754" s="447">
        <v>44936</v>
      </c>
      <c r="W754" s="447">
        <v>44936</v>
      </c>
      <c r="X754" s="447" t="s">
        <v>8044</v>
      </c>
      <c r="Y754" s="420"/>
      <c r="Z754" s="224" t="str">
        <f t="shared" si="66"/>
        <v>AG. MEDIÇÃO</v>
      </c>
      <c r="AA754" s="207" t="str">
        <f t="shared" si="67"/>
        <v>ENTREGUE</v>
      </c>
      <c r="AB754" s="207" t="str">
        <f t="shared" si="68"/>
        <v>AG. MEDIÇÃO</v>
      </c>
      <c r="AC754" s="156">
        <f t="shared" ca="1" si="69"/>
        <v>6</v>
      </c>
      <c r="AD754" s="156" t="str">
        <f t="shared" ca="1" si="70"/>
        <v>ATRASADO</v>
      </c>
      <c r="AE754" s="156">
        <f t="shared" ca="1" si="71"/>
        <v>3</v>
      </c>
    </row>
    <row r="755" spans="1:31" ht="36" hidden="1" customHeight="1">
      <c r="A755" s="414"/>
      <c r="B755" s="440" t="s">
        <v>2587</v>
      </c>
      <c r="C755" s="440" t="s">
        <v>250</v>
      </c>
      <c r="D755" s="440"/>
      <c r="E755" s="440"/>
      <c r="F755" s="440" t="s">
        <v>427</v>
      </c>
      <c r="G755" s="441" t="s">
        <v>2588</v>
      </c>
      <c r="H755" s="440" t="s">
        <v>2589</v>
      </c>
      <c r="I755" s="442"/>
      <c r="J755" s="443">
        <v>44927</v>
      </c>
      <c r="K755" s="429" t="s">
        <v>2493</v>
      </c>
      <c r="L755" s="444" t="s">
        <v>2585</v>
      </c>
      <c r="M755" s="444" t="s">
        <v>722</v>
      </c>
      <c r="N755" s="441" t="s">
        <v>2572</v>
      </c>
      <c r="O755" s="445" t="s">
        <v>2573</v>
      </c>
      <c r="P755" s="445"/>
      <c r="Q755" s="445">
        <v>142</v>
      </c>
      <c r="R755" s="445" t="s">
        <v>2590</v>
      </c>
      <c r="S755" s="446" t="s">
        <v>288</v>
      </c>
      <c r="T755" s="446">
        <v>44928</v>
      </c>
      <c r="U755" s="446">
        <v>44928</v>
      </c>
      <c r="V755" s="447">
        <v>44936</v>
      </c>
      <c r="W755" s="447">
        <v>44936</v>
      </c>
      <c r="X755" s="447" t="s">
        <v>8044</v>
      </c>
      <c r="Y755" s="420"/>
      <c r="Z755" s="224" t="str">
        <f t="shared" si="66"/>
        <v>AG. MEDIÇÃO</v>
      </c>
      <c r="AA755" s="207" t="str">
        <f t="shared" si="67"/>
        <v>ENTREGUE</v>
      </c>
      <c r="AB755" s="207" t="str">
        <f t="shared" si="68"/>
        <v>AG. MEDIÇÃO</v>
      </c>
      <c r="AC755" s="156">
        <f t="shared" ca="1" si="69"/>
        <v>6</v>
      </c>
      <c r="AD755" s="156" t="str">
        <f t="shared" ca="1" si="70"/>
        <v>ATRASADO</v>
      </c>
      <c r="AE755" s="156">
        <f t="shared" ca="1" si="71"/>
        <v>3</v>
      </c>
    </row>
    <row r="756" spans="1:31" ht="36" hidden="1" customHeight="1">
      <c r="A756" s="414"/>
      <c r="B756" s="440" t="s">
        <v>2719</v>
      </c>
      <c r="C756" s="440" t="s">
        <v>440</v>
      </c>
      <c r="D756" s="440"/>
      <c r="E756" s="440"/>
      <c r="F756" s="440" t="s">
        <v>427</v>
      </c>
      <c r="G756" s="441" t="s">
        <v>817</v>
      </c>
      <c r="H756" s="440" t="s">
        <v>2720</v>
      </c>
      <c r="I756" s="449"/>
      <c r="J756" s="443">
        <v>44986</v>
      </c>
      <c r="K756" s="429" t="s">
        <v>2493</v>
      </c>
      <c r="L756" s="444"/>
      <c r="M756" s="444" t="s">
        <v>774</v>
      </c>
      <c r="N756" s="441" t="s">
        <v>2572</v>
      </c>
      <c r="O756" s="445" t="s">
        <v>85</v>
      </c>
      <c r="P756" s="441" t="s">
        <v>2494</v>
      </c>
      <c r="Q756" s="441" t="s">
        <v>2494</v>
      </c>
      <c r="R756" s="445" t="s">
        <v>2721</v>
      </c>
      <c r="S756" s="446">
        <v>45083</v>
      </c>
      <c r="T756" s="446">
        <v>45083</v>
      </c>
      <c r="U756" s="446"/>
      <c r="V756" s="446"/>
      <c r="W756" s="447"/>
      <c r="X756" s="447" t="s">
        <v>8044</v>
      </c>
      <c r="Y756" s="420"/>
      <c r="Z756" s="224" t="str">
        <f t="shared" si="66"/>
        <v>AG. MEDIÇÃO</v>
      </c>
      <c r="AA756" s="207" t="str">
        <f t="shared" si="67"/>
        <v>ENTREGUE</v>
      </c>
      <c r="AB756" s="207" t="str">
        <f t="shared" si="68"/>
        <v>AG. MEDIÇÃO</v>
      </c>
      <c r="AC756" s="156">
        <f t="shared" ca="1" si="69"/>
        <v>856</v>
      </c>
      <c r="AD756" s="156" t="str">
        <f t="shared" ca="1" si="70"/>
        <v>ATRASADO</v>
      </c>
      <c r="AE756" s="156">
        <f t="shared" ca="1" si="71"/>
        <v>853</v>
      </c>
    </row>
    <row r="757" spans="1:31" ht="36" hidden="1" customHeight="1">
      <c r="A757" s="414"/>
      <c r="B757" s="440" t="s">
        <v>3558</v>
      </c>
      <c r="C757" s="440" t="s">
        <v>731</v>
      </c>
      <c r="D757" s="440"/>
      <c r="E757" s="440"/>
      <c r="F757" s="440" t="s">
        <v>427</v>
      </c>
      <c r="G757" s="441" t="s">
        <v>3559</v>
      </c>
      <c r="H757" s="440" t="s">
        <v>3560</v>
      </c>
      <c r="I757" s="441" t="s">
        <v>3559</v>
      </c>
      <c r="J757" s="450">
        <v>45383</v>
      </c>
      <c r="K757" s="429" t="s">
        <v>2493</v>
      </c>
      <c r="L757" s="444" t="s">
        <v>3561</v>
      </c>
      <c r="M757" s="444" t="s">
        <v>3562</v>
      </c>
      <c r="N757" s="441" t="s">
        <v>2572</v>
      </c>
      <c r="O757" s="445" t="s">
        <v>85</v>
      </c>
      <c r="P757" s="445"/>
      <c r="Q757" s="441">
        <v>260</v>
      </c>
      <c r="R757" s="445" t="s">
        <v>3563</v>
      </c>
      <c r="S757" s="446">
        <v>45405</v>
      </c>
      <c r="T757" s="446">
        <v>45384</v>
      </c>
      <c r="U757" s="446">
        <v>45390</v>
      </c>
      <c r="V757" s="446">
        <v>45392</v>
      </c>
      <c r="W757" s="447">
        <v>45392</v>
      </c>
      <c r="X757" s="447" t="s">
        <v>8044</v>
      </c>
      <c r="Y757" s="420"/>
      <c r="Z757" s="224" t="str">
        <f t="shared" si="66"/>
        <v>AG. MEDIÇÃO</v>
      </c>
      <c r="AA757" s="207" t="str">
        <f t="shared" si="67"/>
        <v>ENTREGUE</v>
      </c>
      <c r="AB757" s="207" t="str">
        <f t="shared" si="68"/>
        <v>AG. MEDIÇÃO</v>
      </c>
      <c r="AC757" s="156">
        <f t="shared" ca="1" si="69"/>
        <v>6</v>
      </c>
      <c r="AD757" s="156" t="str">
        <f t="shared" ca="1" si="70"/>
        <v>ATRASADO</v>
      </c>
      <c r="AE757" s="156">
        <f t="shared" ca="1" si="71"/>
        <v>3</v>
      </c>
    </row>
    <row r="758" spans="1:31" ht="36" hidden="1" customHeight="1">
      <c r="A758" s="414"/>
      <c r="B758" s="440" t="s">
        <v>4749</v>
      </c>
      <c r="C758" s="440" t="s">
        <v>232</v>
      </c>
      <c r="D758" s="440" t="s">
        <v>893</v>
      </c>
      <c r="E758" s="440" t="s">
        <v>389</v>
      </c>
      <c r="F758" s="440" t="s">
        <v>42</v>
      </c>
      <c r="G758" s="441" t="s">
        <v>4750</v>
      </c>
      <c r="H758" s="440" t="s">
        <v>4751</v>
      </c>
      <c r="I758" s="441" t="s">
        <v>4752</v>
      </c>
      <c r="J758" s="450">
        <v>45689</v>
      </c>
      <c r="K758" s="429" t="s">
        <v>2493</v>
      </c>
      <c r="L758" s="444"/>
      <c r="M758" s="444" t="s">
        <v>132</v>
      </c>
      <c r="N758" s="441" t="s">
        <v>2572</v>
      </c>
      <c r="O758" s="445" t="s">
        <v>3350</v>
      </c>
      <c r="P758" s="441" t="s">
        <v>2494</v>
      </c>
      <c r="Q758" s="445" t="s">
        <v>2494</v>
      </c>
      <c r="R758" s="445" t="s">
        <v>4753</v>
      </c>
      <c r="S758" s="446">
        <v>45700</v>
      </c>
      <c r="T758" s="446">
        <v>45694</v>
      </c>
      <c r="U758" s="446">
        <v>45697</v>
      </c>
      <c r="V758" s="447">
        <v>45698</v>
      </c>
      <c r="W758" s="447">
        <v>45698</v>
      </c>
      <c r="X758" s="447" t="s">
        <v>8044</v>
      </c>
      <c r="Y758" s="420"/>
      <c r="Z758" s="224" t="str">
        <f t="shared" si="66"/>
        <v>AG. MEDIÇÃO</v>
      </c>
      <c r="AA758" s="207" t="str">
        <f t="shared" si="67"/>
        <v>ENTREGUE</v>
      </c>
      <c r="AB758" s="207" t="str">
        <f t="shared" si="68"/>
        <v>AG. MEDIÇÃO</v>
      </c>
      <c r="AC758" s="156">
        <f t="shared" ca="1" si="69"/>
        <v>2</v>
      </c>
      <c r="AD758" s="156" t="str">
        <f t="shared" ca="1" si="70"/>
        <v>NO PRAZO</v>
      </c>
      <c r="AE758" s="156">
        <f t="shared" ca="1" si="71"/>
        <v>-1</v>
      </c>
    </row>
    <row r="759" spans="1:31" ht="36" hidden="1" customHeight="1">
      <c r="A759" s="414"/>
      <c r="B759" s="440" t="s">
        <v>4863</v>
      </c>
      <c r="C759" s="440" t="s">
        <v>117</v>
      </c>
      <c r="D759" s="440" t="s">
        <v>527</v>
      </c>
      <c r="E759" s="440" t="s">
        <v>3677</v>
      </c>
      <c r="F759" s="440" t="s">
        <v>42</v>
      </c>
      <c r="G759" s="441" t="s">
        <v>4864</v>
      </c>
      <c r="H759" s="440" t="s">
        <v>4865</v>
      </c>
      <c r="I759" s="441" t="s">
        <v>4866</v>
      </c>
      <c r="J759" s="450">
        <v>45689</v>
      </c>
      <c r="K759" s="429" t="s">
        <v>2493</v>
      </c>
      <c r="L759" s="444" t="s">
        <v>200</v>
      </c>
      <c r="M759" s="444" t="s">
        <v>200</v>
      </c>
      <c r="N759" s="441"/>
      <c r="O759" s="445"/>
      <c r="P759" s="441">
        <v>151</v>
      </c>
      <c r="Q759" s="445">
        <v>179</v>
      </c>
      <c r="R759" s="445" t="s">
        <v>4867</v>
      </c>
      <c r="S759" s="446">
        <v>45734</v>
      </c>
      <c r="T759" s="446">
        <v>45714</v>
      </c>
      <c r="U759" s="446">
        <v>45715</v>
      </c>
      <c r="V759" s="447"/>
      <c r="W759" s="447">
        <v>45715</v>
      </c>
      <c r="X759" s="447" t="s">
        <v>8044</v>
      </c>
      <c r="Y759" s="420"/>
      <c r="Z759" s="224" t="str">
        <f t="shared" si="66"/>
        <v>AG. MEDIÇÃO</v>
      </c>
      <c r="AA759" s="207" t="str">
        <f t="shared" si="67"/>
        <v>ENTREGUE</v>
      </c>
      <c r="AB759" s="207" t="str">
        <f t="shared" si="68"/>
        <v>AG. MEDIÇÃO</v>
      </c>
      <c r="AC759" s="156">
        <f t="shared" ca="1" si="69"/>
        <v>1</v>
      </c>
      <c r="AD759" s="156" t="str">
        <f t="shared" ca="1" si="70"/>
        <v>NO PRAZO</v>
      </c>
      <c r="AE759" s="156">
        <f t="shared" ca="1" si="71"/>
        <v>-2</v>
      </c>
    </row>
    <row r="760" spans="1:31" ht="36" hidden="1" customHeight="1">
      <c r="A760" s="414"/>
      <c r="B760" s="440" t="s">
        <v>3552</v>
      </c>
      <c r="C760" s="440" t="s">
        <v>731</v>
      </c>
      <c r="D760" s="440"/>
      <c r="E760" s="440"/>
      <c r="F760" s="440" t="s">
        <v>427</v>
      </c>
      <c r="G760" s="441" t="s">
        <v>3553</v>
      </c>
      <c r="H760" s="440" t="s">
        <v>3554</v>
      </c>
      <c r="I760" s="441" t="s">
        <v>3553</v>
      </c>
      <c r="J760" s="450">
        <v>45383</v>
      </c>
      <c r="K760" s="429" t="s">
        <v>2493</v>
      </c>
      <c r="L760" s="444"/>
      <c r="M760" s="444" t="s">
        <v>3555</v>
      </c>
      <c r="N760" s="441" t="s">
        <v>2572</v>
      </c>
      <c r="O760" s="445" t="s">
        <v>85</v>
      </c>
      <c r="P760" s="445"/>
      <c r="Q760" s="452" t="s">
        <v>3556</v>
      </c>
      <c r="R760" s="452" t="s">
        <v>3557</v>
      </c>
      <c r="S760" s="446">
        <v>45405</v>
      </c>
      <c r="T760" s="446">
        <v>45384</v>
      </c>
      <c r="U760" s="446"/>
      <c r="V760" s="446">
        <v>45386</v>
      </c>
      <c r="W760" s="447">
        <v>45386</v>
      </c>
      <c r="X760" s="447" t="s">
        <v>8044</v>
      </c>
      <c r="Y760" s="420"/>
      <c r="Z760" s="224" t="str">
        <f t="shared" si="66"/>
        <v>AG. MEDIÇÃO</v>
      </c>
      <c r="AA760" s="207" t="str">
        <f t="shared" si="67"/>
        <v>ENTREGUE</v>
      </c>
      <c r="AB760" s="207" t="str">
        <f t="shared" si="68"/>
        <v>AG. MEDIÇÃO</v>
      </c>
      <c r="AC760" s="156">
        <f t="shared" ca="1" si="69"/>
        <v>2</v>
      </c>
      <c r="AD760" s="156" t="str">
        <f t="shared" ca="1" si="70"/>
        <v>NO PRAZO</v>
      </c>
      <c r="AE760" s="156">
        <f t="shared" ca="1" si="71"/>
        <v>-1</v>
      </c>
    </row>
    <row r="761" spans="1:31" ht="36" hidden="1" customHeight="1">
      <c r="A761" s="414"/>
      <c r="B761" s="440" t="s">
        <v>3085</v>
      </c>
      <c r="C761" s="440" t="s">
        <v>425</v>
      </c>
      <c r="D761" s="440"/>
      <c r="E761" s="440"/>
      <c r="F761" s="440" t="s">
        <v>519</v>
      </c>
      <c r="G761" s="441" t="s">
        <v>3086</v>
      </c>
      <c r="H761" s="440" t="s">
        <v>3087</v>
      </c>
      <c r="I761" s="449"/>
      <c r="J761" s="443">
        <v>45170</v>
      </c>
      <c r="K761" s="429" t="s">
        <v>2493</v>
      </c>
      <c r="L761" s="444" t="s">
        <v>3088</v>
      </c>
      <c r="M761" s="444"/>
      <c r="N761" s="441" t="s">
        <v>2572</v>
      </c>
      <c r="O761" s="445" t="s">
        <v>2573</v>
      </c>
      <c r="P761" s="445"/>
      <c r="Q761" s="441">
        <v>174</v>
      </c>
      <c r="R761" s="445" t="s">
        <v>3089</v>
      </c>
      <c r="S761" s="446">
        <v>45203</v>
      </c>
      <c r="T761" s="446">
        <v>45194</v>
      </c>
      <c r="U761" s="446">
        <v>45194</v>
      </c>
      <c r="V761" s="446">
        <v>45194</v>
      </c>
      <c r="W761" s="447">
        <v>45194</v>
      </c>
      <c r="X761" s="447" t="s">
        <v>8044</v>
      </c>
      <c r="Y761" s="420"/>
      <c r="Z761" s="224" t="str">
        <f t="shared" si="66"/>
        <v>AG. MEDIÇÃO</v>
      </c>
      <c r="AA761" s="207" t="str">
        <f t="shared" si="67"/>
        <v>ENTREGUE</v>
      </c>
      <c r="AB761" s="207" t="str">
        <f t="shared" si="68"/>
        <v>AG. MEDIÇÃO</v>
      </c>
      <c r="AC761" s="156">
        <f t="shared" ca="1" si="69"/>
        <v>0</v>
      </c>
      <c r="AD761" s="156" t="str">
        <f t="shared" ca="1" si="70"/>
        <v>NO PRAZO</v>
      </c>
      <c r="AE761" s="156">
        <f t="shared" ca="1" si="71"/>
        <v>-3</v>
      </c>
    </row>
    <row r="762" spans="1:31" ht="36" hidden="1" customHeight="1">
      <c r="A762" s="414"/>
      <c r="B762" s="429" t="s">
        <v>8201</v>
      </c>
      <c r="C762" s="429" t="s">
        <v>600</v>
      </c>
      <c r="D762" s="429"/>
      <c r="E762" s="429" t="s">
        <v>601</v>
      </c>
      <c r="F762" s="429" t="s">
        <v>42</v>
      </c>
      <c r="G762" s="562" t="s">
        <v>8224</v>
      </c>
      <c r="H762" s="562" t="s">
        <v>8225</v>
      </c>
      <c r="I762" s="562" t="s">
        <v>8226</v>
      </c>
      <c r="J762" s="432">
        <v>46204</v>
      </c>
      <c r="K762" s="429" t="s">
        <v>2493</v>
      </c>
      <c r="L762" s="436" t="s">
        <v>124</v>
      </c>
      <c r="M762" s="436" t="s">
        <v>62</v>
      </c>
      <c r="N762" s="437"/>
      <c r="O762" s="437"/>
      <c r="P762" s="436">
        <v>400</v>
      </c>
      <c r="Q762" s="429">
        <v>458</v>
      </c>
      <c r="R762" s="499" t="s">
        <v>8483</v>
      </c>
      <c r="S762" s="438"/>
      <c r="T762" s="438">
        <v>46234</v>
      </c>
      <c r="U762" s="438"/>
      <c r="V762" s="438">
        <v>46238</v>
      </c>
      <c r="W762" s="438">
        <v>46238</v>
      </c>
      <c r="X762" s="439"/>
      <c r="Y762" s="420"/>
      <c r="Z762" s="224" t="str">
        <f t="shared" si="66"/>
        <v>AG. RELATÓRIO</v>
      </c>
      <c r="AA762" s="207" t="str">
        <f t="shared" si="67"/>
        <v>PENDENTE</v>
      </c>
      <c r="AB762" s="207" t="str">
        <f t="shared" si="68"/>
        <v>AG. RELATÓRIO</v>
      </c>
      <c r="AC762" s="156">
        <f t="shared" ca="1" si="69"/>
        <v>2</v>
      </c>
      <c r="AD762" s="156" t="str">
        <f t="shared" ca="1" si="70"/>
        <v>NO PRAZO</v>
      </c>
      <c r="AE762" s="156">
        <f t="shared" ca="1" si="71"/>
        <v>-1</v>
      </c>
    </row>
    <row r="763" spans="1:31" ht="36" hidden="1" customHeight="1">
      <c r="A763" s="414"/>
      <c r="B763" s="440" t="s">
        <v>3607</v>
      </c>
      <c r="C763" s="440" t="s">
        <v>479</v>
      </c>
      <c r="D763" s="440"/>
      <c r="E763" s="440"/>
      <c r="F763" s="440" t="s">
        <v>42</v>
      </c>
      <c r="G763" s="441" t="s">
        <v>3608</v>
      </c>
      <c r="H763" s="440" t="s">
        <v>3609</v>
      </c>
      <c r="I763" s="441"/>
      <c r="J763" s="450">
        <v>45383</v>
      </c>
      <c r="K763" s="429" t="s">
        <v>2493</v>
      </c>
      <c r="L763" s="444"/>
      <c r="M763" s="444" t="s">
        <v>774</v>
      </c>
      <c r="N763" s="441" t="s">
        <v>2572</v>
      </c>
      <c r="O763" s="445" t="s">
        <v>85</v>
      </c>
      <c r="P763" s="441" t="s">
        <v>2494</v>
      </c>
      <c r="Q763" s="441" t="s">
        <v>2494</v>
      </c>
      <c r="R763" s="445" t="s">
        <v>3610</v>
      </c>
      <c r="S763" s="446">
        <v>45374</v>
      </c>
      <c r="T763" s="446">
        <v>45392</v>
      </c>
      <c r="U763" s="446">
        <v>45393</v>
      </c>
      <c r="V763" s="446">
        <v>45394</v>
      </c>
      <c r="W763" s="447">
        <v>45393</v>
      </c>
      <c r="X763" s="447" t="s">
        <v>8044</v>
      </c>
      <c r="Y763" s="420"/>
      <c r="Z763" s="224" t="str">
        <f t="shared" si="66"/>
        <v>AG. MEDIÇÃO</v>
      </c>
      <c r="AA763" s="207" t="str">
        <f t="shared" si="67"/>
        <v>ENTREGUE</v>
      </c>
      <c r="AB763" s="207" t="str">
        <f t="shared" si="68"/>
        <v>AG. MEDIÇÃO</v>
      </c>
      <c r="AC763" s="156">
        <f t="shared" ca="1" si="69"/>
        <v>1</v>
      </c>
      <c r="AD763" s="156" t="str">
        <f t="shared" ca="1" si="70"/>
        <v>NO PRAZO</v>
      </c>
      <c r="AE763" s="156">
        <f t="shared" ca="1" si="71"/>
        <v>-2</v>
      </c>
    </row>
    <row r="764" spans="1:31" ht="36" hidden="1" customHeight="1">
      <c r="A764" s="414"/>
      <c r="B764" s="440" t="s">
        <v>2828</v>
      </c>
      <c r="C764" s="440" t="s">
        <v>232</v>
      </c>
      <c r="D764" s="440"/>
      <c r="E764" s="440"/>
      <c r="F764" s="440" t="s">
        <v>42</v>
      </c>
      <c r="G764" s="441" t="s">
        <v>2829</v>
      </c>
      <c r="H764" s="440" t="s">
        <v>2830</v>
      </c>
      <c r="I764" s="449"/>
      <c r="J764" s="443">
        <v>45017</v>
      </c>
      <c r="K764" s="429" t="s">
        <v>2493</v>
      </c>
      <c r="L764" s="444" t="s">
        <v>646</v>
      </c>
      <c r="M764" s="444" t="s">
        <v>646</v>
      </c>
      <c r="N764" s="441" t="s">
        <v>2572</v>
      </c>
      <c r="O764" s="445"/>
      <c r="P764" s="445"/>
      <c r="Q764" s="441">
        <v>145</v>
      </c>
      <c r="R764" s="444" t="s">
        <v>2831</v>
      </c>
      <c r="S764" s="446">
        <v>45084</v>
      </c>
      <c r="T764" s="446">
        <v>45019</v>
      </c>
      <c r="U764" s="446">
        <v>45020</v>
      </c>
      <c r="V764" s="446">
        <v>45027</v>
      </c>
      <c r="W764" s="446">
        <v>45029</v>
      </c>
      <c r="X764" s="447" t="s">
        <v>8044</v>
      </c>
      <c r="Y764" s="420"/>
      <c r="Z764" s="224" t="str">
        <f t="shared" si="66"/>
        <v>AG. MEDIÇÃO</v>
      </c>
      <c r="AA764" s="207" t="str">
        <f t="shared" si="67"/>
        <v>ENTREGUE</v>
      </c>
      <c r="AB764" s="207" t="str">
        <f t="shared" si="68"/>
        <v>AG. MEDIÇÃO</v>
      </c>
      <c r="AC764" s="156">
        <f t="shared" ca="1" si="69"/>
        <v>8</v>
      </c>
      <c r="AD764" s="156" t="str">
        <f t="shared" ca="1" si="70"/>
        <v>ATRASADO</v>
      </c>
      <c r="AE764" s="156">
        <f t="shared" ca="1" si="71"/>
        <v>5</v>
      </c>
    </row>
    <row r="765" spans="1:31" ht="36" hidden="1" customHeight="1">
      <c r="A765" s="414"/>
      <c r="B765" s="440" t="s">
        <v>4475</v>
      </c>
      <c r="C765" s="440" t="s">
        <v>311</v>
      </c>
      <c r="D765" s="440" t="s">
        <v>1187</v>
      </c>
      <c r="E765" s="440" t="s">
        <v>312</v>
      </c>
      <c r="F765" s="440" t="s">
        <v>42</v>
      </c>
      <c r="G765" s="441"/>
      <c r="H765" s="440" t="s">
        <v>4476</v>
      </c>
      <c r="I765" s="441" t="s">
        <v>4477</v>
      </c>
      <c r="J765" s="450">
        <v>45536</v>
      </c>
      <c r="K765" s="429" t="s">
        <v>2493</v>
      </c>
      <c r="L765" s="444" t="s">
        <v>4478</v>
      </c>
      <c r="M765" s="444" t="s">
        <v>51</v>
      </c>
      <c r="N765" s="441" t="s">
        <v>2572</v>
      </c>
      <c r="O765" s="445" t="s">
        <v>3350</v>
      </c>
      <c r="P765" s="445">
        <v>100</v>
      </c>
      <c r="Q765" s="445">
        <v>100</v>
      </c>
      <c r="R765" s="445" t="s">
        <v>4479</v>
      </c>
      <c r="S765" s="446">
        <v>45575</v>
      </c>
      <c r="T765" s="446"/>
      <c r="U765" s="446"/>
      <c r="V765" s="447"/>
      <c r="W765" s="447"/>
      <c r="X765" s="447" t="s">
        <v>8044</v>
      </c>
      <c r="Y765" s="420"/>
      <c r="Z765" s="224" t="str">
        <f t="shared" si="66"/>
        <v>AG. MEDIÇÃO</v>
      </c>
      <c r="AA765" s="207" t="str">
        <f t="shared" si="67"/>
        <v>ENTREGUE</v>
      </c>
      <c r="AB765" s="207" t="str">
        <f t="shared" si="68"/>
        <v>AG. MEDIÇÃO</v>
      </c>
      <c r="AC765" s="156" t="str">
        <f t="shared" ca="1" si="69"/>
        <v>DATA ENTRADA</v>
      </c>
      <c r="AD765" s="156" t="str">
        <f t="shared" ca="1" si="70"/>
        <v>ATRASADO</v>
      </c>
      <c r="AE765" s="156" t="str">
        <f t="shared" ca="1" si="71"/>
        <v>DATA ENTRADA</v>
      </c>
    </row>
    <row r="766" spans="1:31" ht="36" hidden="1" customHeight="1">
      <c r="A766" s="414"/>
      <c r="B766" s="440" t="s">
        <v>3507</v>
      </c>
      <c r="C766" s="440" t="s">
        <v>425</v>
      </c>
      <c r="D766" s="440"/>
      <c r="E766" s="440"/>
      <c r="F766" s="440" t="s">
        <v>2559</v>
      </c>
      <c r="G766" s="441" t="s">
        <v>3508</v>
      </c>
      <c r="H766" s="440" t="s">
        <v>3509</v>
      </c>
      <c r="I766" s="441"/>
      <c r="J766" s="450">
        <v>45352</v>
      </c>
      <c r="K766" s="429" t="s">
        <v>2493</v>
      </c>
      <c r="L766" s="444" t="s">
        <v>1130</v>
      </c>
      <c r="M766" s="444" t="s">
        <v>51</v>
      </c>
      <c r="N766" s="441" t="s">
        <v>2572</v>
      </c>
      <c r="O766" s="445" t="s">
        <v>85</v>
      </c>
      <c r="P766" s="445"/>
      <c r="Q766" s="441">
        <v>115</v>
      </c>
      <c r="R766" s="445" t="s">
        <v>3510</v>
      </c>
      <c r="S766" s="446">
        <v>45405</v>
      </c>
      <c r="T766" s="446">
        <v>45373</v>
      </c>
      <c r="U766" s="446">
        <v>45376</v>
      </c>
      <c r="V766" s="446">
        <v>45378</v>
      </c>
      <c r="W766" s="447">
        <v>45378</v>
      </c>
      <c r="X766" s="447" t="s">
        <v>8044</v>
      </c>
      <c r="Y766" s="420"/>
      <c r="Z766" s="224" t="str">
        <f t="shared" si="66"/>
        <v>AG. MEDIÇÃO</v>
      </c>
      <c r="AA766" s="207" t="str">
        <f t="shared" si="67"/>
        <v>ENTREGUE</v>
      </c>
      <c r="AB766" s="207" t="str">
        <f t="shared" si="68"/>
        <v>AG. MEDIÇÃO</v>
      </c>
      <c r="AC766" s="156">
        <f t="shared" ca="1" si="69"/>
        <v>3</v>
      </c>
      <c r="AD766" s="156" t="str">
        <f t="shared" ca="1" si="70"/>
        <v>NO PRAZO</v>
      </c>
      <c r="AE766" s="156">
        <f t="shared" ca="1" si="71"/>
        <v>0</v>
      </c>
    </row>
    <row r="767" spans="1:31" ht="36" hidden="1" customHeight="1">
      <c r="A767" s="414"/>
      <c r="B767" s="429" t="s">
        <v>7645</v>
      </c>
      <c r="C767" s="430" t="s">
        <v>315</v>
      </c>
      <c r="D767" s="430" t="s">
        <v>37</v>
      </c>
      <c r="E767" s="432" t="s">
        <v>316</v>
      </c>
      <c r="F767" s="429" t="s">
        <v>42</v>
      </c>
      <c r="G767" s="434"/>
      <c r="H767" s="636" t="s">
        <v>7619</v>
      </c>
      <c r="I767" s="433" t="s">
        <v>7620</v>
      </c>
      <c r="J767" s="432">
        <v>46143</v>
      </c>
      <c r="K767" s="429" t="s">
        <v>2493</v>
      </c>
      <c r="L767" s="436" t="s">
        <v>77</v>
      </c>
      <c r="M767" s="436" t="s">
        <v>77</v>
      </c>
      <c r="N767" s="433"/>
      <c r="O767" s="437"/>
      <c r="P767" s="433" t="s">
        <v>2494</v>
      </c>
      <c r="Q767" s="437" t="s">
        <v>2494</v>
      </c>
      <c r="R767" s="437" t="s">
        <v>8186</v>
      </c>
      <c r="S767" s="438">
        <v>46226</v>
      </c>
      <c r="T767" s="438">
        <v>46143</v>
      </c>
      <c r="U767" s="438"/>
      <c r="V767" s="439"/>
      <c r="W767" s="439">
        <v>46147</v>
      </c>
      <c r="X767" s="439">
        <v>46226</v>
      </c>
      <c r="Y767" s="420"/>
      <c r="Z767" s="224" t="str">
        <f t="shared" si="66"/>
        <v>AG. MEDIÇÃO</v>
      </c>
      <c r="AA767" s="207" t="str">
        <f t="shared" si="67"/>
        <v>ENTREGUE</v>
      </c>
      <c r="AB767" s="207" t="str">
        <f t="shared" si="68"/>
        <v>AG. MEDIÇÃO</v>
      </c>
      <c r="AC767" s="156">
        <f t="shared" ca="1" si="69"/>
        <v>2</v>
      </c>
      <c r="AD767" s="156" t="str">
        <f t="shared" ca="1" si="70"/>
        <v>NO PRAZO</v>
      </c>
      <c r="AE767" s="156">
        <f t="shared" ca="1" si="71"/>
        <v>-1</v>
      </c>
    </row>
    <row r="768" spans="1:31" ht="36" hidden="1" customHeight="1">
      <c r="A768" s="414"/>
      <c r="B768" s="440" t="s">
        <v>3167</v>
      </c>
      <c r="C768" s="440" t="s">
        <v>111</v>
      </c>
      <c r="D768" s="440"/>
      <c r="E768" s="440"/>
      <c r="F768" s="440" t="s">
        <v>42</v>
      </c>
      <c r="G768" s="441" t="s">
        <v>3168</v>
      </c>
      <c r="H768" s="440" t="s">
        <v>3169</v>
      </c>
      <c r="I768" s="449"/>
      <c r="J768" s="450">
        <v>45200</v>
      </c>
      <c r="K768" s="429" t="s">
        <v>2493</v>
      </c>
      <c r="L768" s="444" t="s">
        <v>109</v>
      </c>
      <c r="M768" s="444" t="s">
        <v>714</v>
      </c>
      <c r="N768" s="441" t="s">
        <v>2572</v>
      </c>
      <c r="O768" s="445" t="s">
        <v>85</v>
      </c>
      <c r="P768" s="445"/>
      <c r="Q768" s="441">
        <v>278</v>
      </c>
      <c r="R768" s="445" t="s">
        <v>3170</v>
      </c>
      <c r="S768" s="446">
        <v>45229</v>
      </c>
      <c r="T768" s="446">
        <v>45225</v>
      </c>
      <c r="U768" s="446"/>
      <c r="V768" s="446">
        <v>45226</v>
      </c>
      <c r="W768" s="446">
        <v>45226</v>
      </c>
      <c r="X768" s="447" t="s">
        <v>8044</v>
      </c>
      <c r="Y768" s="420"/>
      <c r="Z768" s="224" t="str">
        <f t="shared" si="66"/>
        <v>AG. MEDIÇÃO</v>
      </c>
      <c r="AA768" s="207" t="str">
        <f t="shared" si="67"/>
        <v>ENTREGUE</v>
      </c>
      <c r="AB768" s="207" t="str">
        <f t="shared" si="68"/>
        <v>AG. MEDIÇÃO</v>
      </c>
      <c r="AC768" s="156">
        <f t="shared" ca="1" si="69"/>
        <v>1</v>
      </c>
      <c r="AD768" s="156" t="str">
        <f t="shared" ca="1" si="70"/>
        <v>NO PRAZO</v>
      </c>
      <c r="AE768" s="156">
        <f t="shared" ca="1" si="71"/>
        <v>-2</v>
      </c>
    </row>
    <row r="769" spans="1:31" ht="36" hidden="1" customHeight="1">
      <c r="A769" s="414"/>
      <c r="B769" s="440" t="s">
        <v>4267</v>
      </c>
      <c r="C769" s="440" t="s">
        <v>328</v>
      </c>
      <c r="D769" s="440" t="s">
        <v>333</v>
      </c>
      <c r="E769" s="440" t="s">
        <v>329</v>
      </c>
      <c r="F769" s="440" t="s">
        <v>42</v>
      </c>
      <c r="G769" s="441" t="s">
        <v>4268</v>
      </c>
      <c r="H769" s="440" t="s">
        <v>4269</v>
      </c>
      <c r="I769" s="441" t="s">
        <v>4270</v>
      </c>
      <c r="J769" s="450">
        <v>45505</v>
      </c>
      <c r="K769" s="429" t="s">
        <v>2493</v>
      </c>
      <c r="L769" s="444" t="s">
        <v>1208</v>
      </c>
      <c r="M769" s="444" t="s">
        <v>774</v>
      </c>
      <c r="N769" s="441" t="s">
        <v>2572</v>
      </c>
      <c r="O769" s="445" t="s">
        <v>85</v>
      </c>
      <c r="P769" s="445"/>
      <c r="Q769" s="445">
        <v>430</v>
      </c>
      <c r="R769" s="445" t="s">
        <v>4271</v>
      </c>
      <c r="S769" s="446">
        <v>45545</v>
      </c>
      <c r="T769" s="446">
        <v>45531</v>
      </c>
      <c r="U769" s="446">
        <v>45533</v>
      </c>
      <c r="V769" s="447">
        <v>45538</v>
      </c>
      <c r="W769" s="447">
        <v>45541</v>
      </c>
      <c r="X769" s="447" t="s">
        <v>8044</v>
      </c>
      <c r="Y769" s="420"/>
      <c r="Z769" s="224" t="str">
        <f t="shared" si="66"/>
        <v>AG. MEDIÇÃO</v>
      </c>
      <c r="AA769" s="207" t="str">
        <f t="shared" si="67"/>
        <v>ENTREGUE</v>
      </c>
      <c r="AB769" s="207" t="str">
        <f t="shared" si="68"/>
        <v>AG. MEDIÇÃO</v>
      </c>
      <c r="AC769" s="156">
        <f t="shared" ca="1" si="69"/>
        <v>8</v>
      </c>
      <c r="AD769" s="156" t="str">
        <f t="shared" ca="1" si="70"/>
        <v>ATRASADO</v>
      </c>
      <c r="AE769" s="156">
        <f t="shared" ca="1" si="71"/>
        <v>5</v>
      </c>
    </row>
    <row r="770" spans="1:31" ht="36" hidden="1" customHeight="1">
      <c r="A770" s="414"/>
      <c r="B770" s="440" t="s">
        <v>4630</v>
      </c>
      <c r="C770" s="440" t="s">
        <v>232</v>
      </c>
      <c r="D770" s="440" t="s">
        <v>232</v>
      </c>
      <c r="E770" s="440" t="s">
        <v>233</v>
      </c>
      <c r="F770" s="440" t="s">
        <v>42</v>
      </c>
      <c r="G770" s="441" t="s">
        <v>4631</v>
      </c>
      <c r="H770" s="440" t="s">
        <v>4632</v>
      </c>
      <c r="I770" s="441" t="s">
        <v>4633</v>
      </c>
      <c r="J770" s="450">
        <v>45627</v>
      </c>
      <c r="K770" s="429" t="s">
        <v>2493</v>
      </c>
      <c r="L770" s="444"/>
      <c r="M770" s="444" t="s">
        <v>132</v>
      </c>
      <c r="N770" s="441" t="s">
        <v>2572</v>
      </c>
      <c r="O770" s="445" t="s">
        <v>4560</v>
      </c>
      <c r="P770" s="445"/>
      <c r="Q770" s="445"/>
      <c r="R770" s="445" t="s">
        <v>4634</v>
      </c>
      <c r="S770" s="446">
        <v>45632</v>
      </c>
      <c r="T770" s="446">
        <v>45628</v>
      </c>
      <c r="U770" s="446"/>
      <c r="V770" s="447"/>
      <c r="W770" s="447">
        <v>45629</v>
      </c>
      <c r="X770" s="447" t="s">
        <v>8044</v>
      </c>
      <c r="Y770" s="420"/>
      <c r="Z770" s="224" t="str">
        <f t="shared" si="66"/>
        <v>AG. MEDIÇÃO</v>
      </c>
      <c r="AA770" s="207" t="str">
        <f t="shared" si="67"/>
        <v>ENTREGUE</v>
      </c>
      <c r="AB770" s="207" t="str">
        <f t="shared" si="68"/>
        <v>AG. MEDIÇÃO</v>
      </c>
      <c r="AC770" s="156">
        <f t="shared" ca="1" si="69"/>
        <v>1</v>
      </c>
      <c r="AD770" s="156" t="str">
        <f t="shared" ca="1" si="70"/>
        <v>NO PRAZO</v>
      </c>
      <c r="AE770" s="156">
        <f t="shared" ca="1" si="71"/>
        <v>-2</v>
      </c>
    </row>
    <row r="771" spans="1:31" ht="36" hidden="1" customHeight="1">
      <c r="A771" s="414"/>
      <c r="B771" s="440" t="s">
        <v>5624</v>
      </c>
      <c r="C771" s="440" t="s">
        <v>600</v>
      </c>
      <c r="D771" s="440" t="s">
        <v>1964</v>
      </c>
      <c r="E771" s="440" t="s">
        <v>601</v>
      </c>
      <c r="F771" s="440" t="s">
        <v>42</v>
      </c>
      <c r="G771" s="441"/>
      <c r="H771" s="440" t="s">
        <v>5625</v>
      </c>
      <c r="I771" s="441" t="s">
        <v>5626</v>
      </c>
      <c r="J771" s="450">
        <v>45839</v>
      </c>
      <c r="K771" s="429" t="s">
        <v>2493</v>
      </c>
      <c r="L771" s="444"/>
      <c r="M771" s="444" t="s">
        <v>1155</v>
      </c>
      <c r="N771" s="441" t="s">
        <v>2572</v>
      </c>
      <c r="O771" s="445"/>
      <c r="P771" s="441"/>
      <c r="Q771" s="445"/>
      <c r="R771" s="445" t="s">
        <v>5597</v>
      </c>
      <c r="S771" s="446" t="s">
        <v>1964</v>
      </c>
      <c r="T771" s="446"/>
      <c r="U771" s="446"/>
      <c r="V771" s="447"/>
      <c r="W771" s="447">
        <v>45874</v>
      </c>
      <c r="X771" s="447" t="s">
        <v>8044</v>
      </c>
      <c r="Y771" s="420"/>
      <c r="Z771" s="224" t="str">
        <f t="shared" si="66"/>
        <v>AG. MEDIÇÃO</v>
      </c>
      <c r="AA771" s="207" t="str">
        <f t="shared" si="67"/>
        <v>ENTREGUE</v>
      </c>
      <c r="AB771" s="207" t="str">
        <f t="shared" si="68"/>
        <v>AG. MEDIÇÃO</v>
      </c>
      <c r="AC771" s="156" t="str">
        <f t="shared" ca="1" si="69"/>
        <v>DATA ENTRADA</v>
      </c>
      <c r="AD771" s="156" t="str">
        <f t="shared" ca="1" si="70"/>
        <v>ATRASADO</v>
      </c>
      <c r="AE771" s="156" t="str">
        <f t="shared" ca="1" si="71"/>
        <v>DATA ENTRADA</v>
      </c>
    </row>
    <row r="772" spans="1:31" ht="36" hidden="1" customHeight="1">
      <c r="A772" s="414"/>
      <c r="B772" s="440" t="s">
        <v>2832</v>
      </c>
      <c r="C772" s="440" t="s">
        <v>232</v>
      </c>
      <c r="D772" s="440"/>
      <c r="E772" s="440"/>
      <c r="F772" s="440" t="s">
        <v>42</v>
      </c>
      <c r="G772" s="441" t="s">
        <v>2833</v>
      </c>
      <c r="H772" s="440" t="s">
        <v>2834</v>
      </c>
      <c r="I772" s="449"/>
      <c r="J772" s="443">
        <v>45017</v>
      </c>
      <c r="K772" s="429" t="s">
        <v>2493</v>
      </c>
      <c r="L772" s="444" t="s">
        <v>646</v>
      </c>
      <c r="M772" s="444" t="s">
        <v>646</v>
      </c>
      <c r="N772" s="441" t="s">
        <v>2572</v>
      </c>
      <c r="O772" s="445"/>
      <c r="P772" s="445" t="s">
        <v>2494</v>
      </c>
      <c r="Q772" s="441" t="s">
        <v>2494</v>
      </c>
      <c r="R772" s="444" t="s">
        <v>2835</v>
      </c>
      <c r="S772" s="446">
        <v>45084</v>
      </c>
      <c r="T772" s="446">
        <v>45009</v>
      </c>
      <c r="U772" s="446">
        <v>45020</v>
      </c>
      <c r="V772" s="446">
        <v>45028</v>
      </c>
      <c r="W772" s="446">
        <v>45029</v>
      </c>
      <c r="X772" s="447" t="s">
        <v>8044</v>
      </c>
      <c r="Y772" s="420"/>
      <c r="Z772" s="224" t="str">
        <f t="shared" si="66"/>
        <v>AG. MEDIÇÃO</v>
      </c>
      <c r="AA772" s="207" t="str">
        <f t="shared" si="67"/>
        <v>ENTREGUE</v>
      </c>
      <c r="AB772" s="207" t="str">
        <f t="shared" si="68"/>
        <v>AG. MEDIÇÃO</v>
      </c>
      <c r="AC772" s="156">
        <f t="shared" ca="1" si="69"/>
        <v>14</v>
      </c>
      <c r="AD772" s="156" t="str">
        <f t="shared" ca="1" si="70"/>
        <v>ATRASADO</v>
      </c>
      <c r="AE772" s="156">
        <f t="shared" ca="1" si="71"/>
        <v>11</v>
      </c>
    </row>
    <row r="773" spans="1:31" ht="36" hidden="1" customHeight="1">
      <c r="A773" s="414"/>
      <c r="B773" s="440" t="s">
        <v>5610</v>
      </c>
      <c r="C773" s="440" t="s">
        <v>79</v>
      </c>
      <c r="D773" s="440" t="s">
        <v>1989</v>
      </c>
      <c r="E773" s="440" t="s">
        <v>619</v>
      </c>
      <c r="F773" s="440" t="s">
        <v>42</v>
      </c>
      <c r="G773" s="441"/>
      <c r="H773" s="440" t="s">
        <v>5611</v>
      </c>
      <c r="I773" s="441" t="s">
        <v>5612</v>
      </c>
      <c r="J773" s="450">
        <v>45839</v>
      </c>
      <c r="K773" s="429" t="s">
        <v>2493</v>
      </c>
      <c r="L773" s="444"/>
      <c r="M773" s="444" t="s">
        <v>51</v>
      </c>
      <c r="N773" s="441"/>
      <c r="O773" s="445"/>
      <c r="P773" s="441"/>
      <c r="Q773" s="445"/>
      <c r="R773" s="445" t="s">
        <v>5613</v>
      </c>
      <c r="S773" s="446" t="s">
        <v>1989</v>
      </c>
      <c r="T773" s="446">
        <v>45868</v>
      </c>
      <c r="U773" s="446"/>
      <c r="V773" s="447">
        <v>45878</v>
      </c>
      <c r="W773" s="447">
        <v>45879</v>
      </c>
      <c r="X773" s="447">
        <v>45883</v>
      </c>
      <c r="Y773" s="420"/>
      <c r="Z773" s="224" t="str">
        <f t="shared" ref="Z773:Z836" si="72">IF(K773="CANCELADO","CANCELADO",IF(AA773="PENDENTE","AG. RELATÓRIO",IF(S773="SIM","AG. MEDIÇÃO",IF(S773&gt;0,"AG. MEDIÇÃO","PENDENTE"))))</f>
        <v>AG. MEDIÇÃO</v>
      </c>
      <c r="AA773" s="207" t="str">
        <f t="shared" ref="AA773:AA836" si="73">IF(K773="CANCELADO","CANCELADO",IF(X773="","PENDENTE","ENTREGUE"))</f>
        <v>ENTREGUE</v>
      </c>
      <c r="AB773" s="207" t="str">
        <f t="shared" ref="AB773:AB836" si="74">IF(K773="SEM SINAL","SEM SINAL",IF(K773="PARALISADO","PARALISADO",IF(Z773="PENDENTE","AG. MEDIÇÃO",IF(K773="CANCELADO","CANCELADO",Z773))))</f>
        <v>AG. MEDIÇÃO</v>
      </c>
      <c r="AC773" s="156">
        <f t="shared" ref="AC773:AC836" ca="1" si="75">IFERROR(IF(K773="CANCELADO","CANCELADO",IF(T773="","DATA ENTRADA",IF(AND(T773&gt;0,W773=""),NETWORKDAYS(T773,TODAY())-1,NETWORKDAYS(T773,W773)-1))),"CHECAR DATA")</f>
        <v>7</v>
      </c>
      <c r="AD773" s="156" t="str">
        <f t="shared" ref="AD773:AD836" ca="1" si="76">IF(AC773&lt;=3,"NO PRAZO","ATRASADO")</f>
        <v>ATRASADO</v>
      </c>
      <c r="AE773" s="156">
        <f t="shared" ref="AE773:AE836" ca="1" si="77">IFERROR(AC773-3,AC773)</f>
        <v>4</v>
      </c>
    </row>
    <row r="774" spans="1:31" ht="36" hidden="1" customHeight="1">
      <c r="A774" s="414"/>
      <c r="B774" s="429" t="s">
        <v>7839</v>
      </c>
      <c r="C774" s="430" t="s">
        <v>293</v>
      </c>
      <c r="D774" s="430" t="s">
        <v>5619</v>
      </c>
      <c r="E774" s="432" t="s">
        <v>842</v>
      </c>
      <c r="F774" s="429" t="s">
        <v>42</v>
      </c>
      <c r="G774" s="434"/>
      <c r="H774" s="636" t="s">
        <v>7850</v>
      </c>
      <c r="I774" s="433" t="s">
        <v>7851</v>
      </c>
      <c r="J774" s="432">
        <v>46174</v>
      </c>
      <c r="K774" s="429" t="s">
        <v>2493</v>
      </c>
      <c r="L774" s="436"/>
      <c r="M774" s="436" t="s">
        <v>7877</v>
      </c>
      <c r="N774" s="433"/>
      <c r="O774" s="437" t="s">
        <v>85</v>
      </c>
      <c r="P774" s="433" t="s">
        <v>2494</v>
      </c>
      <c r="Q774" s="437" t="s">
        <v>2494</v>
      </c>
      <c r="R774" s="437" t="s">
        <v>7003</v>
      </c>
      <c r="S774" s="438">
        <v>46210</v>
      </c>
      <c r="T774" s="438">
        <v>46189</v>
      </c>
      <c r="U774" s="438"/>
      <c r="V774" s="439"/>
      <c r="W774" s="439">
        <v>46192</v>
      </c>
      <c r="X774" s="439">
        <v>46210</v>
      </c>
      <c r="Y774" s="420"/>
      <c r="Z774" s="224" t="str">
        <f t="shared" si="72"/>
        <v>AG. MEDIÇÃO</v>
      </c>
      <c r="AA774" s="207" t="str">
        <f t="shared" si="73"/>
        <v>ENTREGUE</v>
      </c>
      <c r="AB774" s="207" t="str">
        <f t="shared" si="74"/>
        <v>AG. MEDIÇÃO</v>
      </c>
      <c r="AC774" s="156">
        <f t="shared" ca="1" si="75"/>
        <v>3</v>
      </c>
      <c r="AD774" s="156" t="str">
        <f t="shared" ca="1" si="76"/>
        <v>NO PRAZO</v>
      </c>
      <c r="AE774" s="156">
        <f t="shared" ca="1" si="77"/>
        <v>0</v>
      </c>
    </row>
    <row r="775" spans="1:31" ht="36" hidden="1" customHeight="1">
      <c r="A775" s="414"/>
      <c r="B775" s="466" t="s">
        <v>6726</v>
      </c>
      <c r="C775" s="466" t="s">
        <v>232</v>
      </c>
      <c r="D775" s="466" t="s">
        <v>272</v>
      </c>
      <c r="E775" s="466" t="s">
        <v>389</v>
      </c>
      <c r="F775" s="466" t="s">
        <v>42</v>
      </c>
      <c r="G775" s="475"/>
      <c r="H775" s="682" t="s">
        <v>6731</v>
      </c>
      <c r="I775" s="475" t="s">
        <v>6733</v>
      </c>
      <c r="J775" s="476">
        <v>45992</v>
      </c>
      <c r="K775" s="429" t="s">
        <v>2493</v>
      </c>
      <c r="L775" s="465"/>
      <c r="M775" s="465" t="s">
        <v>259</v>
      </c>
      <c r="N775" s="475"/>
      <c r="O775" s="479"/>
      <c r="P775" s="475" t="s">
        <v>2494</v>
      </c>
      <c r="Q775" s="475" t="s">
        <v>2494</v>
      </c>
      <c r="R775" s="479" t="s">
        <v>5025</v>
      </c>
      <c r="S775" s="480">
        <v>46014</v>
      </c>
      <c r="T775" s="480">
        <v>46013</v>
      </c>
      <c r="U775" s="480">
        <v>46014</v>
      </c>
      <c r="V775" s="481">
        <v>46015</v>
      </c>
      <c r="W775" s="481">
        <v>46014</v>
      </c>
      <c r="X775" s="481">
        <v>46014</v>
      </c>
      <c r="Y775" s="420"/>
      <c r="Z775" s="224" t="str">
        <f t="shared" si="72"/>
        <v>AG. MEDIÇÃO</v>
      </c>
      <c r="AA775" s="207" t="str">
        <f t="shared" si="73"/>
        <v>ENTREGUE</v>
      </c>
      <c r="AB775" s="207" t="str">
        <f t="shared" si="74"/>
        <v>AG. MEDIÇÃO</v>
      </c>
      <c r="AC775" s="156">
        <f t="shared" ca="1" si="75"/>
        <v>1</v>
      </c>
      <c r="AD775" s="156" t="str">
        <f t="shared" ca="1" si="76"/>
        <v>NO PRAZO</v>
      </c>
      <c r="AE775" s="156">
        <f t="shared" ca="1" si="77"/>
        <v>-2</v>
      </c>
    </row>
    <row r="776" spans="1:31" ht="36" hidden="1" customHeight="1">
      <c r="A776" s="414"/>
      <c r="B776" s="466" t="s">
        <v>2542</v>
      </c>
      <c r="C776" s="466" t="s">
        <v>232</v>
      </c>
      <c r="D776" s="466" t="s">
        <v>272</v>
      </c>
      <c r="E776" s="466" t="s">
        <v>389</v>
      </c>
      <c r="F776" s="466" t="s">
        <v>42</v>
      </c>
      <c r="G776" s="475"/>
      <c r="H776" s="645" t="s">
        <v>2555</v>
      </c>
      <c r="I776" s="475"/>
      <c r="J776" s="476">
        <v>45993</v>
      </c>
      <c r="K776" s="429" t="s">
        <v>2493</v>
      </c>
      <c r="L776" s="465"/>
      <c r="M776" s="465" t="s">
        <v>51</v>
      </c>
      <c r="N776" s="475"/>
      <c r="O776" s="479"/>
      <c r="P776" s="475"/>
      <c r="Q776" s="479"/>
      <c r="R776" s="479" t="s">
        <v>2557</v>
      </c>
      <c r="S776" s="480" t="s">
        <v>272</v>
      </c>
      <c r="T776" s="480"/>
      <c r="U776" s="480"/>
      <c r="V776" s="481"/>
      <c r="W776" s="481">
        <v>45997</v>
      </c>
      <c r="X776" s="447" t="s">
        <v>8044</v>
      </c>
      <c r="Y776" s="420"/>
      <c r="Z776" s="224" t="str">
        <f t="shared" si="72"/>
        <v>AG. MEDIÇÃO</v>
      </c>
      <c r="AA776" s="207" t="str">
        <f t="shared" si="73"/>
        <v>ENTREGUE</v>
      </c>
      <c r="AB776" s="207" t="str">
        <f t="shared" si="74"/>
        <v>AG. MEDIÇÃO</v>
      </c>
      <c r="AC776" s="156" t="str">
        <f t="shared" ca="1" si="75"/>
        <v>DATA ENTRADA</v>
      </c>
      <c r="AD776" s="156" t="str">
        <f t="shared" ca="1" si="76"/>
        <v>ATRASADO</v>
      </c>
      <c r="AE776" s="156" t="str">
        <f t="shared" ca="1" si="77"/>
        <v>DATA ENTRADA</v>
      </c>
    </row>
    <row r="777" spans="1:31" ht="36" hidden="1" customHeight="1">
      <c r="A777" s="414"/>
      <c r="B777" s="440" t="s">
        <v>3450</v>
      </c>
      <c r="C777" s="440" t="s">
        <v>311</v>
      </c>
      <c r="D777" s="440" t="s">
        <v>630</v>
      </c>
      <c r="E777" s="440" t="s">
        <v>312</v>
      </c>
      <c r="F777" s="440" t="s">
        <v>42</v>
      </c>
      <c r="G777" s="441" t="s">
        <v>3451</v>
      </c>
      <c r="H777" s="440" t="s">
        <v>3452</v>
      </c>
      <c r="I777" s="441" t="s">
        <v>3453</v>
      </c>
      <c r="J777" s="450">
        <v>45352</v>
      </c>
      <c r="K777" s="429" t="s">
        <v>2493</v>
      </c>
      <c r="L777" s="444" t="s">
        <v>864</v>
      </c>
      <c r="M777" s="444" t="s">
        <v>3454</v>
      </c>
      <c r="N777" s="441" t="s">
        <v>2572</v>
      </c>
      <c r="O777" s="445" t="s">
        <v>85</v>
      </c>
      <c r="P777" s="445"/>
      <c r="Q777" s="441">
        <v>150</v>
      </c>
      <c r="R777" s="445" t="s">
        <v>3455</v>
      </c>
      <c r="S777" s="446">
        <v>45377</v>
      </c>
      <c r="T777" s="446">
        <v>45356</v>
      </c>
      <c r="U777" s="446">
        <v>45357</v>
      </c>
      <c r="V777" s="446">
        <v>45357</v>
      </c>
      <c r="W777" s="447">
        <v>45360</v>
      </c>
      <c r="X777" s="447" t="s">
        <v>8044</v>
      </c>
      <c r="Y777" s="420"/>
      <c r="Z777" s="224" t="str">
        <f t="shared" si="72"/>
        <v>AG. MEDIÇÃO</v>
      </c>
      <c r="AA777" s="207" t="str">
        <f t="shared" si="73"/>
        <v>ENTREGUE</v>
      </c>
      <c r="AB777" s="207" t="str">
        <f t="shared" si="74"/>
        <v>AG. MEDIÇÃO</v>
      </c>
      <c r="AC777" s="156">
        <f t="shared" ca="1" si="75"/>
        <v>3</v>
      </c>
      <c r="AD777" s="156" t="str">
        <f t="shared" ca="1" si="76"/>
        <v>NO PRAZO</v>
      </c>
      <c r="AE777" s="156">
        <f t="shared" ca="1" si="77"/>
        <v>0</v>
      </c>
    </row>
    <row r="778" spans="1:31" ht="36" hidden="1" customHeight="1">
      <c r="A778" s="414"/>
      <c r="B778" s="440" t="s">
        <v>3616</v>
      </c>
      <c r="C778" s="440" t="s">
        <v>88</v>
      </c>
      <c r="D778" s="440" t="s">
        <v>835</v>
      </c>
      <c r="E778" s="440"/>
      <c r="F778" s="440" t="s">
        <v>42</v>
      </c>
      <c r="G778" s="441" t="s">
        <v>3617</v>
      </c>
      <c r="H778" s="440" t="s">
        <v>3618</v>
      </c>
      <c r="I778" s="441" t="s">
        <v>3619</v>
      </c>
      <c r="J778" s="450">
        <v>45383</v>
      </c>
      <c r="K778" s="429" t="s">
        <v>2493</v>
      </c>
      <c r="L778" s="444" t="s">
        <v>1319</v>
      </c>
      <c r="M778" s="444" t="s">
        <v>109</v>
      </c>
      <c r="N778" s="441" t="s">
        <v>2572</v>
      </c>
      <c r="O778" s="445" t="s">
        <v>85</v>
      </c>
      <c r="P778" s="445"/>
      <c r="Q778" s="441">
        <v>195</v>
      </c>
      <c r="R778" s="445" t="s">
        <v>3620</v>
      </c>
      <c r="S778" s="446">
        <v>45469</v>
      </c>
      <c r="T778" s="446">
        <v>45393</v>
      </c>
      <c r="U778" s="446">
        <v>45450</v>
      </c>
      <c r="V778" s="447">
        <v>45460</v>
      </c>
      <c r="W778" s="447">
        <v>45460</v>
      </c>
      <c r="X778" s="447" t="s">
        <v>8044</v>
      </c>
      <c r="Y778" s="420"/>
      <c r="Z778" s="224" t="str">
        <f t="shared" si="72"/>
        <v>AG. MEDIÇÃO</v>
      </c>
      <c r="AA778" s="207" t="str">
        <f t="shared" si="73"/>
        <v>ENTREGUE</v>
      </c>
      <c r="AB778" s="207" t="str">
        <f t="shared" si="74"/>
        <v>AG. MEDIÇÃO</v>
      </c>
      <c r="AC778" s="156">
        <f t="shared" ca="1" si="75"/>
        <v>47</v>
      </c>
      <c r="AD778" s="156" t="str">
        <f t="shared" ca="1" si="76"/>
        <v>ATRASADO</v>
      </c>
      <c r="AE778" s="156">
        <f t="shared" ca="1" si="77"/>
        <v>44</v>
      </c>
    </row>
    <row r="779" spans="1:31" ht="36" hidden="1" customHeight="1">
      <c r="A779" s="414"/>
      <c r="B779" s="440" t="s">
        <v>4850</v>
      </c>
      <c r="C779" s="440" t="s">
        <v>336</v>
      </c>
      <c r="D779" s="440" t="s">
        <v>336</v>
      </c>
      <c r="E779" s="440" t="s">
        <v>337</v>
      </c>
      <c r="F779" s="440" t="s">
        <v>42</v>
      </c>
      <c r="G779" s="441"/>
      <c r="H779" s="440" t="s">
        <v>4851</v>
      </c>
      <c r="I779" s="441" t="s">
        <v>4852</v>
      </c>
      <c r="J779" s="450">
        <v>45689</v>
      </c>
      <c r="K779" s="429" t="s">
        <v>2493</v>
      </c>
      <c r="L779" s="444"/>
      <c r="M779" s="444" t="s">
        <v>200</v>
      </c>
      <c r="N779" s="441" t="s">
        <v>2572</v>
      </c>
      <c r="O779" s="445" t="s">
        <v>3350</v>
      </c>
      <c r="P779" s="441" t="s">
        <v>2494</v>
      </c>
      <c r="Q779" s="445" t="s">
        <v>2494</v>
      </c>
      <c r="R779" s="445" t="s">
        <v>2861</v>
      </c>
      <c r="S779" s="446">
        <v>45734</v>
      </c>
      <c r="T779" s="446">
        <v>45707</v>
      </c>
      <c r="U779" s="446">
        <v>45712</v>
      </c>
      <c r="V779" s="447">
        <v>45712</v>
      </c>
      <c r="W779" s="447">
        <v>45712</v>
      </c>
      <c r="X779" s="447" t="s">
        <v>8044</v>
      </c>
      <c r="Y779" s="420"/>
      <c r="Z779" s="224" t="str">
        <f t="shared" si="72"/>
        <v>AG. MEDIÇÃO</v>
      </c>
      <c r="AA779" s="207" t="str">
        <f t="shared" si="73"/>
        <v>ENTREGUE</v>
      </c>
      <c r="AB779" s="207" t="str">
        <f t="shared" si="74"/>
        <v>AG. MEDIÇÃO</v>
      </c>
      <c r="AC779" s="156">
        <f t="shared" ca="1" si="75"/>
        <v>3</v>
      </c>
      <c r="AD779" s="156" t="str">
        <f t="shared" ca="1" si="76"/>
        <v>NO PRAZO</v>
      </c>
      <c r="AE779" s="156">
        <f t="shared" ca="1" si="77"/>
        <v>0</v>
      </c>
    </row>
    <row r="780" spans="1:31" ht="36" hidden="1" customHeight="1">
      <c r="A780" s="414"/>
      <c r="B780" s="440" t="s">
        <v>4769</v>
      </c>
      <c r="C780" s="440" t="s">
        <v>648</v>
      </c>
      <c r="D780" s="440" t="s">
        <v>998</v>
      </c>
      <c r="E780" s="440" t="s">
        <v>997</v>
      </c>
      <c r="F780" s="440" t="s">
        <v>42</v>
      </c>
      <c r="G780" s="441" t="s">
        <v>4770</v>
      </c>
      <c r="H780" s="440" t="s">
        <v>4771</v>
      </c>
      <c r="I780" s="441" t="s">
        <v>4772</v>
      </c>
      <c r="J780" s="450">
        <v>45689</v>
      </c>
      <c r="K780" s="429" t="s">
        <v>2493</v>
      </c>
      <c r="L780" s="444" t="s">
        <v>200</v>
      </c>
      <c r="M780" s="444" t="s">
        <v>200</v>
      </c>
      <c r="N780" s="441" t="s">
        <v>2572</v>
      </c>
      <c r="O780" s="445" t="s">
        <v>3350</v>
      </c>
      <c r="P780" s="441">
        <v>490</v>
      </c>
      <c r="Q780" s="445">
        <v>550</v>
      </c>
      <c r="R780" s="445" t="s">
        <v>4773</v>
      </c>
      <c r="S780" s="446">
        <v>45734</v>
      </c>
      <c r="T780" s="446">
        <v>45694</v>
      </c>
      <c r="U780" s="446">
        <v>45701</v>
      </c>
      <c r="V780" s="447">
        <v>45703</v>
      </c>
      <c r="W780" s="447">
        <v>45703</v>
      </c>
      <c r="X780" s="447" t="s">
        <v>8044</v>
      </c>
      <c r="Y780" s="420"/>
      <c r="Z780" s="224" t="str">
        <f t="shared" si="72"/>
        <v>AG. MEDIÇÃO</v>
      </c>
      <c r="AA780" s="207" t="str">
        <f t="shared" si="73"/>
        <v>ENTREGUE</v>
      </c>
      <c r="AB780" s="207" t="str">
        <f t="shared" si="74"/>
        <v>AG. MEDIÇÃO</v>
      </c>
      <c r="AC780" s="156">
        <f t="shared" ca="1" si="75"/>
        <v>6</v>
      </c>
      <c r="AD780" s="156" t="str">
        <f t="shared" ca="1" si="76"/>
        <v>ATRASADO</v>
      </c>
      <c r="AE780" s="156">
        <f t="shared" ca="1" si="77"/>
        <v>3</v>
      </c>
    </row>
    <row r="781" spans="1:31" ht="36" hidden="1" customHeight="1">
      <c r="A781" s="414"/>
      <c r="B781" s="440" t="s">
        <v>2722</v>
      </c>
      <c r="C781" s="440" t="s">
        <v>630</v>
      </c>
      <c r="D781" s="440"/>
      <c r="E781" s="440"/>
      <c r="F781" s="440" t="s">
        <v>42</v>
      </c>
      <c r="G781" s="441" t="s">
        <v>2723</v>
      </c>
      <c r="H781" s="440" t="s">
        <v>2724</v>
      </c>
      <c r="I781" s="449"/>
      <c r="J781" s="443">
        <v>44986</v>
      </c>
      <c r="K781" s="429" t="s">
        <v>2493</v>
      </c>
      <c r="L781" s="444" t="s">
        <v>659</v>
      </c>
      <c r="M781" s="444" t="s">
        <v>2725</v>
      </c>
      <c r="N781" s="441" t="s">
        <v>2572</v>
      </c>
      <c r="O781" s="441"/>
      <c r="P781" s="441"/>
      <c r="Q781" s="441">
        <v>600</v>
      </c>
      <c r="R781" s="445" t="s">
        <v>2726</v>
      </c>
      <c r="S781" s="446">
        <v>45066</v>
      </c>
      <c r="T781" s="446">
        <v>44974</v>
      </c>
      <c r="U781" s="446">
        <v>44995</v>
      </c>
      <c r="V781" s="447">
        <v>44999</v>
      </c>
      <c r="W781" s="447">
        <v>44999</v>
      </c>
      <c r="X781" s="447" t="s">
        <v>8044</v>
      </c>
      <c r="Y781" s="420"/>
      <c r="Z781" s="224" t="str">
        <f t="shared" si="72"/>
        <v>AG. MEDIÇÃO</v>
      </c>
      <c r="AA781" s="207" t="str">
        <f t="shared" si="73"/>
        <v>ENTREGUE</v>
      </c>
      <c r="AB781" s="207" t="str">
        <f t="shared" si="74"/>
        <v>AG. MEDIÇÃO</v>
      </c>
      <c r="AC781" s="156">
        <f t="shared" ca="1" si="75"/>
        <v>17</v>
      </c>
      <c r="AD781" s="156" t="str">
        <f t="shared" ca="1" si="76"/>
        <v>ATRASADO</v>
      </c>
      <c r="AE781" s="156">
        <f t="shared" ca="1" si="77"/>
        <v>14</v>
      </c>
    </row>
    <row r="782" spans="1:31" ht="36" hidden="1" customHeight="1">
      <c r="A782" s="414"/>
      <c r="B782" s="440" t="s">
        <v>3440</v>
      </c>
      <c r="C782" s="440" t="s">
        <v>311</v>
      </c>
      <c r="D782" s="440" t="s">
        <v>630</v>
      </c>
      <c r="E782" s="440" t="s">
        <v>312</v>
      </c>
      <c r="F782" s="440" t="s">
        <v>42</v>
      </c>
      <c r="G782" s="441" t="s">
        <v>3441</v>
      </c>
      <c r="H782" s="440" t="s">
        <v>3442</v>
      </c>
      <c r="I782" s="441" t="s">
        <v>3443</v>
      </c>
      <c r="J782" s="450">
        <v>45352</v>
      </c>
      <c r="K782" s="429" t="s">
        <v>2493</v>
      </c>
      <c r="L782" s="444"/>
      <c r="M782" s="444" t="s">
        <v>3444</v>
      </c>
      <c r="N782" s="441" t="s">
        <v>2572</v>
      </c>
      <c r="O782" s="445" t="s">
        <v>85</v>
      </c>
      <c r="P782" s="441" t="s">
        <v>2494</v>
      </c>
      <c r="Q782" s="441" t="s">
        <v>2494</v>
      </c>
      <c r="R782" s="445" t="s">
        <v>3445</v>
      </c>
      <c r="S782" s="446">
        <v>45377</v>
      </c>
      <c r="T782" s="446">
        <v>45355</v>
      </c>
      <c r="U782" s="446"/>
      <c r="V782" s="446">
        <v>45355</v>
      </c>
      <c r="W782" s="447">
        <v>45364</v>
      </c>
      <c r="X782" s="447" t="s">
        <v>8044</v>
      </c>
      <c r="Y782" s="420"/>
      <c r="Z782" s="224" t="str">
        <f t="shared" si="72"/>
        <v>AG. MEDIÇÃO</v>
      </c>
      <c r="AA782" s="207" t="str">
        <f t="shared" si="73"/>
        <v>ENTREGUE</v>
      </c>
      <c r="AB782" s="207" t="str">
        <f t="shared" si="74"/>
        <v>AG. MEDIÇÃO</v>
      </c>
      <c r="AC782" s="156">
        <f t="shared" ca="1" si="75"/>
        <v>7</v>
      </c>
      <c r="AD782" s="156" t="str">
        <f t="shared" ca="1" si="76"/>
        <v>ATRASADO</v>
      </c>
      <c r="AE782" s="156">
        <f t="shared" ca="1" si="77"/>
        <v>4</v>
      </c>
    </row>
    <row r="783" spans="1:31" ht="36" hidden="1" customHeight="1">
      <c r="A783" s="414"/>
      <c r="B783" s="440" t="s">
        <v>4779</v>
      </c>
      <c r="C783" s="440" t="s">
        <v>248</v>
      </c>
      <c r="D783" s="440" t="s">
        <v>637</v>
      </c>
      <c r="E783" s="440" t="s">
        <v>517</v>
      </c>
      <c r="F783" s="440" t="s">
        <v>519</v>
      </c>
      <c r="G783" s="441" t="s">
        <v>4780</v>
      </c>
      <c r="H783" s="440" t="s">
        <v>4781</v>
      </c>
      <c r="I783" s="441" t="s">
        <v>4782</v>
      </c>
      <c r="J783" s="450">
        <v>45689</v>
      </c>
      <c r="K783" s="429" t="s">
        <v>2493</v>
      </c>
      <c r="L783" s="444" t="s">
        <v>1598</v>
      </c>
      <c r="M783" s="444" t="s">
        <v>1598</v>
      </c>
      <c r="N783" s="441" t="s">
        <v>2572</v>
      </c>
      <c r="O783" s="445" t="s">
        <v>3350</v>
      </c>
      <c r="P783" s="441">
        <v>2500</v>
      </c>
      <c r="Q783" s="445">
        <v>2309</v>
      </c>
      <c r="R783" s="445" t="s">
        <v>4783</v>
      </c>
      <c r="S783" s="446">
        <v>45734</v>
      </c>
      <c r="T783" s="446">
        <v>45694</v>
      </c>
      <c r="U783" s="446">
        <v>45698</v>
      </c>
      <c r="V783" s="447">
        <v>45701</v>
      </c>
      <c r="W783" s="447">
        <v>45701</v>
      </c>
      <c r="X783" s="447" t="s">
        <v>8044</v>
      </c>
      <c r="Y783" s="420"/>
      <c r="Z783" s="224" t="str">
        <f t="shared" si="72"/>
        <v>AG. MEDIÇÃO</v>
      </c>
      <c r="AA783" s="207" t="str">
        <f t="shared" si="73"/>
        <v>ENTREGUE</v>
      </c>
      <c r="AB783" s="207" t="str">
        <f t="shared" si="74"/>
        <v>AG. MEDIÇÃO</v>
      </c>
      <c r="AC783" s="156">
        <f t="shared" ca="1" si="75"/>
        <v>5</v>
      </c>
      <c r="AD783" s="156" t="str">
        <f t="shared" ca="1" si="76"/>
        <v>ATRASADO</v>
      </c>
      <c r="AE783" s="156">
        <f t="shared" ca="1" si="77"/>
        <v>2</v>
      </c>
    </row>
    <row r="784" spans="1:31" ht="36" hidden="1" customHeight="1">
      <c r="A784" s="414"/>
      <c r="B784" s="466" t="s">
        <v>2545</v>
      </c>
      <c r="C784" s="466" t="s">
        <v>126</v>
      </c>
      <c r="D784" s="466" t="s">
        <v>1524</v>
      </c>
      <c r="E784" s="466" t="s">
        <v>127</v>
      </c>
      <c r="F784" s="466" t="s">
        <v>42</v>
      </c>
      <c r="G784" s="475"/>
      <c r="H784" s="489" t="s">
        <v>2546</v>
      </c>
      <c r="I784" s="475" t="s">
        <v>2547</v>
      </c>
      <c r="J784" s="476">
        <v>45992</v>
      </c>
      <c r="K784" s="429" t="s">
        <v>2493</v>
      </c>
      <c r="L784" s="465"/>
      <c r="M784" s="465" t="s">
        <v>259</v>
      </c>
      <c r="N784" s="475"/>
      <c r="O784" s="479" t="s">
        <v>60</v>
      </c>
      <c r="P784" s="475"/>
      <c r="Q784" s="479"/>
      <c r="R784" s="479" t="s">
        <v>2548</v>
      </c>
      <c r="S784" s="481">
        <v>45995</v>
      </c>
      <c r="T784" s="480">
        <v>45994</v>
      </c>
      <c r="U784" s="480"/>
      <c r="V784" s="481"/>
      <c r="W784" s="481">
        <v>45995</v>
      </c>
      <c r="X784" s="481">
        <v>45995</v>
      </c>
      <c r="Y784" s="420"/>
      <c r="Z784" s="224" t="str">
        <f t="shared" si="72"/>
        <v>AG. MEDIÇÃO</v>
      </c>
      <c r="AA784" s="207" t="str">
        <f t="shared" si="73"/>
        <v>ENTREGUE</v>
      </c>
      <c r="AB784" s="207" t="str">
        <f t="shared" si="74"/>
        <v>AG. MEDIÇÃO</v>
      </c>
      <c r="AC784" s="156">
        <f t="shared" ca="1" si="75"/>
        <v>1</v>
      </c>
      <c r="AD784" s="156" t="str">
        <f t="shared" ca="1" si="76"/>
        <v>NO PRAZO</v>
      </c>
      <c r="AE784" s="156">
        <f t="shared" ca="1" si="77"/>
        <v>-2</v>
      </c>
    </row>
    <row r="785" spans="1:31" ht="36" hidden="1" customHeight="1">
      <c r="A785" s="414"/>
      <c r="B785" s="466" t="s">
        <v>5856</v>
      </c>
      <c r="C785" s="466" t="s">
        <v>126</v>
      </c>
      <c r="D785" s="466" t="s">
        <v>1524</v>
      </c>
      <c r="E785" s="466" t="s">
        <v>127</v>
      </c>
      <c r="F785" s="466" t="s">
        <v>42</v>
      </c>
      <c r="G785" s="475"/>
      <c r="H785" s="477" t="s">
        <v>5857</v>
      </c>
      <c r="I785" s="475" t="s">
        <v>2547</v>
      </c>
      <c r="J785" s="476">
        <v>45992</v>
      </c>
      <c r="K785" s="429" t="s">
        <v>2493</v>
      </c>
      <c r="L785" s="465"/>
      <c r="M785" s="465" t="s">
        <v>259</v>
      </c>
      <c r="N785" s="475"/>
      <c r="O785" s="479"/>
      <c r="P785" s="475" t="s">
        <v>2494</v>
      </c>
      <c r="Q785" s="475" t="s">
        <v>2494</v>
      </c>
      <c r="R785" s="479" t="s">
        <v>5058</v>
      </c>
      <c r="S785" s="480">
        <v>46052</v>
      </c>
      <c r="T785" s="480">
        <v>46003</v>
      </c>
      <c r="U785" s="480"/>
      <c r="V785" s="481"/>
      <c r="W785" s="481">
        <v>46006</v>
      </c>
      <c r="X785" s="481">
        <v>46052</v>
      </c>
      <c r="Y785" s="420"/>
      <c r="Z785" s="224" t="str">
        <f t="shared" si="72"/>
        <v>AG. MEDIÇÃO</v>
      </c>
      <c r="AA785" s="207" t="str">
        <f t="shared" si="73"/>
        <v>ENTREGUE</v>
      </c>
      <c r="AB785" s="207" t="str">
        <f t="shared" si="74"/>
        <v>AG. MEDIÇÃO</v>
      </c>
      <c r="AC785" s="156">
        <f t="shared" ca="1" si="75"/>
        <v>1</v>
      </c>
      <c r="AD785" s="156" t="str">
        <f t="shared" ca="1" si="76"/>
        <v>NO PRAZO</v>
      </c>
      <c r="AE785" s="156">
        <f t="shared" ca="1" si="77"/>
        <v>-2</v>
      </c>
    </row>
    <row r="786" spans="1:31" ht="36" hidden="1" customHeight="1">
      <c r="A786" s="414"/>
      <c r="B786" s="440" t="s">
        <v>5569</v>
      </c>
      <c r="C786" s="440" t="s">
        <v>555</v>
      </c>
      <c r="D786" s="440" t="s">
        <v>2033</v>
      </c>
      <c r="E786" s="440" t="s">
        <v>556</v>
      </c>
      <c r="F786" s="440" t="s">
        <v>42</v>
      </c>
      <c r="G786" s="441"/>
      <c r="H786" s="440" t="s">
        <v>5570</v>
      </c>
      <c r="I786" s="441" t="s">
        <v>5571</v>
      </c>
      <c r="J786" s="450">
        <v>45839</v>
      </c>
      <c r="K786" s="429" t="s">
        <v>2493</v>
      </c>
      <c r="L786" s="444"/>
      <c r="M786" s="444" t="s">
        <v>62</v>
      </c>
      <c r="N786" s="441"/>
      <c r="O786" s="445"/>
      <c r="P786" s="441"/>
      <c r="Q786" s="445"/>
      <c r="R786" s="445" t="s">
        <v>5454</v>
      </c>
      <c r="S786" s="446" t="s">
        <v>2033</v>
      </c>
      <c r="T786" s="446"/>
      <c r="U786" s="446"/>
      <c r="V786" s="447"/>
      <c r="W786" s="447">
        <v>45860</v>
      </c>
      <c r="X786" s="447" t="s">
        <v>8044</v>
      </c>
      <c r="Y786" s="420"/>
      <c r="Z786" s="224" t="str">
        <f t="shared" si="72"/>
        <v>AG. MEDIÇÃO</v>
      </c>
      <c r="AA786" s="207" t="str">
        <f t="shared" si="73"/>
        <v>ENTREGUE</v>
      </c>
      <c r="AB786" s="207" t="str">
        <f t="shared" si="74"/>
        <v>AG. MEDIÇÃO</v>
      </c>
      <c r="AC786" s="156" t="str">
        <f t="shared" ca="1" si="75"/>
        <v>DATA ENTRADA</v>
      </c>
      <c r="AD786" s="156" t="str">
        <f t="shared" ca="1" si="76"/>
        <v>ATRASADO</v>
      </c>
      <c r="AE786" s="156" t="str">
        <f t="shared" ca="1" si="77"/>
        <v>DATA ENTRADA</v>
      </c>
    </row>
    <row r="787" spans="1:31" ht="36" hidden="1" customHeight="1">
      <c r="A787" s="414"/>
      <c r="B787" s="440" t="s">
        <v>5579</v>
      </c>
      <c r="C787" s="440" t="s">
        <v>449</v>
      </c>
      <c r="D787" s="440" t="s">
        <v>1298</v>
      </c>
      <c r="E787" s="440" t="s">
        <v>4925</v>
      </c>
      <c r="F787" s="440" t="s">
        <v>42</v>
      </c>
      <c r="G787" s="441"/>
      <c r="H787" s="440" t="s">
        <v>5580</v>
      </c>
      <c r="I787" s="441" t="s">
        <v>5581</v>
      </c>
      <c r="J787" s="450">
        <v>45839</v>
      </c>
      <c r="K787" s="429" t="s">
        <v>2493</v>
      </c>
      <c r="L787" s="444"/>
      <c r="M787" s="444" t="s">
        <v>132</v>
      </c>
      <c r="N787" s="441"/>
      <c r="O787" s="445"/>
      <c r="P787" s="441"/>
      <c r="Q787" s="445"/>
      <c r="R787" s="445" t="s">
        <v>5527</v>
      </c>
      <c r="S787" s="446" t="s">
        <v>5528</v>
      </c>
      <c r="T787" s="446">
        <v>45861</v>
      </c>
      <c r="U787" s="446"/>
      <c r="V787" s="447"/>
      <c r="W787" s="447">
        <v>45862</v>
      </c>
      <c r="X787" s="447" t="s">
        <v>8044</v>
      </c>
      <c r="Y787" s="420"/>
      <c r="Z787" s="224" t="str">
        <f t="shared" si="72"/>
        <v>AG. MEDIÇÃO</v>
      </c>
      <c r="AA787" s="207" t="str">
        <f t="shared" si="73"/>
        <v>ENTREGUE</v>
      </c>
      <c r="AB787" s="207" t="str">
        <f t="shared" si="74"/>
        <v>AG. MEDIÇÃO</v>
      </c>
      <c r="AC787" s="156">
        <f t="shared" ca="1" si="75"/>
        <v>1</v>
      </c>
      <c r="AD787" s="156" t="str">
        <f t="shared" ca="1" si="76"/>
        <v>NO PRAZO</v>
      </c>
      <c r="AE787" s="156">
        <f t="shared" ca="1" si="77"/>
        <v>-2</v>
      </c>
    </row>
    <row r="788" spans="1:31" ht="36" hidden="1" customHeight="1">
      <c r="A788" s="414"/>
      <c r="B788" s="440" t="s">
        <v>4276</v>
      </c>
      <c r="C788" s="440" t="s">
        <v>479</v>
      </c>
      <c r="D788" s="440" t="s">
        <v>513</v>
      </c>
      <c r="E788" s="440" t="s">
        <v>480</v>
      </c>
      <c r="F788" s="440" t="s">
        <v>42</v>
      </c>
      <c r="G788" s="441" t="s">
        <v>4277</v>
      </c>
      <c r="H788" s="440" t="s">
        <v>4278</v>
      </c>
      <c r="I788" s="441" t="s">
        <v>4279</v>
      </c>
      <c r="J788" s="450">
        <v>45505</v>
      </c>
      <c r="K788" s="429" t="s">
        <v>2493</v>
      </c>
      <c r="L788" s="444" t="s">
        <v>4280</v>
      </c>
      <c r="M788" s="444" t="s">
        <v>774</v>
      </c>
      <c r="N788" s="441" t="s">
        <v>2572</v>
      </c>
      <c r="O788" s="445" t="s">
        <v>85</v>
      </c>
      <c r="P788" s="445"/>
      <c r="Q788" s="445">
        <v>298</v>
      </c>
      <c r="R788" s="445" t="s">
        <v>4281</v>
      </c>
      <c r="S788" s="446">
        <v>45545</v>
      </c>
      <c r="T788" s="446">
        <v>45531</v>
      </c>
      <c r="U788" s="446">
        <v>45538</v>
      </c>
      <c r="V788" s="447">
        <v>45540</v>
      </c>
      <c r="W788" s="447">
        <v>45540</v>
      </c>
      <c r="X788" s="447" t="s">
        <v>8044</v>
      </c>
      <c r="Y788" s="420"/>
      <c r="Z788" s="224" t="str">
        <f t="shared" si="72"/>
        <v>AG. MEDIÇÃO</v>
      </c>
      <c r="AA788" s="207" t="str">
        <f t="shared" si="73"/>
        <v>ENTREGUE</v>
      </c>
      <c r="AB788" s="207" t="str">
        <f t="shared" si="74"/>
        <v>AG. MEDIÇÃO</v>
      </c>
      <c r="AC788" s="156">
        <f t="shared" ca="1" si="75"/>
        <v>7</v>
      </c>
      <c r="AD788" s="156" t="str">
        <f t="shared" ca="1" si="76"/>
        <v>ATRASADO</v>
      </c>
      <c r="AE788" s="156">
        <f t="shared" ca="1" si="77"/>
        <v>4</v>
      </c>
    </row>
    <row r="789" spans="1:31" ht="36" hidden="1" customHeight="1">
      <c r="A789" s="414"/>
      <c r="B789" s="466" t="s">
        <v>5861</v>
      </c>
      <c r="C789" s="466" t="s">
        <v>232</v>
      </c>
      <c r="D789" s="466"/>
      <c r="E789" s="466"/>
      <c r="F789" s="466" t="s">
        <v>42</v>
      </c>
      <c r="G789" s="475"/>
      <c r="H789" s="465" t="s">
        <v>5862</v>
      </c>
      <c r="I789" s="475" t="s">
        <v>5863</v>
      </c>
      <c r="J789" s="476">
        <v>45992</v>
      </c>
      <c r="K789" s="429" t="s">
        <v>2493</v>
      </c>
      <c r="L789" s="465"/>
      <c r="M789" s="465" t="s">
        <v>62</v>
      </c>
      <c r="N789" s="475"/>
      <c r="O789" s="479"/>
      <c r="P789" s="475" t="s">
        <v>2494</v>
      </c>
      <c r="Q789" s="475" t="s">
        <v>2494</v>
      </c>
      <c r="R789" s="479" t="s">
        <v>6779</v>
      </c>
      <c r="S789" s="480">
        <v>46064</v>
      </c>
      <c r="T789" s="480">
        <v>46007</v>
      </c>
      <c r="U789" s="480"/>
      <c r="V789" s="481"/>
      <c r="W789" s="481">
        <v>46008</v>
      </c>
      <c r="X789" s="481">
        <v>46064</v>
      </c>
      <c r="Y789" s="420"/>
      <c r="Z789" s="224" t="str">
        <f t="shared" si="72"/>
        <v>AG. MEDIÇÃO</v>
      </c>
      <c r="AA789" s="207" t="str">
        <f t="shared" si="73"/>
        <v>ENTREGUE</v>
      </c>
      <c r="AB789" s="207" t="str">
        <f t="shared" si="74"/>
        <v>AG. MEDIÇÃO</v>
      </c>
      <c r="AC789" s="156">
        <f t="shared" ca="1" si="75"/>
        <v>1</v>
      </c>
      <c r="AD789" s="156" t="str">
        <f t="shared" ca="1" si="76"/>
        <v>NO PRAZO</v>
      </c>
      <c r="AE789" s="156">
        <f t="shared" ca="1" si="77"/>
        <v>-2</v>
      </c>
    </row>
    <row r="790" spans="1:31" ht="36" hidden="1" customHeight="1">
      <c r="A790" s="414"/>
      <c r="B790" s="440" t="s">
        <v>5007</v>
      </c>
      <c r="C790" s="440" t="s">
        <v>479</v>
      </c>
      <c r="D790" s="440" t="s">
        <v>479</v>
      </c>
      <c r="E790" s="440" t="s">
        <v>480</v>
      </c>
      <c r="F790" s="440" t="s">
        <v>42</v>
      </c>
      <c r="G790" s="441" t="s">
        <v>5008</v>
      </c>
      <c r="H790" s="440" t="s">
        <v>5009</v>
      </c>
      <c r="I790" s="441" t="s">
        <v>5010</v>
      </c>
      <c r="J790" s="450">
        <v>45717</v>
      </c>
      <c r="K790" s="429" t="s">
        <v>2493</v>
      </c>
      <c r="L790" s="444" t="s">
        <v>62</v>
      </c>
      <c r="M790" s="444" t="s">
        <v>62</v>
      </c>
      <c r="N790" s="441" t="s">
        <v>2572</v>
      </c>
      <c r="O790" s="445" t="s">
        <v>85</v>
      </c>
      <c r="P790" s="441">
        <v>160</v>
      </c>
      <c r="Q790" s="445">
        <v>160</v>
      </c>
      <c r="R790" s="445" t="s">
        <v>5011</v>
      </c>
      <c r="S790" s="446">
        <v>45785</v>
      </c>
      <c r="T790" s="446">
        <v>45735</v>
      </c>
      <c r="U790" s="446">
        <v>45736</v>
      </c>
      <c r="V790" s="447">
        <v>45740</v>
      </c>
      <c r="W790" s="447">
        <v>45749</v>
      </c>
      <c r="X790" s="447" t="s">
        <v>8044</v>
      </c>
      <c r="Y790" s="420"/>
      <c r="Z790" s="224" t="str">
        <f t="shared" si="72"/>
        <v>AG. MEDIÇÃO</v>
      </c>
      <c r="AA790" s="207" t="str">
        <f t="shared" si="73"/>
        <v>ENTREGUE</v>
      </c>
      <c r="AB790" s="207" t="str">
        <f t="shared" si="74"/>
        <v>AG. MEDIÇÃO</v>
      </c>
      <c r="AC790" s="156">
        <f t="shared" ca="1" si="75"/>
        <v>10</v>
      </c>
      <c r="AD790" s="156" t="str">
        <f t="shared" ca="1" si="76"/>
        <v>ATRASADO</v>
      </c>
      <c r="AE790" s="156">
        <f t="shared" ca="1" si="77"/>
        <v>7</v>
      </c>
    </row>
    <row r="791" spans="1:31" ht="36" hidden="1" customHeight="1">
      <c r="A791" s="414"/>
      <c r="B791" s="429" t="s">
        <v>7194</v>
      </c>
      <c r="C791" s="430" t="s">
        <v>4794</v>
      </c>
      <c r="D791" s="431"/>
      <c r="E791" s="432" t="s">
        <v>5017</v>
      </c>
      <c r="F791" s="429" t="s">
        <v>4795</v>
      </c>
      <c r="G791" s="434"/>
      <c r="H791" s="636" t="s">
        <v>7085</v>
      </c>
      <c r="I791" s="433" t="s">
        <v>7086</v>
      </c>
      <c r="J791" s="432">
        <v>46082</v>
      </c>
      <c r="K791" s="429" t="s">
        <v>2493</v>
      </c>
      <c r="L791" s="436" t="s">
        <v>94</v>
      </c>
      <c r="M791" s="436" t="s">
        <v>94</v>
      </c>
      <c r="N791" s="433"/>
      <c r="O791" s="437"/>
      <c r="P791" s="433">
        <v>154</v>
      </c>
      <c r="Q791" s="437">
        <v>473</v>
      </c>
      <c r="R791" s="437" t="s">
        <v>7189</v>
      </c>
      <c r="S791" s="438">
        <v>46093</v>
      </c>
      <c r="T791" s="438">
        <v>46084</v>
      </c>
      <c r="U791" s="438">
        <v>46085</v>
      </c>
      <c r="V791" s="439"/>
      <c r="W791" s="439">
        <v>46094</v>
      </c>
      <c r="X791" s="439">
        <v>46093</v>
      </c>
      <c r="Y791" s="420"/>
      <c r="Z791" s="224" t="str">
        <f t="shared" si="72"/>
        <v>AG. MEDIÇÃO</v>
      </c>
      <c r="AA791" s="207" t="str">
        <f t="shared" si="73"/>
        <v>ENTREGUE</v>
      </c>
      <c r="AB791" s="207" t="str">
        <f t="shared" si="74"/>
        <v>AG. MEDIÇÃO</v>
      </c>
      <c r="AC791" s="156">
        <f t="shared" ca="1" si="75"/>
        <v>8</v>
      </c>
      <c r="AD791" s="156" t="str">
        <f t="shared" ca="1" si="76"/>
        <v>ATRASADO</v>
      </c>
      <c r="AE791" s="156">
        <f t="shared" ca="1" si="77"/>
        <v>5</v>
      </c>
    </row>
    <row r="792" spans="1:31" ht="36" hidden="1" customHeight="1">
      <c r="A792" s="414"/>
      <c r="B792" s="429" t="s">
        <v>8127</v>
      </c>
      <c r="C792" s="429" t="s">
        <v>1412</v>
      </c>
      <c r="D792" s="429"/>
      <c r="E792" s="429"/>
      <c r="F792" s="429" t="s">
        <v>3758</v>
      </c>
      <c r="G792" s="433" t="s">
        <v>8163</v>
      </c>
      <c r="H792" s="429" t="s">
        <v>8162</v>
      </c>
      <c r="I792" s="433" t="s">
        <v>8398</v>
      </c>
      <c r="J792" s="432">
        <v>46204</v>
      </c>
      <c r="K792" s="429" t="s">
        <v>2493</v>
      </c>
      <c r="L792" s="500" t="s">
        <v>8272</v>
      </c>
      <c r="M792" s="436" t="s">
        <v>94</v>
      </c>
      <c r="N792" s="437"/>
      <c r="O792" s="437"/>
      <c r="P792" s="436">
        <v>3500</v>
      </c>
      <c r="Q792" s="429">
        <v>4330</v>
      </c>
      <c r="R792" s="499" t="s">
        <v>8489</v>
      </c>
      <c r="S792" s="438"/>
      <c r="T792" s="438">
        <v>46223</v>
      </c>
      <c r="U792" s="438"/>
      <c r="V792" s="438">
        <v>46227</v>
      </c>
      <c r="W792" s="439">
        <v>46234</v>
      </c>
      <c r="X792" s="439"/>
      <c r="Y792" s="420"/>
      <c r="Z792" s="224" t="str">
        <f t="shared" si="72"/>
        <v>AG. RELATÓRIO</v>
      </c>
      <c r="AA792" s="207" t="str">
        <f t="shared" si="73"/>
        <v>PENDENTE</v>
      </c>
      <c r="AB792" s="207" t="str">
        <f t="shared" si="74"/>
        <v>AG. RELATÓRIO</v>
      </c>
      <c r="AC792" s="156">
        <f t="shared" ca="1" si="75"/>
        <v>9</v>
      </c>
      <c r="AD792" s="156" t="str">
        <f t="shared" ca="1" si="76"/>
        <v>ATRASADO</v>
      </c>
      <c r="AE792" s="156">
        <f t="shared" ca="1" si="77"/>
        <v>6</v>
      </c>
    </row>
    <row r="793" spans="1:31" ht="36" hidden="1" customHeight="1">
      <c r="A793" s="414"/>
      <c r="B793" s="440" t="s">
        <v>3611</v>
      </c>
      <c r="C793" s="440" t="s">
        <v>241</v>
      </c>
      <c r="D793" s="440"/>
      <c r="E793" s="440"/>
      <c r="F793" s="440" t="s">
        <v>42</v>
      </c>
      <c r="G793" s="441" t="s">
        <v>3612</v>
      </c>
      <c r="H793" s="440" t="s">
        <v>3613</v>
      </c>
      <c r="I793" s="441"/>
      <c r="J793" s="450">
        <v>45383</v>
      </c>
      <c r="K793" s="429" t="s">
        <v>2493</v>
      </c>
      <c r="L793" s="444"/>
      <c r="M793" s="444" t="s">
        <v>3614</v>
      </c>
      <c r="N793" s="441" t="s">
        <v>2572</v>
      </c>
      <c r="O793" s="445" t="s">
        <v>85</v>
      </c>
      <c r="P793" s="441" t="s">
        <v>2494</v>
      </c>
      <c r="Q793" s="441" t="s">
        <v>2494</v>
      </c>
      <c r="R793" s="445" t="s">
        <v>3615</v>
      </c>
      <c r="S793" s="446">
        <v>45405</v>
      </c>
      <c r="T793" s="446">
        <v>45387</v>
      </c>
      <c r="U793" s="446"/>
      <c r="V793" s="446">
        <v>45392</v>
      </c>
      <c r="W793" s="447">
        <v>45392</v>
      </c>
      <c r="X793" s="447" t="s">
        <v>8044</v>
      </c>
      <c r="Y793" s="420"/>
      <c r="Z793" s="224" t="str">
        <f t="shared" si="72"/>
        <v>AG. MEDIÇÃO</v>
      </c>
      <c r="AA793" s="207" t="str">
        <f t="shared" si="73"/>
        <v>ENTREGUE</v>
      </c>
      <c r="AB793" s="207" t="str">
        <f t="shared" si="74"/>
        <v>AG. MEDIÇÃO</v>
      </c>
      <c r="AC793" s="156">
        <f t="shared" ca="1" si="75"/>
        <v>3</v>
      </c>
      <c r="AD793" s="156" t="str">
        <f t="shared" ca="1" si="76"/>
        <v>NO PRAZO</v>
      </c>
      <c r="AE793" s="156">
        <f t="shared" ca="1" si="77"/>
        <v>0</v>
      </c>
    </row>
    <row r="794" spans="1:31" ht="36" hidden="1" customHeight="1">
      <c r="A794" s="414"/>
      <c r="B794" s="440" t="s">
        <v>2727</v>
      </c>
      <c r="C794" s="440" t="s">
        <v>111</v>
      </c>
      <c r="D794" s="440"/>
      <c r="E794" s="440"/>
      <c r="F794" s="440" t="s">
        <v>42</v>
      </c>
      <c r="G794" s="441" t="s">
        <v>2728</v>
      </c>
      <c r="H794" s="440" t="s">
        <v>2729</v>
      </c>
      <c r="I794" s="449"/>
      <c r="J794" s="443">
        <v>44986</v>
      </c>
      <c r="K794" s="429" t="s">
        <v>2493</v>
      </c>
      <c r="L794" s="445" t="s">
        <v>2730</v>
      </c>
      <c r="M794" s="444" t="s">
        <v>2684</v>
      </c>
      <c r="N794" s="441" t="s">
        <v>2572</v>
      </c>
      <c r="O794" s="441"/>
      <c r="P794" s="441"/>
      <c r="Q794" s="441">
        <v>200</v>
      </c>
      <c r="R794" s="445" t="s">
        <v>2731</v>
      </c>
      <c r="S794" s="446">
        <v>45066</v>
      </c>
      <c r="T794" s="446">
        <v>45000</v>
      </c>
      <c r="U794" s="446">
        <v>45001</v>
      </c>
      <c r="V794" s="446">
        <v>45016</v>
      </c>
      <c r="W794" s="446">
        <v>45016</v>
      </c>
      <c r="X794" s="447" t="s">
        <v>8044</v>
      </c>
      <c r="Y794" s="420"/>
      <c r="Z794" s="224" t="str">
        <f t="shared" si="72"/>
        <v>AG. MEDIÇÃO</v>
      </c>
      <c r="AA794" s="207" t="str">
        <f t="shared" si="73"/>
        <v>ENTREGUE</v>
      </c>
      <c r="AB794" s="207" t="str">
        <f t="shared" si="74"/>
        <v>AG. MEDIÇÃO</v>
      </c>
      <c r="AC794" s="156">
        <f t="shared" ca="1" si="75"/>
        <v>12</v>
      </c>
      <c r="AD794" s="156" t="str">
        <f t="shared" ca="1" si="76"/>
        <v>ATRASADO</v>
      </c>
      <c r="AE794" s="156">
        <f t="shared" ca="1" si="77"/>
        <v>9</v>
      </c>
    </row>
    <row r="795" spans="1:31" ht="36" hidden="1" customHeight="1">
      <c r="A795" s="414"/>
      <c r="B795" s="429" t="s">
        <v>7592</v>
      </c>
      <c r="C795" s="430" t="s">
        <v>79</v>
      </c>
      <c r="D795" s="431"/>
      <c r="E795" s="432" t="s">
        <v>619</v>
      </c>
      <c r="F795" s="429" t="s">
        <v>42</v>
      </c>
      <c r="G795" s="434"/>
      <c r="H795" s="636" t="s">
        <v>7583</v>
      </c>
      <c r="I795" s="433" t="s">
        <v>7584</v>
      </c>
      <c r="J795" s="432">
        <v>46113</v>
      </c>
      <c r="K795" s="429" t="s">
        <v>2493</v>
      </c>
      <c r="L795" s="487"/>
      <c r="M795" s="436" t="s">
        <v>62</v>
      </c>
      <c r="N795" s="433"/>
      <c r="O795" s="437"/>
      <c r="P795" s="433" t="s">
        <v>2494</v>
      </c>
      <c r="Q795" s="437" t="s">
        <v>2494</v>
      </c>
      <c r="R795" s="437" t="s">
        <v>7585</v>
      </c>
      <c r="S795" s="438">
        <v>46164</v>
      </c>
      <c r="T795" s="438">
        <v>46141</v>
      </c>
      <c r="U795" s="438"/>
      <c r="V795" s="439"/>
      <c r="W795" s="439">
        <v>46141</v>
      </c>
      <c r="X795" s="439">
        <v>46164</v>
      </c>
      <c r="Y795" s="420"/>
      <c r="Z795" s="224" t="str">
        <f t="shared" si="72"/>
        <v>AG. MEDIÇÃO</v>
      </c>
      <c r="AA795" s="207" t="str">
        <f t="shared" si="73"/>
        <v>ENTREGUE</v>
      </c>
      <c r="AB795" s="207" t="str">
        <f t="shared" si="74"/>
        <v>AG. MEDIÇÃO</v>
      </c>
      <c r="AC795" s="156">
        <f t="shared" ca="1" si="75"/>
        <v>0</v>
      </c>
      <c r="AD795" s="156" t="str">
        <f t="shared" ca="1" si="76"/>
        <v>NO PRAZO</v>
      </c>
      <c r="AE795" s="156">
        <f t="shared" ca="1" si="77"/>
        <v>-3</v>
      </c>
    </row>
    <row r="796" spans="1:31" ht="36" hidden="1" customHeight="1">
      <c r="A796" s="414"/>
      <c r="B796" s="440" t="s">
        <v>2591</v>
      </c>
      <c r="C796" s="440" t="s">
        <v>2592</v>
      </c>
      <c r="D796" s="440"/>
      <c r="E796" s="440"/>
      <c r="F796" s="440" t="s">
        <v>427</v>
      </c>
      <c r="G796" s="441" t="s">
        <v>2593</v>
      </c>
      <c r="H796" s="440" t="s">
        <v>2594</v>
      </c>
      <c r="I796" s="442"/>
      <c r="J796" s="443">
        <v>44927</v>
      </c>
      <c r="K796" s="429" t="s">
        <v>2493</v>
      </c>
      <c r="L796" s="444"/>
      <c r="M796" s="444" t="s">
        <v>1155</v>
      </c>
      <c r="N796" s="441" t="s">
        <v>2572</v>
      </c>
      <c r="O796" s="445" t="s">
        <v>2573</v>
      </c>
      <c r="P796" s="445"/>
      <c r="Q796" s="445">
        <v>340</v>
      </c>
      <c r="R796" s="445" t="s">
        <v>2595</v>
      </c>
      <c r="S796" s="446" t="s">
        <v>2596</v>
      </c>
      <c r="T796" s="446">
        <v>44928</v>
      </c>
      <c r="U796" s="446">
        <v>44928</v>
      </c>
      <c r="V796" s="447">
        <v>44949</v>
      </c>
      <c r="W796" s="447">
        <v>44949</v>
      </c>
      <c r="X796" s="447" t="s">
        <v>8044</v>
      </c>
      <c r="Y796" s="420"/>
      <c r="Z796" s="224" t="str">
        <f t="shared" si="72"/>
        <v>AG. MEDIÇÃO</v>
      </c>
      <c r="AA796" s="207" t="str">
        <f t="shared" si="73"/>
        <v>ENTREGUE</v>
      </c>
      <c r="AB796" s="207" t="str">
        <f t="shared" si="74"/>
        <v>AG. MEDIÇÃO</v>
      </c>
      <c r="AC796" s="156">
        <f t="shared" ca="1" si="75"/>
        <v>15</v>
      </c>
      <c r="AD796" s="156" t="str">
        <f t="shared" ca="1" si="76"/>
        <v>ATRASADO</v>
      </c>
      <c r="AE796" s="156">
        <f t="shared" ca="1" si="77"/>
        <v>12</v>
      </c>
    </row>
    <row r="797" spans="1:31" ht="36" hidden="1" customHeight="1">
      <c r="A797" s="414"/>
      <c r="B797" s="440" t="s">
        <v>5499</v>
      </c>
      <c r="C797" s="440" t="s">
        <v>555</v>
      </c>
      <c r="D797" s="440" t="s">
        <v>705</v>
      </c>
      <c r="E797" s="440" t="s">
        <v>556</v>
      </c>
      <c r="F797" s="440" t="s">
        <v>42</v>
      </c>
      <c r="G797" s="441"/>
      <c r="H797" s="440" t="s">
        <v>5500</v>
      </c>
      <c r="I797" s="441" t="s">
        <v>5501</v>
      </c>
      <c r="J797" s="450">
        <v>45839</v>
      </c>
      <c r="K797" s="429" t="s">
        <v>2493</v>
      </c>
      <c r="L797" s="444"/>
      <c r="M797" s="444" t="s">
        <v>62</v>
      </c>
      <c r="N797" s="441"/>
      <c r="O797" s="445"/>
      <c r="P797" s="441"/>
      <c r="Q797" s="445"/>
      <c r="R797" s="445" t="s">
        <v>5502</v>
      </c>
      <c r="S797" s="446" t="s">
        <v>705</v>
      </c>
      <c r="T797" s="446">
        <v>45846</v>
      </c>
      <c r="U797" s="446"/>
      <c r="V797" s="447"/>
      <c r="W797" s="447">
        <v>45861</v>
      </c>
      <c r="X797" s="447" t="s">
        <v>8044</v>
      </c>
      <c r="Y797" s="420"/>
      <c r="Z797" s="224" t="str">
        <f t="shared" si="72"/>
        <v>AG. MEDIÇÃO</v>
      </c>
      <c r="AA797" s="207" t="str">
        <f t="shared" si="73"/>
        <v>ENTREGUE</v>
      </c>
      <c r="AB797" s="207" t="str">
        <f t="shared" si="74"/>
        <v>AG. MEDIÇÃO</v>
      </c>
      <c r="AC797" s="156">
        <f t="shared" ca="1" si="75"/>
        <v>11</v>
      </c>
      <c r="AD797" s="156" t="str">
        <f t="shared" ca="1" si="76"/>
        <v>ATRASADO</v>
      </c>
      <c r="AE797" s="156">
        <f t="shared" ca="1" si="77"/>
        <v>8</v>
      </c>
    </row>
    <row r="798" spans="1:31" ht="36" hidden="1" customHeight="1">
      <c r="A798" s="414"/>
      <c r="B798" s="440" t="s">
        <v>5299</v>
      </c>
      <c r="C798" s="440" t="s">
        <v>88</v>
      </c>
      <c r="D798" s="440"/>
      <c r="E798" s="440" t="s">
        <v>2196</v>
      </c>
      <c r="F798" s="440" t="s">
        <v>42</v>
      </c>
      <c r="G798" s="441"/>
      <c r="H798" s="440" t="s">
        <v>5300</v>
      </c>
      <c r="I798" s="441" t="s">
        <v>5301</v>
      </c>
      <c r="J798" s="450">
        <v>45809</v>
      </c>
      <c r="K798" s="429" t="s">
        <v>2493</v>
      </c>
      <c r="L798" s="444"/>
      <c r="M798" s="444" t="s">
        <v>62</v>
      </c>
      <c r="N798" s="441"/>
      <c r="O798" s="445"/>
      <c r="P798" s="441">
        <v>1700</v>
      </c>
      <c r="Q798" s="445">
        <v>1300</v>
      </c>
      <c r="R798" s="445" t="s">
        <v>5302</v>
      </c>
      <c r="S798" s="446">
        <v>45845</v>
      </c>
      <c r="T798" s="446">
        <v>45811</v>
      </c>
      <c r="U798" s="446"/>
      <c r="V798" s="447"/>
      <c r="W798" s="447">
        <v>45814</v>
      </c>
      <c r="X798" s="447">
        <v>45877</v>
      </c>
      <c r="Y798" s="420"/>
      <c r="Z798" s="224" t="str">
        <f t="shared" si="72"/>
        <v>AG. MEDIÇÃO</v>
      </c>
      <c r="AA798" s="207" t="str">
        <f t="shared" si="73"/>
        <v>ENTREGUE</v>
      </c>
      <c r="AB798" s="207" t="str">
        <f t="shared" si="74"/>
        <v>AG. MEDIÇÃO</v>
      </c>
      <c r="AC798" s="156">
        <f t="shared" ca="1" si="75"/>
        <v>3</v>
      </c>
      <c r="AD798" s="156" t="str">
        <f t="shared" ca="1" si="76"/>
        <v>NO PRAZO</v>
      </c>
      <c r="AE798" s="156">
        <f t="shared" ca="1" si="77"/>
        <v>0</v>
      </c>
    </row>
    <row r="799" spans="1:31" ht="36" hidden="1" customHeight="1">
      <c r="A799" s="414"/>
      <c r="B799" s="440" t="s">
        <v>4307</v>
      </c>
      <c r="C799" s="440" t="s">
        <v>111</v>
      </c>
      <c r="D799" s="440" t="s">
        <v>1509</v>
      </c>
      <c r="E799" s="440" t="s">
        <v>2504</v>
      </c>
      <c r="F799" s="440" t="s">
        <v>42</v>
      </c>
      <c r="G799" s="441" t="s">
        <v>3348</v>
      </c>
      <c r="H799" s="440" t="s">
        <v>4308</v>
      </c>
      <c r="I799" s="441" t="s">
        <v>4309</v>
      </c>
      <c r="J799" s="450">
        <v>45505</v>
      </c>
      <c r="K799" s="429" t="s">
        <v>2493</v>
      </c>
      <c r="L799" s="444" t="s">
        <v>1208</v>
      </c>
      <c r="M799" s="444" t="s">
        <v>774</v>
      </c>
      <c r="N799" s="441" t="s">
        <v>2572</v>
      </c>
      <c r="O799" s="445" t="s">
        <v>85</v>
      </c>
      <c r="P799" s="445"/>
      <c r="Q799" s="445">
        <v>293</v>
      </c>
      <c r="R799" s="445" t="s">
        <v>4310</v>
      </c>
      <c r="S799" s="446">
        <v>45549</v>
      </c>
      <c r="T799" s="446">
        <v>45533</v>
      </c>
      <c r="U799" s="446">
        <v>45537</v>
      </c>
      <c r="V799" s="447">
        <v>45540</v>
      </c>
      <c r="W799" s="447">
        <v>45544</v>
      </c>
      <c r="X799" s="447" t="s">
        <v>8044</v>
      </c>
      <c r="Y799" s="420"/>
      <c r="Z799" s="224" t="str">
        <f t="shared" si="72"/>
        <v>AG. MEDIÇÃO</v>
      </c>
      <c r="AA799" s="207" t="str">
        <f t="shared" si="73"/>
        <v>ENTREGUE</v>
      </c>
      <c r="AB799" s="207" t="str">
        <f t="shared" si="74"/>
        <v>AG. MEDIÇÃO</v>
      </c>
      <c r="AC799" s="156">
        <f t="shared" ca="1" si="75"/>
        <v>7</v>
      </c>
      <c r="AD799" s="156" t="str">
        <f t="shared" ca="1" si="76"/>
        <v>ATRASADO</v>
      </c>
      <c r="AE799" s="156">
        <f t="shared" ca="1" si="77"/>
        <v>4</v>
      </c>
    </row>
    <row r="800" spans="1:31" ht="36" hidden="1" customHeight="1">
      <c r="A800" s="414"/>
      <c r="B800" s="440" t="s">
        <v>4311</v>
      </c>
      <c r="C800" s="440" t="s">
        <v>111</v>
      </c>
      <c r="D800" s="440" t="s">
        <v>1509</v>
      </c>
      <c r="E800" s="440" t="s">
        <v>2504</v>
      </c>
      <c r="F800" s="440" t="s">
        <v>42</v>
      </c>
      <c r="G800" s="441" t="s">
        <v>3348</v>
      </c>
      <c r="H800" s="440" t="s">
        <v>4312</v>
      </c>
      <c r="I800" s="441" t="s">
        <v>4313</v>
      </c>
      <c r="J800" s="450">
        <v>45505</v>
      </c>
      <c r="K800" s="429" t="s">
        <v>2493</v>
      </c>
      <c r="L800" s="444" t="s">
        <v>1208</v>
      </c>
      <c r="M800" s="444" t="s">
        <v>774</v>
      </c>
      <c r="N800" s="441" t="s">
        <v>2572</v>
      </c>
      <c r="O800" s="445" t="s">
        <v>85</v>
      </c>
      <c r="P800" s="445"/>
      <c r="Q800" s="445">
        <v>263</v>
      </c>
      <c r="R800" s="445" t="s">
        <v>4314</v>
      </c>
      <c r="S800" s="446">
        <v>45549</v>
      </c>
      <c r="T800" s="446">
        <v>45533</v>
      </c>
      <c r="U800" s="446">
        <v>45537</v>
      </c>
      <c r="V800" s="447">
        <v>45540</v>
      </c>
      <c r="W800" s="447">
        <v>45541</v>
      </c>
      <c r="X800" s="447" t="s">
        <v>8044</v>
      </c>
      <c r="Y800" s="420"/>
      <c r="Z800" s="224" t="str">
        <f t="shared" si="72"/>
        <v>AG. MEDIÇÃO</v>
      </c>
      <c r="AA800" s="207" t="str">
        <f t="shared" si="73"/>
        <v>ENTREGUE</v>
      </c>
      <c r="AB800" s="207" t="str">
        <f t="shared" si="74"/>
        <v>AG. MEDIÇÃO</v>
      </c>
      <c r="AC800" s="156">
        <f t="shared" ca="1" si="75"/>
        <v>6</v>
      </c>
      <c r="AD800" s="156" t="str">
        <f t="shared" ca="1" si="76"/>
        <v>ATRASADO</v>
      </c>
      <c r="AE800" s="156">
        <f t="shared" ca="1" si="77"/>
        <v>3</v>
      </c>
    </row>
    <row r="801" spans="1:31" ht="36" hidden="1" customHeight="1">
      <c r="A801" s="414"/>
      <c r="B801" s="440" t="s">
        <v>4480</v>
      </c>
      <c r="C801" s="440" t="s">
        <v>111</v>
      </c>
      <c r="D801" s="440" t="s">
        <v>1509</v>
      </c>
      <c r="E801" s="440" t="s">
        <v>2504</v>
      </c>
      <c r="F801" s="440" t="s">
        <v>42</v>
      </c>
      <c r="G801" s="441" t="s">
        <v>3348</v>
      </c>
      <c r="H801" s="440" t="s">
        <v>4481</v>
      </c>
      <c r="I801" s="441" t="s">
        <v>4482</v>
      </c>
      <c r="J801" s="450">
        <v>45566</v>
      </c>
      <c r="K801" s="429" t="s">
        <v>2493</v>
      </c>
      <c r="L801" s="444" t="s">
        <v>1208</v>
      </c>
      <c r="M801" s="444" t="s">
        <v>132</v>
      </c>
      <c r="N801" s="441" t="s">
        <v>2572</v>
      </c>
      <c r="O801" s="445"/>
      <c r="P801" s="445"/>
      <c r="Q801" s="445">
        <v>425</v>
      </c>
      <c r="R801" s="445" t="s">
        <v>4483</v>
      </c>
      <c r="S801" s="446">
        <v>45588</v>
      </c>
      <c r="T801" s="446">
        <v>45573</v>
      </c>
      <c r="U801" s="446">
        <v>45574</v>
      </c>
      <c r="V801" s="447">
        <v>45575</v>
      </c>
      <c r="W801" s="447">
        <v>45576</v>
      </c>
      <c r="X801" s="447" t="s">
        <v>8044</v>
      </c>
      <c r="Y801" s="420"/>
      <c r="Z801" s="224" t="str">
        <f t="shared" si="72"/>
        <v>AG. MEDIÇÃO</v>
      </c>
      <c r="AA801" s="207" t="str">
        <f t="shared" si="73"/>
        <v>ENTREGUE</v>
      </c>
      <c r="AB801" s="207" t="str">
        <f t="shared" si="74"/>
        <v>AG. MEDIÇÃO</v>
      </c>
      <c r="AC801" s="156">
        <f t="shared" ca="1" si="75"/>
        <v>3</v>
      </c>
      <c r="AD801" s="156" t="str">
        <f t="shared" ca="1" si="76"/>
        <v>NO PRAZO</v>
      </c>
      <c r="AE801" s="156">
        <f t="shared" ca="1" si="77"/>
        <v>0</v>
      </c>
    </row>
    <row r="802" spans="1:31" ht="36" hidden="1" customHeight="1">
      <c r="A802" s="414"/>
      <c r="B802" s="440" t="s">
        <v>5648</v>
      </c>
      <c r="C802" s="440" t="s">
        <v>248</v>
      </c>
      <c r="D802" s="440" t="s">
        <v>5060</v>
      </c>
      <c r="E802" s="440" t="s">
        <v>249</v>
      </c>
      <c r="F802" s="440" t="s">
        <v>42</v>
      </c>
      <c r="G802" s="441" t="s">
        <v>5649</v>
      </c>
      <c r="H802" s="440" t="s">
        <v>5650</v>
      </c>
      <c r="I802" s="441" t="s">
        <v>5651</v>
      </c>
      <c r="J802" s="450">
        <v>45870</v>
      </c>
      <c r="K802" s="429" t="s">
        <v>2493</v>
      </c>
      <c r="L802" s="444"/>
      <c r="M802" s="444" t="s">
        <v>1155</v>
      </c>
      <c r="N802" s="441" t="s">
        <v>2572</v>
      </c>
      <c r="O802" s="445"/>
      <c r="P802" s="441" t="s">
        <v>2494</v>
      </c>
      <c r="Q802" s="445" t="s">
        <v>2494</v>
      </c>
      <c r="R802" s="445" t="s">
        <v>5652</v>
      </c>
      <c r="S802" s="446">
        <v>45889</v>
      </c>
      <c r="T802" s="446">
        <v>45881</v>
      </c>
      <c r="U802" s="446"/>
      <c r="V802" s="447"/>
      <c r="W802" s="447">
        <v>45889</v>
      </c>
      <c r="X802" s="447">
        <v>45889</v>
      </c>
      <c r="Y802" s="420"/>
      <c r="Z802" s="224" t="str">
        <f t="shared" si="72"/>
        <v>AG. MEDIÇÃO</v>
      </c>
      <c r="AA802" s="207" t="str">
        <f t="shared" si="73"/>
        <v>ENTREGUE</v>
      </c>
      <c r="AB802" s="207" t="str">
        <f t="shared" si="74"/>
        <v>AG. MEDIÇÃO</v>
      </c>
      <c r="AC802" s="156">
        <f t="shared" ca="1" si="75"/>
        <v>6</v>
      </c>
      <c r="AD802" s="156" t="str">
        <f t="shared" ca="1" si="76"/>
        <v>ATRASADO</v>
      </c>
      <c r="AE802" s="156">
        <f t="shared" ca="1" si="77"/>
        <v>3</v>
      </c>
    </row>
    <row r="803" spans="1:31" ht="36" hidden="1" customHeight="1">
      <c r="A803" s="414"/>
      <c r="B803" s="440" t="s">
        <v>4686</v>
      </c>
      <c r="C803" s="440" t="s">
        <v>616</v>
      </c>
      <c r="D803" s="440" t="s">
        <v>617</v>
      </c>
      <c r="E803" s="440" t="s">
        <v>354</v>
      </c>
      <c r="F803" s="440" t="s">
        <v>42</v>
      </c>
      <c r="G803" s="441" t="s">
        <v>4687</v>
      </c>
      <c r="H803" s="440" t="s">
        <v>4688</v>
      </c>
      <c r="I803" s="441" t="s">
        <v>4689</v>
      </c>
      <c r="J803" s="450">
        <v>45658</v>
      </c>
      <c r="K803" s="429" t="s">
        <v>2493</v>
      </c>
      <c r="L803" s="444" t="s">
        <v>200</v>
      </c>
      <c r="M803" s="444" t="s">
        <v>200</v>
      </c>
      <c r="N803" s="441" t="s">
        <v>2572</v>
      </c>
      <c r="O803" s="445" t="s">
        <v>4560</v>
      </c>
      <c r="P803" s="445">
        <v>299</v>
      </c>
      <c r="Q803" s="445">
        <v>299</v>
      </c>
      <c r="R803" s="445" t="s">
        <v>4690</v>
      </c>
      <c r="S803" s="446">
        <v>45671</v>
      </c>
      <c r="T803" s="446">
        <v>45664</v>
      </c>
      <c r="U803" s="446">
        <v>45670</v>
      </c>
      <c r="V803" s="447">
        <v>45306</v>
      </c>
      <c r="W803" s="447">
        <v>45671</v>
      </c>
      <c r="X803" s="447" t="s">
        <v>8044</v>
      </c>
      <c r="Y803" s="420"/>
      <c r="Z803" s="224" t="str">
        <f t="shared" si="72"/>
        <v>AG. MEDIÇÃO</v>
      </c>
      <c r="AA803" s="207" t="str">
        <f t="shared" si="73"/>
        <v>ENTREGUE</v>
      </c>
      <c r="AB803" s="207" t="str">
        <f t="shared" si="74"/>
        <v>AG. MEDIÇÃO</v>
      </c>
      <c r="AC803" s="156">
        <f t="shared" ca="1" si="75"/>
        <v>5</v>
      </c>
      <c r="AD803" s="156" t="str">
        <f t="shared" ca="1" si="76"/>
        <v>ATRASADO</v>
      </c>
      <c r="AE803" s="156">
        <f t="shared" ca="1" si="77"/>
        <v>2</v>
      </c>
    </row>
    <row r="804" spans="1:31" ht="36" hidden="1" customHeight="1">
      <c r="A804" s="414"/>
      <c r="B804" s="440" t="s">
        <v>3591</v>
      </c>
      <c r="C804" s="440" t="s">
        <v>311</v>
      </c>
      <c r="D804" s="440" t="s">
        <v>630</v>
      </c>
      <c r="E804" s="440" t="s">
        <v>312</v>
      </c>
      <c r="F804" s="440" t="s">
        <v>42</v>
      </c>
      <c r="G804" s="441" t="s">
        <v>3592</v>
      </c>
      <c r="H804" s="440" t="s">
        <v>3593</v>
      </c>
      <c r="I804" s="441" t="s">
        <v>3594</v>
      </c>
      <c r="J804" s="450">
        <v>45383</v>
      </c>
      <c r="K804" s="429" t="s">
        <v>2493</v>
      </c>
      <c r="L804" s="444"/>
      <c r="M804" s="444" t="s">
        <v>3589</v>
      </c>
      <c r="N804" s="441" t="s">
        <v>2572</v>
      </c>
      <c r="O804" s="445" t="s">
        <v>3350</v>
      </c>
      <c r="P804" s="441" t="s">
        <v>2494</v>
      </c>
      <c r="Q804" s="441" t="s">
        <v>2494</v>
      </c>
      <c r="R804" s="445" t="s">
        <v>2963</v>
      </c>
      <c r="S804" s="446">
        <v>45405</v>
      </c>
      <c r="T804" s="446">
        <v>45391</v>
      </c>
      <c r="U804" s="446"/>
      <c r="V804" s="446">
        <v>45394</v>
      </c>
      <c r="W804" s="447">
        <v>45402</v>
      </c>
      <c r="X804" s="447" t="s">
        <v>8044</v>
      </c>
      <c r="Y804" s="420"/>
      <c r="Z804" s="224" t="str">
        <f t="shared" si="72"/>
        <v>AG. MEDIÇÃO</v>
      </c>
      <c r="AA804" s="207" t="str">
        <f t="shared" si="73"/>
        <v>ENTREGUE</v>
      </c>
      <c r="AB804" s="207" t="str">
        <f t="shared" si="74"/>
        <v>AG. MEDIÇÃO</v>
      </c>
      <c r="AC804" s="156">
        <f t="shared" ca="1" si="75"/>
        <v>8</v>
      </c>
      <c r="AD804" s="156" t="str">
        <f t="shared" ca="1" si="76"/>
        <v>ATRASADO</v>
      </c>
      <c r="AE804" s="156">
        <f t="shared" ca="1" si="77"/>
        <v>5</v>
      </c>
    </row>
    <row r="805" spans="1:31" ht="36" hidden="1" customHeight="1">
      <c r="A805" s="414"/>
      <c r="B805" s="440" t="s">
        <v>2836</v>
      </c>
      <c r="C805" s="440" t="s">
        <v>606</v>
      </c>
      <c r="D805" s="440"/>
      <c r="E805" s="440"/>
      <c r="F805" s="440" t="s">
        <v>42</v>
      </c>
      <c r="G805" s="441" t="s">
        <v>2837</v>
      </c>
      <c r="H805" s="440" t="s">
        <v>2838</v>
      </c>
      <c r="I805" s="449"/>
      <c r="J805" s="443">
        <v>45017</v>
      </c>
      <c r="K805" s="429" t="s">
        <v>2493</v>
      </c>
      <c r="L805" s="444"/>
      <c r="M805" s="444" t="s">
        <v>714</v>
      </c>
      <c r="N805" s="441" t="s">
        <v>2572</v>
      </c>
      <c r="O805" s="452"/>
      <c r="P805" s="441" t="s">
        <v>2494</v>
      </c>
      <c r="Q805" s="441" t="s">
        <v>2494</v>
      </c>
      <c r="R805" s="453" t="s">
        <v>2839</v>
      </c>
      <c r="S805" s="446">
        <v>45082</v>
      </c>
      <c r="T805" s="446">
        <v>45019</v>
      </c>
      <c r="U805" s="446">
        <v>45020</v>
      </c>
      <c r="V805" s="446">
        <v>45026</v>
      </c>
      <c r="W805" s="446">
        <v>45026</v>
      </c>
      <c r="X805" s="447" t="s">
        <v>8044</v>
      </c>
      <c r="Y805" s="420"/>
      <c r="Z805" s="224" t="str">
        <f t="shared" si="72"/>
        <v>AG. MEDIÇÃO</v>
      </c>
      <c r="AA805" s="207" t="str">
        <f t="shared" si="73"/>
        <v>ENTREGUE</v>
      </c>
      <c r="AB805" s="207" t="str">
        <f t="shared" si="74"/>
        <v>AG. MEDIÇÃO</v>
      </c>
      <c r="AC805" s="156">
        <f t="shared" ca="1" si="75"/>
        <v>5</v>
      </c>
      <c r="AD805" s="156" t="str">
        <f t="shared" ca="1" si="76"/>
        <v>ATRASADO</v>
      </c>
      <c r="AE805" s="156">
        <f t="shared" ca="1" si="77"/>
        <v>2</v>
      </c>
    </row>
    <row r="806" spans="1:31" ht="36" hidden="1" customHeight="1">
      <c r="A806" s="414"/>
      <c r="B806" s="440" t="s">
        <v>2597</v>
      </c>
      <c r="C806" s="440" t="s">
        <v>117</v>
      </c>
      <c r="D806" s="440"/>
      <c r="E806" s="440"/>
      <c r="F806" s="440" t="s">
        <v>2559</v>
      </c>
      <c r="G806" s="441" t="s">
        <v>2598</v>
      </c>
      <c r="H806" s="440" t="s">
        <v>2599</v>
      </c>
      <c r="I806" s="448"/>
      <c r="J806" s="443">
        <v>44927</v>
      </c>
      <c r="K806" s="429" t="s">
        <v>2493</v>
      </c>
      <c r="L806" s="444" t="s">
        <v>650</v>
      </c>
      <c r="M806" s="444" t="s">
        <v>714</v>
      </c>
      <c r="N806" s="441" t="s">
        <v>2572</v>
      </c>
      <c r="O806" s="445" t="s">
        <v>2573</v>
      </c>
      <c r="P806" s="445"/>
      <c r="Q806" s="445">
        <v>1663</v>
      </c>
      <c r="R806" s="445" t="s">
        <v>2600</v>
      </c>
      <c r="S806" s="446" t="s">
        <v>288</v>
      </c>
      <c r="T806" s="446">
        <v>44928</v>
      </c>
      <c r="U806" s="446">
        <v>44928</v>
      </c>
      <c r="V806" s="447">
        <v>44946</v>
      </c>
      <c r="W806" s="447">
        <v>44946</v>
      </c>
      <c r="X806" s="447" t="s">
        <v>8044</v>
      </c>
      <c r="Y806" s="420"/>
      <c r="Z806" s="224" t="str">
        <f t="shared" si="72"/>
        <v>AG. MEDIÇÃO</v>
      </c>
      <c r="AA806" s="207" t="str">
        <f t="shared" si="73"/>
        <v>ENTREGUE</v>
      </c>
      <c r="AB806" s="207" t="str">
        <f t="shared" si="74"/>
        <v>AG. MEDIÇÃO</v>
      </c>
      <c r="AC806" s="156">
        <f t="shared" ca="1" si="75"/>
        <v>14</v>
      </c>
      <c r="AD806" s="156" t="str">
        <f t="shared" ca="1" si="76"/>
        <v>ATRASADO</v>
      </c>
      <c r="AE806" s="156">
        <f t="shared" ca="1" si="77"/>
        <v>11</v>
      </c>
    </row>
    <row r="807" spans="1:31" ht="36" hidden="1" customHeight="1">
      <c r="A807" s="414"/>
      <c r="B807" s="440" t="s">
        <v>5503</v>
      </c>
      <c r="C807" s="440" t="s">
        <v>555</v>
      </c>
      <c r="D807" s="440" t="s">
        <v>2033</v>
      </c>
      <c r="E807" s="440" t="s">
        <v>556</v>
      </c>
      <c r="F807" s="440" t="s">
        <v>42</v>
      </c>
      <c r="G807" s="441"/>
      <c r="H807" s="440" t="s">
        <v>5504</v>
      </c>
      <c r="I807" s="441" t="s">
        <v>5505</v>
      </c>
      <c r="J807" s="450">
        <v>45839</v>
      </c>
      <c r="K807" s="429" t="s">
        <v>2493</v>
      </c>
      <c r="L807" s="444"/>
      <c r="M807" s="444" t="s">
        <v>62</v>
      </c>
      <c r="N807" s="441"/>
      <c r="O807" s="445"/>
      <c r="P807" s="441"/>
      <c r="Q807" s="445"/>
      <c r="R807" s="445" t="s">
        <v>5506</v>
      </c>
      <c r="S807" s="446" t="s">
        <v>2033</v>
      </c>
      <c r="T807" s="446">
        <v>45846</v>
      </c>
      <c r="U807" s="446"/>
      <c r="V807" s="447"/>
      <c r="W807" s="447">
        <v>45855</v>
      </c>
      <c r="X807" s="447" t="s">
        <v>8044</v>
      </c>
      <c r="Y807" s="420"/>
      <c r="Z807" s="224" t="str">
        <f t="shared" si="72"/>
        <v>AG. MEDIÇÃO</v>
      </c>
      <c r="AA807" s="207" t="str">
        <f t="shared" si="73"/>
        <v>ENTREGUE</v>
      </c>
      <c r="AB807" s="207" t="str">
        <f t="shared" si="74"/>
        <v>AG. MEDIÇÃO</v>
      </c>
      <c r="AC807" s="156">
        <f t="shared" ca="1" si="75"/>
        <v>7</v>
      </c>
      <c r="AD807" s="156" t="str">
        <f t="shared" ca="1" si="76"/>
        <v>ATRASADO</v>
      </c>
      <c r="AE807" s="156">
        <f t="shared" ca="1" si="77"/>
        <v>4</v>
      </c>
    </row>
    <row r="808" spans="1:31" ht="36" hidden="1" customHeight="1">
      <c r="A808" s="414"/>
      <c r="B808" s="440" t="s">
        <v>5721</v>
      </c>
      <c r="C808" s="440" t="s">
        <v>555</v>
      </c>
      <c r="D808" s="440" t="s">
        <v>2033</v>
      </c>
      <c r="E808" s="440" t="s">
        <v>556</v>
      </c>
      <c r="F808" s="440" t="s">
        <v>42</v>
      </c>
      <c r="G808" s="441"/>
      <c r="H808" s="440" t="s">
        <v>5722</v>
      </c>
      <c r="I808" s="441" t="s">
        <v>5723</v>
      </c>
      <c r="J808" s="450">
        <v>45901</v>
      </c>
      <c r="K808" s="429" t="s">
        <v>2493</v>
      </c>
      <c r="L808" s="444" t="s">
        <v>94</v>
      </c>
      <c r="M808" s="444" t="s">
        <v>1155</v>
      </c>
      <c r="N808" s="441"/>
      <c r="O808" s="445"/>
      <c r="P808" s="441"/>
      <c r="Q808" s="445"/>
      <c r="R808" s="445" t="s">
        <v>5466</v>
      </c>
      <c r="S808" s="446" t="s">
        <v>2033</v>
      </c>
      <c r="T808" s="446">
        <v>45910</v>
      </c>
      <c r="U808" s="446"/>
      <c r="V808" s="447"/>
      <c r="W808" s="447">
        <v>45910</v>
      </c>
      <c r="X808" s="447" t="s">
        <v>8044</v>
      </c>
      <c r="Y808" s="420"/>
      <c r="Z808" s="224" t="str">
        <f t="shared" si="72"/>
        <v>AG. MEDIÇÃO</v>
      </c>
      <c r="AA808" s="207" t="str">
        <f t="shared" si="73"/>
        <v>ENTREGUE</v>
      </c>
      <c r="AB808" s="207" t="str">
        <f t="shared" si="74"/>
        <v>AG. MEDIÇÃO</v>
      </c>
      <c r="AC808" s="156">
        <f t="shared" ca="1" si="75"/>
        <v>0</v>
      </c>
      <c r="AD808" s="156" t="str">
        <f t="shared" ca="1" si="76"/>
        <v>NO PRAZO</v>
      </c>
      <c r="AE808" s="156">
        <f t="shared" ca="1" si="77"/>
        <v>-3</v>
      </c>
    </row>
    <row r="809" spans="1:31" ht="36" hidden="1" customHeight="1">
      <c r="A809" s="414"/>
      <c r="B809" s="429" t="s">
        <v>6985</v>
      </c>
      <c r="C809" s="430" t="s">
        <v>410</v>
      </c>
      <c r="D809" s="430" t="s">
        <v>586</v>
      </c>
      <c r="E809" s="432" t="s">
        <v>6940</v>
      </c>
      <c r="F809" s="429" t="s">
        <v>42</v>
      </c>
      <c r="G809" s="434"/>
      <c r="H809" s="636" t="s">
        <v>6939</v>
      </c>
      <c r="I809" s="433" t="s">
        <v>6937</v>
      </c>
      <c r="J809" s="432">
        <v>46023</v>
      </c>
      <c r="K809" s="429" t="s">
        <v>2493</v>
      </c>
      <c r="L809" s="436" t="s">
        <v>94</v>
      </c>
      <c r="M809" s="436" t="s">
        <v>94</v>
      </c>
      <c r="N809" s="433"/>
      <c r="O809" s="437"/>
      <c r="P809" s="433">
        <v>400</v>
      </c>
      <c r="Q809" s="437">
        <v>291</v>
      </c>
      <c r="R809" s="437" t="s">
        <v>6938</v>
      </c>
      <c r="S809" s="438">
        <v>46058</v>
      </c>
      <c r="T809" s="438">
        <v>46052</v>
      </c>
      <c r="U809" s="438"/>
      <c r="V809" s="439"/>
      <c r="W809" s="439">
        <v>46053</v>
      </c>
      <c r="X809" s="439">
        <v>46058</v>
      </c>
      <c r="Y809" s="420"/>
      <c r="Z809" s="224" t="str">
        <f t="shared" si="72"/>
        <v>AG. MEDIÇÃO</v>
      </c>
      <c r="AA809" s="207" t="str">
        <f t="shared" si="73"/>
        <v>ENTREGUE</v>
      </c>
      <c r="AB809" s="207" t="str">
        <f t="shared" si="74"/>
        <v>AG. MEDIÇÃO</v>
      </c>
      <c r="AC809" s="156">
        <f t="shared" ca="1" si="75"/>
        <v>0</v>
      </c>
      <c r="AD809" s="156" t="str">
        <f t="shared" ca="1" si="76"/>
        <v>NO PRAZO</v>
      </c>
      <c r="AE809" s="156">
        <f t="shared" ca="1" si="77"/>
        <v>-3</v>
      </c>
    </row>
    <row r="810" spans="1:31" ht="36" hidden="1" customHeight="1">
      <c r="A810" s="414"/>
      <c r="B810" s="440" t="s">
        <v>5437</v>
      </c>
      <c r="C810" s="440" t="s">
        <v>2531</v>
      </c>
      <c r="D810" s="440"/>
      <c r="E810" s="440"/>
      <c r="F810" s="440" t="s">
        <v>4638</v>
      </c>
      <c r="G810" s="441"/>
      <c r="H810" s="440" t="s">
        <v>5438</v>
      </c>
      <c r="I810" s="441" t="s">
        <v>5439</v>
      </c>
      <c r="J810" s="450">
        <v>45809</v>
      </c>
      <c r="K810" s="429" t="s">
        <v>2493</v>
      </c>
      <c r="L810" s="444" t="s">
        <v>1208</v>
      </c>
      <c r="M810" s="444" t="s">
        <v>62</v>
      </c>
      <c r="N810" s="441"/>
      <c r="O810" s="445"/>
      <c r="P810" s="441"/>
      <c r="Q810" s="445">
        <v>309</v>
      </c>
      <c r="R810" s="445" t="s">
        <v>5440</v>
      </c>
      <c r="S810" s="446">
        <v>45904</v>
      </c>
      <c r="T810" s="446">
        <v>45832</v>
      </c>
      <c r="U810" s="446"/>
      <c r="V810" s="447"/>
      <c r="W810" s="447">
        <v>45834</v>
      </c>
      <c r="X810" s="447">
        <v>45904</v>
      </c>
      <c r="Y810" s="420"/>
      <c r="Z810" s="224" t="str">
        <f t="shared" si="72"/>
        <v>AG. MEDIÇÃO</v>
      </c>
      <c r="AA810" s="207" t="str">
        <f t="shared" si="73"/>
        <v>ENTREGUE</v>
      </c>
      <c r="AB810" s="207" t="str">
        <f t="shared" si="74"/>
        <v>AG. MEDIÇÃO</v>
      </c>
      <c r="AC810" s="156">
        <f t="shared" ca="1" si="75"/>
        <v>2</v>
      </c>
      <c r="AD810" s="156" t="str">
        <f t="shared" ca="1" si="76"/>
        <v>NO PRAZO</v>
      </c>
      <c r="AE810" s="156">
        <f t="shared" ca="1" si="77"/>
        <v>-1</v>
      </c>
    </row>
    <row r="811" spans="1:31" ht="36" hidden="1" customHeight="1">
      <c r="A811" s="414"/>
      <c r="B811" s="440" t="s">
        <v>5716</v>
      </c>
      <c r="C811" s="440" t="s">
        <v>126</v>
      </c>
      <c r="D811" s="440" t="s">
        <v>600</v>
      </c>
      <c r="E811" s="440" t="s">
        <v>127</v>
      </c>
      <c r="F811" s="440" t="s">
        <v>42</v>
      </c>
      <c r="G811" s="441" t="s">
        <v>5717</v>
      </c>
      <c r="H811" s="440" t="s">
        <v>5718</v>
      </c>
      <c r="I811" s="441" t="s">
        <v>5719</v>
      </c>
      <c r="J811" s="450">
        <v>45901</v>
      </c>
      <c r="K811" s="429" t="s">
        <v>2493</v>
      </c>
      <c r="L811" s="444" t="s">
        <v>94</v>
      </c>
      <c r="M811" s="444" t="s">
        <v>1155</v>
      </c>
      <c r="N811" s="441"/>
      <c r="O811" s="445" t="s">
        <v>60</v>
      </c>
      <c r="P811" s="441"/>
      <c r="Q811" s="445">
        <v>457</v>
      </c>
      <c r="R811" s="445" t="s">
        <v>5720</v>
      </c>
      <c r="S811" s="446" t="s">
        <v>60</v>
      </c>
      <c r="T811" s="446"/>
      <c r="U811" s="446"/>
      <c r="V811" s="447"/>
      <c r="W811" s="447">
        <v>45912</v>
      </c>
      <c r="X811" s="447">
        <v>45999</v>
      </c>
      <c r="Y811" s="420"/>
      <c r="Z811" s="224" t="str">
        <f t="shared" si="72"/>
        <v>AG. MEDIÇÃO</v>
      </c>
      <c r="AA811" s="207" t="str">
        <f t="shared" si="73"/>
        <v>ENTREGUE</v>
      </c>
      <c r="AB811" s="207" t="str">
        <f t="shared" si="74"/>
        <v>AG. MEDIÇÃO</v>
      </c>
      <c r="AC811" s="156" t="str">
        <f t="shared" ca="1" si="75"/>
        <v>DATA ENTRADA</v>
      </c>
      <c r="AD811" s="156" t="str">
        <f t="shared" ca="1" si="76"/>
        <v>ATRASADO</v>
      </c>
      <c r="AE811" s="156" t="str">
        <f t="shared" ca="1" si="77"/>
        <v>DATA ENTRADA</v>
      </c>
    </row>
    <row r="812" spans="1:31" ht="36" hidden="1" customHeight="1">
      <c r="A812" s="414"/>
      <c r="B812" s="440" t="s">
        <v>2988</v>
      </c>
      <c r="C812" s="440" t="s">
        <v>88</v>
      </c>
      <c r="D812" s="440"/>
      <c r="E812" s="440"/>
      <c r="F812" s="440" t="s">
        <v>42</v>
      </c>
      <c r="G812" s="441" t="s">
        <v>2989</v>
      </c>
      <c r="H812" s="440" t="s">
        <v>2990</v>
      </c>
      <c r="I812" s="449"/>
      <c r="J812" s="443">
        <v>45047</v>
      </c>
      <c r="K812" s="429" t="s">
        <v>2493</v>
      </c>
      <c r="L812" s="444"/>
      <c r="M812" s="444" t="s">
        <v>864</v>
      </c>
      <c r="N812" s="441" t="s">
        <v>2572</v>
      </c>
      <c r="O812" s="445" t="s">
        <v>85</v>
      </c>
      <c r="P812" s="445"/>
      <c r="Q812" s="445">
        <v>902</v>
      </c>
      <c r="R812" s="445" t="s">
        <v>2991</v>
      </c>
      <c r="S812" s="446">
        <v>45184</v>
      </c>
      <c r="T812" s="446"/>
      <c r="U812" s="446">
        <v>45178</v>
      </c>
      <c r="V812" s="446">
        <v>45178</v>
      </c>
      <c r="W812" s="447">
        <v>45178</v>
      </c>
      <c r="X812" s="447" t="s">
        <v>8044</v>
      </c>
      <c r="Y812" s="420"/>
      <c r="Z812" s="224" t="str">
        <f t="shared" si="72"/>
        <v>AG. MEDIÇÃO</v>
      </c>
      <c r="AA812" s="207" t="str">
        <f t="shared" si="73"/>
        <v>ENTREGUE</v>
      </c>
      <c r="AB812" s="207" t="str">
        <f t="shared" si="74"/>
        <v>AG. MEDIÇÃO</v>
      </c>
      <c r="AC812" s="156" t="str">
        <f t="shared" ca="1" si="75"/>
        <v>DATA ENTRADA</v>
      </c>
      <c r="AD812" s="156" t="str">
        <f t="shared" ca="1" si="76"/>
        <v>ATRASADO</v>
      </c>
      <c r="AE812" s="156" t="str">
        <f t="shared" ca="1" si="77"/>
        <v>DATA ENTRADA</v>
      </c>
    </row>
    <row r="813" spans="1:31" ht="36" hidden="1" customHeight="1">
      <c r="A813" s="414"/>
      <c r="B813" s="440" t="s">
        <v>4211</v>
      </c>
      <c r="C813" s="440" t="s">
        <v>152</v>
      </c>
      <c r="D813" s="440" t="s">
        <v>3876</v>
      </c>
      <c r="E813" s="440" t="s">
        <v>321</v>
      </c>
      <c r="F813" s="440" t="s">
        <v>42</v>
      </c>
      <c r="G813" s="441" t="s">
        <v>4212</v>
      </c>
      <c r="H813" s="440" t="s">
        <v>4213</v>
      </c>
      <c r="I813" s="441" t="s">
        <v>4214</v>
      </c>
      <c r="J813" s="450">
        <v>45505</v>
      </c>
      <c r="K813" s="429" t="s">
        <v>2493</v>
      </c>
      <c r="L813" s="444" t="s">
        <v>1319</v>
      </c>
      <c r="M813" s="444" t="s">
        <v>132</v>
      </c>
      <c r="N813" s="441" t="s">
        <v>2572</v>
      </c>
      <c r="O813" s="445" t="s">
        <v>85</v>
      </c>
      <c r="P813" s="445"/>
      <c r="Q813" s="445">
        <v>211</v>
      </c>
      <c r="R813" s="445" t="s">
        <v>4215</v>
      </c>
      <c r="S813" s="446">
        <v>45549</v>
      </c>
      <c r="T813" s="446">
        <v>45524</v>
      </c>
      <c r="U813" s="446">
        <v>45542</v>
      </c>
      <c r="V813" s="447">
        <v>45542</v>
      </c>
      <c r="W813" s="447">
        <v>45544</v>
      </c>
      <c r="X813" s="447" t="s">
        <v>8044</v>
      </c>
      <c r="Y813" s="420"/>
      <c r="Z813" s="224" t="str">
        <f t="shared" si="72"/>
        <v>AG. MEDIÇÃO</v>
      </c>
      <c r="AA813" s="207" t="str">
        <f t="shared" si="73"/>
        <v>ENTREGUE</v>
      </c>
      <c r="AB813" s="207" t="str">
        <f t="shared" si="74"/>
        <v>AG. MEDIÇÃO</v>
      </c>
      <c r="AC813" s="156">
        <f t="shared" ca="1" si="75"/>
        <v>14</v>
      </c>
      <c r="AD813" s="156" t="str">
        <f t="shared" ca="1" si="76"/>
        <v>ATRASADO</v>
      </c>
      <c r="AE813" s="156">
        <f t="shared" ca="1" si="77"/>
        <v>11</v>
      </c>
    </row>
    <row r="814" spans="1:31" ht="36" hidden="1" customHeight="1">
      <c r="A814" s="414"/>
      <c r="B814" s="429" t="s">
        <v>7201</v>
      </c>
      <c r="C814" s="430" t="s">
        <v>37</v>
      </c>
      <c r="D814" s="430" t="s">
        <v>7184</v>
      </c>
      <c r="E814" s="431" t="s">
        <v>55</v>
      </c>
      <c r="F814" s="429" t="s">
        <v>42</v>
      </c>
      <c r="G814" s="434"/>
      <c r="H814" s="636" t="s">
        <v>7407</v>
      </c>
      <c r="I814" s="433" t="s">
        <v>7185</v>
      </c>
      <c r="J814" s="432">
        <v>46082</v>
      </c>
      <c r="K814" s="429" t="s">
        <v>2493</v>
      </c>
      <c r="L814" s="436" t="s">
        <v>200</v>
      </c>
      <c r="M814" s="436"/>
      <c r="N814" s="433"/>
      <c r="O814" s="437"/>
      <c r="P814" s="437">
        <v>900</v>
      </c>
      <c r="Q814" s="433">
        <v>763</v>
      </c>
      <c r="R814" s="437" t="s">
        <v>7406</v>
      </c>
      <c r="S814" s="438">
        <v>46146</v>
      </c>
      <c r="T814" s="438">
        <v>46089</v>
      </c>
      <c r="U814" s="438"/>
      <c r="V814" s="439"/>
      <c r="W814" s="439">
        <v>46091</v>
      </c>
      <c r="X814" s="439">
        <v>46146</v>
      </c>
      <c r="Y814" s="420"/>
      <c r="Z814" s="224" t="str">
        <f t="shared" si="72"/>
        <v>AG. MEDIÇÃO</v>
      </c>
      <c r="AA814" s="207" t="str">
        <f t="shared" si="73"/>
        <v>ENTREGUE</v>
      </c>
      <c r="AB814" s="207" t="str">
        <f t="shared" si="74"/>
        <v>AG. MEDIÇÃO</v>
      </c>
      <c r="AC814" s="156">
        <f t="shared" ca="1" si="75"/>
        <v>1</v>
      </c>
      <c r="AD814" s="156" t="str">
        <f t="shared" ca="1" si="76"/>
        <v>NO PRAZO</v>
      </c>
      <c r="AE814" s="156">
        <f t="shared" ca="1" si="77"/>
        <v>-2</v>
      </c>
    </row>
    <row r="815" spans="1:31" ht="36" hidden="1" customHeight="1">
      <c r="A815" s="414"/>
      <c r="B815" s="440" t="s">
        <v>2878</v>
      </c>
      <c r="C815" s="440" t="s">
        <v>496</v>
      </c>
      <c r="D815" s="440"/>
      <c r="E815" s="440"/>
      <c r="F815" s="440" t="s">
        <v>2559</v>
      </c>
      <c r="G815" s="441" t="s">
        <v>2879</v>
      </c>
      <c r="H815" s="440" t="s">
        <v>2880</v>
      </c>
      <c r="I815" s="449"/>
      <c r="J815" s="443">
        <v>45058</v>
      </c>
      <c r="K815" s="429" t="s">
        <v>2493</v>
      </c>
      <c r="L815" s="444"/>
      <c r="M815" s="444" t="s">
        <v>774</v>
      </c>
      <c r="N815" s="441" t="s">
        <v>2572</v>
      </c>
      <c r="O815" s="445" t="s">
        <v>85</v>
      </c>
      <c r="P815" s="441" t="s">
        <v>2494</v>
      </c>
      <c r="Q815" s="441" t="s">
        <v>2494</v>
      </c>
      <c r="R815" s="445" t="s">
        <v>2881</v>
      </c>
      <c r="S815" s="446">
        <v>45096</v>
      </c>
      <c r="T815" s="446">
        <v>45096</v>
      </c>
      <c r="U815" s="446"/>
      <c r="V815" s="446"/>
      <c r="W815" s="447"/>
      <c r="X815" s="447" t="s">
        <v>8044</v>
      </c>
      <c r="Y815" s="420"/>
      <c r="Z815" s="224" t="str">
        <f t="shared" si="72"/>
        <v>AG. MEDIÇÃO</v>
      </c>
      <c r="AA815" s="207" t="str">
        <f t="shared" si="73"/>
        <v>ENTREGUE</v>
      </c>
      <c r="AB815" s="207" t="str">
        <f t="shared" si="74"/>
        <v>AG. MEDIÇÃO</v>
      </c>
      <c r="AC815" s="156">
        <f t="shared" ca="1" si="75"/>
        <v>847</v>
      </c>
      <c r="AD815" s="156" t="str">
        <f t="shared" ca="1" si="76"/>
        <v>ATRASADO</v>
      </c>
      <c r="AE815" s="156">
        <f t="shared" ca="1" si="77"/>
        <v>844</v>
      </c>
    </row>
    <row r="816" spans="1:31" ht="36" hidden="1" customHeight="1">
      <c r="A816" s="414"/>
      <c r="B816" s="440" t="s">
        <v>3645</v>
      </c>
      <c r="C816" s="440" t="s">
        <v>328</v>
      </c>
      <c r="D816" s="440"/>
      <c r="E816" s="440"/>
      <c r="F816" s="440" t="s">
        <v>42</v>
      </c>
      <c r="G816" s="441" t="s">
        <v>3348</v>
      </c>
      <c r="H816" s="440" t="s">
        <v>3646</v>
      </c>
      <c r="I816" s="441"/>
      <c r="J816" s="450">
        <v>45383</v>
      </c>
      <c r="K816" s="429" t="s">
        <v>2493</v>
      </c>
      <c r="L816" s="444" t="s">
        <v>2293</v>
      </c>
      <c r="M816" s="444" t="s">
        <v>3647</v>
      </c>
      <c r="N816" s="441" t="s">
        <v>2572</v>
      </c>
      <c r="O816" s="445" t="s">
        <v>85</v>
      </c>
      <c r="P816" s="445"/>
      <c r="Q816" s="441">
        <v>583</v>
      </c>
      <c r="R816" s="445" t="s">
        <v>3648</v>
      </c>
      <c r="S816" s="446">
        <v>45405</v>
      </c>
      <c r="T816" s="446">
        <v>45399</v>
      </c>
      <c r="U816" s="446">
        <v>45399</v>
      </c>
      <c r="V816" s="446">
        <v>45400</v>
      </c>
      <c r="W816" s="446">
        <v>45400</v>
      </c>
      <c r="X816" s="447" t="s">
        <v>8044</v>
      </c>
      <c r="Y816" s="420"/>
      <c r="Z816" s="224" t="str">
        <f t="shared" si="72"/>
        <v>AG. MEDIÇÃO</v>
      </c>
      <c r="AA816" s="207" t="str">
        <f t="shared" si="73"/>
        <v>ENTREGUE</v>
      </c>
      <c r="AB816" s="207" t="str">
        <f t="shared" si="74"/>
        <v>AG. MEDIÇÃO</v>
      </c>
      <c r="AC816" s="156">
        <f t="shared" ca="1" si="75"/>
        <v>1</v>
      </c>
      <c r="AD816" s="156" t="str">
        <f t="shared" ca="1" si="76"/>
        <v>NO PRAZO</v>
      </c>
      <c r="AE816" s="156">
        <f t="shared" ca="1" si="77"/>
        <v>-2</v>
      </c>
    </row>
    <row r="817" spans="1:31" ht="36" hidden="1" customHeight="1">
      <c r="A817" s="414"/>
      <c r="B817" s="440" t="s">
        <v>3666</v>
      </c>
      <c r="C817" s="440" t="s">
        <v>328</v>
      </c>
      <c r="D817" s="440"/>
      <c r="E817" s="440"/>
      <c r="F817" s="440" t="s">
        <v>42</v>
      </c>
      <c r="G817" s="441" t="s">
        <v>3348</v>
      </c>
      <c r="H817" s="440" t="s">
        <v>3667</v>
      </c>
      <c r="I817" s="441"/>
      <c r="J817" s="450">
        <v>45444</v>
      </c>
      <c r="K817" s="429" t="s">
        <v>2493</v>
      </c>
      <c r="L817" s="444" t="s">
        <v>1208</v>
      </c>
      <c r="M817" s="444" t="s">
        <v>3637</v>
      </c>
      <c r="N817" s="441" t="s">
        <v>2572</v>
      </c>
      <c r="O817" s="445" t="s">
        <v>85</v>
      </c>
      <c r="P817" s="445"/>
      <c r="Q817" s="441">
        <v>195</v>
      </c>
      <c r="R817" s="445" t="s">
        <v>3668</v>
      </c>
      <c r="S817" s="446">
        <v>45439</v>
      </c>
      <c r="T817" s="446">
        <v>45399</v>
      </c>
      <c r="U817" s="446"/>
      <c r="V817" s="447">
        <v>45404</v>
      </c>
      <c r="W817" s="447">
        <v>45405</v>
      </c>
      <c r="X817" s="447" t="s">
        <v>8044</v>
      </c>
      <c r="Y817" s="420"/>
      <c r="Z817" s="224" t="str">
        <f t="shared" si="72"/>
        <v>AG. MEDIÇÃO</v>
      </c>
      <c r="AA817" s="207" t="str">
        <f t="shared" si="73"/>
        <v>ENTREGUE</v>
      </c>
      <c r="AB817" s="207" t="str">
        <f t="shared" si="74"/>
        <v>AG. MEDIÇÃO</v>
      </c>
      <c r="AC817" s="156">
        <f t="shared" ca="1" si="75"/>
        <v>4</v>
      </c>
      <c r="AD817" s="156" t="str">
        <f t="shared" ca="1" si="76"/>
        <v>ATRASADO</v>
      </c>
      <c r="AE817" s="156">
        <f t="shared" ca="1" si="77"/>
        <v>1</v>
      </c>
    </row>
    <row r="818" spans="1:31" ht="36" hidden="1" customHeight="1">
      <c r="A818" s="414"/>
      <c r="B818" s="440" t="s">
        <v>3664</v>
      </c>
      <c r="C818" s="440" t="s">
        <v>328</v>
      </c>
      <c r="D818" s="440"/>
      <c r="E818" s="440"/>
      <c r="F818" s="440" t="s">
        <v>42</v>
      </c>
      <c r="G818" s="441" t="s">
        <v>3348</v>
      </c>
      <c r="H818" s="440" t="s">
        <v>3665</v>
      </c>
      <c r="I818" s="441"/>
      <c r="J818" s="450">
        <v>45413</v>
      </c>
      <c r="K818" s="429" t="s">
        <v>2493</v>
      </c>
      <c r="L818" s="444"/>
      <c r="M818" s="444" t="s">
        <v>3647</v>
      </c>
      <c r="N818" s="441" t="s">
        <v>2572</v>
      </c>
      <c r="O818" s="445" t="s">
        <v>85</v>
      </c>
      <c r="P818" s="441" t="s">
        <v>2494</v>
      </c>
      <c r="Q818" s="441" t="s">
        <v>2494</v>
      </c>
      <c r="R818" s="445" t="s">
        <v>2861</v>
      </c>
      <c r="S818" s="446">
        <v>45405</v>
      </c>
      <c r="T818" s="446">
        <v>45399</v>
      </c>
      <c r="U818" s="446"/>
      <c r="V818" s="446">
        <v>45400</v>
      </c>
      <c r="W818" s="446">
        <v>45400</v>
      </c>
      <c r="X818" s="447" t="s">
        <v>8044</v>
      </c>
      <c r="Y818" s="420"/>
      <c r="Z818" s="224" t="str">
        <f t="shared" si="72"/>
        <v>AG. MEDIÇÃO</v>
      </c>
      <c r="AA818" s="207" t="str">
        <f t="shared" si="73"/>
        <v>ENTREGUE</v>
      </c>
      <c r="AB818" s="207" t="str">
        <f t="shared" si="74"/>
        <v>AG. MEDIÇÃO</v>
      </c>
      <c r="AC818" s="156">
        <f t="shared" ca="1" si="75"/>
        <v>1</v>
      </c>
      <c r="AD818" s="156" t="str">
        <f t="shared" ca="1" si="76"/>
        <v>NO PRAZO</v>
      </c>
      <c r="AE818" s="156">
        <f t="shared" ca="1" si="77"/>
        <v>-2</v>
      </c>
    </row>
    <row r="819" spans="1:31" ht="36" hidden="1" customHeight="1">
      <c r="A819" s="414"/>
      <c r="B819" s="429" t="s">
        <v>8270</v>
      </c>
      <c r="C819" s="429" t="s">
        <v>79</v>
      </c>
      <c r="D819" s="429" t="s">
        <v>6893</v>
      </c>
      <c r="E819" s="429" t="s">
        <v>1450</v>
      </c>
      <c r="F819" s="429" t="s">
        <v>42</v>
      </c>
      <c r="G819" s="562" t="s">
        <v>8234</v>
      </c>
      <c r="H819" s="562" t="s">
        <v>8235</v>
      </c>
      <c r="I819" s="570" t="s">
        <v>8182</v>
      </c>
      <c r="J819" s="432">
        <v>46204</v>
      </c>
      <c r="K819" s="429" t="s">
        <v>2493</v>
      </c>
      <c r="L819" s="436"/>
      <c r="M819" s="436" t="s">
        <v>62</v>
      </c>
      <c r="N819" s="437"/>
      <c r="O819" s="437" t="s">
        <v>85</v>
      </c>
      <c r="P819" s="436" t="s">
        <v>2494</v>
      </c>
      <c r="Q819" s="436" t="s">
        <v>2494</v>
      </c>
      <c r="R819" s="499" t="s">
        <v>8470</v>
      </c>
      <c r="S819" s="438">
        <v>46261</v>
      </c>
      <c r="T819" s="438">
        <v>46234</v>
      </c>
      <c r="U819" s="438"/>
      <c r="V819" s="438">
        <v>46234</v>
      </c>
      <c r="W819" s="438">
        <v>46234</v>
      </c>
      <c r="X819" s="439">
        <v>46261</v>
      </c>
      <c r="Y819" s="420"/>
      <c r="Z819" s="224" t="str">
        <f t="shared" si="72"/>
        <v>AG. MEDIÇÃO</v>
      </c>
      <c r="AA819" s="207" t="str">
        <f t="shared" si="73"/>
        <v>ENTREGUE</v>
      </c>
      <c r="AB819" s="207" t="str">
        <f t="shared" si="74"/>
        <v>AG. MEDIÇÃO</v>
      </c>
      <c r="AC819" s="156">
        <f t="shared" ca="1" si="75"/>
        <v>0</v>
      </c>
      <c r="AD819" s="156" t="str">
        <f t="shared" ca="1" si="76"/>
        <v>NO PRAZO</v>
      </c>
      <c r="AE819" s="156">
        <f t="shared" ca="1" si="77"/>
        <v>-3</v>
      </c>
    </row>
    <row r="820" spans="1:31" ht="36" hidden="1" customHeight="1">
      <c r="A820" s="414"/>
      <c r="B820" s="440" t="s">
        <v>4970</v>
      </c>
      <c r="C820" s="440" t="s">
        <v>571</v>
      </c>
      <c r="D820" s="440" t="s">
        <v>4971</v>
      </c>
      <c r="E820" s="440" t="s">
        <v>572</v>
      </c>
      <c r="F820" s="440" t="s">
        <v>42</v>
      </c>
      <c r="G820" s="441" t="s">
        <v>4972</v>
      </c>
      <c r="H820" s="440" t="s">
        <v>4973</v>
      </c>
      <c r="I820" s="441" t="s">
        <v>4974</v>
      </c>
      <c r="J820" s="450">
        <v>45717</v>
      </c>
      <c r="K820" s="429" t="s">
        <v>2493</v>
      </c>
      <c r="L820" s="444"/>
      <c r="M820" s="444" t="s">
        <v>200</v>
      </c>
      <c r="N820" s="441" t="s">
        <v>2572</v>
      </c>
      <c r="O820" s="445" t="s">
        <v>3350</v>
      </c>
      <c r="P820" s="441" t="s">
        <v>2494</v>
      </c>
      <c r="Q820" s="445" t="s">
        <v>2494</v>
      </c>
      <c r="R820" s="445" t="s">
        <v>4975</v>
      </c>
      <c r="S820" s="446">
        <v>45740</v>
      </c>
      <c r="T820" s="446">
        <v>45733</v>
      </c>
      <c r="U820" s="446">
        <v>45734</v>
      </c>
      <c r="V820" s="447">
        <v>45735</v>
      </c>
      <c r="W820" s="447">
        <v>45738</v>
      </c>
      <c r="X820" s="447" t="s">
        <v>8044</v>
      </c>
      <c r="Y820" s="420"/>
      <c r="Z820" s="224" t="str">
        <f t="shared" si="72"/>
        <v>AG. MEDIÇÃO</v>
      </c>
      <c r="AA820" s="207" t="str">
        <f t="shared" si="73"/>
        <v>ENTREGUE</v>
      </c>
      <c r="AB820" s="207" t="str">
        <f t="shared" si="74"/>
        <v>AG. MEDIÇÃO</v>
      </c>
      <c r="AC820" s="156">
        <f t="shared" ca="1" si="75"/>
        <v>4</v>
      </c>
      <c r="AD820" s="156" t="str">
        <f t="shared" ca="1" si="76"/>
        <v>ATRASADO</v>
      </c>
      <c r="AE820" s="156">
        <f t="shared" ca="1" si="77"/>
        <v>1</v>
      </c>
    </row>
    <row r="821" spans="1:31" ht="36" hidden="1" customHeight="1">
      <c r="A821" s="414"/>
      <c r="B821" s="440" t="s">
        <v>5446</v>
      </c>
      <c r="C821" s="440" t="s">
        <v>311</v>
      </c>
      <c r="D821" s="440"/>
      <c r="E821" s="440" t="s">
        <v>312</v>
      </c>
      <c r="F821" s="440" t="s">
        <v>42</v>
      </c>
      <c r="G821" s="441" t="s">
        <v>5447</v>
      </c>
      <c r="H821" s="440" t="s">
        <v>5448</v>
      </c>
      <c r="I821" s="441" t="s">
        <v>5449</v>
      </c>
      <c r="J821" s="450">
        <v>45809</v>
      </c>
      <c r="K821" s="429" t="s">
        <v>2493</v>
      </c>
      <c r="L821" s="444" t="s">
        <v>1208</v>
      </c>
      <c r="M821" s="444" t="s">
        <v>170</v>
      </c>
      <c r="N821" s="441"/>
      <c r="O821" s="445"/>
      <c r="P821" s="441">
        <v>1700</v>
      </c>
      <c r="Q821" s="445">
        <v>1615</v>
      </c>
      <c r="R821" s="445" t="s">
        <v>5450</v>
      </c>
      <c r="S821" s="446">
        <v>45848</v>
      </c>
      <c r="T821" s="446">
        <v>45835</v>
      </c>
      <c r="U821" s="446"/>
      <c r="V821" s="447"/>
      <c r="W821" s="447">
        <v>45846</v>
      </c>
      <c r="X821" s="447" t="s">
        <v>8044</v>
      </c>
      <c r="Y821" s="420"/>
      <c r="Z821" s="224" t="str">
        <f t="shared" si="72"/>
        <v>AG. MEDIÇÃO</v>
      </c>
      <c r="AA821" s="207" t="str">
        <f t="shared" si="73"/>
        <v>ENTREGUE</v>
      </c>
      <c r="AB821" s="207" t="str">
        <f t="shared" si="74"/>
        <v>AG. MEDIÇÃO</v>
      </c>
      <c r="AC821" s="156">
        <f t="shared" ca="1" si="75"/>
        <v>7</v>
      </c>
      <c r="AD821" s="156" t="str">
        <f t="shared" ca="1" si="76"/>
        <v>ATRASADO</v>
      </c>
      <c r="AE821" s="156">
        <f t="shared" ca="1" si="77"/>
        <v>4</v>
      </c>
    </row>
    <row r="822" spans="1:31" ht="36" hidden="1" customHeight="1">
      <c r="A822" s="414"/>
      <c r="B822" s="429" t="s">
        <v>8236</v>
      </c>
      <c r="C822" s="429" t="s">
        <v>2249</v>
      </c>
      <c r="D822" s="429" t="s">
        <v>2006</v>
      </c>
      <c r="E822" s="429" t="s">
        <v>6874</v>
      </c>
      <c r="F822" s="429" t="s">
        <v>42</v>
      </c>
      <c r="G822" s="566" t="s">
        <v>8239</v>
      </c>
      <c r="H822" s="562" t="s">
        <v>8240</v>
      </c>
      <c r="I822" s="562" t="s">
        <v>8241</v>
      </c>
      <c r="J822" s="432">
        <v>46204</v>
      </c>
      <c r="K822" s="429" t="s">
        <v>2493</v>
      </c>
      <c r="L822" s="436"/>
      <c r="M822" s="436" t="s">
        <v>62</v>
      </c>
      <c r="N822" s="437"/>
      <c r="O822" s="437" t="s">
        <v>85</v>
      </c>
      <c r="P822" s="436" t="s">
        <v>2494</v>
      </c>
      <c r="Q822" s="436" t="s">
        <v>2494</v>
      </c>
      <c r="R822" s="499" t="s">
        <v>7003</v>
      </c>
      <c r="S822" s="438">
        <v>46261</v>
      </c>
      <c r="T822" s="438">
        <v>46234</v>
      </c>
      <c r="U822" s="438"/>
      <c r="V822" s="438">
        <v>46238</v>
      </c>
      <c r="W822" s="439">
        <v>46206</v>
      </c>
      <c r="X822" s="439">
        <v>46261</v>
      </c>
      <c r="Y822" s="420"/>
      <c r="Z822" s="224" t="str">
        <f t="shared" si="72"/>
        <v>AG. MEDIÇÃO</v>
      </c>
      <c r="AA822" s="207" t="str">
        <f t="shared" si="73"/>
        <v>ENTREGUE</v>
      </c>
      <c r="AB822" s="207" t="str">
        <f t="shared" si="74"/>
        <v>AG. MEDIÇÃO</v>
      </c>
      <c r="AC822" s="156">
        <f t="shared" ca="1" si="75"/>
        <v>-22</v>
      </c>
      <c r="AD822" s="156" t="str">
        <f t="shared" ca="1" si="76"/>
        <v>NO PRAZO</v>
      </c>
      <c r="AE822" s="156">
        <f t="shared" ca="1" si="77"/>
        <v>-25</v>
      </c>
    </row>
    <row r="823" spans="1:31" ht="36" hidden="1" customHeight="1">
      <c r="A823" s="414"/>
      <c r="B823" s="429" t="s">
        <v>7282</v>
      </c>
      <c r="C823" s="429" t="s">
        <v>248</v>
      </c>
      <c r="D823" s="429" t="s">
        <v>440</v>
      </c>
      <c r="E823" s="429" t="s">
        <v>249</v>
      </c>
      <c r="F823" s="429" t="s">
        <v>42</v>
      </c>
      <c r="G823" s="433"/>
      <c r="H823" s="652" t="s">
        <v>7261</v>
      </c>
      <c r="I823" s="433" t="s">
        <v>4856</v>
      </c>
      <c r="J823" s="432">
        <v>46113</v>
      </c>
      <c r="K823" s="429" t="s">
        <v>2493</v>
      </c>
      <c r="L823" s="436"/>
      <c r="M823" s="436" t="s">
        <v>7267</v>
      </c>
      <c r="N823" s="433"/>
      <c r="O823" s="437"/>
      <c r="P823" s="433" t="s">
        <v>2494</v>
      </c>
      <c r="Q823" s="437" t="s">
        <v>2494</v>
      </c>
      <c r="R823" s="437" t="s">
        <v>7268</v>
      </c>
      <c r="S823" s="438">
        <v>46122</v>
      </c>
      <c r="T823" s="438">
        <v>46121</v>
      </c>
      <c r="U823" s="438">
        <v>46121</v>
      </c>
      <c r="V823" s="438">
        <v>46121</v>
      </c>
      <c r="W823" s="439">
        <v>46121</v>
      </c>
      <c r="X823" s="439">
        <v>46122</v>
      </c>
      <c r="Y823" s="420"/>
      <c r="Z823" s="224" t="str">
        <f t="shared" si="72"/>
        <v>AG. MEDIÇÃO</v>
      </c>
      <c r="AA823" s="207" t="str">
        <f t="shared" si="73"/>
        <v>ENTREGUE</v>
      </c>
      <c r="AB823" s="207" t="str">
        <f t="shared" si="74"/>
        <v>AG. MEDIÇÃO</v>
      </c>
      <c r="AC823" s="156">
        <f t="shared" ca="1" si="75"/>
        <v>0</v>
      </c>
      <c r="AD823" s="156" t="str">
        <f t="shared" ca="1" si="76"/>
        <v>NO PRAZO</v>
      </c>
      <c r="AE823" s="156">
        <f t="shared" ca="1" si="77"/>
        <v>-3</v>
      </c>
    </row>
    <row r="824" spans="1:31" ht="36" hidden="1" customHeight="1">
      <c r="A824" s="414"/>
      <c r="B824" s="440" t="s">
        <v>5441</v>
      </c>
      <c r="C824" s="440" t="s">
        <v>248</v>
      </c>
      <c r="D824" s="440" t="s">
        <v>5060</v>
      </c>
      <c r="E824" s="440" t="s">
        <v>249</v>
      </c>
      <c r="F824" s="440" t="s">
        <v>42</v>
      </c>
      <c r="G824" s="441" t="s">
        <v>5442</v>
      </c>
      <c r="H824" s="440" t="s">
        <v>5443</v>
      </c>
      <c r="I824" s="441" t="s">
        <v>5444</v>
      </c>
      <c r="J824" s="450">
        <v>45809</v>
      </c>
      <c r="K824" s="429" t="s">
        <v>2493</v>
      </c>
      <c r="L824" s="444" t="s">
        <v>147</v>
      </c>
      <c r="M824" s="444" t="s">
        <v>62</v>
      </c>
      <c r="N824" s="441"/>
      <c r="O824" s="445"/>
      <c r="P824" s="441"/>
      <c r="Q824" s="445">
        <v>485</v>
      </c>
      <c r="R824" s="445" t="s">
        <v>5445</v>
      </c>
      <c r="S824" s="446">
        <v>45877</v>
      </c>
      <c r="T824" s="446">
        <v>45835</v>
      </c>
      <c r="U824" s="446"/>
      <c r="V824" s="447"/>
      <c r="W824" s="447"/>
      <c r="X824" s="447" t="s">
        <v>8044</v>
      </c>
      <c r="Y824" s="420"/>
      <c r="Z824" s="224" t="str">
        <f t="shared" si="72"/>
        <v>AG. MEDIÇÃO</v>
      </c>
      <c r="AA824" s="207" t="str">
        <f t="shared" si="73"/>
        <v>ENTREGUE</v>
      </c>
      <c r="AB824" s="207" t="str">
        <f t="shared" si="74"/>
        <v>AG. MEDIÇÃO</v>
      </c>
      <c r="AC824" s="156">
        <f t="shared" ca="1" si="75"/>
        <v>318</v>
      </c>
      <c r="AD824" s="156" t="str">
        <f t="shared" ca="1" si="76"/>
        <v>ATRASADO</v>
      </c>
      <c r="AE824" s="156">
        <f t="shared" ca="1" si="77"/>
        <v>315</v>
      </c>
    </row>
    <row r="825" spans="1:31" ht="36" hidden="1" customHeight="1">
      <c r="A825" s="414"/>
      <c r="B825" s="440" t="s">
        <v>4303</v>
      </c>
      <c r="C825" s="440" t="s">
        <v>479</v>
      </c>
      <c r="D825" s="440" t="s">
        <v>479</v>
      </c>
      <c r="E825" s="440" t="s">
        <v>480</v>
      </c>
      <c r="F825" s="440" t="s">
        <v>42</v>
      </c>
      <c r="G825" s="441" t="s">
        <v>3348</v>
      </c>
      <c r="H825" s="440" t="s">
        <v>4304</v>
      </c>
      <c r="I825" s="441" t="s">
        <v>4305</v>
      </c>
      <c r="J825" s="450">
        <v>45505</v>
      </c>
      <c r="K825" s="429" t="s">
        <v>2493</v>
      </c>
      <c r="L825" s="444" t="s">
        <v>1319</v>
      </c>
      <c r="M825" s="444" t="s">
        <v>51</v>
      </c>
      <c r="N825" s="441" t="s">
        <v>2572</v>
      </c>
      <c r="O825" s="445" t="s">
        <v>85</v>
      </c>
      <c r="P825" s="445">
        <v>250</v>
      </c>
      <c r="Q825" s="445">
        <v>195</v>
      </c>
      <c r="R825" s="445" t="s">
        <v>4306</v>
      </c>
      <c r="S825" s="446">
        <v>45555</v>
      </c>
      <c r="T825" s="446">
        <v>45533</v>
      </c>
      <c r="U825" s="446">
        <v>45537</v>
      </c>
      <c r="V825" s="447">
        <v>45540</v>
      </c>
      <c r="W825" s="447">
        <v>45544</v>
      </c>
      <c r="X825" s="447" t="s">
        <v>8044</v>
      </c>
      <c r="Y825" s="420"/>
      <c r="Z825" s="224" t="str">
        <f t="shared" si="72"/>
        <v>AG. MEDIÇÃO</v>
      </c>
      <c r="AA825" s="207" t="str">
        <f t="shared" si="73"/>
        <v>ENTREGUE</v>
      </c>
      <c r="AB825" s="207" t="str">
        <f t="shared" si="74"/>
        <v>AG. MEDIÇÃO</v>
      </c>
      <c r="AC825" s="156">
        <f t="shared" ca="1" si="75"/>
        <v>7</v>
      </c>
      <c r="AD825" s="156" t="str">
        <f t="shared" ca="1" si="76"/>
        <v>ATRASADO</v>
      </c>
      <c r="AE825" s="156">
        <f t="shared" ca="1" si="77"/>
        <v>4</v>
      </c>
    </row>
    <row r="826" spans="1:31" ht="36" hidden="1" customHeight="1">
      <c r="A826" s="414"/>
      <c r="B826" s="440" t="s">
        <v>5426</v>
      </c>
      <c r="C826" s="440" t="s">
        <v>126</v>
      </c>
      <c r="D826" s="440" t="s">
        <v>128</v>
      </c>
      <c r="E826" s="440" t="s">
        <v>127</v>
      </c>
      <c r="F826" s="440" t="s">
        <v>42</v>
      </c>
      <c r="G826" s="441" t="s">
        <v>5427</v>
      </c>
      <c r="H826" s="440" t="s">
        <v>5428</v>
      </c>
      <c r="I826" s="441" t="s">
        <v>5429</v>
      </c>
      <c r="J826" s="450">
        <v>45809</v>
      </c>
      <c r="K826" s="429" t="s">
        <v>2493</v>
      </c>
      <c r="L826" s="444" t="s">
        <v>1208</v>
      </c>
      <c r="M826" s="444" t="s">
        <v>62</v>
      </c>
      <c r="N826" s="441"/>
      <c r="O826" s="445"/>
      <c r="P826" s="441">
        <v>220</v>
      </c>
      <c r="Q826" s="445">
        <v>229</v>
      </c>
      <c r="R826" s="445" t="s">
        <v>5430</v>
      </c>
      <c r="S826" s="446">
        <v>45852</v>
      </c>
      <c r="T826" s="446">
        <v>45832</v>
      </c>
      <c r="U826" s="446"/>
      <c r="V826" s="447"/>
      <c r="W826" s="447"/>
      <c r="X826" s="447" t="s">
        <v>8044</v>
      </c>
      <c r="Y826" s="420"/>
      <c r="Z826" s="224" t="str">
        <f t="shared" si="72"/>
        <v>AG. MEDIÇÃO</v>
      </c>
      <c r="AA826" s="207" t="str">
        <f t="shared" si="73"/>
        <v>ENTREGUE</v>
      </c>
      <c r="AB826" s="207" t="str">
        <f t="shared" si="74"/>
        <v>AG. MEDIÇÃO</v>
      </c>
      <c r="AC826" s="156">
        <f t="shared" ca="1" si="75"/>
        <v>321</v>
      </c>
      <c r="AD826" s="156" t="str">
        <f t="shared" ca="1" si="76"/>
        <v>ATRASADO</v>
      </c>
      <c r="AE826" s="156">
        <f t="shared" ca="1" si="77"/>
        <v>318</v>
      </c>
    </row>
    <row r="827" spans="1:31" ht="36" hidden="1" customHeight="1">
      <c r="A827" s="414"/>
      <c r="B827" s="440" t="s">
        <v>5451</v>
      </c>
      <c r="C827" s="440" t="s">
        <v>555</v>
      </c>
      <c r="D827" s="440" t="s">
        <v>2033</v>
      </c>
      <c r="E827" s="440" t="s">
        <v>556</v>
      </c>
      <c r="F827" s="440" t="s">
        <v>42</v>
      </c>
      <c r="G827" s="441"/>
      <c r="H827" s="440" t="s">
        <v>5452</v>
      </c>
      <c r="I827" s="441" t="s">
        <v>5453</v>
      </c>
      <c r="J827" s="450">
        <v>45809</v>
      </c>
      <c r="K827" s="429" t="s">
        <v>2493</v>
      </c>
      <c r="L827" s="444" t="s">
        <v>1208</v>
      </c>
      <c r="M827" s="444" t="s">
        <v>62</v>
      </c>
      <c r="N827" s="441"/>
      <c r="O827" s="445"/>
      <c r="P827" s="441"/>
      <c r="Q827" s="445">
        <v>460</v>
      </c>
      <c r="R827" s="445" t="s">
        <v>5454</v>
      </c>
      <c r="S827" s="446" t="s">
        <v>2033</v>
      </c>
      <c r="T827" s="446"/>
      <c r="U827" s="446"/>
      <c r="V827" s="447"/>
      <c r="W827" s="447"/>
      <c r="X827" s="447" t="s">
        <v>8044</v>
      </c>
      <c r="Y827" s="420"/>
      <c r="Z827" s="224" t="str">
        <f t="shared" si="72"/>
        <v>AG. MEDIÇÃO</v>
      </c>
      <c r="AA827" s="207" t="str">
        <f t="shared" si="73"/>
        <v>ENTREGUE</v>
      </c>
      <c r="AB827" s="207" t="str">
        <f t="shared" si="74"/>
        <v>AG. MEDIÇÃO</v>
      </c>
      <c r="AC827" s="156" t="str">
        <f t="shared" ca="1" si="75"/>
        <v>DATA ENTRADA</v>
      </c>
      <c r="AD827" s="156" t="str">
        <f t="shared" ca="1" si="76"/>
        <v>ATRASADO</v>
      </c>
      <c r="AE827" s="156" t="str">
        <f t="shared" ca="1" si="77"/>
        <v>DATA ENTRADA</v>
      </c>
    </row>
    <row r="828" spans="1:31" ht="36" hidden="1" customHeight="1">
      <c r="A828" s="414"/>
      <c r="B828" s="440" t="s">
        <v>4719</v>
      </c>
      <c r="C828" s="440" t="s">
        <v>616</v>
      </c>
      <c r="D828" s="440" t="s">
        <v>617</v>
      </c>
      <c r="E828" s="440" t="s">
        <v>354</v>
      </c>
      <c r="F828" s="440" t="s">
        <v>42</v>
      </c>
      <c r="G828" s="441"/>
      <c r="H828" s="440" t="s">
        <v>4720</v>
      </c>
      <c r="I828" s="441" t="s">
        <v>4721</v>
      </c>
      <c r="J828" s="450">
        <v>45658</v>
      </c>
      <c r="K828" s="429" t="s">
        <v>2493</v>
      </c>
      <c r="L828" s="444" t="s">
        <v>200</v>
      </c>
      <c r="M828" s="444" t="s">
        <v>200</v>
      </c>
      <c r="N828" s="441" t="s">
        <v>2572</v>
      </c>
      <c r="O828" s="445" t="s">
        <v>4560</v>
      </c>
      <c r="P828" s="445"/>
      <c r="Q828" s="445">
        <v>229</v>
      </c>
      <c r="R828" s="445" t="s">
        <v>4722</v>
      </c>
      <c r="S828" s="446">
        <v>45698</v>
      </c>
      <c r="T828" s="446">
        <v>45664</v>
      </c>
      <c r="U828" s="446">
        <v>45679</v>
      </c>
      <c r="V828" s="447">
        <v>45659</v>
      </c>
      <c r="W828" s="447">
        <v>45679</v>
      </c>
      <c r="X828" s="447" t="s">
        <v>8044</v>
      </c>
      <c r="Y828" s="420"/>
      <c r="Z828" s="224" t="str">
        <f t="shared" si="72"/>
        <v>AG. MEDIÇÃO</v>
      </c>
      <c r="AA828" s="207" t="str">
        <f t="shared" si="73"/>
        <v>ENTREGUE</v>
      </c>
      <c r="AB828" s="207" t="str">
        <f t="shared" si="74"/>
        <v>AG. MEDIÇÃO</v>
      </c>
      <c r="AC828" s="156">
        <f t="shared" ca="1" si="75"/>
        <v>11</v>
      </c>
      <c r="AD828" s="156" t="str">
        <f t="shared" ca="1" si="76"/>
        <v>ATRASADO</v>
      </c>
      <c r="AE828" s="156">
        <f t="shared" ca="1" si="77"/>
        <v>8</v>
      </c>
    </row>
    <row r="829" spans="1:31" ht="36" hidden="1" customHeight="1">
      <c r="A829" s="414"/>
      <c r="B829" s="440" t="s">
        <v>5785</v>
      </c>
      <c r="C829" s="440" t="s">
        <v>353</v>
      </c>
      <c r="D829" s="440" t="s">
        <v>355</v>
      </c>
      <c r="E829" s="440" t="s">
        <v>354</v>
      </c>
      <c r="F829" s="440" t="s">
        <v>42</v>
      </c>
      <c r="G829" s="485" t="s">
        <v>5786</v>
      </c>
      <c r="H829" s="641" t="s">
        <v>5787</v>
      </c>
      <c r="I829" s="441" t="s">
        <v>5788</v>
      </c>
      <c r="J829" s="450">
        <v>45931</v>
      </c>
      <c r="K829" s="429" t="s">
        <v>2493</v>
      </c>
      <c r="L829" s="444" t="s">
        <v>147</v>
      </c>
      <c r="M829" s="444" t="s">
        <v>200</v>
      </c>
      <c r="N829" s="441"/>
      <c r="O829" s="445"/>
      <c r="P829" s="441">
        <v>415</v>
      </c>
      <c r="Q829" s="445">
        <v>483</v>
      </c>
      <c r="R829" s="445" t="s">
        <v>5789</v>
      </c>
      <c r="S829" s="446">
        <v>45950</v>
      </c>
      <c r="T829" s="446">
        <v>45948</v>
      </c>
      <c r="U829" s="446"/>
      <c r="V829" s="447"/>
      <c r="W829" s="447">
        <v>45950</v>
      </c>
      <c r="X829" s="447">
        <v>45950</v>
      </c>
      <c r="Y829" s="420"/>
      <c r="Z829" s="224" t="str">
        <f t="shared" si="72"/>
        <v>AG. MEDIÇÃO</v>
      </c>
      <c r="AA829" s="207" t="str">
        <f t="shared" si="73"/>
        <v>ENTREGUE</v>
      </c>
      <c r="AB829" s="207" t="str">
        <f t="shared" si="74"/>
        <v>AG. MEDIÇÃO</v>
      </c>
      <c r="AC829" s="156">
        <f t="shared" ca="1" si="75"/>
        <v>0</v>
      </c>
      <c r="AD829" s="156" t="str">
        <f t="shared" ca="1" si="76"/>
        <v>NO PRAZO</v>
      </c>
      <c r="AE829" s="156">
        <f t="shared" ca="1" si="77"/>
        <v>-3</v>
      </c>
    </row>
    <row r="830" spans="1:31" ht="36" hidden="1" customHeight="1">
      <c r="A830" s="414"/>
      <c r="B830" s="440" t="s">
        <v>3859</v>
      </c>
      <c r="C830" s="440" t="s">
        <v>373</v>
      </c>
      <c r="D830" s="440" t="s">
        <v>2902</v>
      </c>
      <c r="E830" s="440"/>
      <c r="F830" s="440" t="s">
        <v>42</v>
      </c>
      <c r="G830" s="441" t="s">
        <v>3860</v>
      </c>
      <c r="H830" s="440" t="s">
        <v>3861</v>
      </c>
      <c r="I830" s="441" t="s">
        <v>3862</v>
      </c>
      <c r="J830" s="450">
        <v>45413</v>
      </c>
      <c r="K830" s="429" t="s">
        <v>2493</v>
      </c>
      <c r="L830" s="444" t="s">
        <v>3863</v>
      </c>
      <c r="M830" s="444" t="s">
        <v>3637</v>
      </c>
      <c r="N830" s="441" t="s">
        <v>2572</v>
      </c>
      <c r="O830" s="445" t="s">
        <v>85</v>
      </c>
      <c r="P830" s="445"/>
      <c r="Q830" s="441">
        <v>108</v>
      </c>
      <c r="R830" s="445" t="s">
        <v>3864</v>
      </c>
      <c r="S830" s="446">
        <v>45469</v>
      </c>
      <c r="T830" s="446">
        <v>45439</v>
      </c>
      <c r="U830" s="446">
        <v>45440</v>
      </c>
      <c r="V830" s="447">
        <v>45441</v>
      </c>
      <c r="W830" s="447">
        <v>45441</v>
      </c>
      <c r="X830" s="447" t="s">
        <v>8044</v>
      </c>
      <c r="Y830" s="420"/>
      <c r="Z830" s="224" t="str">
        <f t="shared" si="72"/>
        <v>AG. MEDIÇÃO</v>
      </c>
      <c r="AA830" s="207" t="str">
        <f t="shared" si="73"/>
        <v>ENTREGUE</v>
      </c>
      <c r="AB830" s="207" t="str">
        <f t="shared" si="74"/>
        <v>AG. MEDIÇÃO</v>
      </c>
      <c r="AC830" s="156">
        <f t="shared" ca="1" si="75"/>
        <v>2</v>
      </c>
      <c r="AD830" s="156" t="str">
        <f t="shared" ca="1" si="76"/>
        <v>NO PRAZO</v>
      </c>
      <c r="AE830" s="156">
        <f t="shared" ca="1" si="77"/>
        <v>-1</v>
      </c>
    </row>
    <row r="831" spans="1:31" ht="36" hidden="1" customHeight="1">
      <c r="A831" s="414"/>
      <c r="B831" s="429" t="s">
        <v>7640</v>
      </c>
      <c r="C831" s="430" t="s">
        <v>305</v>
      </c>
      <c r="D831" s="430"/>
      <c r="E831" s="432"/>
      <c r="F831" s="429" t="s">
        <v>42</v>
      </c>
      <c r="G831" s="434" t="s">
        <v>7556</v>
      </c>
      <c r="H831" s="636" t="s">
        <v>7557</v>
      </c>
      <c r="I831" s="433" t="s">
        <v>7554</v>
      </c>
      <c r="J831" s="432">
        <v>46143</v>
      </c>
      <c r="K831" s="429" t="s">
        <v>2493</v>
      </c>
      <c r="L831" s="487"/>
      <c r="M831" s="436" t="s">
        <v>62</v>
      </c>
      <c r="N831" s="433"/>
      <c r="O831" s="437"/>
      <c r="P831" s="433" t="s">
        <v>2494</v>
      </c>
      <c r="Q831" s="437" t="s">
        <v>2494</v>
      </c>
      <c r="R831" s="437" t="s">
        <v>7555</v>
      </c>
      <c r="S831" s="438">
        <v>46162</v>
      </c>
      <c r="T831" s="438">
        <v>46158</v>
      </c>
      <c r="U831" s="438"/>
      <c r="V831" s="439"/>
      <c r="W831" s="439">
        <v>46159</v>
      </c>
      <c r="X831" s="439">
        <v>46162</v>
      </c>
      <c r="Y831" s="420"/>
      <c r="Z831" s="224" t="str">
        <f t="shared" si="72"/>
        <v>AG. MEDIÇÃO</v>
      </c>
      <c r="AA831" s="207" t="str">
        <f t="shared" si="73"/>
        <v>ENTREGUE</v>
      </c>
      <c r="AB831" s="207" t="str">
        <f t="shared" si="74"/>
        <v>AG. MEDIÇÃO</v>
      </c>
      <c r="AC831" s="156">
        <f t="shared" ca="1" si="75"/>
        <v>-1</v>
      </c>
      <c r="AD831" s="156" t="str">
        <f t="shared" ca="1" si="76"/>
        <v>NO PRAZO</v>
      </c>
      <c r="AE831" s="156">
        <f t="shared" ca="1" si="77"/>
        <v>-4</v>
      </c>
    </row>
    <row r="832" spans="1:31" ht="36" hidden="1" customHeight="1">
      <c r="A832" s="414"/>
      <c r="B832" s="440" t="s">
        <v>2840</v>
      </c>
      <c r="C832" s="440" t="s">
        <v>111</v>
      </c>
      <c r="D832" s="440"/>
      <c r="E832" s="440"/>
      <c r="F832" s="440" t="s">
        <v>42</v>
      </c>
      <c r="G832" s="441" t="s">
        <v>2841</v>
      </c>
      <c r="H832" s="440" t="s">
        <v>2842</v>
      </c>
      <c r="I832" s="449"/>
      <c r="J832" s="443">
        <v>45017</v>
      </c>
      <c r="K832" s="429" t="s">
        <v>2493</v>
      </c>
      <c r="L832" s="444" t="s">
        <v>2646</v>
      </c>
      <c r="M832" s="444"/>
      <c r="N832" s="441" t="s">
        <v>2572</v>
      </c>
      <c r="O832" s="445" t="s">
        <v>85</v>
      </c>
      <c r="P832" s="445"/>
      <c r="Q832" s="441">
        <v>600</v>
      </c>
      <c r="R832" s="445" t="s">
        <v>2843</v>
      </c>
      <c r="S832" s="446">
        <v>45118</v>
      </c>
      <c r="T832" s="446">
        <v>45021</v>
      </c>
      <c r="U832" s="446">
        <v>45020</v>
      </c>
      <c r="V832" s="446">
        <v>44304</v>
      </c>
      <c r="W832" s="447">
        <v>45034</v>
      </c>
      <c r="X832" s="447" t="s">
        <v>8044</v>
      </c>
      <c r="Y832" s="420"/>
      <c r="Z832" s="224" t="str">
        <f t="shared" si="72"/>
        <v>AG. MEDIÇÃO</v>
      </c>
      <c r="AA832" s="207" t="str">
        <f t="shared" si="73"/>
        <v>ENTREGUE</v>
      </c>
      <c r="AB832" s="207" t="str">
        <f t="shared" si="74"/>
        <v>AG. MEDIÇÃO</v>
      </c>
      <c r="AC832" s="156">
        <f t="shared" ca="1" si="75"/>
        <v>9</v>
      </c>
      <c r="AD832" s="156" t="str">
        <f t="shared" ca="1" si="76"/>
        <v>ATRASADO</v>
      </c>
      <c r="AE832" s="156">
        <f t="shared" ca="1" si="77"/>
        <v>6</v>
      </c>
    </row>
    <row r="833" spans="1:31" ht="36" hidden="1" customHeight="1">
      <c r="A833" s="414"/>
      <c r="B833" s="440" t="s">
        <v>4272</v>
      </c>
      <c r="C833" s="440" t="s">
        <v>410</v>
      </c>
      <c r="D833" s="440" t="s">
        <v>579</v>
      </c>
      <c r="E833" s="440" t="s">
        <v>411</v>
      </c>
      <c r="F833" s="440" t="s">
        <v>42</v>
      </c>
      <c r="G833" s="441"/>
      <c r="H833" s="440" t="s">
        <v>4273</v>
      </c>
      <c r="I833" s="440" t="s">
        <v>4274</v>
      </c>
      <c r="J833" s="450">
        <v>45536</v>
      </c>
      <c r="K833" s="429" t="s">
        <v>2493</v>
      </c>
      <c r="L833" s="444" t="s">
        <v>1380</v>
      </c>
      <c r="M833" s="444" t="s">
        <v>714</v>
      </c>
      <c r="N833" s="441" t="s">
        <v>2572</v>
      </c>
      <c r="O833" s="445" t="s">
        <v>85</v>
      </c>
      <c r="P833" s="445">
        <v>250</v>
      </c>
      <c r="Q833" s="445">
        <v>276</v>
      </c>
      <c r="R833" s="444" t="s">
        <v>4275</v>
      </c>
      <c r="S833" s="446">
        <v>45549</v>
      </c>
      <c r="T833" s="446">
        <v>45531</v>
      </c>
      <c r="U833" s="446">
        <v>45545</v>
      </c>
      <c r="V833" s="447">
        <v>45546</v>
      </c>
      <c r="W833" s="447">
        <v>45546</v>
      </c>
      <c r="X833" s="447" t="s">
        <v>8044</v>
      </c>
      <c r="Y833" s="420"/>
      <c r="Z833" s="224" t="str">
        <f t="shared" si="72"/>
        <v>AG. MEDIÇÃO</v>
      </c>
      <c r="AA833" s="207" t="str">
        <f t="shared" si="73"/>
        <v>ENTREGUE</v>
      </c>
      <c r="AB833" s="207" t="str">
        <f t="shared" si="74"/>
        <v>AG. MEDIÇÃO</v>
      </c>
      <c r="AC833" s="156">
        <f t="shared" ca="1" si="75"/>
        <v>11</v>
      </c>
      <c r="AD833" s="156" t="str">
        <f t="shared" ca="1" si="76"/>
        <v>ATRASADO</v>
      </c>
      <c r="AE833" s="156">
        <f t="shared" ca="1" si="77"/>
        <v>8</v>
      </c>
    </row>
    <row r="834" spans="1:31" ht="36" hidden="1" customHeight="1">
      <c r="A834" s="414"/>
      <c r="B834" s="440" t="s">
        <v>4081</v>
      </c>
      <c r="C834" s="440" t="s">
        <v>410</v>
      </c>
      <c r="D834" s="440" t="s">
        <v>472</v>
      </c>
      <c r="E834" s="440" t="s">
        <v>411</v>
      </c>
      <c r="F834" s="440" t="s">
        <v>42</v>
      </c>
      <c r="G834" s="441"/>
      <c r="H834" s="440" t="s">
        <v>4082</v>
      </c>
      <c r="I834" s="441" t="s">
        <v>4083</v>
      </c>
      <c r="J834" s="450">
        <v>45474</v>
      </c>
      <c r="K834" s="429" t="s">
        <v>2493</v>
      </c>
      <c r="L834" s="444"/>
      <c r="M834" s="444" t="s">
        <v>51</v>
      </c>
      <c r="N834" s="441" t="s">
        <v>2572</v>
      </c>
      <c r="O834" s="445" t="s">
        <v>85</v>
      </c>
      <c r="P834" s="445"/>
      <c r="Q834" s="441"/>
      <c r="R834" s="445" t="s">
        <v>4084</v>
      </c>
      <c r="S834" s="446">
        <v>45532</v>
      </c>
      <c r="T834" s="446">
        <v>45499</v>
      </c>
      <c r="U834" s="446">
        <v>45507</v>
      </c>
      <c r="V834" s="446">
        <v>45507</v>
      </c>
      <c r="W834" s="446">
        <v>45507</v>
      </c>
      <c r="X834" s="447" t="s">
        <v>8044</v>
      </c>
      <c r="Y834" s="420"/>
      <c r="Z834" s="224" t="str">
        <f t="shared" si="72"/>
        <v>AG. MEDIÇÃO</v>
      </c>
      <c r="AA834" s="207" t="str">
        <f t="shared" si="73"/>
        <v>ENTREGUE</v>
      </c>
      <c r="AB834" s="207" t="str">
        <f t="shared" si="74"/>
        <v>AG. MEDIÇÃO</v>
      </c>
      <c r="AC834" s="156">
        <f t="shared" ca="1" si="75"/>
        <v>5</v>
      </c>
      <c r="AD834" s="156" t="str">
        <f t="shared" ca="1" si="76"/>
        <v>ATRASADO</v>
      </c>
      <c r="AE834" s="156">
        <f t="shared" ca="1" si="77"/>
        <v>2</v>
      </c>
    </row>
    <row r="835" spans="1:31" ht="36" hidden="1" customHeight="1">
      <c r="A835" s="414"/>
      <c r="B835" s="440" t="s">
        <v>5363</v>
      </c>
      <c r="C835" s="440" t="s">
        <v>160</v>
      </c>
      <c r="D835" s="440" t="s">
        <v>1163</v>
      </c>
      <c r="E835" s="440" t="s">
        <v>161</v>
      </c>
      <c r="F835" s="440" t="s">
        <v>42</v>
      </c>
      <c r="G835" s="441" t="s">
        <v>5364</v>
      </c>
      <c r="H835" s="440" t="s">
        <v>5365</v>
      </c>
      <c r="I835" s="441" t="s">
        <v>5366</v>
      </c>
      <c r="J835" s="450">
        <v>45809</v>
      </c>
      <c r="K835" s="429" t="s">
        <v>2493</v>
      </c>
      <c r="L835" s="444" t="s">
        <v>50</v>
      </c>
      <c r="M835" s="444" t="s">
        <v>132</v>
      </c>
      <c r="N835" s="441"/>
      <c r="O835" s="445"/>
      <c r="P835" s="441"/>
      <c r="Q835" s="445"/>
      <c r="R835" s="445" t="s">
        <v>5367</v>
      </c>
      <c r="S835" s="446" t="s">
        <v>5368</v>
      </c>
      <c r="T835" s="446">
        <v>45820</v>
      </c>
      <c r="U835" s="446"/>
      <c r="V835" s="447"/>
      <c r="W835" s="447">
        <v>45838</v>
      </c>
      <c r="X835" s="447" t="s">
        <v>8044</v>
      </c>
      <c r="Y835" s="420"/>
      <c r="Z835" s="224" t="str">
        <f t="shared" si="72"/>
        <v>AG. MEDIÇÃO</v>
      </c>
      <c r="AA835" s="207" t="str">
        <f t="shared" si="73"/>
        <v>ENTREGUE</v>
      </c>
      <c r="AB835" s="207" t="str">
        <f t="shared" si="74"/>
        <v>AG. MEDIÇÃO</v>
      </c>
      <c r="AC835" s="156">
        <f t="shared" ca="1" si="75"/>
        <v>12</v>
      </c>
      <c r="AD835" s="156" t="str">
        <f t="shared" ca="1" si="76"/>
        <v>ATRASADO</v>
      </c>
      <c r="AE835" s="156">
        <f t="shared" ca="1" si="77"/>
        <v>9</v>
      </c>
    </row>
    <row r="836" spans="1:31" ht="36" hidden="1" customHeight="1">
      <c r="A836" s="414"/>
      <c r="B836" s="466" t="s">
        <v>2549</v>
      </c>
      <c r="C836" s="466" t="s">
        <v>2550</v>
      </c>
      <c r="D836" s="466"/>
      <c r="E836" s="466" t="s">
        <v>2551</v>
      </c>
      <c r="F836" s="466" t="s">
        <v>2552</v>
      </c>
      <c r="G836" s="475"/>
      <c r="H836" s="645" t="s">
        <v>2553</v>
      </c>
      <c r="I836" s="475" t="s">
        <v>2554</v>
      </c>
      <c r="J836" s="476">
        <v>45962</v>
      </c>
      <c r="K836" s="429" t="s">
        <v>2493</v>
      </c>
      <c r="L836" s="477" t="s">
        <v>259</v>
      </c>
      <c r="M836" s="477" t="s">
        <v>259</v>
      </c>
      <c r="N836" s="475"/>
      <c r="O836" s="478">
        <v>46045</v>
      </c>
      <c r="P836" s="475">
        <v>376</v>
      </c>
      <c r="Q836" s="479">
        <v>493</v>
      </c>
      <c r="R836" s="479" t="s">
        <v>6783</v>
      </c>
      <c r="S836" s="480">
        <v>46156</v>
      </c>
      <c r="T836" s="480">
        <v>45986</v>
      </c>
      <c r="U836" s="480"/>
      <c r="V836" s="481"/>
      <c r="W836" s="481">
        <v>45997</v>
      </c>
      <c r="X836" s="481">
        <v>46045</v>
      </c>
      <c r="Y836" s="420"/>
      <c r="Z836" s="224" t="str">
        <f t="shared" si="72"/>
        <v>AG. MEDIÇÃO</v>
      </c>
      <c r="AA836" s="207" t="str">
        <f t="shared" si="73"/>
        <v>ENTREGUE</v>
      </c>
      <c r="AB836" s="207" t="str">
        <f t="shared" si="74"/>
        <v>AG. MEDIÇÃO</v>
      </c>
      <c r="AC836" s="156">
        <f t="shared" ca="1" si="75"/>
        <v>8</v>
      </c>
      <c r="AD836" s="156" t="str">
        <f t="shared" ca="1" si="76"/>
        <v>ATRASADO</v>
      </c>
      <c r="AE836" s="156">
        <f t="shared" ca="1" si="77"/>
        <v>5</v>
      </c>
    </row>
    <row r="837" spans="1:31" ht="36" hidden="1" customHeight="1">
      <c r="A837" s="414"/>
      <c r="B837" s="440" t="s">
        <v>3841</v>
      </c>
      <c r="C837" s="440" t="s">
        <v>111</v>
      </c>
      <c r="D837" s="440" t="s">
        <v>1053</v>
      </c>
      <c r="E837" s="440"/>
      <c r="F837" s="440" t="s">
        <v>42</v>
      </c>
      <c r="G837" s="441" t="s">
        <v>3842</v>
      </c>
      <c r="H837" s="440" t="s">
        <v>3843</v>
      </c>
      <c r="I837" s="441" t="s">
        <v>3844</v>
      </c>
      <c r="J837" s="450">
        <v>45413</v>
      </c>
      <c r="K837" s="429" t="s">
        <v>2493</v>
      </c>
      <c r="L837" s="444" t="s">
        <v>1130</v>
      </c>
      <c r="M837" s="444" t="s">
        <v>51</v>
      </c>
      <c r="N837" s="441" t="s">
        <v>2572</v>
      </c>
      <c r="O837" s="445" t="s">
        <v>85</v>
      </c>
      <c r="P837" s="445"/>
      <c r="Q837" s="441">
        <v>1110</v>
      </c>
      <c r="R837" s="445" t="s">
        <v>3845</v>
      </c>
      <c r="S837" s="446">
        <v>45439</v>
      </c>
      <c r="T837" s="446">
        <v>45429</v>
      </c>
      <c r="U837" s="446">
        <v>45434</v>
      </c>
      <c r="V837" s="447">
        <v>45434</v>
      </c>
      <c r="W837" s="447">
        <v>45434</v>
      </c>
      <c r="X837" s="447" t="s">
        <v>8044</v>
      </c>
      <c r="Y837" s="420"/>
      <c r="Z837" s="224" t="str">
        <f t="shared" ref="Z837:Z900" si="78">IF(K837="CANCELADO","CANCELADO",IF(AA837="PENDENTE","AG. RELATÓRIO",IF(S837="SIM","AG. MEDIÇÃO",IF(S837&gt;0,"AG. MEDIÇÃO","PENDENTE"))))</f>
        <v>AG. MEDIÇÃO</v>
      </c>
      <c r="AA837" s="207" t="str">
        <f t="shared" ref="AA837:AA900" si="79">IF(K837="CANCELADO","CANCELADO",IF(X837="","PENDENTE","ENTREGUE"))</f>
        <v>ENTREGUE</v>
      </c>
      <c r="AB837" s="207" t="str">
        <f t="shared" ref="AB837:AB900" si="80">IF(K837="SEM SINAL","SEM SINAL",IF(K837="PARALISADO","PARALISADO",IF(Z837="PENDENTE","AG. MEDIÇÃO",IF(K837="CANCELADO","CANCELADO",Z837))))</f>
        <v>AG. MEDIÇÃO</v>
      </c>
      <c r="AC837" s="156">
        <f t="shared" ref="AC837:AC900" ca="1" si="81">IFERROR(IF(K837="CANCELADO","CANCELADO",IF(T837="","DATA ENTRADA",IF(AND(T837&gt;0,W837=""),NETWORKDAYS(T837,TODAY())-1,NETWORKDAYS(T837,W837)-1))),"CHECAR DATA")</f>
        <v>3</v>
      </c>
      <c r="AD837" s="156" t="str">
        <f t="shared" ref="AD837:AD900" ca="1" si="82">IF(AC837&lt;=3,"NO PRAZO","ATRASADO")</f>
        <v>NO PRAZO</v>
      </c>
      <c r="AE837" s="156">
        <f t="shared" ref="AE837:AE900" ca="1" si="83">IFERROR(AC837-3,AC837)</f>
        <v>0</v>
      </c>
    </row>
    <row r="838" spans="1:31" ht="36" hidden="1" customHeight="1">
      <c r="A838" s="414"/>
      <c r="B838" s="440" t="s">
        <v>2601</v>
      </c>
      <c r="C838" s="440" t="s">
        <v>305</v>
      </c>
      <c r="D838" s="440"/>
      <c r="E838" s="440"/>
      <c r="F838" s="440" t="s">
        <v>42</v>
      </c>
      <c r="G838" s="441" t="s">
        <v>2602</v>
      </c>
      <c r="H838" s="440" t="s">
        <v>2603</v>
      </c>
      <c r="I838" s="442"/>
      <c r="J838" s="443">
        <v>44927</v>
      </c>
      <c r="K838" s="429" t="s">
        <v>2493</v>
      </c>
      <c r="L838" s="444"/>
      <c r="M838" s="444"/>
      <c r="N838" s="441" t="s">
        <v>2572</v>
      </c>
      <c r="O838" s="445" t="s">
        <v>2573</v>
      </c>
      <c r="P838" s="441" t="s">
        <v>2494</v>
      </c>
      <c r="Q838" s="441" t="s">
        <v>2494</v>
      </c>
      <c r="R838" s="444"/>
      <c r="S838" s="446">
        <v>45118</v>
      </c>
      <c r="T838" s="446">
        <v>44928</v>
      </c>
      <c r="U838" s="446">
        <v>44928</v>
      </c>
      <c r="V838" s="447">
        <v>44949</v>
      </c>
      <c r="W838" s="447">
        <v>44949</v>
      </c>
      <c r="X838" s="447" t="s">
        <v>8044</v>
      </c>
      <c r="Y838" s="420"/>
      <c r="Z838" s="224" t="str">
        <f t="shared" si="78"/>
        <v>AG. MEDIÇÃO</v>
      </c>
      <c r="AA838" s="207" t="str">
        <f t="shared" si="79"/>
        <v>ENTREGUE</v>
      </c>
      <c r="AB838" s="207" t="str">
        <f t="shared" si="80"/>
        <v>AG. MEDIÇÃO</v>
      </c>
      <c r="AC838" s="156">
        <f t="shared" ca="1" si="81"/>
        <v>15</v>
      </c>
      <c r="AD838" s="156" t="str">
        <f t="shared" ca="1" si="82"/>
        <v>ATRASADO</v>
      </c>
      <c r="AE838" s="156">
        <f t="shared" ca="1" si="83"/>
        <v>12</v>
      </c>
    </row>
    <row r="839" spans="1:31" ht="36" hidden="1" customHeight="1">
      <c r="A839" s="414"/>
      <c r="B839" s="440" t="s">
        <v>4030</v>
      </c>
      <c r="C839" s="440" t="s">
        <v>380</v>
      </c>
      <c r="D839" s="440" t="s">
        <v>381</v>
      </c>
      <c r="E839" s="440" t="s">
        <v>685</v>
      </c>
      <c r="F839" s="440" t="s">
        <v>42</v>
      </c>
      <c r="G839" s="441" t="s">
        <v>4031</v>
      </c>
      <c r="H839" s="440" t="s">
        <v>4032</v>
      </c>
      <c r="I839" s="441" t="s">
        <v>4033</v>
      </c>
      <c r="J839" s="450">
        <v>45474</v>
      </c>
      <c r="K839" s="429" t="s">
        <v>2493</v>
      </c>
      <c r="L839" s="444" t="s">
        <v>4034</v>
      </c>
      <c r="M839" s="444" t="s">
        <v>827</v>
      </c>
      <c r="N839" s="441" t="s">
        <v>2572</v>
      </c>
      <c r="O839" s="445" t="s">
        <v>85</v>
      </c>
      <c r="P839" s="445"/>
      <c r="Q839" s="445">
        <v>635</v>
      </c>
      <c r="R839" s="445" t="s">
        <v>4035</v>
      </c>
      <c r="S839" s="446">
        <v>45532</v>
      </c>
      <c r="T839" s="446">
        <v>45492</v>
      </c>
      <c r="U839" s="446">
        <v>45488</v>
      </c>
      <c r="V839" s="447">
        <v>45516</v>
      </c>
      <c r="W839" s="447">
        <v>45516</v>
      </c>
      <c r="X839" s="447" t="s">
        <v>8044</v>
      </c>
      <c r="Y839" s="420"/>
      <c r="Z839" s="224" t="str">
        <f t="shared" si="78"/>
        <v>AG. MEDIÇÃO</v>
      </c>
      <c r="AA839" s="207" t="str">
        <f t="shared" si="79"/>
        <v>ENTREGUE</v>
      </c>
      <c r="AB839" s="207" t="str">
        <f t="shared" si="80"/>
        <v>AG. MEDIÇÃO</v>
      </c>
      <c r="AC839" s="156">
        <f t="shared" ca="1" si="81"/>
        <v>16</v>
      </c>
      <c r="AD839" s="156" t="str">
        <f t="shared" ca="1" si="82"/>
        <v>ATRASADO</v>
      </c>
      <c r="AE839" s="156">
        <f t="shared" ca="1" si="83"/>
        <v>13</v>
      </c>
    </row>
    <row r="840" spans="1:31" ht="36" hidden="1" customHeight="1">
      <c r="A840" s="414"/>
      <c r="B840" s="429" t="s">
        <v>7938</v>
      </c>
      <c r="C840" s="429" t="s">
        <v>380</v>
      </c>
      <c r="D840" s="429" t="s">
        <v>381</v>
      </c>
      <c r="E840" s="429" t="s">
        <v>685</v>
      </c>
      <c r="F840" s="429" t="s">
        <v>42</v>
      </c>
      <c r="G840" s="433" t="s">
        <v>4031</v>
      </c>
      <c r="H840" s="429" t="s">
        <v>4032</v>
      </c>
      <c r="I840" s="571" t="s">
        <v>4033</v>
      </c>
      <c r="J840" s="432">
        <v>46174</v>
      </c>
      <c r="K840" s="429" t="s">
        <v>2493</v>
      </c>
      <c r="L840" s="436" t="s">
        <v>634</v>
      </c>
      <c r="M840" s="436" t="s">
        <v>77</v>
      </c>
      <c r="N840" s="437"/>
      <c r="O840" s="437" t="s">
        <v>85</v>
      </c>
      <c r="P840" s="437">
        <v>415</v>
      </c>
      <c r="Q840" s="433">
        <v>399</v>
      </c>
      <c r="R840" s="499" t="s">
        <v>8388</v>
      </c>
      <c r="S840" s="438">
        <v>46251</v>
      </c>
      <c r="T840" s="438">
        <v>46174</v>
      </c>
      <c r="U840" s="438"/>
      <c r="V840" s="438"/>
      <c r="W840" s="439">
        <v>46174</v>
      </c>
      <c r="X840" s="439">
        <v>46251</v>
      </c>
      <c r="Y840" s="420"/>
      <c r="Z840" s="224" t="str">
        <f t="shared" si="78"/>
        <v>AG. MEDIÇÃO</v>
      </c>
      <c r="AA840" s="207" t="str">
        <f t="shared" si="79"/>
        <v>ENTREGUE</v>
      </c>
      <c r="AB840" s="207" t="str">
        <f t="shared" si="80"/>
        <v>AG. MEDIÇÃO</v>
      </c>
      <c r="AC840" s="156">
        <f t="shared" ca="1" si="81"/>
        <v>0</v>
      </c>
      <c r="AD840" s="156" t="str">
        <f t="shared" ca="1" si="82"/>
        <v>NO PRAZO</v>
      </c>
      <c r="AE840" s="156">
        <f t="shared" ca="1" si="83"/>
        <v>-3</v>
      </c>
    </row>
    <row r="841" spans="1:31" ht="36" hidden="1" customHeight="1">
      <c r="A841" s="414"/>
      <c r="B841" s="440" t="s">
        <v>4663</v>
      </c>
      <c r="C841" s="440" t="s">
        <v>232</v>
      </c>
      <c r="D841" s="440" t="s">
        <v>4664</v>
      </c>
      <c r="E841" s="440" t="s">
        <v>389</v>
      </c>
      <c r="F841" s="440" t="s">
        <v>42</v>
      </c>
      <c r="G841" s="441" t="s">
        <v>4665</v>
      </c>
      <c r="H841" s="440" t="s">
        <v>4666</v>
      </c>
      <c r="I841" s="441" t="s">
        <v>4667</v>
      </c>
      <c r="J841" s="450">
        <v>45627</v>
      </c>
      <c r="K841" s="429" t="s">
        <v>2493</v>
      </c>
      <c r="L841" s="444" t="s">
        <v>4668</v>
      </c>
      <c r="M841" s="444" t="s">
        <v>132</v>
      </c>
      <c r="N841" s="441" t="s">
        <v>2572</v>
      </c>
      <c r="O841" s="445" t="s">
        <v>4560</v>
      </c>
      <c r="P841" s="445">
        <v>270</v>
      </c>
      <c r="Q841" s="445">
        <v>893</v>
      </c>
      <c r="R841" s="445" t="s">
        <v>4669</v>
      </c>
      <c r="S841" s="446">
        <v>45667</v>
      </c>
      <c r="T841" s="446">
        <v>45652</v>
      </c>
      <c r="U841" s="446">
        <v>45653</v>
      </c>
      <c r="V841" s="447"/>
      <c r="W841" s="447">
        <v>45663</v>
      </c>
      <c r="X841" s="447" t="s">
        <v>8044</v>
      </c>
      <c r="Y841" s="420"/>
      <c r="Z841" s="224" t="str">
        <f t="shared" si="78"/>
        <v>AG. MEDIÇÃO</v>
      </c>
      <c r="AA841" s="207" t="str">
        <f t="shared" si="79"/>
        <v>ENTREGUE</v>
      </c>
      <c r="AB841" s="207" t="str">
        <f t="shared" si="80"/>
        <v>AG. MEDIÇÃO</v>
      </c>
      <c r="AC841" s="156">
        <f t="shared" ca="1" si="81"/>
        <v>7</v>
      </c>
      <c r="AD841" s="156" t="str">
        <f t="shared" ca="1" si="82"/>
        <v>ATRASADO</v>
      </c>
      <c r="AE841" s="156">
        <f t="shared" ca="1" si="83"/>
        <v>4</v>
      </c>
    </row>
    <row r="842" spans="1:31" ht="36" hidden="1" customHeight="1">
      <c r="A842" s="414"/>
      <c r="B842" s="440" t="s">
        <v>3041</v>
      </c>
      <c r="C842" s="440" t="s">
        <v>2503</v>
      </c>
      <c r="D842" s="440"/>
      <c r="E842" s="440"/>
      <c r="F842" s="440" t="s">
        <v>42</v>
      </c>
      <c r="G842" s="441" t="s">
        <v>3042</v>
      </c>
      <c r="H842" s="440" t="s">
        <v>3043</v>
      </c>
      <c r="I842" s="449"/>
      <c r="J842" s="450">
        <v>45170</v>
      </c>
      <c r="K842" s="429" t="s">
        <v>2493</v>
      </c>
      <c r="L842" s="444" t="s">
        <v>1092</v>
      </c>
      <c r="M842" s="444" t="s">
        <v>827</v>
      </c>
      <c r="N842" s="441" t="s">
        <v>2572</v>
      </c>
      <c r="O842" s="445" t="s">
        <v>2573</v>
      </c>
      <c r="P842" s="445"/>
      <c r="Q842" s="441">
        <v>285</v>
      </c>
      <c r="R842" s="445" t="s">
        <v>3044</v>
      </c>
      <c r="S842" s="446">
        <v>45203</v>
      </c>
      <c r="T842" s="446">
        <v>45180</v>
      </c>
      <c r="U842" s="446">
        <v>45198</v>
      </c>
      <c r="V842" s="446">
        <v>45199</v>
      </c>
      <c r="W842" s="447">
        <v>45199</v>
      </c>
      <c r="X842" s="447" t="s">
        <v>8044</v>
      </c>
      <c r="Y842" s="420"/>
      <c r="Z842" s="224" t="str">
        <f t="shared" si="78"/>
        <v>AG. MEDIÇÃO</v>
      </c>
      <c r="AA842" s="207" t="str">
        <f t="shared" si="79"/>
        <v>ENTREGUE</v>
      </c>
      <c r="AB842" s="207" t="str">
        <f t="shared" si="80"/>
        <v>AG. MEDIÇÃO</v>
      </c>
      <c r="AC842" s="156">
        <f t="shared" ca="1" si="81"/>
        <v>14</v>
      </c>
      <c r="AD842" s="156" t="str">
        <f t="shared" ca="1" si="82"/>
        <v>ATRASADO</v>
      </c>
      <c r="AE842" s="156">
        <f t="shared" ca="1" si="83"/>
        <v>11</v>
      </c>
    </row>
    <row r="843" spans="1:31" ht="36" hidden="1" customHeight="1">
      <c r="A843" s="414"/>
      <c r="B843" s="440" t="s">
        <v>4185</v>
      </c>
      <c r="C843" s="440" t="s">
        <v>425</v>
      </c>
      <c r="D843" s="440" t="s">
        <v>475</v>
      </c>
      <c r="E843" s="440" t="s">
        <v>474</v>
      </c>
      <c r="F843" s="440" t="s">
        <v>1408</v>
      </c>
      <c r="G843" s="441" t="s">
        <v>4186</v>
      </c>
      <c r="H843" s="440" t="s">
        <v>4187</v>
      </c>
      <c r="I843" s="441" t="s">
        <v>4188</v>
      </c>
      <c r="J843" s="450">
        <v>45505</v>
      </c>
      <c r="K843" s="429" t="s">
        <v>2493</v>
      </c>
      <c r="L843" s="444" t="s">
        <v>1380</v>
      </c>
      <c r="M843" s="444" t="s">
        <v>4189</v>
      </c>
      <c r="N843" s="441" t="s">
        <v>2572</v>
      </c>
      <c r="O843" s="445" t="s">
        <v>85</v>
      </c>
      <c r="P843" s="445"/>
      <c r="Q843" s="445">
        <v>1475</v>
      </c>
      <c r="R843" s="445" t="s">
        <v>4190</v>
      </c>
      <c r="S843" s="446">
        <v>45545</v>
      </c>
      <c r="T843" s="446">
        <v>45523</v>
      </c>
      <c r="U843" s="446">
        <v>45524</v>
      </c>
      <c r="V843" s="447">
        <v>45526</v>
      </c>
      <c r="W843" s="447">
        <v>45529</v>
      </c>
      <c r="X843" s="447" t="s">
        <v>8044</v>
      </c>
      <c r="Y843" s="420"/>
      <c r="Z843" s="224" t="str">
        <f t="shared" si="78"/>
        <v>AG. MEDIÇÃO</v>
      </c>
      <c r="AA843" s="207" t="str">
        <f t="shared" si="79"/>
        <v>ENTREGUE</v>
      </c>
      <c r="AB843" s="207" t="str">
        <f t="shared" si="80"/>
        <v>AG. MEDIÇÃO</v>
      </c>
      <c r="AC843" s="156">
        <f t="shared" ca="1" si="81"/>
        <v>4</v>
      </c>
      <c r="AD843" s="156" t="str">
        <f t="shared" ca="1" si="82"/>
        <v>ATRASADO</v>
      </c>
      <c r="AE843" s="156">
        <f t="shared" ca="1" si="83"/>
        <v>1</v>
      </c>
    </row>
    <row r="844" spans="1:31" ht="36" hidden="1" customHeight="1">
      <c r="A844" s="414"/>
      <c r="B844" s="440" t="s">
        <v>4723</v>
      </c>
      <c r="C844" s="440" t="s">
        <v>79</v>
      </c>
      <c r="D844" s="440" t="s">
        <v>1327</v>
      </c>
      <c r="E844" s="440" t="s">
        <v>619</v>
      </c>
      <c r="F844" s="440" t="s">
        <v>42</v>
      </c>
      <c r="G844" s="441" t="s">
        <v>4724</v>
      </c>
      <c r="H844" s="440" t="s">
        <v>4725</v>
      </c>
      <c r="I844" s="441" t="s">
        <v>4726</v>
      </c>
      <c r="J844" s="450">
        <v>45658</v>
      </c>
      <c r="K844" s="429" t="s">
        <v>2493</v>
      </c>
      <c r="L844" s="444"/>
      <c r="M844" s="444" t="s">
        <v>132</v>
      </c>
      <c r="N844" s="441" t="s">
        <v>2572</v>
      </c>
      <c r="O844" s="445" t="s">
        <v>4560</v>
      </c>
      <c r="P844" s="445" t="s">
        <v>2494</v>
      </c>
      <c r="Q844" s="445" t="s">
        <v>2494</v>
      </c>
      <c r="R844" s="445" t="s">
        <v>4727</v>
      </c>
      <c r="S844" s="446">
        <v>45698</v>
      </c>
      <c r="T844" s="446">
        <v>45680</v>
      </c>
      <c r="U844" s="446">
        <v>45684</v>
      </c>
      <c r="V844" s="447">
        <v>45695</v>
      </c>
      <c r="W844" s="447">
        <v>45695</v>
      </c>
      <c r="X844" s="447" t="s">
        <v>8044</v>
      </c>
      <c r="Y844" s="420"/>
      <c r="Z844" s="224" t="str">
        <f t="shared" si="78"/>
        <v>AG. MEDIÇÃO</v>
      </c>
      <c r="AA844" s="207" t="str">
        <f t="shared" si="79"/>
        <v>ENTREGUE</v>
      </c>
      <c r="AB844" s="207" t="str">
        <f t="shared" si="80"/>
        <v>AG. MEDIÇÃO</v>
      </c>
      <c r="AC844" s="156">
        <f t="shared" ca="1" si="81"/>
        <v>11</v>
      </c>
      <c r="AD844" s="156" t="str">
        <f t="shared" ca="1" si="82"/>
        <v>ATRASADO</v>
      </c>
      <c r="AE844" s="156">
        <f t="shared" ca="1" si="83"/>
        <v>8</v>
      </c>
    </row>
    <row r="845" spans="1:31" ht="36" hidden="1" customHeight="1">
      <c r="A845" s="414"/>
      <c r="B845" s="440" t="s">
        <v>4336</v>
      </c>
      <c r="C845" s="440" t="s">
        <v>479</v>
      </c>
      <c r="D845" s="440" t="s">
        <v>481</v>
      </c>
      <c r="E845" s="440" t="s">
        <v>480</v>
      </c>
      <c r="F845" s="440" t="s">
        <v>42</v>
      </c>
      <c r="G845" s="441" t="s">
        <v>4337</v>
      </c>
      <c r="H845" s="440" t="s">
        <v>4338</v>
      </c>
      <c r="I845" s="441" t="s">
        <v>4339</v>
      </c>
      <c r="J845" s="450">
        <v>45536</v>
      </c>
      <c r="K845" s="429" t="s">
        <v>2493</v>
      </c>
      <c r="L845" s="444" t="s">
        <v>124</v>
      </c>
      <c r="M845" s="444" t="s">
        <v>132</v>
      </c>
      <c r="N845" s="441" t="s">
        <v>2572</v>
      </c>
      <c r="O845" s="445" t="s">
        <v>3350</v>
      </c>
      <c r="P845" s="445"/>
      <c r="Q845" s="445">
        <v>565</v>
      </c>
      <c r="R845" s="445" t="s">
        <v>4340</v>
      </c>
      <c r="S845" s="446">
        <v>45549</v>
      </c>
      <c r="T845" s="446">
        <v>45538</v>
      </c>
      <c r="U845" s="446">
        <v>45542</v>
      </c>
      <c r="V845" s="447">
        <v>45546</v>
      </c>
      <c r="W845" s="447">
        <v>45545</v>
      </c>
      <c r="X845" s="447" t="s">
        <v>8044</v>
      </c>
      <c r="Y845" s="420"/>
      <c r="Z845" s="224" t="str">
        <f t="shared" si="78"/>
        <v>AG. MEDIÇÃO</v>
      </c>
      <c r="AA845" s="207" t="str">
        <f t="shared" si="79"/>
        <v>ENTREGUE</v>
      </c>
      <c r="AB845" s="207" t="str">
        <f t="shared" si="80"/>
        <v>AG. MEDIÇÃO</v>
      </c>
      <c r="AC845" s="156">
        <f t="shared" ca="1" si="81"/>
        <v>5</v>
      </c>
      <c r="AD845" s="156" t="str">
        <f t="shared" ca="1" si="82"/>
        <v>ATRASADO</v>
      </c>
      <c r="AE845" s="156">
        <f t="shared" ca="1" si="83"/>
        <v>2</v>
      </c>
    </row>
    <row r="846" spans="1:31" ht="36" hidden="1" customHeight="1">
      <c r="A846" s="414"/>
      <c r="B846" s="440" t="s">
        <v>5559</v>
      </c>
      <c r="C846" s="440" t="s">
        <v>555</v>
      </c>
      <c r="D846" s="440"/>
      <c r="E846" s="440" t="s">
        <v>556</v>
      </c>
      <c r="F846" s="440" t="s">
        <v>42</v>
      </c>
      <c r="G846" s="441"/>
      <c r="H846" s="440" t="s">
        <v>5560</v>
      </c>
      <c r="I846" s="441" t="s">
        <v>5561</v>
      </c>
      <c r="J846" s="450">
        <v>45839</v>
      </c>
      <c r="K846" s="429" t="s">
        <v>2493</v>
      </c>
      <c r="L846" s="444"/>
      <c r="M846" s="444"/>
      <c r="N846" s="441"/>
      <c r="O846" s="445"/>
      <c r="P846" s="441"/>
      <c r="Q846" s="445"/>
      <c r="R846" s="445" t="s">
        <v>5454</v>
      </c>
      <c r="S846" s="446" t="s">
        <v>2033</v>
      </c>
      <c r="T846" s="446"/>
      <c r="U846" s="446"/>
      <c r="V846" s="447"/>
      <c r="W846" s="447">
        <v>45859</v>
      </c>
      <c r="X846" s="447" t="s">
        <v>8044</v>
      </c>
      <c r="Y846" s="420"/>
      <c r="Z846" s="224" t="str">
        <f t="shared" si="78"/>
        <v>AG. MEDIÇÃO</v>
      </c>
      <c r="AA846" s="207" t="str">
        <f t="shared" si="79"/>
        <v>ENTREGUE</v>
      </c>
      <c r="AB846" s="207" t="str">
        <f t="shared" si="80"/>
        <v>AG. MEDIÇÃO</v>
      </c>
      <c r="AC846" s="156" t="str">
        <f t="shared" ca="1" si="81"/>
        <v>DATA ENTRADA</v>
      </c>
      <c r="AD846" s="156" t="str">
        <f t="shared" ca="1" si="82"/>
        <v>ATRASADO</v>
      </c>
      <c r="AE846" s="156" t="str">
        <f t="shared" ca="1" si="83"/>
        <v>DATA ENTRADA</v>
      </c>
    </row>
    <row r="847" spans="1:31" ht="36" hidden="1" customHeight="1">
      <c r="A847" s="414"/>
      <c r="B847" s="440" t="s">
        <v>5566</v>
      </c>
      <c r="C847" s="440" t="s">
        <v>555</v>
      </c>
      <c r="D847" s="440"/>
      <c r="E847" s="440"/>
      <c r="F847" s="440" t="s">
        <v>42</v>
      </c>
      <c r="G847" s="441"/>
      <c r="H847" s="440" t="s">
        <v>5567</v>
      </c>
      <c r="I847" s="441" t="s">
        <v>5568</v>
      </c>
      <c r="J847" s="450">
        <v>45839</v>
      </c>
      <c r="K847" s="429" t="s">
        <v>2493</v>
      </c>
      <c r="L847" s="444"/>
      <c r="M847" s="444" t="s">
        <v>62</v>
      </c>
      <c r="N847" s="441"/>
      <c r="O847" s="445"/>
      <c r="P847" s="441"/>
      <c r="Q847" s="445"/>
      <c r="R847" s="445" t="s">
        <v>5454</v>
      </c>
      <c r="S847" s="446" t="s">
        <v>2033</v>
      </c>
      <c r="T847" s="446"/>
      <c r="U847" s="446"/>
      <c r="V847" s="447"/>
      <c r="W847" s="447">
        <v>45859</v>
      </c>
      <c r="X847" s="447" t="s">
        <v>8044</v>
      </c>
      <c r="Y847" s="420"/>
      <c r="Z847" s="224" t="str">
        <f t="shared" si="78"/>
        <v>AG. MEDIÇÃO</v>
      </c>
      <c r="AA847" s="207" t="str">
        <f t="shared" si="79"/>
        <v>ENTREGUE</v>
      </c>
      <c r="AB847" s="207" t="str">
        <f t="shared" si="80"/>
        <v>AG. MEDIÇÃO</v>
      </c>
      <c r="AC847" s="156" t="str">
        <f t="shared" ca="1" si="81"/>
        <v>DATA ENTRADA</v>
      </c>
      <c r="AD847" s="156" t="str">
        <f t="shared" ca="1" si="82"/>
        <v>ATRASADO</v>
      </c>
      <c r="AE847" s="156" t="str">
        <f t="shared" ca="1" si="83"/>
        <v>DATA ENTRADA</v>
      </c>
    </row>
    <row r="848" spans="1:31" ht="36" hidden="1" customHeight="1">
      <c r="A848" s="414"/>
      <c r="B848" s="440" t="s">
        <v>5572</v>
      </c>
      <c r="C848" s="440" t="s">
        <v>555</v>
      </c>
      <c r="D848" s="440"/>
      <c r="E848" s="440"/>
      <c r="F848" s="440" t="s">
        <v>42</v>
      </c>
      <c r="G848" s="441"/>
      <c r="H848" s="440" t="s">
        <v>5573</v>
      </c>
      <c r="I848" s="441" t="s">
        <v>5574</v>
      </c>
      <c r="J848" s="450">
        <v>45839</v>
      </c>
      <c r="K848" s="429" t="s">
        <v>2493</v>
      </c>
      <c r="L848" s="444"/>
      <c r="M848" s="444" t="s">
        <v>62</v>
      </c>
      <c r="N848" s="441"/>
      <c r="O848" s="445"/>
      <c r="P848" s="441"/>
      <c r="Q848" s="445"/>
      <c r="R848" s="445" t="s">
        <v>5454</v>
      </c>
      <c r="S848" s="446" t="s">
        <v>2033</v>
      </c>
      <c r="T848" s="446"/>
      <c r="U848" s="446"/>
      <c r="V848" s="447"/>
      <c r="W848" s="447">
        <v>45859</v>
      </c>
      <c r="X848" s="447" t="s">
        <v>8044</v>
      </c>
      <c r="Y848" s="420"/>
      <c r="Z848" s="224" t="str">
        <f t="shared" si="78"/>
        <v>AG. MEDIÇÃO</v>
      </c>
      <c r="AA848" s="207" t="str">
        <f t="shared" si="79"/>
        <v>ENTREGUE</v>
      </c>
      <c r="AB848" s="207" t="str">
        <f t="shared" si="80"/>
        <v>AG. MEDIÇÃO</v>
      </c>
      <c r="AC848" s="156" t="str">
        <f t="shared" ca="1" si="81"/>
        <v>DATA ENTRADA</v>
      </c>
      <c r="AD848" s="156" t="str">
        <f t="shared" ca="1" si="82"/>
        <v>ATRASADO</v>
      </c>
      <c r="AE848" s="156" t="str">
        <f t="shared" ca="1" si="83"/>
        <v>DATA ENTRADA</v>
      </c>
    </row>
    <row r="849" spans="1:31" ht="36" hidden="1" customHeight="1">
      <c r="A849" s="414"/>
      <c r="B849" s="440" t="s">
        <v>3295</v>
      </c>
      <c r="C849" s="440" t="s">
        <v>606</v>
      </c>
      <c r="D849" s="440"/>
      <c r="E849" s="440"/>
      <c r="F849" s="440" t="s">
        <v>42</v>
      </c>
      <c r="G849" s="441" t="s">
        <v>3296</v>
      </c>
      <c r="H849" s="440" t="s">
        <v>3297</v>
      </c>
      <c r="I849" s="449"/>
      <c r="J849" s="450">
        <v>45261</v>
      </c>
      <c r="K849" s="429" t="s">
        <v>2493</v>
      </c>
      <c r="L849" s="444" t="s">
        <v>1130</v>
      </c>
      <c r="M849" s="444" t="s">
        <v>3298</v>
      </c>
      <c r="N849" s="441" t="s">
        <v>2572</v>
      </c>
      <c r="O849" s="445" t="s">
        <v>85</v>
      </c>
      <c r="P849" s="445"/>
      <c r="Q849" s="441">
        <v>380</v>
      </c>
      <c r="R849" s="445" t="s">
        <v>3299</v>
      </c>
      <c r="S849" s="446">
        <v>45300</v>
      </c>
      <c r="T849" s="446">
        <v>45272</v>
      </c>
      <c r="U849" s="446">
        <v>45273</v>
      </c>
      <c r="V849" s="446">
        <v>45275</v>
      </c>
      <c r="W849" s="446">
        <v>45276</v>
      </c>
      <c r="X849" s="447" t="s">
        <v>8044</v>
      </c>
      <c r="Y849" s="420"/>
      <c r="Z849" s="224" t="str">
        <f t="shared" si="78"/>
        <v>AG. MEDIÇÃO</v>
      </c>
      <c r="AA849" s="207" t="str">
        <f t="shared" si="79"/>
        <v>ENTREGUE</v>
      </c>
      <c r="AB849" s="207" t="str">
        <f t="shared" si="80"/>
        <v>AG. MEDIÇÃO</v>
      </c>
      <c r="AC849" s="156">
        <f t="shared" ca="1" si="81"/>
        <v>3</v>
      </c>
      <c r="AD849" s="156" t="str">
        <f t="shared" ca="1" si="82"/>
        <v>NO PRAZO</v>
      </c>
      <c r="AE849" s="156">
        <f t="shared" ca="1" si="83"/>
        <v>0</v>
      </c>
    </row>
    <row r="850" spans="1:31" ht="36" hidden="1" customHeight="1">
      <c r="A850" s="414"/>
      <c r="B850" s="440" t="s">
        <v>4936</v>
      </c>
      <c r="C850" s="440" t="s">
        <v>606</v>
      </c>
      <c r="D850" s="440" t="s">
        <v>606</v>
      </c>
      <c r="E850" s="440" t="s">
        <v>607</v>
      </c>
      <c r="F850" s="440" t="s">
        <v>42</v>
      </c>
      <c r="G850" s="441"/>
      <c r="H850" s="440" t="s">
        <v>4937</v>
      </c>
      <c r="I850" s="441" t="s">
        <v>4938</v>
      </c>
      <c r="J850" s="450">
        <v>45717</v>
      </c>
      <c r="K850" s="429" t="s">
        <v>2493</v>
      </c>
      <c r="L850" s="444" t="s">
        <v>1208</v>
      </c>
      <c r="M850" s="444" t="s">
        <v>200</v>
      </c>
      <c r="N850" s="441" t="s">
        <v>2572</v>
      </c>
      <c r="O850" s="445" t="s">
        <v>3350</v>
      </c>
      <c r="P850" s="441">
        <v>350</v>
      </c>
      <c r="Q850" s="445">
        <v>550</v>
      </c>
      <c r="R850" s="445" t="s">
        <v>4939</v>
      </c>
      <c r="S850" s="446">
        <v>45734</v>
      </c>
      <c r="T850" s="446">
        <v>45728</v>
      </c>
      <c r="U850" s="446">
        <v>45730</v>
      </c>
      <c r="V850" s="447">
        <v>45734</v>
      </c>
      <c r="W850" s="447">
        <v>45734</v>
      </c>
      <c r="X850" s="447" t="s">
        <v>8044</v>
      </c>
      <c r="Y850" s="420"/>
      <c r="Z850" s="224" t="str">
        <f t="shared" si="78"/>
        <v>AG. MEDIÇÃO</v>
      </c>
      <c r="AA850" s="207" t="str">
        <f t="shared" si="79"/>
        <v>ENTREGUE</v>
      </c>
      <c r="AB850" s="207" t="str">
        <f t="shared" si="80"/>
        <v>AG. MEDIÇÃO</v>
      </c>
      <c r="AC850" s="156">
        <f t="shared" ca="1" si="81"/>
        <v>4</v>
      </c>
      <c r="AD850" s="156" t="str">
        <f t="shared" ca="1" si="82"/>
        <v>ATRASADO</v>
      </c>
      <c r="AE850" s="156">
        <f t="shared" ca="1" si="83"/>
        <v>1</v>
      </c>
    </row>
    <row r="851" spans="1:31" ht="36" hidden="1" customHeight="1">
      <c r="A851" s="414"/>
      <c r="B851" s="429" t="s">
        <v>7615</v>
      </c>
      <c r="C851" s="430" t="s">
        <v>606</v>
      </c>
      <c r="D851" s="430" t="s">
        <v>608</v>
      </c>
      <c r="E851" s="432" t="s">
        <v>607</v>
      </c>
      <c r="F851" s="429" t="s">
        <v>42</v>
      </c>
      <c r="G851" s="434" t="s">
        <v>7603</v>
      </c>
      <c r="H851" s="636" t="s">
        <v>7602</v>
      </c>
      <c r="I851" s="433" t="s">
        <v>7604</v>
      </c>
      <c r="J851" s="432">
        <v>46143</v>
      </c>
      <c r="K851" s="429" t="s">
        <v>2493</v>
      </c>
      <c r="L851" s="436" t="s">
        <v>124</v>
      </c>
      <c r="M851" s="436" t="s">
        <v>77</v>
      </c>
      <c r="N851" s="433"/>
      <c r="O851" s="437" t="s">
        <v>85</v>
      </c>
      <c r="P851" s="433">
        <v>320</v>
      </c>
      <c r="Q851" s="437">
        <v>631</v>
      </c>
      <c r="R851" s="437" t="s">
        <v>8096</v>
      </c>
      <c r="S851" s="438">
        <v>46218</v>
      </c>
      <c r="T851" s="438">
        <v>46152</v>
      </c>
      <c r="U851" s="438"/>
      <c r="V851" s="439"/>
      <c r="W851" s="439">
        <v>46153</v>
      </c>
      <c r="X851" s="439">
        <v>46218</v>
      </c>
      <c r="Y851" s="420"/>
      <c r="Z851" s="224" t="str">
        <f t="shared" si="78"/>
        <v>AG. MEDIÇÃO</v>
      </c>
      <c r="AA851" s="207" t="str">
        <f t="shared" si="79"/>
        <v>ENTREGUE</v>
      </c>
      <c r="AB851" s="207" t="str">
        <f t="shared" si="80"/>
        <v>AG. MEDIÇÃO</v>
      </c>
      <c r="AC851" s="156">
        <f t="shared" ca="1" si="81"/>
        <v>0</v>
      </c>
      <c r="AD851" s="156" t="str">
        <f t="shared" ca="1" si="82"/>
        <v>NO PRAZO</v>
      </c>
      <c r="AE851" s="156">
        <f t="shared" ca="1" si="83"/>
        <v>-3</v>
      </c>
    </row>
    <row r="852" spans="1:31" ht="36" hidden="1" customHeight="1">
      <c r="A852" s="414"/>
      <c r="B852" s="440" t="s">
        <v>4810</v>
      </c>
      <c r="C852" s="440" t="s">
        <v>373</v>
      </c>
      <c r="D852" s="440" t="s">
        <v>2902</v>
      </c>
      <c r="E852" s="440" t="s">
        <v>374</v>
      </c>
      <c r="F852" s="440" t="s">
        <v>42</v>
      </c>
      <c r="G852" s="441"/>
      <c r="H852" s="440" t="s">
        <v>4811</v>
      </c>
      <c r="I852" s="441" t="s">
        <v>4812</v>
      </c>
      <c r="J852" s="450">
        <v>45689</v>
      </c>
      <c r="K852" s="429" t="s">
        <v>2493</v>
      </c>
      <c r="L852" s="444" t="s">
        <v>200</v>
      </c>
      <c r="M852" s="444" t="s">
        <v>200</v>
      </c>
      <c r="N852" s="441" t="s">
        <v>2572</v>
      </c>
      <c r="O852" s="445" t="s">
        <v>3350</v>
      </c>
      <c r="P852" s="441">
        <v>490</v>
      </c>
      <c r="Q852" s="445">
        <v>517</v>
      </c>
      <c r="R852" s="445" t="s">
        <v>4813</v>
      </c>
      <c r="S852" s="446">
        <v>45734</v>
      </c>
      <c r="T852" s="446">
        <v>45700</v>
      </c>
      <c r="U852" s="446">
        <v>45701</v>
      </c>
      <c r="V852" s="447">
        <v>45701</v>
      </c>
      <c r="W852" s="447">
        <v>45701</v>
      </c>
      <c r="X852" s="447" t="s">
        <v>8044</v>
      </c>
      <c r="Y852" s="420"/>
      <c r="Z852" s="224" t="str">
        <f t="shared" si="78"/>
        <v>AG. MEDIÇÃO</v>
      </c>
      <c r="AA852" s="207" t="str">
        <f t="shared" si="79"/>
        <v>ENTREGUE</v>
      </c>
      <c r="AB852" s="207" t="str">
        <f t="shared" si="80"/>
        <v>AG. MEDIÇÃO</v>
      </c>
      <c r="AC852" s="156">
        <f t="shared" ca="1" si="81"/>
        <v>1</v>
      </c>
      <c r="AD852" s="156" t="str">
        <f t="shared" ca="1" si="82"/>
        <v>NO PRAZO</v>
      </c>
      <c r="AE852" s="156">
        <f t="shared" ca="1" si="83"/>
        <v>-2</v>
      </c>
    </row>
    <row r="853" spans="1:31" ht="36" hidden="1" customHeight="1">
      <c r="A853" s="414"/>
      <c r="B853" s="440" t="s">
        <v>5083</v>
      </c>
      <c r="C853" s="440" t="s">
        <v>4794</v>
      </c>
      <c r="D853" s="440"/>
      <c r="E853" s="440" t="s">
        <v>5017</v>
      </c>
      <c r="F853" s="440" t="s">
        <v>4795</v>
      </c>
      <c r="G853" s="441"/>
      <c r="H853" s="440" t="s">
        <v>5084</v>
      </c>
      <c r="I853" s="441" t="s">
        <v>5085</v>
      </c>
      <c r="J853" s="450">
        <v>45717</v>
      </c>
      <c r="K853" s="429" t="s">
        <v>2493</v>
      </c>
      <c r="L853" s="444" t="s">
        <v>4798</v>
      </c>
      <c r="M853" s="444" t="s">
        <v>4798</v>
      </c>
      <c r="N853" s="441"/>
      <c r="O853" s="445"/>
      <c r="P853" s="441" t="s">
        <v>2494</v>
      </c>
      <c r="Q853" s="445" t="s">
        <v>2494</v>
      </c>
      <c r="R853" s="445" t="s">
        <v>5086</v>
      </c>
      <c r="S853" s="446">
        <v>45785</v>
      </c>
      <c r="T853" s="446">
        <v>45744</v>
      </c>
      <c r="U853" s="446">
        <v>45747</v>
      </c>
      <c r="V853" s="447">
        <v>45749</v>
      </c>
      <c r="W853" s="447">
        <v>45749</v>
      </c>
      <c r="X853" s="447" t="s">
        <v>8044</v>
      </c>
      <c r="Y853" s="420"/>
      <c r="Z853" s="224" t="str">
        <f t="shared" si="78"/>
        <v>AG. MEDIÇÃO</v>
      </c>
      <c r="AA853" s="207" t="str">
        <f t="shared" si="79"/>
        <v>ENTREGUE</v>
      </c>
      <c r="AB853" s="207" t="str">
        <f t="shared" si="80"/>
        <v>AG. MEDIÇÃO</v>
      </c>
      <c r="AC853" s="156">
        <f t="shared" ca="1" si="81"/>
        <v>3</v>
      </c>
      <c r="AD853" s="156" t="str">
        <f t="shared" ca="1" si="82"/>
        <v>NO PRAZO</v>
      </c>
      <c r="AE853" s="156">
        <f t="shared" ca="1" si="83"/>
        <v>0</v>
      </c>
    </row>
    <row r="854" spans="1:31" ht="36" hidden="1" customHeight="1">
      <c r="A854" s="414"/>
      <c r="B854" s="440" t="s">
        <v>4793</v>
      </c>
      <c r="C854" s="440" t="s">
        <v>4794</v>
      </c>
      <c r="D854" s="440"/>
      <c r="E854" s="440"/>
      <c r="F854" s="440" t="s">
        <v>4795</v>
      </c>
      <c r="G854" s="441"/>
      <c r="H854" s="440" t="s">
        <v>4796</v>
      </c>
      <c r="I854" s="441" t="s">
        <v>4797</v>
      </c>
      <c r="J854" s="450">
        <v>45689</v>
      </c>
      <c r="K854" s="429" t="s">
        <v>2493</v>
      </c>
      <c r="L854" s="444"/>
      <c r="M854" s="444" t="s">
        <v>4798</v>
      </c>
      <c r="N854" s="441" t="s">
        <v>2572</v>
      </c>
      <c r="O854" s="445"/>
      <c r="P854" s="441" t="s">
        <v>2494</v>
      </c>
      <c r="Q854" s="445" t="s">
        <v>2494</v>
      </c>
      <c r="R854" s="445" t="s">
        <v>4662</v>
      </c>
      <c r="S854" s="446">
        <v>45700</v>
      </c>
      <c r="T854" s="446">
        <v>45698</v>
      </c>
      <c r="U854" s="446">
        <v>45698</v>
      </c>
      <c r="V854" s="447">
        <v>45698</v>
      </c>
      <c r="W854" s="447">
        <v>45698</v>
      </c>
      <c r="X854" s="447" t="s">
        <v>8044</v>
      </c>
      <c r="Y854" s="420"/>
      <c r="Z854" s="224" t="str">
        <f t="shared" si="78"/>
        <v>AG. MEDIÇÃO</v>
      </c>
      <c r="AA854" s="207" t="str">
        <f t="shared" si="79"/>
        <v>ENTREGUE</v>
      </c>
      <c r="AB854" s="207" t="str">
        <f t="shared" si="80"/>
        <v>AG. MEDIÇÃO</v>
      </c>
      <c r="AC854" s="156">
        <f t="shared" ca="1" si="81"/>
        <v>0</v>
      </c>
      <c r="AD854" s="156" t="str">
        <f t="shared" ca="1" si="82"/>
        <v>NO PRAZO</v>
      </c>
      <c r="AE854" s="156">
        <f t="shared" ca="1" si="83"/>
        <v>-3</v>
      </c>
    </row>
    <row r="855" spans="1:31" ht="36" hidden="1" customHeight="1">
      <c r="A855" s="414"/>
      <c r="B855" s="440" t="s">
        <v>5675</v>
      </c>
      <c r="C855" s="440" t="s">
        <v>104</v>
      </c>
      <c r="D855" s="440" t="s">
        <v>850</v>
      </c>
      <c r="E855" s="440" t="s">
        <v>105</v>
      </c>
      <c r="F855" s="440" t="s">
        <v>42</v>
      </c>
      <c r="G855" s="441" t="s">
        <v>5676</v>
      </c>
      <c r="H855" s="440" t="s">
        <v>5677</v>
      </c>
      <c r="I855" s="441" t="s">
        <v>5678</v>
      </c>
      <c r="J855" s="450">
        <v>45870</v>
      </c>
      <c r="K855" s="429" t="s">
        <v>2493</v>
      </c>
      <c r="L855" s="444"/>
      <c r="M855" s="444" t="s">
        <v>1155</v>
      </c>
      <c r="N855" s="441" t="s">
        <v>2572</v>
      </c>
      <c r="O855" s="445"/>
      <c r="P855" s="441" t="s">
        <v>2494</v>
      </c>
      <c r="Q855" s="445" t="s">
        <v>2494</v>
      </c>
      <c r="R855" s="445" t="s">
        <v>2861</v>
      </c>
      <c r="S855" s="446">
        <v>45905</v>
      </c>
      <c r="T855" s="446">
        <v>45889</v>
      </c>
      <c r="U855" s="446"/>
      <c r="V855" s="447"/>
      <c r="W855" s="447">
        <v>45901</v>
      </c>
      <c r="X855" s="447">
        <v>45905</v>
      </c>
      <c r="Y855" s="420"/>
      <c r="Z855" s="224" t="str">
        <f t="shared" si="78"/>
        <v>AG. MEDIÇÃO</v>
      </c>
      <c r="AA855" s="207" t="str">
        <f t="shared" si="79"/>
        <v>ENTREGUE</v>
      </c>
      <c r="AB855" s="207" t="str">
        <f t="shared" si="80"/>
        <v>AG. MEDIÇÃO</v>
      </c>
      <c r="AC855" s="156">
        <f t="shared" ca="1" si="81"/>
        <v>8</v>
      </c>
      <c r="AD855" s="156" t="str">
        <f t="shared" ca="1" si="82"/>
        <v>ATRASADO</v>
      </c>
      <c r="AE855" s="156">
        <f t="shared" ca="1" si="83"/>
        <v>5</v>
      </c>
    </row>
    <row r="856" spans="1:31" ht="36" hidden="1" customHeight="1">
      <c r="A856" s="414"/>
      <c r="B856" s="440" t="s">
        <v>3446</v>
      </c>
      <c r="C856" s="440" t="s">
        <v>111</v>
      </c>
      <c r="D856" s="440"/>
      <c r="E856" s="440"/>
      <c r="F856" s="440" t="s">
        <v>42</v>
      </c>
      <c r="G856" s="441" t="s">
        <v>3447</v>
      </c>
      <c r="H856" s="440" t="s">
        <v>3448</v>
      </c>
      <c r="I856" s="441"/>
      <c r="J856" s="450">
        <v>45352</v>
      </c>
      <c r="K856" s="429" t="s">
        <v>2493</v>
      </c>
      <c r="L856" s="444" t="s">
        <v>864</v>
      </c>
      <c r="M856" s="444" t="s">
        <v>864</v>
      </c>
      <c r="N856" s="441" t="s">
        <v>2572</v>
      </c>
      <c r="O856" s="445" t="s">
        <v>85</v>
      </c>
      <c r="P856" s="445"/>
      <c r="Q856" s="441">
        <v>571</v>
      </c>
      <c r="R856" s="445" t="s">
        <v>3449</v>
      </c>
      <c r="S856" s="446">
        <v>45377</v>
      </c>
      <c r="T856" s="446">
        <v>45355</v>
      </c>
      <c r="U856" s="446">
        <v>45356</v>
      </c>
      <c r="V856" s="446">
        <v>45356</v>
      </c>
      <c r="W856" s="447">
        <v>45327</v>
      </c>
      <c r="X856" s="447" t="s">
        <v>8044</v>
      </c>
      <c r="Y856" s="420"/>
      <c r="Z856" s="224" t="str">
        <f t="shared" si="78"/>
        <v>AG. MEDIÇÃO</v>
      </c>
      <c r="AA856" s="207" t="str">
        <f t="shared" si="79"/>
        <v>ENTREGUE</v>
      </c>
      <c r="AB856" s="207" t="str">
        <f t="shared" si="80"/>
        <v>AG. MEDIÇÃO</v>
      </c>
      <c r="AC856" s="156">
        <f t="shared" ca="1" si="81"/>
        <v>-22</v>
      </c>
      <c r="AD856" s="156" t="str">
        <f t="shared" ca="1" si="82"/>
        <v>NO PRAZO</v>
      </c>
      <c r="AE856" s="156">
        <f t="shared" ca="1" si="83"/>
        <v>-25</v>
      </c>
    </row>
    <row r="857" spans="1:31" ht="36" hidden="1" customHeight="1">
      <c r="A857" s="414"/>
      <c r="B857" s="440" t="s">
        <v>4940</v>
      </c>
      <c r="C857" s="440" t="s">
        <v>79</v>
      </c>
      <c r="D857" s="440" t="s">
        <v>3969</v>
      </c>
      <c r="E857" s="440" t="s">
        <v>619</v>
      </c>
      <c r="F857" s="440" t="s">
        <v>42</v>
      </c>
      <c r="G857" s="441"/>
      <c r="H857" s="440" t="s">
        <v>4941</v>
      </c>
      <c r="I857" s="441" t="s">
        <v>4942</v>
      </c>
      <c r="J857" s="450">
        <v>45717</v>
      </c>
      <c r="K857" s="429" t="s">
        <v>2493</v>
      </c>
      <c r="L857" s="444"/>
      <c r="M857" s="444" t="s">
        <v>4943</v>
      </c>
      <c r="N857" s="441" t="s">
        <v>2572</v>
      </c>
      <c r="O857" s="445" t="s">
        <v>3350</v>
      </c>
      <c r="P857" s="441" t="s">
        <v>2494</v>
      </c>
      <c r="Q857" s="445" t="s">
        <v>2494</v>
      </c>
      <c r="R857" s="445" t="s">
        <v>4944</v>
      </c>
      <c r="S857" s="446">
        <v>45740</v>
      </c>
      <c r="T857" s="446">
        <v>45728</v>
      </c>
      <c r="U857" s="446">
        <v>45729</v>
      </c>
      <c r="V857" s="447">
        <v>45730</v>
      </c>
      <c r="W857" s="447">
        <v>45729</v>
      </c>
      <c r="X857" s="447" t="s">
        <v>8044</v>
      </c>
      <c r="Y857" s="420"/>
      <c r="Z857" s="224" t="str">
        <f t="shared" si="78"/>
        <v>AG. MEDIÇÃO</v>
      </c>
      <c r="AA857" s="207" t="str">
        <f t="shared" si="79"/>
        <v>ENTREGUE</v>
      </c>
      <c r="AB857" s="207" t="str">
        <f t="shared" si="80"/>
        <v>AG. MEDIÇÃO</v>
      </c>
      <c r="AC857" s="156">
        <f t="shared" ca="1" si="81"/>
        <v>1</v>
      </c>
      <c r="AD857" s="156" t="str">
        <f t="shared" ca="1" si="82"/>
        <v>NO PRAZO</v>
      </c>
      <c r="AE857" s="156">
        <f t="shared" ca="1" si="83"/>
        <v>-2</v>
      </c>
    </row>
    <row r="858" spans="1:31" ht="36" hidden="1" customHeight="1">
      <c r="A858" s="414"/>
      <c r="B858" s="440" t="s">
        <v>3634</v>
      </c>
      <c r="C858" s="440" t="s">
        <v>425</v>
      </c>
      <c r="D858" s="440"/>
      <c r="E858" s="440"/>
      <c r="F858" s="440" t="s">
        <v>42</v>
      </c>
      <c r="G858" s="441" t="s">
        <v>3635</v>
      </c>
      <c r="H858" s="440" t="s">
        <v>3636</v>
      </c>
      <c r="I858" s="441"/>
      <c r="J858" s="450">
        <v>45383</v>
      </c>
      <c r="K858" s="429" t="s">
        <v>2493</v>
      </c>
      <c r="L858" s="444"/>
      <c r="M858" s="444" t="s">
        <v>3637</v>
      </c>
      <c r="N858" s="441" t="s">
        <v>2572</v>
      </c>
      <c r="O858" s="445" t="s">
        <v>85</v>
      </c>
      <c r="P858" s="441" t="s">
        <v>2494</v>
      </c>
      <c r="Q858" s="441" t="s">
        <v>2494</v>
      </c>
      <c r="R858" s="445" t="s">
        <v>3638</v>
      </c>
      <c r="S858" s="446">
        <v>45405</v>
      </c>
      <c r="T858" s="446">
        <v>45398</v>
      </c>
      <c r="U858" s="446"/>
      <c r="V858" s="446">
        <v>45401</v>
      </c>
      <c r="W858" s="447">
        <v>45401</v>
      </c>
      <c r="X858" s="447" t="s">
        <v>8044</v>
      </c>
      <c r="Y858" s="420"/>
      <c r="Z858" s="224" t="str">
        <f t="shared" si="78"/>
        <v>AG. MEDIÇÃO</v>
      </c>
      <c r="AA858" s="207" t="str">
        <f t="shared" si="79"/>
        <v>ENTREGUE</v>
      </c>
      <c r="AB858" s="207" t="str">
        <f t="shared" si="80"/>
        <v>AG. MEDIÇÃO</v>
      </c>
      <c r="AC858" s="156">
        <f t="shared" ca="1" si="81"/>
        <v>3</v>
      </c>
      <c r="AD858" s="156" t="str">
        <f t="shared" ca="1" si="82"/>
        <v>NO PRAZO</v>
      </c>
      <c r="AE858" s="156">
        <f t="shared" ca="1" si="83"/>
        <v>0</v>
      </c>
    </row>
    <row r="859" spans="1:31" ht="36" hidden="1" customHeight="1">
      <c r="A859" s="414"/>
      <c r="B859" s="440" t="s">
        <v>3238</v>
      </c>
      <c r="C859" s="440" t="s">
        <v>383</v>
      </c>
      <c r="D859" s="440"/>
      <c r="E859" s="440"/>
      <c r="F859" s="440" t="s">
        <v>42</v>
      </c>
      <c r="G859" s="441" t="s">
        <v>3239</v>
      </c>
      <c r="H859" s="440" t="s">
        <v>3240</v>
      </c>
      <c r="I859" s="449"/>
      <c r="J859" s="450">
        <v>45231</v>
      </c>
      <c r="K859" s="429" t="s">
        <v>2493</v>
      </c>
      <c r="L859" s="444"/>
      <c r="M859" s="444" t="s">
        <v>774</v>
      </c>
      <c r="N859" s="441" t="s">
        <v>2572</v>
      </c>
      <c r="O859" s="445" t="s">
        <v>85</v>
      </c>
      <c r="P859" s="441" t="s">
        <v>2494</v>
      </c>
      <c r="Q859" s="441" t="s">
        <v>2494</v>
      </c>
      <c r="R859" s="445" t="s">
        <v>3241</v>
      </c>
      <c r="S859" s="446">
        <v>45273</v>
      </c>
      <c r="T859" s="446">
        <v>45253</v>
      </c>
      <c r="U859" s="446"/>
      <c r="V859" s="446">
        <v>45258</v>
      </c>
      <c r="W859" s="446">
        <v>45261</v>
      </c>
      <c r="X859" s="447" t="s">
        <v>8044</v>
      </c>
      <c r="Y859" s="420"/>
      <c r="Z859" s="224" t="str">
        <f t="shared" si="78"/>
        <v>AG. MEDIÇÃO</v>
      </c>
      <c r="AA859" s="207" t="str">
        <f t="shared" si="79"/>
        <v>ENTREGUE</v>
      </c>
      <c r="AB859" s="207" t="str">
        <f t="shared" si="80"/>
        <v>AG. MEDIÇÃO</v>
      </c>
      <c r="AC859" s="156">
        <f t="shared" ca="1" si="81"/>
        <v>6</v>
      </c>
      <c r="AD859" s="156" t="str">
        <f t="shared" ca="1" si="82"/>
        <v>ATRASADO</v>
      </c>
      <c r="AE859" s="156">
        <f t="shared" ca="1" si="83"/>
        <v>3</v>
      </c>
    </row>
    <row r="860" spans="1:31" ht="36" hidden="1" customHeight="1">
      <c r="A860" s="414"/>
      <c r="B860" s="440" t="s">
        <v>3116</v>
      </c>
      <c r="C860" s="440" t="s">
        <v>383</v>
      </c>
      <c r="D860" s="440"/>
      <c r="E860" s="440"/>
      <c r="F860" s="440" t="s">
        <v>42</v>
      </c>
      <c r="G860" s="441" t="s">
        <v>3117</v>
      </c>
      <c r="H860" s="440" t="s">
        <v>3118</v>
      </c>
      <c r="I860" s="449"/>
      <c r="J860" s="450">
        <v>45200</v>
      </c>
      <c r="K860" s="429" t="s">
        <v>2493</v>
      </c>
      <c r="L860" s="444"/>
      <c r="M860" s="444" t="s">
        <v>51</v>
      </c>
      <c r="N860" s="441" t="s">
        <v>2572</v>
      </c>
      <c r="O860" s="445" t="s">
        <v>85</v>
      </c>
      <c r="P860" s="441" t="s">
        <v>2494</v>
      </c>
      <c r="Q860" s="441" t="s">
        <v>2494</v>
      </c>
      <c r="R860" s="445" t="s">
        <v>3119</v>
      </c>
      <c r="S860" s="446">
        <v>45223</v>
      </c>
      <c r="T860" s="446">
        <v>45205</v>
      </c>
      <c r="U860" s="446"/>
      <c r="V860" s="446">
        <v>45212</v>
      </c>
      <c r="W860" s="447">
        <v>45213</v>
      </c>
      <c r="X860" s="447" t="s">
        <v>8044</v>
      </c>
      <c r="Y860" s="420"/>
      <c r="Z860" s="224" t="str">
        <f t="shared" si="78"/>
        <v>AG. MEDIÇÃO</v>
      </c>
      <c r="AA860" s="207" t="str">
        <f t="shared" si="79"/>
        <v>ENTREGUE</v>
      </c>
      <c r="AB860" s="207" t="str">
        <f t="shared" si="80"/>
        <v>AG. MEDIÇÃO</v>
      </c>
      <c r="AC860" s="156">
        <f t="shared" ca="1" si="81"/>
        <v>5</v>
      </c>
      <c r="AD860" s="156" t="str">
        <f t="shared" ca="1" si="82"/>
        <v>ATRASADO</v>
      </c>
      <c r="AE860" s="156">
        <f t="shared" ca="1" si="83"/>
        <v>2</v>
      </c>
    </row>
    <row r="861" spans="1:31" ht="36" hidden="1" customHeight="1">
      <c r="A861" s="414"/>
      <c r="B861" s="440" t="s">
        <v>3324</v>
      </c>
      <c r="C861" s="440" t="s">
        <v>79</v>
      </c>
      <c r="D861" s="440"/>
      <c r="E861" s="440"/>
      <c r="F861" s="440" t="s">
        <v>42</v>
      </c>
      <c r="G861" s="441" t="s">
        <v>3325</v>
      </c>
      <c r="H861" s="440" t="s">
        <v>3326</v>
      </c>
      <c r="I861" s="449"/>
      <c r="J861" s="450">
        <v>45261</v>
      </c>
      <c r="K861" s="429" t="s">
        <v>2493</v>
      </c>
      <c r="L861" s="444" t="s">
        <v>1130</v>
      </c>
      <c r="M861" s="444" t="s">
        <v>3327</v>
      </c>
      <c r="N861" s="441" t="s">
        <v>2572</v>
      </c>
      <c r="O861" s="445" t="s">
        <v>85</v>
      </c>
      <c r="P861" s="445"/>
      <c r="Q861" s="441">
        <v>260</v>
      </c>
      <c r="R861" s="445" t="s">
        <v>3328</v>
      </c>
      <c r="S861" s="446">
        <v>45300</v>
      </c>
      <c r="T861" s="446">
        <v>45279</v>
      </c>
      <c r="U861" s="446">
        <v>45280</v>
      </c>
      <c r="V861" s="446">
        <v>45280</v>
      </c>
      <c r="W861" s="447">
        <v>45280</v>
      </c>
      <c r="X861" s="447" t="s">
        <v>8044</v>
      </c>
      <c r="Y861" s="420"/>
      <c r="Z861" s="224" t="str">
        <f t="shared" si="78"/>
        <v>AG. MEDIÇÃO</v>
      </c>
      <c r="AA861" s="207" t="str">
        <f t="shared" si="79"/>
        <v>ENTREGUE</v>
      </c>
      <c r="AB861" s="207" t="str">
        <f t="shared" si="80"/>
        <v>AG. MEDIÇÃO</v>
      </c>
      <c r="AC861" s="156">
        <f t="shared" ca="1" si="81"/>
        <v>1</v>
      </c>
      <c r="AD861" s="156" t="str">
        <f t="shared" ca="1" si="82"/>
        <v>NO PRAZO</v>
      </c>
      <c r="AE861" s="156">
        <f t="shared" ca="1" si="83"/>
        <v>-2</v>
      </c>
    </row>
    <row r="862" spans="1:31" ht="36" hidden="1" customHeight="1">
      <c r="A862" s="414"/>
      <c r="B862" s="440" t="s">
        <v>4981</v>
      </c>
      <c r="C862" s="440" t="s">
        <v>248</v>
      </c>
      <c r="D862" s="440" t="s">
        <v>440</v>
      </c>
      <c r="E862" s="440" t="s">
        <v>4982</v>
      </c>
      <c r="F862" s="440" t="s">
        <v>42</v>
      </c>
      <c r="G862" s="441" t="s">
        <v>4983</v>
      </c>
      <c r="H862" s="440" t="s">
        <v>4984</v>
      </c>
      <c r="I862" s="441" t="s">
        <v>4985</v>
      </c>
      <c r="J862" s="450">
        <v>45717</v>
      </c>
      <c r="K862" s="429" t="s">
        <v>2493</v>
      </c>
      <c r="L862" s="444" t="s">
        <v>1208</v>
      </c>
      <c r="M862" s="444" t="s">
        <v>200</v>
      </c>
      <c r="N862" s="441" t="s">
        <v>2572</v>
      </c>
      <c r="O862" s="445" t="s">
        <v>3350</v>
      </c>
      <c r="P862" s="441">
        <v>405</v>
      </c>
      <c r="Q862" s="445">
        <v>572</v>
      </c>
      <c r="R862" s="445" t="s">
        <v>4986</v>
      </c>
      <c r="S862" s="446">
        <v>45739</v>
      </c>
      <c r="T862" s="446">
        <v>45733</v>
      </c>
      <c r="U862" s="446" t="s">
        <v>4987</v>
      </c>
      <c r="V862" s="447">
        <v>45737</v>
      </c>
      <c r="W862" s="447">
        <v>45736</v>
      </c>
      <c r="X862" s="447" t="s">
        <v>8044</v>
      </c>
      <c r="Y862" s="420"/>
      <c r="Z862" s="224" t="str">
        <f t="shared" si="78"/>
        <v>AG. MEDIÇÃO</v>
      </c>
      <c r="AA862" s="207" t="str">
        <f t="shared" si="79"/>
        <v>ENTREGUE</v>
      </c>
      <c r="AB862" s="207" t="str">
        <f t="shared" si="80"/>
        <v>AG. MEDIÇÃO</v>
      </c>
      <c r="AC862" s="156">
        <f t="shared" ca="1" si="81"/>
        <v>3</v>
      </c>
      <c r="AD862" s="156" t="str">
        <f t="shared" ca="1" si="82"/>
        <v>NO PRAZO</v>
      </c>
      <c r="AE862" s="156">
        <f t="shared" ca="1" si="83"/>
        <v>0</v>
      </c>
    </row>
    <row r="863" spans="1:31" ht="36" hidden="1" customHeight="1">
      <c r="A863" s="414"/>
      <c r="B863" s="440" t="s">
        <v>5393</v>
      </c>
      <c r="C863" s="440" t="s">
        <v>54</v>
      </c>
      <c r="D863" s="440" t="s">
        <v>1830</v>
      </c>
      <c r="E863" s="440" t="s">
        <v>55</v>
      </c>
      <c r="F863" s="440" t="s">
        <v>42</v>
      </c>
      <c r="G863" s="441" t="s">
        <v>5394</v>
      </c>
      <c r="H863" s="440" t="s">
        <v>5395</v>
      </c>
      <c r="I863" s="441" t="s">
        <v>5396</v>
      </c>
      <c r="J863" s="450">
        <v>45809</v>
      </c>
      <c r="K863" s="429" t="s">
        <v>2493</v>
      </c>
      <c r="L863" s="444"/>
      <c r="M863" s="444" t="s">
        <v>170</v>
      </c>
      <c r="N863" s="441"/>
      <c r="O863" s="445"/>
      <c r="P863" s="441"/>
      <c r="Q863" s="445"/>
      <c r="R863" s="445" t="s">
        <v>5379</v>
      </c>
      <c r="S863" s="446" t="s">
        <v>5175</v>
      </c>
      <c r="T863" s="446">
        <v>45824</v>
      </c>
      <c r="U863" s="446"/>
      <c r="V863" s="447"/>
      <c r="W863" s="447">
        <v>45824</v>
      </c>
      <c r="X863" s="447" t="s">
        <v>8044</v>
      </c>
      <c r="Y863" s="420"/>
      <c r="Z863" s="224" t="str">
        <f t="shared" si="78"/>
        <v>AG. MEDIÇÃO</v>
      </c>
      <c r="AA863" s="207" t="str">
        <f t="shared" si="79"/>
        <v>ENTREGUE</v>
      </c>
      <c r="AB863" s="207" t="str">
        <f t="shared" si="80"/>
        <v>AG. MEDIÇÃO</v>
      </c>
      <c r="AC863" s="156">
        <f t="shared" ca="1" si="81"/>
        <v>0</v>
      </c>
      <c r="AD863" s="156" t="str">
        <f t="shared" ca="1" si="82"/>
        <v>NO PRAZO</v>
      </c>
      <c r="AE863" s="156">
        <f t="shared" ca="1" si="83"/>
        <v>-3</v>
      </c>
    </row>
    <row r="864" spans="1:31" ht="36" hidden="1" customHeight="1">
      <c r="A864" s="414"/>
      <c r="B864" s="440" t="s">
        <v>2732</v>
      </c>
      <c r="C864" s="440" t="s">
        <v>377</v>
      </c>
      <c r="D864" s="440"/>
      <c r="E864" s="440"/>
      <c r="F864" s="440" t="s">
        <v>42</v>
      </c>
      <c r="G864" s="441" t="s">
        <v>2733</v>
      </c>
      <c r="H864" s="440" t="s">
        <v>2734</v>
      </c>
      <c r="I864" s="449"/>
      <c r="J864" s="443">
        <v>44986</v>
      </c>
      <c r="K864" s="429" t="s">
        <v>2493</v>
      </c>
      <c r="L864" s="444" t="s">
        <v>2646</v>
      </c>
      <c r="M864" s="447" t="s">
        <v>2735</v>
      </c>
      <c r="N864" s="441" t="s">
        <v>2572</v>
      </c>
      <c r="O864" s="441"/>
      <c r="P864" s="441"/>
      <c r="Q864" s="441">
        <v>118</v>
      </c>
      <c r="R864" s="445" t="s">
        <v>2736</v>
      </c>
      <c r="S864" s="446">
        <v>45084</v>
      </c>
      <c r="T864" s="446">
        <v>45000</v>
      </c>
      <c r="U864" s="446">
        <v>45001</v>
      </c>
      <c r="V864" s="446">
        <v>45005</v>
      </c>
      <c r="W864" s="446">
        <v>45005</v>
      </c>
      <c r="X864" s="447" t="s">
        <v>8044</v>
      </c>
      <c r="Y864" s="420"/>
      <c r="Z864" s="224" t="str">
        <f t="shared" si="78"/>
        <v>AG. MEDIÇÃO</v>
      </c>
      <c r="AA864" s="207" t="str">
        <f t="shared" si="79"/>
        <v>ENTREGUE</v>
      </c>
      <c r="AB864" s="207" t="str">
        <f t="shared" si="80"/>
        <v>AG. MEDIÇÃO</v>
      </c>
      <c r="AC864" s="156">
        <f t="shared" ca="1" si="81"/>
        <v>3</v>
      </c>
      <c r="AD864" s="156" t="str">
        <f t="shared" ca="1" si="82"/>
        <v>NO PRAZO</v>
      </c>
      <c r="AE864" s="156">
        <f t="shared" ca="1" si="83"/>
        <v>0</v>
      </c>
    </row>
    <row r="865" spans="1:31" ht="36" hidden="1" customHeight="1">
      <c r="A865" s="414"/>
      <c r="B865" s="440" t="s">
        <v>4008</v>
      </c>
      <c r="C865" s="440" t="s">
        <v>104</v>
      </c>
      <c r="D865" s="440" t="s">
        <v>488</v>
      </c>
      <c r="E865" s="440" t="s">
        <v>105</v>
      </c>
      <c r="F865" s="440" t="s">
        <v>42</v>
      </c>
      <c r="G865" s="441" t="s">
        <v>4009</v>
      </c>
      <c r="H865" s="440" t="s">
        <v>4010</v>
      </c>
      <c r="I865" s="441" t="s">
        <v>4011</v>
      </c>
      <c r="J865" s="450">
        <v>45474</v>
      </c>
      <c r="K865" s="429" t="s">
        <v>2493</v>
      </c>
      <c r="L865" s="444" t="s">
        <v>4012</v>
      </c>
      <c r="M865" s="444" t="s">
        <v>827</v>
      </c>
      <c r="N865" s="441" t="s">
        <v>2572</v>
      </c>
      <c r="O865" s="445" t="s">
        <v>85</v>
      </c>
      <c r="P865" s="445"/>
      <c r="Q865" s="445" t="s">
        <v>4013</v>
      </c>
      <c r="R865" s="445" t="s">
        <v>4014</v>
      </c>
      <c r="S865" s="446">
        <v>45532</v>
      </c>
      <c r="T865" s="446">
        <v>45488</v>
      </c>
      <c r="U865" s="446">
        <v>45491</v>
      </c>
      <c r="V865" s="447">
        <v>45511</v>
      </c>
      <c r="W865" s="447">
        <v>45511</v>
      </c>
      <c r="X865" s="447" t="s">
        <v>8044</v>
      </c>
      <c r="Y865" s="420"/>
      <c r="Z865" s="224" t="str">
        <f t="shared" si="78"/>
        <v>AG. MEDIÇÃO</v>
      </c>
      <c r="AA865" s="207" t="str">
        <f t="shared" si="79"/>
        <v>ENTREGUE</v>
      </c>
      <c r="AB865" s="207" t="str">
        <f t="shared" si="80"/>
        <v>AG. MEDIÇÃO</v>
      </c>
      <c r="AC865" s="156">
        <f t="shared" ca="1" si="81"/>
        <v>17</v>
      </c>
      <c r="AD865" s="156" t="str">
        <f t="shared" ca="1" si="82"/>
        <v>ATRASADO</v>
      </c>
      <c r="AE865" s="156">
        <f t="shared" ca="1" si="83"/>
        <v>14</v>
      </c>
    </row>
    <row r="866" spans="1:31" ht="36" hidden="1" customHeight="1">
      <c r="A866" s="414"/>
      <c r="B866" s="440" t="s">
        <v>4041</v>
      </c>
      <c r="C866" s="440" t="s">
        <v>104</v>
      </c>
      <c r="D866" s="440" t="s">
        <v>488</v>
      </c>
      <c r="E866" s="440" t="s">
        <v>105</v>
      </c>
      <c r="F866" s="440" t="s">
        <v>42</v>
      </c>
      <c r="G866" s="441" t="s">
        <v>4042</v>
      </c>
      <c r="H866" s="440" t="s">
        <v>4043</v>
      </c>
      <c r="I866" s="441" t="s">
        <v>4044</v>
      </c>
      <c r="J866" s="450">
        <v>45474</v>
      </c>
      <c r="K866" s="429" t="s">
        <v>2493</v>
      </c>
      <c r="L866" s="444"/>
      <c r="M866" s="444" t="s">
        <v>827</v>
      </c>
      <c r="N866" s="441" t="s">
        <v>2572</v>
      </c>
      <c r="O866" s="445" t="s">
        <v>85</v>
      </c>
      <c r="P866" s="445"/>
      <c r="Q866" s="441"/>
      <c r="R866" s="445" t="s">
        <v>4045</v>
      </c>
      <c r="S866" s="446">
        <v>45532</v>
      </c>
      <c r="T866" s="446">
        <v>45492</v>
      </c>
      <c r="U866" s="446">
        <v>45491</v>
      </c>
      <c r="V866" s="447">
        <v>45511</v>
      </c>
      <c r="W866" s="447">
        <v>45511</v>
      </c>
      <c r="X866" s="447" t="s">
        <v>8044</v>
      </c>
      <c r="Y866" s="420"/>
      <c r="Z866" s="224" t="str">
        <f t="shared" si="78"/>
        <v>AG. MEDIÇÃO</v>
      </c>
      <c r="AA866" s="207" t="str">
        <f t="shared" si="79"/>
        <v>ENTREGUE</v>
      </c>
      <c r="AB866" s="207" t="str">
        <f t="shared" si="80"/>
        <v>AG. MEDIÇÃO</v>
      </c>
      <c r="AC866" s="156">
        <f t="shared" ca="1" si="81"/>
        <v>13</v>
      </c>
      <c r="AD866" s="156" t="str">
        <f t="shared" ca="1" si="82"/>
        <v>ATRASADO</v>
      </c>
      <c r="AE866" s="156">
        <f t="shared" ca="1" si="83"/>
        <v>10</v>
      </c>
    </row>
    <row r="867" spans="1:31" ht="36" hidden="1" customHeight="1">
      <c r="A867" s="414"/>
      <c r="B867" s="440" t="s">
        <v>2604</v>
      </c>
      <c r="C867" s="440" t="s">
        <v>250</v>
      </c>
      <c r="D867" s="440"/>
      <c r="E867" s="440"/>
      <c r="F867" s="440" t="s">
        <v>427</v>
      </c>
      <c r="G867" s="441" t="s">
        <v>2605</v>
      </c>
      <c r="H867" s="440" t="s">
        <v>2606</v>
      </c>
      <c r="I867" s="442"/>
      <c r="J867" s="443">
        <v>44927</v>
      </c>
      <c r="K867" s="429" t="s">
        <v>2493</v>
      </c>
      <c r="L867" s="444" t="s">
        <v>1380</v>
      </c>
      <c r="M867" s="444" t="s">
        <v>722</v>
      </c>
      <c r="N867" s="441" t="s">
        <v>2572</v>
      </c>
      <c r="O867" s="445" t="s">
        <v>2573</v>
      </c>
      <c r="P867" s="445"/>
      <c r="Q867" s="445">
        <v>356</v>
      </c>
      <c r="R867" s="445" t="s">
        <v>2607</v>
      </c>
      <c r="S867" s="446" t="s">
        <v>288</v>
      </c>
      <c r="T867" s="446">
        <v>44928</v>
      </c>
      <c r="U867" s="446">
        <v>44928</v>
      </c>
      <c r="V867" s="447">
        <v>44936</v>
      </c>
      <c r="W867" s="447">
        <v>44936</v>
      </c>
      <c r="X867" s="447" t="s">
        <v>8044</v>
      </c>
      <c r="Y867" s="420"/>
      <c r="Z867" s="224" t="str">
        <f t="shared" si="78"/>
        <v>AG. MEDIÇÃO</v>
      </c>
      <c r="AA867" s="207" t="str">
        <f t="shared" si="79"/>
        <v>ENTREGUE</v>
      </c>
      <c r="AB867" s="207" t="str">
        <f t="shared" si="80"/>
        <v>AG. MEDIÇÃO</v>
      </c>
      <c r="AC867" s="156">
        <f t="shared" ca="1" si="81"/>
        <v>6</v>
      </c>
      <c r="AD867" s="156" t="str">
        <f t="shared" ca="1" si="82"/>
        <v>ATRASADO</v>
      </c>
      <c r="AE867" s="156">
        <f t="shared" ca="1" si="83"/>
        <v>3</v>
      </c>
    </row>
    <row r="868" spans="1:31" ht="36" hidden="1" customHeight="1">
      <c r="A868" s="414"/>
      <c r="B868" s="440" t="s">
        <v>5294</v>
      </c>
      <c r="C868" s="440" t="s">
        <v>117</v>
      </c>
      <c r="D868" s="440" t="s">
        <v>1265</v>
      </c>
      <c r="E868" s="440" t="s">
        <v>3677</v>
      </c>
      <c r="F868" s="440" t="s">
        <v>42</v>
      </c>
      <c r="G868" s="441" t="s">
        <v>5295</v>
      </c>
      <c r="H868" s="440" t="s">
        <v>5296</v>
      </c>
      <c r="I868" s="441" t="s">
        <v>5297</v>
      </c>
      <c r="J868" s="450">
        <v>45809</v>
      </c>
      <c r="K868" s="429" t="s">
        <v>2493</v>
      </c>
      <c r="L868" s="444"/>
      <c r="M868" s="444" t="s">
        <v>62</v>
      </c>
      <c r="N868" s="441"/>
      <c r="O868" s="445"/>
      <c r="P868" s="441" t="s">
        <v>2494</v>
      </c>
      <c r="Q868" s="445" t="s">
        <v>2494</v>
      </c>
      <c r="R868" s="445" t="s">
        <v>5298</v>
      </c>
      <c r="S868" s="446">
        <v>45845</v>
      </c>
      <c r="T868" s="446">
        <v>45813</v>
      </c>
      <c r="U868" s="446"/>
      <c r="V868" s="447"/>
      <c r="W868" s="447">
        <v>45817</v>
      </c>
      <c r="X868" s="447" t="s">
        <v>8044</v>
      </c>
      <c r="Y868" s="420"/>
      <c r="Z868" s="224" t="str">
        <f t="shared" si="78"/>
        <v>AG. MEDIÇÃO</v>
      </c>
      <c r="AA868" s="207" t="str">
        <f t="shared" si="79"/>
        <v>ENTREGUE</v>
      </c>
      <c r="AB868" s="207" t="str">
        <f t="shared" si="80"/>
        <v>AG. MEDIÇÃO</v>
      </c>
      <c r="AC868" s="156">
        <f t="shared" ca="1" si="81"/>
        <v>2</v>
      </c>
      <c r="AD868" s="156" t="str">
        <f t="shared" ca="1" si="82"/>
        <v>NO PRAZO</v>
      </c>
      <c r="AE868" s="156">
        <f t="shared" ca="1" si="83"/>
        <v>-1</v>
      </c>
    </row>
    <row r="869" spans="1:31" ht="36" hidden="1" customHeight="1">
      <c r="A869" s="414"/>
      <c r="B869" s="440" t="s">
        <v>3023</v>
      </c>
      <c r="C869" s="440" t="s">
        <v>111</v>
      </c>
      <c r="D869" s="440"/>
      <c r="E869" s="440"/>
      <c r="F869" s="440" t="s">
        <v>42</v>
      </c>
      <c r="G869" s="441" t="s">
        <v>3024</v>
      </c>
      <c r="H869" s="440" t="s">
        <v>3025</v>
      </c>
      <c r="I869" s="449"/>
      <c r="J869" s="443">
        <v>45139</v>
      </c>
      <c r="K869" s="429" t="s">
        <v>2493</v>
      </c>
      <c r="L869" s="444" t="s">
        <v>2646</v>
      </c>
      <c r="M869" s="444" t="s">
        <v>3026</v>
      </c>
      <c r="N869" s="441" t="s">
        <v>2572</v>
      </c>
      <c r="O869" s="445" t="s">
        <v>85</v>
      </c>
      <c r="P869" s="445"/>
      <c r="Q869" s="445">
        <v>466</v>
      </c>
      <c r="R869" s="445" t="s">
        <v>3027</v>
      </c>
      <c r="S869" s="446">
        <v>45184</v>
      </c>
      <c r="T869" s="446">
        <v>45167</v>
      </c>
      <c r="U869" s="446">
        <v>45169</v>
      </c>
      <c r="V869" s="446">
        <v>45183</v>
      </c>
      <c r="W869" s="447">
        <v>45183</v>
      </c>
      <c r="X869" s="447" t="s">
        <v>8044</v>
      </c>
      <c r="Y869" s="420"/>
      <c r="Z869" s="224" t="str">
        <f t="shared" si="78"/>
        <v>AG. MEDIÇÃO</v>
      </c>
      <c r="AA869" s="207" t="str">
        <f t="shared" si="79"/>
        <v>ENTREGUE</v>
      </c>
      <c r="AB869" s="207" t="str">
        <f t="shared" si="80"/>
        <v>AG. MEDIÇÃO</v>
      </c>
      <c r="AC869" s="156">
        <f t="shared" ca="1" si="81"/>
        <v>12</v>
      </c>
      <c r="AD869" s="156" t="str">
        <f t="shared" ca="1" si="82"/>
        <v>ATRASADO</v>
      </c>
      <c r="AE869" s="156">
        <f t="shared" ca="1" si="83"/>
        <v>9</v>
      </c>
    </row>
    <row r="870" spans="1:31" ht="36" hidden="1" customHeight="1">
      <c r="A870" s="414"/>
      <c r="B870" s="440" t="s">
        <v>5818</v>
      </c>
      <c r="C870" s="440" t="s">
        <v>5819</v>
      </c>
      <c r="D870" s="440"/>
      <c r="E870" s="440"/>
      <c r="F870" s="440" t="s">
        <v>5820</v>
      </c>
      <c r="G870" s="441"/>
      <c r="H870" s="639" t="s">
        <v>5821</v>
      </c>
      <c r="I870" s="441" t="s">
        <v>5822</v>
      </c>
      <c r="J870" s="450">
        <v>45931</v>
      </c>
      <c r="K870" s="429" t="s">
        <v>2493</v>
      </c>
      <c r="L870" s="444" t="s">
        <v>5823</v>
      </c>
      <c r="M870" s="444" t="s">
        <v>5823</v>
      </c>
      <c r="N870" s="441"/>
      <c r="O870" s="445"/>
      <c r="P870" s="441">
        <v>20</v>
      </c>
      <c r="Q870" s="445">
        <v>20</v>
      </c>
      <c r="R870" s="445" t="s">
        <v>5824</v>
      </c>
      <c r="S870" s="446">
        <v>45994</v>
      </c>
      <c r="T870" s="446">
        <v>45959</v>
      </c>
      <c r="U870" s="446"/>
      <c r="V870" s="447"/>
      <c r="W870" s="447">
        <v>45963</v>
      </c>
      <c r="X870" s="447">
        <v>45994</v>
      </c>
      <c r="Y870" s="420"/>
      <c r="Z870" s="224" t="str">
        <f t="shared" si="78"/>
        <v>AG. MEDIÇÃO</v>
      </c>
      <c r="AA870" s="207" t="str">
        <f t="shared" si="79"/>
        <v>ENTREGUE</v>
      </c>
      <c r="AB870" s="207" t="str">
        <f t="shared" si="80"/>
        <v>AG. MEDIÇÃO</v>
      </c>
      <c r="AC870" s="156">
        <f t="shared" ca="1" si="81"/>
        <v>2</v>
      </c>
      <c r="AD870" s="156" t="str">
        <f t="shared" ca="1" si="82"/>
        <v>NO PRAZO</v>
      </c>
      <c r="AE870" s="156">
        <f t="shared" ca="1" si="83"/>
        <v>-1</v>
      </c>
    </row>
    <row r="871" spans="1:31" ht="36" hidden="1" customHeight="1">
      <c r="A871" s="414"/>
      <c r="B871" s="440" t="s">
        <v>5235</v>
      </c>
      <c r="C871" s="440" t="s">
        <v>705</v>
      </c>
      <c r="D871" s="440" t="s">
        <v>5236</v>
      </c>
      <c r="E871" s="440" t="s">
        <v>706</v>
      </c>
      <c r="F871" s="440" t="s">
        <v>2559</v>
      </c>
      <c r="G871" s="441" t="s">
        <v>5237</v>
      </c>
      <c r="H871" s="440" t="s">
        <v>5238</v>
      </c>
      <c r="I871" s="441" t="s">
        <v>5239</v>
      </c>
      <c r="J871" s="450">
        <v>45778</v>
      </c>
      <c r="K871" s="429" t="s">
        <v>2493</v>
      </c>
      <c r="L871" s="444" t="s">
        <v>124</v>
      </c>
      <c r="M871" s="444" t="s">
        <v>5240</v>
      </c>
      <c r="N871" s="441"/>
      <c r="O871" s="445"/>
      <c r="P871" s="441">
        <v>1826</v>
      </c>
      <c r="Q871" s="445">
        <v>2280</v>
      </c>
      <c r="R871" s="445" t="s">
        <v>5241</v>
      </c>
      <c r="S871" s="446">
        <v>45852</v>
      </c>
      <c r="T871" s="446">
        <v>45806</v>
      </c>
      <c r="U871" s="446"/>
      <c r="V871" s="447"/>
      <c r="W871" s="447">
        <v>45818</v>
      </c>
      <c r="X871" s="447" t="s">
        <v>8044</v>
      </c>
      <c r="Y871" s="420"/>
      <c r="Z871" s="224" t="str">
        <f t="shared" si="78"/>
        <v>AG. MEDIÇÃO</v>
      </c>
      <c r="AA871" s="207" t="str">
        <f t="shared" si="79"/>
        <v>ENTREGUE</v>
      </c>
      <c r="AB871" s="207" t="str">
        <f t="shared" si="80"/>
        <v>AG. MEDIÇÃO</v>
      </c>
      <c r="AC871" s="156">
        <f t="shared" ca="1" si="81"/>
        <v>8</v>
      </c>
      <c r="AD871" s="156" t="str">
        <f t="shared" ca="1" si="82"/>
        <v>ATRASADO</v>
      </c>
      <c r="AE871" s="156">
        <f t="shared" ca="1" si="83"/>
        <v>5</v>
      </c>
    </row>
    <row r="872" spans="1:31" ht="36" hidden="1" customHeight="1">
      <c r="A872" s="414"/>
      <c r="B872" s="440" t="s">
        <v>3519</v>
      </c>
      <c r="C872" s="440" t="s">
        <v>425</v>
      </c>
      <c r="D872" s="440"/>
      <c r="E872" s="440"/>
      <c r="F872" s="440" t="s">
        <v>2559</v>
      </c>
      <c r="G872" s="441" t="s">
        <v>3520</v>
      </c>
      <c r="H872" s="440" t="s">
        <v>3521</v>
      </c>
      <c r="I872" s="441"/>
      <c r="J872" s="450">
        <v>45352</v>
      </c>
      <c r="K872" s="429" t="s">
        <v>2493</v>
      </c>
      <c r="L872" s="444" t="s">
        <v>1130</v>
      </c>
      <c r="M872" s="444" t="s">
        <v>51</v>
      </c>
      <c r="N872" s="441" t="s">
        <v>2572</v>
      </c>
      <c r="O872" s="445" t="s">
        <v>85</v>
      </c>
      <c r="P872" s="445"/>
      <c r="Q872" s="441">
        <v>260</v>
      </c>
      <c r="R872" s="445" t="s">
        <v>3522</v>
      </c>
      <c r="S872" s="446">
        <v>45405</v>
      </c>
      <c r="T872" s="446">
        <v>45376</v>
      </c>
      <c r="U872" s="446">
        <v>45376</v>
      </c>
      <c r="V872" s="446">
        <v>45377</v>
      </c>
      <c r="W872" s="447">
        <v>45378</v>
      </c>
      <c r="X872" s="447" t="s">
        <v>8044</v>
      </c>
      <c r="Y872" s="420"/>
      <c r="Z872" s="224" t="str">
        <f t="shared" si="78"/>
        <v>AG. MEDIÇÃO</v>
      </c>
      <c r="AA872" s="207" t="str">
        <f t="shared" si="79"/>
        <v>ENTREGUE</v>
      </c>
      <c r="AB872" s="207" t="str">
        <f t="shared" si="80"/>
        <v>AG. MEDIÇÃO</v>
      </c>
      <c r="AC872" s="156">
        <f t="shared" ca="1" si="81"/>
        <v>2</v>
      </c>
      <c r="AD872" s="156" t="str">
        <f t="shared" ca="1" si="82"/>
        <v>NO PRAZO</v>
      </c>
      <c r="AE872" s="156">
        <f t="shared" ca="1" si="83"/>
        <v>-1</v>
      </c>
    </row>
    <row r="873" spans="1:31" ht="36" hidden="1" customHeight="1">
      <c r="A873" s="414"/>
      <c r="B873" s="440" t="s">
        <v>5189</v>
      </c>
      <c r="C873" s="440" t="s">
        <v>425</v>
      </c>
      <c r="D873" s="440" t="s">
        <v>250</v>
      </c>
      <c r="E873" s="440" t="s">
        <v>426</v>
      </c>
      <c r="F873" s="440" t="s">
        <v>427</v>
      </c>
      <c r="G873" s="441" t="s">
        <v>5190</v>
      </c>
      <c r="H873" s="440" t="s">
        <v>5191</v>
      </c>
      <c r="I873" s="441" t="s">
        <v>5192</v>
      </c>
      <c r="J873" s="450">
        <v>45778</v>
      </c>
      <c r="K873" s="429" t="s">
        <v>2493</v>
      </c>
      <c r="L873" s="444" t="s">
        <v>5193</v>
      </c>
      <c r="M873" s="444" t="s">
        <v>1478</v>
      </c>
      <c r="N873" s="441"/>
      <c r="O873" s="445"/>
      <c r="P873" s="441"/>
      <c r="Q873" s="445">
        <v>1195</v>
      </c>
      <c r="R873" s="445" t="s">
        <v>5194</v>
      </c>
      <c r="S873" s="446">
        <v>45826</v>
      </c>
      <c r="T873" s="446">
        <v>45791</v>
      </c>
      <c r="U873" s="446"/>
      <c r="V873" s="447"/>
      <c r="W873" s="447">
        <v>45807</v>
      </c>
      <c r="X873" s="447" t="s">
        <v>8044</v>
      </c>
      <c r="Y873" s="420"/>
      <c r="Z873" s="224" t="str">
        <f t="shared" si="78"/>
        <v>AG. MEDIÇÃO</v>
      </c>
      <c r="AA873" s="207" t="str">
        <f t="shared" si="79"/>
        <v>ENTREGUE</v>
      </c>
      <c r="AB873" s="207" t="str">
        <f t="shared" si="80"/>
        <v>AG. MEDIÇÃO</v>
      </c>
      <c r="AC873" s="156">
        <f t="shared" ca="1" si="81"/>
        <v>12</v>
      </c>
      <c r="AD873" s="156" t="str">
        <f t="shared" ca="1" si="82"/>
        <v>ATRASADO</v>
      </c>
      <c r="AE873" s="156">
        <f t="shared" ca="1" si="83"/>
        <v>9</v>
      </c>
    </row>
    <row r="874" spans="1:31" ht="36" hidden="1" customHeight="1">
      <c r="A874" s="414"/>
      <c r="B874" s="440" t="s">
        <v>2737</v>
      </c>
      <c r="C874" s="440" t="s">
        <v>460</v>
      </c>
      <c r="D874" s="440"/>
      <c r="E874" s="440"/>
      <c r="F874" s="440" t="s">
        <v>42</v>
      </c>
      <c r="G874" s="441" t="s">
        <v>2738</v>
      </c>
      <c r="H874" s="440" t="s">
        <v>2739</v>
      </c>
      <c r="I874" s="449"/>
      <c r="J874" s="443">
        <v>44986</v>
      </c>
      <c r="K874" s="429" t="s">
        <v>2493</v>
      </c>
      <c r="L874" s="446" t="s">
        <v>650</v>
      </c>
      <c r="M874" s="447" t="s">
        <v>2646</v>
      </c>
      <c r="N874" s="441" t="s">
        <v>2572</v>
      </c>
      <c r="O874" s="441"/>
      <c r="P874" s="441"/>
      <c r="Q874" s="441">
        <v>629</v>
      </c>
      <c r="R874" s="445" t="s">
        <v>2740</v>
      </c>
      <c r="S874" s="446">
        <v>45066</v>
      </c>
      <c r="T874" s="446">
        <v>44998</v>
      </c>
      <c r="U874" s="446">
        <v>45001</v>
      </c>
      <c r="V874" s="446">
        <v>45005</v>
      </c>
      <c r="W874" s="446">
        <v>45005</v>
      </c>
      <c r="X874" s="447" t="s">
        <v>8044</v>
      </c>
      <c r="Y874" s="420"/>
      <c r="Z874" s="224" t="str">
        <f t="shared" si="78"/>
        <v>AG. MEDIÇÃO</v>
      </c>
      <c r="AA874" s="207" t="str">
        <f t="shared" si="79"/>
        <v>ENTREGUE</v>
      </c>
      <c r="AB874" s="207" t="str">
        <f t="shared" si="80"/>
        <v>AG. MEDIÇÃO</v>
      </c>
      <c r="AC874" s="156">
        <f t="shared" ca="1" si="81"/>
        <v>5</v>
      </c>
      <c r="AD874" s="156" t="str">
        <f t="shared" ca="1" si="82"/>
        <v>ATRASADO</v>
      </c>
      <c r="AE874" s="156">
        <f t="shared" ca="1" si="83"/>
        <v>2</v>
      </c>
    </row>
    <row r="875" spans="1:31" ht="36" hidden="1" customHeight="1">
      <c r="A875" s="414"/>
      <c r="B875" s="440" t="s">
        <v>5284</v>
      </c>
      <c r="C875" s="440" t="s">
        <v>555</v>
      </c>
      <c r="D875" s="440" t="s">
        <v>2033</v>
      </c>
      <c r="E875" s="440" t="s">
        <v>556</v>
      </c>
      <c r="F875" s="440" t="s">
        <v>42</v>
      </c>
      <c r="G875" s="441" t="s">
        <v>5285</v>
      </c>
      <c r="H875" s="440" t="s">
        <v>5286</v>
      </c>
      <c r="I875" s="441" t="s">
        <v>5287</v>
      </c>
      <c r="J875" s="450">
        <v>45809</v>
      </c>
      <c r="K875" s="429" t="s">
        <v>2493</v>
      </c>
      <c r="L875" s="444" t="s">
        <v>77</v>
      </c>
      <c r="M875" s="444" t="s">
        <v>62</v>
      </c>
      <c r="N875" s="441"/>
      <c r="O875" s="445"/>
      <c r="P875" s="441">
        <v>290</v>
      </c>
      <c r="Q875" s="445">
        <v>405</v>
      </c>
      <c r="R875" s="445" t="s">
        <v>5288</v>
      </c>
      <c r="S875" s="446">
        <v>45826</v>
      </c>
      <c r="T875" s="446">
        <v>45813</v>
      </c>
      <c r="U875" s="446"/>
      <c r="V875" s="447"/>
      <c r="W875" s="447">
        <v>45814</v>
      </c>
      <c r="X875" s="447" t="s">
        <v>8044</v>
      </c>
      <c r="Y875" s="420"/>
      <c r="Z875" s="224" t="str">
        <f t="shared" si="78"/>
        <v>AG. MEDIÇÃO</v>
      </c>
      <c r="AA875" s="207" t="str">
        <f t="shared" si="79"/>
        <v>ENTREGUE</v>
      </c>
      <c r="AB875" s="207" t="str">
        <f t="shared" si="80"/>
        <v>AG. MEDIÇÃO</v>
      </c>
      <c r="AC875" s="156">
        <f t="shared" ca="1" si="81"/>
        <v>1</v>
      </c>
      <c r="AD875" s="156" t="str">
        <f t="shared" ca="1" si="82"/>
        <v>NO PRAZO</v>
      </c>
      <c r="AE875" s="156">
        <f t="shared" ca="1" si="83"/>
        <v>-2</v>
      </c>
    </row>
    <row r="876" spans="1:31" ht="36" hidden="1" customHeight="1">
      <c r="A876" s="414"/>
      <c r="B876" s="429" t="s">
        <v>7823</v>
      </c>
      <c r="C876" s="430" t="s">
        <v>111</v>
      </c>
      <c r="D876" s="431" t="s">
        <v>184</v>
      </c>
      <c r="E876" s="432" t="s">
        <v>2504</v>
      </c>
      <c r="F876" s="429" t="s">
        <v>42</v>
      </c>
      <c r="G876" s="434"/>
      <c r="H876" s="636" t="s">
        <v>7837</v>
      </c>
      <c r="I876" s="433" t="s">
        <v>7838</v>
      </c>
      <c r="J876" s="432">
        <v>46174</v>
      </c>
      <c r="K876" s="429" t="s">
        <v>2493</v>
      </c>
      <c r="L876" s="436"/>
      <c r="M876" s="436" t="s">
        <v>62</v>
      </c>
      <c r="N876" s="433"/>
      <c r="O876" s="437" t="s">
        <v>85</v>
      </c>
      <c r="P876" s="433" t="s">
        <v>2494</v>
      </c>
      <c r="Q876" s="437" t="s">
        <v>2494</v>
      </c>
      <c r="R876" s="437" t="s">
        <v>7966</v>
      </c>
      <c r="S876" s="438">
        <v>46210</v>
      </c>
      <c r="T876" s="438">
        <v>46189</v>
      </c>
      <c r="U876" s="438"/>
      <c r="V876" s="439"/>
      <c r="W876" s="439">
        <v>46189</v>
      </c>
      <c r="X876" s="439">
        <v>46210</v>
      </c>
      <c r="Y876" s="420"/>
      <c r="Z876" s="224" t="str">
        <f t="shared" si="78"/>
        <v>AG. MEDIÇÃO</v>
      </c>
      <c r="AA876" s="207" t="str">
        <f t="shared" si="79"/>
        <v>ENTREGUE</v>
      </c>
      <c r="AB876" s="207" t="str">
        <f t="shared" si="80"/>
        <v>AG. MEDIÇÃO</v>
      </c>
      <c r="AC876" s="156">
        <f t="shared" ca="1" si="81"/>
        <v>0</v>
      </c>
      <c r="AD876" s="156" t="str">
        <f t="shared" ca="1" si="82"/>
        <v>NO PRAZO</v>
      </c>
      <c r="AE876" s="156">
        <f t="shared" ca="1" si="83"/>
        <v>-3</v>
      </c>
    </row>
    <row r="877" spans="1:31" ht="36" hidden="1" customHeight="1">
      <c r="A877" s="414"/>
      <c r="B877" s="466" t="s">
        <v>2542</v>
      </c>
      <c r="C877" s="486" t="s">
        <v>126</v>
      </c>
      <c r="D877" s="466" t="s">
        <v>128</v>
      </c>
      <c r="E877" s="466" t="s">
        <v>127</v>
      </c>
      <c r="F877" s="466" t="s">
        <v>42</v>
      </c>
      <c r="G877" s="482"/>
      <c r="H877" s="647" t="s">
        <v>2543</v>
      </c>
      <c r="I877" s="475" t="s">
        <v>2510</v>
      </c>
      <c r="J877" s="476">
        <v>45992</v>
      </c>
      <c r="K877" s="429" t="s">
        <v>2493</v>
      </c>
      <c r="L877" s="465"/>
      <c r="M877" s="465" t="s">
        <v>259</v>
      </c>
      <c r="N877" s="475"/>
      <c r="O877" s="479"/>
      <c r="P877" s="475" t="s">
        <v>2494</v>
      </c>
      <c r="Q877" s="479" t="s">
        <v>2494</v>
      </c>
      <c r="R877" s="479" t="s">
        <v>2544</v>
      </c>
      <c r="S877" s="480" t="s">
        <v>85</v>
      </c>
      <c r="T877" s="480">
        <v>45994</v>
      </c>
      <c r="U877" s="480"/>
      <c r="V877" s="481"/>
      <c r="W877" s="481">
        <v>45994</v>
      </c>
      <c r="X877" s="481">
        <v>45995</v>
      </c>
      <c r="Y877" s="420"/>
      <c r="Z877" s="224" t="str">
        <f t="shared" si="78"/>
        <v>AG. MEDIÇÃO</v>
      </c>
      <c r="AA877" s="207" t="str">
        <f t="shared" si="79"/>
        <v>ENTREGUE</v>
      </c>
      <c r="AB877" s="207" t="str">
        <f t="shared" si="80"/>
        <v>AG. MEDIÇÃO</v>
      </c>
      <c r="AC877" s="156">
        <f t="shared" ca="1" si="81"/>
        <v>0</v>
      </c>
      <c r="AD877" s="156" t="str">
        <f t="shared" ca="1" si="82"/>
        <v>NO PRAZO</v>
      </c>
      <c r="AE877" s="156">
        <f t="shared" ca="1" si="83"/>
        <v>-3</v>
      </c>
    </row>
    <row r="878" spans="1:31" ht="36" hidden="1" customHeight="1">
      <c r="A878" s="414"/>
      <c r="B878" s="466" t="s">
        <v>2529</v>
      </c>
      <c r="C878" s="466" t="s">
        <v>126</v>
      </c>
      <c r="D878" s="466" t="s">
        <v>128</v>
      </c>
      <c r="E878" s="466" t="s">
        <v>127</v>
      </c>
      <c r="F878" s="466" t="s">
        <v>42</v>
      </c>
      <c r="G878" s="475"/>
      <c r="H878" s="489" t="s">
        <v>2530</v>
      </c>
      <c r="I878" s="475" t="s">
        <v>2510</v>
      </c>
      <c r="J878" s="476">
        <v>45992</v>
      </c>
      <c r="K878" s="429" t="s">
        <v>2493</v>
      </c>
      <c r="L878" s="465"/>
      <c r="M878" s="465" t="s">
        <v>259</v>
      </c>
      <c r="N878" s="475"/>
      <c r="O878" s="479"/>
      <c r="P878" s="475" t="s">
        <v>2494</v>
      </c>
      <c r="Q878" s="479" t="s">
        <v>2494</v>
      </c>
      <c r="R878" s="479" t="s">
        <v>6782</v>
      </c>
      <c r="S878" s="480" t="s">
        <v>85</v>
      </c>
      <c r="T878" s="480">
        <v>45994</v>
      </c>
      <c r="U878" s="480"/>
      <c r="V878" s="481"/>
      <c r="W878" s="481">
        <v>45994</v>
      </c>
      <c r="X878" s="481">
        <v>45994</v>
      </c>
      <c r="Y878" s="420"/>
      <c r="Z878" s="224" t="str">
        <f t="shared" si="78"/>
        <v>AG. MEDIÇÃO</v>
      </c>
      <c r="AA878" s="207" t="str">
        <f t="shared" si="79"/>
        <v>ENTREGUE</v>
      </c>
      <c r="AB878" s="207" t="str">
        <f t="shared" si="80"/>
        <v>AG. MEDIÇÃO</v>
      </c>
      <c r="AC878" s="156">
        <f t="shared" ca="1" si="81"/>
        <v>0</v>
      </c>
      <c r="AD878" s="156" t="str">
        <f t="shared" ca="1" si="82"/>
        <v>NO PRAZO</v>
      </c>
      <c r="AE878" s="156">
        <f t="shared" ca="1" si="83"/>
        <v>-3</v>
      </c>
    </row>
    <row r="879" spans="1:31" ht="36" hidden="1" customHeight="1">
      <c r="A879" s="414"/>
      <c r="B879" s="440" t="s">
        <v>2741</v>
      </c>
      <c r="C879" s="440" t="s">
        <v>665</v>
      </c>
      <c r="D879" s="440"/>
      <c r="E879" s="440"/>
      <c r="F879" s="440" t="s">
        <v>42</v>
      </c>
      <c r="G879" s="441" t="s">
        <v>2742</v>
      </c>
      <c r="H879" s="440" t="s">
        <v>2743</v>
      </c>
      <c r="I879" s="449"/>
      <c r="J879" s="443">
        <v>44986</v>
      </c>
      <c r="K879" s="429" t="s">
        <v>2493</v>
      </c>
      <c r="L879" s="444"/>
      <c r="M879" s="444"/>
      <c r="N879" s="441" t="s">
        <v>2572</v>
      </c>
      <c r="O879" s="441"/>
      <c r="P879" s="441" t="s">
        <v>2494</v>
      </c>
      <c r="Q879" s="441" t="s">
        <v>2494</v>
      </c>
      <c r="R879" s="444" t="s">
        <v>2744</v>
      </c>
      <c r="S879" s="446">
        <v>45118</v>
      </c>
      <c r="T879" s="446">
        <v>45000</v>
      </c>
      <c r="U879" s="446">
        <v>45005</v>
      </c>
      <c r="V879" s="446">
        <v>45009</v>
      </c>
      <c r="W879" s="447">
        <v>45008</v>
      </c>
      <c r="X879" s="447" t="s">
        <v>8044</v>
      </c>
      <c r="Y879" s="420"/>
      <c r="Z879" s="224" t="str">
        <f t="shared" si="78"/>
        <v>AG. MEDIÇÃO</v>
      </c>
      <c r="AA879" s="207" t="str">
        <f t="shared" si="79"/>
        <v>ENTREGUE</v>
      </c>
      <c r="AB879" s="207" t="str">
        <f t="shared" si="80"/>
        <v>AG. MEDIÇÃO</v>
      </c>
      <c r="AC879" s="156">
        <f t="shared" ca="1" si="81"/>
        <v>6</v>
      </c>
      <c r="AD879" s="156" t="str">
        <f t="shared" ca="1" si="82"/>
        <v>ATRASADO</v>
      </c>
      <c r="AE879" s="156">
        <f t="shared" ca="1" si="83"/>
        <v>3</v>
      </c>
    </row>
    <row r="880" spans="1:31" ht="36" hidden="1" customHeight="1">
      <c r="A880" s="414"/>
      <c r="B880" s="440" t="s">
        <v>5704</v>
      </c>
      <c r="C880" s="440" t="s">
        <v>600</v>
      </c>
      <c r="D880" s="440" t="s">
        <v>602</v>
      </c>
      <c r="E880" s="440" t="s">
        <v>601</v>
      </c>
      <c r="F880" s="440" t="s">
        <v>42</v>
      </c>
      <c r="G880" s="441"/>
      <c r="H880" s="440" t="s">
        <v>5705</v>
      </c>
      <c r="I880" s="441" t="s">
        <v>5706</v>
      </c>
      <c r="J880" s="450">
        <v>45870</v>
      </c>
      <c r="K880" s="429" t="s">
        <v>2493</v>
      </c>
      <c r="L880" s="444" t="s">
        <v>4394</v>
      </c>
      <c r="M880" s="444" t="s">
        <v>132</v>
      </c>
      <c r="N880" s="441"/>
      <c r="O880" s="445"/>
      <c r="P880" s="441"/>
      <c r="Q880" s="445"/>
      <c r="R880" s="445" t="s">
        <v>5707</v>
      </c>
      <c r="S880" s="446" t="s">
        <v>602</v>
      </c>
      <c r="T880" s="446">
        <v>45891</v>
      </c>
      <c r="U880" s="446"/>
      <c r="V880" s="447"/>
      <c r="W880" s="447">
        <v>45917</v>
      </c>
      <c r="X880" s="447" t="s">
        <v>8044</v>
      </c>
      <c r="Y880" s="420"/>
      <c r="Z880" s="224" t="str">
        <f t="shared" si="78"/>
        <v>AG. MEDIÇÃO</v>
      </c>
      <c r="AA880" s="207" t="str">
        <f t="shared" si="79"/>
        <v>ENTREGUE</v>
      </c>
      <c r="AB880" s="207" t="str">
        <f t="shared" si="80"/>
        <v>AG. MEDIÇÃO</v>
      </c>
      <c r="AC880" s="156">
        <f t="shared" ca="1" si="81"/>
        <v>18</v>
      </c>
      <c r="AD880" s="156" t="str">
        <f t="shared" ca="1" si="82"/>
        <v>ATRASADO</v>
      </c>
      <c r="AE880" s="156">
        <f t="shared" ca="1" si="83"/>
        <v>15</v>
      </c>
    </row>
    <row r="881" spans="1:31" ht="36" hidden="1" customHeight="1">
      <c r="A881" s="414"/>
      <c r="B881" s="466" t="s">
        <v>2524</v>
      </c>
      <c r="C881" s="466" t="s">
        <v>2503</v>
      </c>
      <c r="D881" s="466" t="s">
        <v>2278</v>
      </c>
      <c r="E881" s="466" t="s">
        <v>2504</v>
      </c>
      <c r="F881" s="466" t="s">
        <v>42</v>
      </c>
      <c r="G881" s="475"/>
      <c r="H881" s="645" t="s">
        <v>2525</v>
      </c>
      <c r="I881" s="475" t="s">
        <v>2526</v>
      </c>
      <c r="J881" s="476">
        <v>45962</v>
      </c>
      <c r="K881" s="429" t="s">
        <v>2493</v>
      </c>
      <c r="L881" s="477" t="s">
        <v>50</v>
      </c>
      <c r="M881" s="477" t="s">
        <v>2527</v>
      </c>
      <c r="N881" s="475"/>
      <c r="O881" s="479"/>
      <c r="P881" s="475"/>
      <c r="Q881" s="479"/>
      <c r="R881" s="479" t="s">
        <v>2528</v>
      </c>
      <c r="S881" s="480" t="s">
        <v>2278</v>
      </c>
      <c r="T881" s="480">
        <v>45987</v>
      </c>
      <c r="U881" s="480"/>
      <c r="V881" s="481"/>
      <c r="W881" s="481">
        <v>45993</v>
      </c>
      <c r="X881" s="447" t="s">
        <v>8044</v>
      </c>
      <c r="Y881" s="420"/>
      <c r="Z881" s="224" t="str">
        <f t="shared" si="78"/>
        <v>AG. MEDIÇÃO</v>
      </c>
      <c r="AA881" s="207" t="str">
        <f t="shared" si="79"/>
        <v>ENTREGUE</v>
      </c>
      <c r="AB881" s="207" t="str">
        <f t="shared" si="80"/>
        <v>AG. MEDIÇÃO</v>
      </c>
      <c r="AC881" s="156">
        <f t="shared" ca="1" si="81"/>
        <v>4</v>
      </c>
      <c r="AD881" s="156" t="str">
        <f t="shared" ca="1" si="82"/>
        <v>ATRASADO</v>
      </c>
      <c r="AE881" s="156">
        <f t="shared" ca="1" si="83"/>
        <v>1</v>
      </c>
    </row>
    <row r="882" spans="1:31" ht="36" hidden="1" customHeight="1">
      <c r="A882" s="414"/>
      <c r="B882" s="440" t="s">
        <v>2745</v>
      </c>
      <c r="C882" s="440" t="s">
        <v>104</v>
      </c>
      <c r="D882" s="440"/>
      <c r="E882" s="440"/>
      <c r="F882" s="440" t="s">
        <v>105</v>
      </c>
      <c r="G882" s="441" t="s">
        <v>2746</v>
      </c>
      <c r="H882" s="440" t="s">
        <v>2747</v>
      </c>
      <c r="I882" s="449"/>
      <c r="J882" s="443">
        <v>44986</v>
      </c>
      <c r="K882" s="429" t="s">
        <v>2493</v>
      </c>
      <c r="L882" s="444"/>
      <c r="M882" s="444"/>
      <c r="N882" s="441" t="s">
        <v>2572</v>
      </c>
      <c r="O882" s="441"/>
      <c r="P882" s="441" t="s">
        <v>2494</v>
      </c>
      <c r="Q882" s="441" t="s">
        <v>2494</v>
      </c>
      <c r="R882" s="445" t="s">
        <v>2657</v>
      </c>
      <c r="S882" s="446">
        <v>45066</v>
      </c>
      <c r="T882" s="446">
        <v>45002</v>
      </c>
      <c r="U882" s="446">
        <v>45002</v>
      </c>
      <c r="V882" s="446">
        <v>45006</v>
      </c>
      <c r="W882" s="446">
        <v>45006</v>
      </c>
      <c r="X882" s="447" t="s">
        <v>8044</v>
      </c>
      <c r="Y882" s="420"/>
      <c r="Z882" s="224" t="str">
        <f t="shared" si="78"/>
        <v>AG. MEDIÇÃO</v>
      </c>
      <c r="AA882" s="207" t="str">
        <f t="shared" si="79"/>
        <v>ENTREGUE</v>
      </c>
      <c r="AB882" s="207" t="str">
        <f t="shared" si="80"/>
        <v>AG. MEDIÇÃO</v>
      </c>
      <c r="AC882" s="156">
        <f t="shared" ca="1" si="81"/>
        <v>2</v>
      </c>
      <c r="AD882" s="156" t="str">
        <f t="shared" ca="1" si="82"/>
        <v>NO PRAZO</v>
      </c>
      <c r="AE882" s="156">
        <f t="shared" ca="1" si="83"/>
        <v>-1</v>
      </c>
    </row>
    <row r="883" spans="1:31" ht="36" hidden="1" customHeight="1">
      <c r="A883" s="414"/>
      <c r="B883" s="440" t="s">
        <v>4542</v>
      </c>
      <c r="C883" s="440" t="s">
        <v>203</v>
      </c>
      <c r="D883" s="440" t="s">
        <v>203</v>
      </c>
      <c r="E883" s="440" t="s">
        <v>204</v>
      </c>
      <c r="F883" s="440" t="s">
        <v>42</v>
      </c>
      <c r="G883" s="440"/>
      <c r="H883" s="440" t="s">
        <v>4543</v>
      </c>
      <c r="I883" s="441"/>
      <c r="J883" s="450">
        <v>45566</v>
      </c>
      <c r="K883" s="429" t="s">
        <v>2493</v>
      </c>
      <c r="L883" s="444" t="s">
        <v>631</v>
      </c>
      <c r="M883" s="444" t="s">
        <v>200</v>
      </c>
      <c r="N883" s="441" t="s">
        <v>2572</v>
      </c>
      <c r="O883" s="445" t="s">
        <v>3350</v>
      </c>
      <c r="P883" s="445"/>
      <c r="Q883" s="445">
        <v>185</v>
      </c>
      <c r="R883" s="445" t="s">
        <v>4544</v>
      </c>
      <c r="S883" s="446">
        <v>45608</v>
      </c>
      <c r="T883" s="446"/>
      <c r="U883" s="446"/>
      <c r="V883" s="447"/>
      <c r="W883" s="447">
        <v>45597</v>
      </c>
      <c r="X883" s="447" t="s">
        <v>8044</v>
      </c>
      <c r="Y883" s="420"/>
      <c r="Z883" s="224" t="str">
        <f t="shared" si="78"/>
        <v>AG. MEDIÇÃO</v>
      </c>
      <c r="AA883" s="207" t="str">
        <f t="shared" si="79"/>
        <v>ENTREGUE</v>
      </c>
      <c r="AB883" s="207" t="str">
        <f t="shared" si="80"/>
        <v>AG. MEDIÇÃO</v>
      </c>
      <c r="AC883" s="156" t="str">
        <f t="shared" ca="1" si="81"/>
        <v>DATA ENTRADA</v>
      </c>
      <c r="AD883" s="156" t="str">
        <f t="shared" ca="1" si="82"/>
        <v>ATRASADO</v>
      </c>
      <c r="AE883" s="156" t="str">
        <f t="shared" ca="1" si="83"/>
        <v>DATA ENTRADA</v>
      </c>
    </row>
    <row r="884" spans="1:31" ht="36" hidden="1" customHeight="1">
      <c r="A884" s="414"/>
      <c r="B884" s="440" t="s">
        <v>5794</v>
      </c>
      <c r="C884" s="440" t="s">
        <v>37</v>
      </c>
      <c r="D884" s="440" t="s">
        <v>937</v>
      </c>
      <c r="E884" s="440" t="s">
        <v>38</v>
      </c>
      <c r="F884" s="440" t="s">
        <v>42</v>
      </c>
      <c r="G884" s="441"/>
      <c r="H884" s="440" t="s">
        <v>5795</v>
      </c>
      <c r="I884" s="441" t="s">
        <v>5796</v>
      </c>
      <c r="J884" s="450">
        <v>45901</v>
      </c>
      <c r="K884" s="429" t="s">
        <v>2493</v>
      </c>
      <c r="L884" s="444" t="s">
        <v>50</v>
      </c>
      <c r="M884" s="444" t="s">
        <v>51</v>
      </c>
      <c r="N884" s="441"/>
      <c r="O884" s="445"/>
      <c r="P884" s="441"/>
      <c r="Q884" s="445"/>
      <c r="R884" s="445" t="s">
        <v>5797</v>
      </c>
      <c r="S884" s="446" t="s">
        <v>937</v>
      </c>
      <c r="T884" s="446">
        <v>45903</v>
      </c>
      <c r="U884" s="446"/>
      <c r="V884" s="447"/>
      <c r="W884" s="447"/>
      <c r="X884" s="447" t="s">
        <v>8044</v>
      </c>
      <c r="Y884" s="420"/>
      <c r="Z884" s="224" t="str">
        <f t="shared" si="78"/>
        <v>AG. MEDIÇÃO</v>
      </c>
      <c r="AA884" s="207" t="str">
        <f t="shared" si="79"/>
        <v>ENTREGUE</v>
      </c>
      <c r="AB884" s="207" t="str">
        <f t="shared" si="80"/>
        <v>AG. MEDIÇÃO</v>
      </c>
      <c r="AC884" s="156">
        <f t="shared" ca="1" si="81"/>
        <v>270</v>
      </c>
      <c r="AD884" s="156" t="str">
        <f t="shared" ca="1" si="82"/>
        <v>ATRASADO</v>
      </c>
      <c r="AE884" s="156">
        <f t="shared" ca="1" si="83"/>
        <v>267</v>
      </c>
    </row>
    <row r="885" spans="1:31" ht="36" hidden="1" customHeight="1">
      <c r="A885" s="414"/>
      <c r="B885" s="440" t="s">
        <v>3144</v>
      </c>
      <c r="C885" s="440" t="s">
        <v>232</v>
      </c>
      <c r="D885" s="440"/>
      <c r="E885" s="440"/>
      <c r="F885" s="440" t="s">
        <v>42</v>
      </c>
      <c r="G885" s="441" t="s">
        <v>3145</v>
      </c>
      <c r="H885" s="440" t="s">
        <v>3146</v>
      </c>
      <c r="I885" s="449"/>
      <c r="J885" s="450">
        <v>45200</v>
      </c>
      <c r="K885" s="429" t="s">
        <v>2493</v>
      </c>
      <c r="L885" s="444"/>
      <c r="M885" s="444" t="s">
        <v>714</v>
      </c>
      <c r="N885" s="441" t="s">
        <v>2572</v>
      </c>
      <c r="O885" s="445" t="s">
        <v>85</v>
      </c>
      <c r="P885" s="441" t="s">
        <v>2494</v>
      </c>
      <c r="Q885" s="441" t="s">
        <v>2494</v>
      </c>
      <c r="R885" s="445" t="s">
        <v>3147</v>
      </c>
      <c r="S885" s="446">
        <v>45229</v>
      </c>
      <c r="T885" s="446">
        <v>45224</v>
      </c>
      <c r="U885" s="446"/>
      <c r="V885" s="446">
        <v>45224</v>
      </c>
      <c r="W885" s="446">
        <v>45224</v>
      </c>
      <c r="X885" s="447" t="s">
        <v>8044</v>
      </c>
      <c r="Y885" s="420"/>
      <c r="Z885" s="224" t="str">
        <f t="shared" si="78"/>
        <v>AG. MEDIÇÃO</v>
      </c>
      <c r="AA885" s="207" t="str">
        <f t="shared" si="79"/>
        <v>ENTREGUE</v>
      </c>
      <c r="AB885" s="207" t="str">
        <f t="shared" si="80"/>
        <v>AG. MEDIÇÃO</v>
      </c>
      <c r="AC885" s="156">
        <f t="shared" ca="1" si="81"/>
        <v>0</v>
      </c>
      <c r="AD885" s="156" t="str">
        <f t="shared" ca="1" si="82"/>
        <v>NO PRAZO</v>
      </c>
      <c r="AE885" s="156">
        <f t="shared" ca="1" si="83"/>
        <v>-3</v>
      </c>
    </row>
    <row r="886" spans="1:31" ht="36" hidden="1" customHeight="1">
      <c r="A886" s="414"/>
      <c r="B886" s="440" t="s">
        <v>3007</v>
      </c>
      <c r="C886" s="440" t="s">
        <v>232</v>
      </c>
      <c r="D886" s="440"/>
      <c r="E886" s="440"/>
      <c r="F886" s="440" t="s">
        <v>42</v>
      </c>
      <c r="G886" s="441" t="s">
        <v>3008</v>
      </c>
      <c r="H886" s="440" t="s">
        <v>3009</v>
      </c>
      <c r="I886" s="449"/>
      <c r="J886" s="443">
        <v>45139</v>
      </c>
      <c r="K886" s="429" t="s">
        <v>2493</v>
      </c>
      <c r="L886" s="444" t="s">
        <v>2646</v>
      </c>
      <c r="M886" s="444" t="s">
        <v>3010</v>
      </c>
      <c r="N886" s="441" t="s">
        <v>2572</v>
      </c>
      <c r="O886" s="445" t="s">
        <v>85</v>
      </c>
      <c r="P886" s="445"/>
      <c r="Q886" s="441">
        <v>273</v>
      </c>
      <c r="R886" s="445" t="s">
        <v>3011</v>
      </c>
      <c r="S886" s="446">
        <v>45184</v>
      </c>
      <c r="T886" s="446">
        <v>45166</v>
      </c>
      <c r="U886" s="446">
        <v>45168</v>
      </c>
      <c r="V886" s="446">
        <v>45209</v>
      </c>
      <c r="W886" s="447">
        <v>45210</v>
      </c>
      <c r="X886" s="447" t="s">
        <v>8044</v>
      </c>
      <c r="Y886" s="420"/>
      <c r="Z886" s="224" t="str">
        <f t="shared" si="78"/>
        <v>AG. MEDIÇÃO</v>
      </c>
      <c r="AA886" s="207" t="str">
        <f t="shared" si="79"/>
        <v>ENTREGUE</v>
      </c>
      <c r="AB886" s="207" t="str">
        <f t="shared" si="80"/>
        <v>AG. MEDIÇÃO</v>
      </c>
      <c r="AC886" s="156">
        <f t="shared" ca="1" si="81"/>
        <v>32</v>
      </c>
      <c r="AD886" s="156" t="str">
        <f t="shared" ca="1" si="82"/>
        <v>ATRASADO</v>
      </c>
      <c r="AE886" s="156">
        <f t="shared" ca="1" si="83"/>
        <v>29</v>
      </c>
    </row>
    <row r="887" spans="1:31" ht="36" hidden="1" customHeight="1">
      <c r="A887" s="414"/>
      <c r="B887" s="440" t="s">
        <v>5507</v>
      </c>
      <c r="C887" s="440" t="s">
        <v>555</v>
      </c>
      <c r="D887" s="440"/>
      <c r="E887" s="440" t="s">
        <v>556</v>
      </c>
      <c r="F887" s="440" t="s">
        <v>42</v>
      </c>
      <c r="G887" s="441"/>
      <c r="H887" s="440" t="s">
        <v>5508</v>
      </c>
      <c r="I887" s="441" t="s">
        <v>5509</v>
      </c>
      <c r="J887" s="450">
        <v>45839</v>
      </c>
      <c r="K887" s="429" t="s">
        <v>2493</v>
      </c>
      <c r="L887" s="444"/>
      <c r="M887" s="444" t="s">
        <v>62</v>
      </c>
      <c r="N887" s="441"/>
      <c r="O887" s="445"/>
      <c r="P887" s="441"/>
      <c r="Q887" s="445"/>
      <c r="R887" s="445" t="s">
        <v>5466</v>
      </c>
      <c r="S887" s="446" t="s">
        <v>555</v>
      </c>
      <c r="T887" s="446">
        <v>45846</v>
      </c>
      <c r="U887" s="446"/>
      <c r="V887" s="447"/>
      <c r="W887" s="447">
        <v>45849</v>
      </c>
      <c r="X887" s="447" t="s">
        <v>8044</v>
      </c>
      <c r="Y887" s="420"/>
      <c r="Z887" s="224" t="str">
        <f t="shared" si="78"/>
        <v>AG. MEDIÇÃO</v>
      </c>
      <c r="AA887" s="207" t="str">
        <f t="shared" si="79"/>
        <v>ENTREGUE</v>
      </c>
      <c r="AB887" s="207" t="str">
        <f t="shared" si="80"/>
        <v>AG. MEDIÇÃO</v>
      </c>
      <c r="AC887" s="156">
        <f t="shared" ca="1" si="81"/>
        <v>3</v>
      </c>
      <c r="AD887" s="156" t="str">
        <f t="shared" ca="1" si="82"/>
        <v>NO PRAZO</v>
      </c>
      <c r="AE887" s="156">
        <f t="shared" ca="1" si="83"/>
        <v>0</v>
      </c>
    </row>
    <row r="888" spans="1:31" ht="36" hidden="1" customHeight="1">
      <c r="A888" s="414"/>
      <c r="B888" s="440" t="s">
        <v>2844</v>
      </c>
      <c r="C888" s="440" t="s">
        <v>160</v>
      </c>
      <c r="D888" s="440"/>
      <c r="E888" s="440"/>
      <c r="F888" s="440" t="s">
        <v>42</v>
      </c>
      <c r="G888" s="441" t="s">
        <v>2845</v>
      </c>
      <c r="H888" s="440" t="s">
        <v>2846</v>
      </c>
      <c r="I888" s="449"/>
      <c r="J888" s="443">
        <v>45017</v>
      </c>
      <c r="K888" s="429" t="s">
        <v>2493</v>
      </c>
      <c r="L888" s="444" t="s">
        <v>659</v>
      </c>
      <c r="M888" s="444" t="s">
        <v>2847</v>
      </c>
      <c r="N888" s="441" t="s">
        <v>2572</v>
      </c>
      <c r="O888" s="445" t="s">
        <v>85</v>
      </c>
      <c r="P888" s="445"/>
      <c r="Q888" s="441">
        <v>896</v>
      </c>
      <c r="R888" s="445" t="s">
        <v>2848</v>
      </c>
      <c r="S888" s="446">
        <v>45082</v>
      </c>
      <c r="T888" s="446">
        <v>45020</v>
      </c>
      <c r="U888" s="446">
        <v>45021</v>
      </c>
      <c r="V888" s="446" t="s">
        <v>2849</v>
      </c>
      <c r="W888" s="447">
        <v>45029</v>
      </c>
      <c r="X888" s="447" t="s">
        <v>8044</v>
      </c>
      <c r="Y888" s="420"/>
      <c r="Z888" s="224" t="str">
        <f t="shared" si="78"/>
        <v>AG. MEDIÇÃO</v>
      </c>
      <c r="AA888" s="207" t="str">
        <f t="shared" si="79"/>
        <v>ENTREGUE</v>
      </c>
      <c r="AB888" s="207" t="str">
        <f t="shared" si="80"/>
        <v>AG. MEDIÇÃO</v>
      </c>
      <c r="AC888" s="156">
        <f t="shared" ca="1" si="81"/>
        <v>7</v>
      </c>
      <c r="AD888" s="156" t="str">
        <f t="shared" ca="1" si="82"/>
        <v>ATRASADO</v>
      </c>
      <c r="AE888" s="156">
        <f t="shared" ca="1" si="83"/>
        <v>4</v>
      </c>
    </row>
    <row r="889" spans="1:31" ht="36" hidden="1" customHeight="1">
      <c r="A889" s="414"/>
      <c r="B889" s="440" t="s">
        <v>2921</v>
      </c>
      <c r="C889" s="440" t="s">
        <v>2922</v>
      </c>
      <c r="D889" s="440"/>
      <c r="E889" s="440"/>
      <c r="F889" s="440" t="s">
        <v>2923</v>
      </c>
      <c r="G889" s="441" t="s">
        <v>2924</v>
      </c>
      <c r="H889" s="440" t="s">
        <v>2925</v>
      </c>
      <c r="I889" s="449"/>
      <c r="J889" s="450">
        <v>45078</v>
      </c>
      <c r="K889" s="429" t="s">
        <v>2493</v>
      </c>
      <c r="L889" s="444"/>
      <c r="M889" s="444" t="s">
        <v>864</v>
      </c>
      <c r="N889" s="441" t="s">
        <v>2572</v>
      </c>
      <c r="O889" s="441" t="s">
        <v>2573</v>
      </c>
      <c r="P889" s="441" t="s">
        <v>2494</v>
      </c>
      <c r="Q889" s="441" t="s">
        <v>2494</v>
      </c>
      <c r="R889" s="445" t="s">
        <v>2913</v>
      </c>
      <c r="S889" s="446">
        <v>45100</v>
      </c>
      <c r="T889" s="446">
        <v>45098</v>
      </c>
      <c r="U889" s="446">
        <v>45098</v>
      </c>
      <c r="V889" s="446">
        <v>45099</v>
      </c>
      <c r="W889" s="447">
        <v>45099</v>
      </c>
      <c r="X889" s="447" t="s">
        <v>8044</v>
      </c>
      <c r="Y889" s="420"/>
      <c r="Z889" s="224" t="str">
        <f t="shared" si="78"/>
        <v>AG. MEDIÇÃO</v>
      </c>
      <c r="AA889" s="207" t="str">
        <f t="shared" si="79"/>
        <v>ENTREGUE</v>
      </c>
      <c r="AB889" s="207" t="str">
        <f t="shared" si="80"/>
        <v>AG. MEDIÇÃO</v>
      </c>
      <c r="AC889" s="156">
        <f t="shared" ca="1" si="81"/>
        <v>1</v>
      </c>
      <c r="AD889" s="156" t="str">
        <f t="shared" ca="1" si="82"/>
        <v>NO PRAZO</v>
      </c>
      <c r="AE889" s="156">
        <f t="shared" ca="1" si="83"/>
        <v>-2</v>
      </c>
    </row>
    <row r="890" spans="1:31" ht="36" hidden="1" customHeight="1">
      <c r="A890" s="414"/>
      <c r="B890" s="440" t="s">
        <v>3885</v>
      </c>
      <c r="C890" s="440" t="s">
        <v>363</v>
      </c>
      <c r="D890" s="440" t="s">
        <v>365</v>
      </c>
      <c r="E890" s="440"/>
      <c r="F890" s="440" t="s">
        <v>42</v>
      </c>
      <c r="G890" s="441" t="s">
        <v>3886</v>
      </c>
      <c r="H890" s="440" t="s">
        <v>3887</v>
      </c>
      <c r="I890" s="441" t="s">
        <v>3888</v>
      </c>
      <c r="J890" s="450">
        <v>45444</v>
      </c>
      <c r="K890" s="429" t="s">
        <v>2493</v>
      </c>
      <c r="L890" s="444" t="s">
        <v>124</v>
      </c>
      <c r="M890" s="444" t="s">
        <v>132</v>
      </c>
      <c r="N890" s="441" t="s">
        <v>2572</v>
      </c>
      <c r="O890" s="445" t="s">
        <v>85</v>
      </c>
      <c r="P890" s="445"/>
      <c r="Q890" s="441">
        <v>370</v>
      </c>
      <c r="R890" s="445" t="s">
        <v>3889</v>
      </c>
      <c r="S890" s="446">
        <v>45469</v>
      </c>
      <c r="T890" s="446">
        <v>45462</v>
      </c>
      <c r="U890" s="446">
        <v>45463</v>
      </c>
      <c r="V890" s="446">
        <v>45467</v>
      </c>
      <c r="W890" s="447">
        <v>45467</v>
      </c>
      <c r="X890" s="447" t="s">
        <v>8044</v>
      </c>
      <c r="Y890" s="420"/>
      <c r="Z890" s="224" t="str">
        <f t="shared" si="78"/>
        <v>AG. MEDIÇÃO</v>
      </c>
      <c r="AA890" s="207" t="str">
        <f t="shared" si="79"/>
        <v>ENTREGUE</v>
      </c>
      <c r="AB890" s="207" t="str">
        <f t="shared" si="80"/>
        <v>AG. MEDIÇÃO</v>
      </c>
      <c r="AC890" s="156">
        <f t="shared" ca="1" si="81"/>
        <v>3</v>
      </c>
      <c r="AD890" s="156" t="str">
        <f t="shared" ca="1" si="82"/>
        <v>NO PRAZO</v>
      </c>
      <c r="AE890" s="156">
        <f t="shared" ca="1" si="83"/>
        <v>0</v>
      </c>
    </row>
    <row r="891" spans="1:31" ht="36" hidden="1" customHeight="1">
      <c r="A891" s="414"/>
      <c r="B891" s="429" t="s">
        <v>8496</v>
      </c>
      <c r="C891" s="429" t="s">
        <v>353</v>
      </c>
      <c r="D891" s="429" t="s">
        <v>355</v>
      </c>
      <c r="E891" s="429" t="s">
        <v>354</v>
      </c>
      <c r="F891" s="429" t="s">
        <v>42</v>
      </c>
      <c r="G891" s="433"/>
      <c r="H891" s="652" t="s">
        <v>7309</v>
      </c>
      <c r="I891" s="433" t="s">
        <v>7316</v>
      </c>
      <c r="J891" s="599">
        <v>46204</v>
      </c>
      <c r="K891" s="429" t="s">
        <v>2493</v>
      </c>
      <c r="L891" s="436"/>
      <c r="M891" s="436" t="s">
        <v>62</v>
      </c>
      <c r="N891" s="433"/>
      <c r="O891" s="433"/>
      <c r="P891" s="429" t="s">
        <v>2494</v>
      </c>
      <c r="Q891" s="429" t="s">
        <v>2494</v>
      </c>
      <c r="R891" s="437" t="s">
        <v>8495</v>
      </c>
      <c r="S891" s="438"/>
      <c r="T891" s="438">
        <v>46233</v>
      </c>
      <c r="U891" s="438"/>
      <c r="V891" s="438"/>
      <c r="W891" s="439">
        <v>46234</v>
      </c>
      <c r="X891" s="439"/>
      <c r="Y891" s="420"/>
      <c r="Z891" s="224" t="str">
        <f t="shared" si="78"/>
        <v>AG. RELATÓRIO</v>
      </c>
      <c r="AA891" s="207" t="str">
        <f t="shared" si="79"/>
        <v>PENDENTE</v>
      </c>
      <c r="AB891" s="207" t="str">
        <f t="shared" si="80"/>
        <v>AG. RELATÓRIO</v>
      </c>
      <c r="AC891" s="156">
        <f t="shared" ca="1" si="81"/>
        <v>1</v>
      </c>
      <c r="AD891" s="156" t="str">
        <f t="shared" ca="1" si="82"/>
        <v>NO PRAZO</v>
      </c>
      <c r="AE891" s="156">
        <f t="shared" ca="1" si="83"/>
        <v>-2</v>
      </c>
    </row>
    <row r="892" spans="1:31" ht="36" hidden="1" customHeight="1">
      <c r="A892" s="414"/>
      <c r="B892" s="466" t="s">
        <v>5835</v>
      </c>
      <c r="C892" s="488" t="s">
        <v>54</v>
      </c>
      <c r="D892" s="489" t="s">
        <v>665</v>
      </c>
      <c r="E892" s="476" t="s">
        <v>55</v>
      </c>
      <c r="F892" s="466" t="s">
        <v>42</v>
      </c>
      <c r="G892" s="482"/>
      <c r="H892" s="647" t="s">
        <v>5836</v>
      </c>
      <c r="I892" s="475" t="s">
        <v>5837</v>
      </c>
      <c r="J892" s="476">
        <v>45992</v>
      </c>
      <c r="K892" s="429" t="s">
        <v>2493</v>
      </c>
      <c r="L892" s="465" t="s">
        <v>94</v>
      </c>
      <c r="M892" s="465" t="s">
        <v>94</v>
      </c>
      <c r="N892" s="475"/>
      <c r="O892" s="479"/>
      <c r="P892" s="475"/>
      <c r="Q892" s="479"/>
      <c r="R892" s="479" t="s">
        <v>6968</v>
      </c>
      <c r="S892" s="480" t="s">
        <v>6969</v>
      </c>
      <c r="T892" s="480"/>
      <c r="U892" s="480"/>
      <c r="V892" s="481"/>
      <c r="W892" s="481"/>
      <c r="X892" s="447" t="s">
        <v>8044</v>
      </c>
      <c r="Y892" s="420"/>
      <c r="Z892" s="224" t="str">
        <f t="shared" si="78"/>
        <v>AG. MEDIÇÃO</v>
      </c>
      <c r="AA892" s="207" t="str">
        <f t="shared" si="79"/>
        <v>ENTREGUE</v>
      </c>
      <c r="AB892" s="207" t="str">
        <f t="shared" si="80"/>
        <v>AG. MEDIÇÃO</v>
      </c>
      <c r="AC892" s="156" t="str">
        <f t="shared" ca="1" si="81"/>
        <v>DATA ENTRADA</v>
      </c>
      <c r="AD892" s="156" t="str">
        <f t="shared" ca="1" si="82"/>
        <v>ATRASADO</v>
      </c>
      <c r="AE892" s="156" t="str">
        <f t="shared" ca="1" si="83"/>
        <v>DATA ENTRADA</v>
      </c>
    </row>
    <row r="893" spans="1:31" ht="36" hidden="1" customHeight="1">
      <c r="A893" s="414"/>
      <c r="B893" s="429" t="s">
        <v>7289</v>
      </c>
      <c r="C893" s="429" t="s">
        <v>353</v>
      </c>
      <c r="D893" s="429" t="s">
        <v>355</v>
      </c>
      <c r="E893" s="429" t="s">
        <v>354</v>
      </c>
      <c r="F893" s="429" t="s">
        <v>42</v>
      </c>
      <c r="G893" s="433"/>
      <c r="H893" s="652" t="s">
        <v>7309</v>
      </c>
      <c r="I893" s="433" t="s">
        <v>7316</v>
      </c>
      <c r="J893" s="432">
        <v>46113</v>
      </c>
      <c r="K893" s="429" t="s">
        <v>2493</v>
      </c>
      <c r="L893" s="436"/>
      <c r="M893" s="436" t="s">
        <v>200</v>
      </c>
      <c r="N893" s="433"/>
      <c r="O893" s="437"/>
      <c r="P893" s="433" t="s">
        <v>2494</v>
      </c>
      <c r="Q893" s="437" t="s">
        <v>2494</v>
      </c>
      <c r="R893" s="437" t="s">
        <v>4662</v>
      </c>
      <c r="S893" s="438">
        <v>46146</v>
      </c>
      <c r="T893" s="438">
        <v>46130</v>
      </c>
      <c r="U893" s="438"/>
      <c r="V893" s="439"/>
      <c r="W893" s="439">
        <v>46135</v>
      </c>
      <c r="X893" s="439">
        <v>46146</v>
      </c>
      <c r="Y893" s="420"/>
      <c r="Z893" s="224" t="str">
        <f t="shared" si="78"/>
        <v>AG. MEDIÇÃO</v>
      </c>
      <c r="AA893" s="207" t="str">
        <f t="shared" si="79"/>
        <v>ENTREGUE</v>
      </c>
      <c r="AB893" s="207" t="str">
        <f t="shared" si="80"/>
        <v>AG. MEDIÇÃO</v>
      </c>
      <c r="AC893" s="156">
        <f t="shared" ca="1" si="81"/>
        <v>3</v>
      </c>
      <c r="AD893" s="156" t="str">
        <f t="shared" ca="1" si="82"/>
        <v>NO PRAZO</v>
      </c>
      <c r="AE893" s="156">
        <f t="shared" ca="1" si="83"/>
        <v>0</v>
      </c>
    </row>
    <row r="894" spans="1:31" ht="36" hidden="1" customHeight="1">
      <c r="A894" s="414"/>
      <c r="B894" s="429" t="s">
        <v>8252</v>
      </c>
      <c r="C894" s="429" t="s">
        <v>600</v>
      </c>
      <c r="D894" s="429"/>
      <c r="E894" s="429" t="s">
        <v>601</v>
      </c>
      <c r="F894" s="429" t="s">
        <v>42</v>
      </c>
      <c r="G894" s="562" t="s">
        <v>8254</v>
      </c>
      <c r="H894" s="562" t="s">
        <v>8255</v>
      </c>
      <c r="I894" s="562" t="s">
        <v>8256</v>
      </c>
      <c r="J894" s="432">
        <v>46235</v>
      </c>
      <c r="K894" s="429" t="s">
        <v>2493</v>
      </c>
      <c r="L894" s="436"/>
      <c r="M894" s="436" t="s">
        <v>8257</v>
      </c>
      <c r="N894" s="437"/>
      <c r="O894" s="437" t="s">
        <v>85</v>
      </c>
      <c r="P894" s="436" t="s">
        <v>2494</v>
      </c>
      <c r="Q894" s="436" t="s">
        <v>2494</v>
      </c>
      <c r="R894" s="499" t="s">
        <v>8484</v>
      </c>
      <c r="S894" s="438">
        <v>46261</v>
      </c>
      <c r="T894" s="438">
        <v>46237</v>
      </c>
      <c r="U894" s="438"/>
      <c r="V894" s="438"/>
      <c r="W894" s="438">
        <v>46238</v>
      </c>
      <c r="X894" s="439">
        <v>46261</v>
      </c>
      <c r="Y894" s="420"/>
      <c r="Z894" s="224" t="str">
        <f t="shared" si="78"/>
        <v>AG. MEDIÇÃO</v>
      </c>
      <c r="AA894" s="207" t="str">
        <f t="shared" si="79"/>
        <v>ENTREGUE</v>
      </c>
      <c r="AB894" s="207" t="str">
        <f t="shared" si="80"/>
        <v>AG. MEDIÇÃO</v>
      </c>
      <c r="AC894" s="156">
        <f t="shared" ca="1" si="81"/>
        <v>1</v>
      </c>
      <c r="AD894" s="156" t="str">
        <f t="shared" ca="1" si="82"/>
        <v>NO PRAZO</v>
      </c>
      <c r="AE894" s="156">
        <f t="shared" ca="1" si="83"/>
        <v>-2</v>
      </c>
    </row>
    <row r="895" spans="1:31" ht="36" hidden="1" customHeight="1">
      <c r="A895" s="414"/>
      <c r="B895" s="440" t="s">
        <v>2608</v>
      </c>
      <c r="C895" s="440" t="s">
        <v>2592</v>
      </c>
      <c r="D895" s="440"/>
      <c r="E895" s="440"/>
      <c r="F895" s="440" t="s">
        <v>427</v>
      </c>
      <c r="G895" s="441" t="s">
        <v>2609</v>
      </c>
      <c r="H895" s="440" t="s">
        <v>2610</v>
      </c>
      <c r="I895" s="442"/>
      <c r="J895" s="443">
        <v>44927</v>
      </c>
      <c r="K895" s="429" t="s">
        <v>2493</v>
      </c>
      <c r="L895" s="444" t="s">
        <v>1380</v>
      </c>
      <c r="M895" s="444" t="s">
        <v>722</v>
      </c>
      <c r="N895" s="441" t="s">
        <v>2572</v>
      </c>
      <c r="O895" s="445" t="s">
        <v>2573</v>
      </c>
      <c r="P895" s="445"/>
      <c r="Q895" s="445">
        <v>171</v>
      </c>
      <c r="R895" s="445" t="s">
        <v>2611</v>
      </c>
      <c r="S895" s="446" t="s">
        <v>288</v>
      </c>
      <c r="T895" s="446">
        <v>44928</v>
      </c>
      <c r="U895" s="446">
        <v>44928</v>
      </c>
      <c r="V895" s="447">
        <v>44938</v>
      </c>
      <c r="W895" s="447">
        <v>44938</v>
      </c>
      <c r="X895" s="447" t="s">
        <v>8044</v>
      </c>
      <c r="Y895" s="420"/>
      <c r="Z895" s="224" t="str">
        <f t="shared" si="78"/>
        <v>AG. MEDIÇÃO</v>
      </c>
      <c r="AA895" s="207" t="str">
        <f t="shared" si="79"/>
        <v>ENTREGUE</v>
      </c>
      <c r="AB895" s="207" t="str">
        <f t="shared" si="80"/>
        <v>AG. MEDIÇÃO</v>
      </c>
      <c r="AC895" s="156">
        <f t="shared" ca="1" si="81"/>
        <v>8</v>
      </c>
      <c r="AD895" s="156" t="str">
        <f t="shared" ca="1" si="82"/>
        <v>ATRASADO</v>
      </c>
      <c r="AE895" s="156">
        <f t="shared" ca="1" si="83"/>
        <v>5</v>
      </c>
    </row>
    <row r="896" spans="1:31" ht="36" hidden="1" customHeight="1">
      <c r="A896" s="414"/>
      <c r="B896" s="440" t="s">
        <v>4000</v>
      </c>
      <c r="C896" s="440" t="s">
        <v>425</v>
      </c>
      <c r="D896" s="440" t="s">
        <v>425</v>
      </c>
      <c r="E896" s="440" t="s">
        <v>426</v>
      </c>
      <c r="F896" s="440" t="s">
        <v>427</v>
      </c>
      <c r="G896" s="441"/>
      <c r="H896" s="440" t="s">
        <v>4001</v>
      </c>
      <c r="I896" s="441" t="s">
        <v>4002</v>
      </c>
      <c r="J896" s="450">
        <v>45474</v>
      </c>
      <c r="K896" s="429" t="s">
        <v>2493</v>
      </c>
      <c r="L896" s="444" t="s">
        <v>1380</v>
      </c>
      <c r="M896" s="444" t="s">
        <v>3370</v>
      </c>
      <c r="N896" s="441" t="s">
        <v>2572</v>
      </c>
      <c r="O896" s="445" t="s">
        <v>85</v>
      </c>
      <c r="P896" s="445"/>
      <c r="Q896" s="445">
        <v>311</v>
      </c>
      <c r="R896" s="445" t="s">
        <v>4003</v>
      </c>
      <c r="S896" s="446">
        <v>45497</v>
      </c>
      <c r="T896" s="446">
        <v>45484</v>
      </c>
      <c r="U896" s="446">
        <v>45488</v>
      </c>
      <c r="V896" s="447">
        <v>45497</v>
      </c>
      <c r="W896" s="447">
        <v>45497</v>
      </c>
      <c r="X896" s="447" t="s">
        <v>8044</v>
      </c>
      <c r="Y896" s="420"/>
      <c r="Z896" s="224" t="str">
        <f t="shared" si="78"/>
        <v>AG. MEDIÇÃO</v>
      </c>
      <c r="AA896" s="207" t="str">
        <f t="shared" si="79"/>
        <v>ENTREGUE</v>
      </c>
      <c r="AB896" s="207" t="str">
        <f t="shared" si="80"/>
        <v>AG. MEDIÇÃO</v>
      </c>
      <c r="AC896" s="156">
        <f t="shared" ca="1" si="81"/>
        <v>9</v>
      </c>
      <c r="AD896" s="156" t="str">
        <f t="shared" ca="1" si="82"/>
        <v>ATRASADO</v>
      </c>
      <c r="AE896" s="156">
        <f t="shared" ca="1" si="83"/>
        <v>6</v>
      </c>
    </row>
    <row r="897" spans="1:31" ht="36" hidden="1" customHeight="1">
      <c r="A897" s="414"/>
      <c r="B897" s="440" t="s">
        <v>4004</v>
      </c>
      <c r="C897" s="440" t="s">
        <v>425</v>
      </c>
      <c r="D897" s="440" t="s">
        <v>425</v>
      </c>
      <c r="E897" s="440" t="s">
        <v>426</v>
      </c>
      <c r="F897" s="440" t="s">
        <v>427</v>
      </c>
      <c r="G897" s="441"/>
      <c r="H897" s="440" t="s">
        <v>4005</v>
      </c>
      <c r="I897" s="441" t="s">
        <v>4006</v>
      </c>
      <c r="J897" s="450">
        <v>45474</v>
      </c>
      <c r="K897" s="429" t="s">
        <v>2493</v>
      </c>
      <c r="L897" s="444" t="s">
        <v>124</v>
      </c>
      <c r="M897" s="444" t="s">
        <v>3370</v>
      </c>
      <c r="N897" s="441" t="s">
        <v>2572</v>
      </c>
      <c r="O897" s="445" t="s">
        <v>85</v>
      </c>
      <c r="P897" s="445"/>
      <c r="Q897" s="445">
        <v>195</v>
      </c>
      <c r="R897" s="445" t="s">
        <v>4007</v>
      </c>
      <c r="S897" s="446">
        <v>45497</v>
      </c>
      <c r="T897" s="446">
        <v>45484</v>
      </c>
      <c r="U897" s="446">
        <v>45490</v>
      </c>
      <c r="V897" s="447">
        <v>45497</v>
      </c>
      <c r="W897" s="447">
        <v>45497</v>
      </c>
      <c r="X897" s="447" t="s">
        <v>8044</v>
      </c>
      <c r="Y897" s="420"/>
      <c r="Z897" s="224" t="str">
        <f t="shared" si="78"/>
        <v>AG. MEDIÇÃO</v>
      </c>
      <c r="AA897" s="207" t="str">
        <f t="shared" si="79"/>
        <v>ENTREGUE</v>
      </c>
      <c r="AB897" s="207" t="str">
        <f t="shared" si="80"/>
        <v>AG. MEDIÇÃO</v>
      </c>
      <c r="AC897" s="156">
        <f t="shared" ca="1" si="81"/>
        <v>9</v>
      </c>
      <c r="AD897" s="156" t="str">
        <f t="shared" ca="1" si="82"/>
        <v>ATRASADO</v>
      </c>
      <c r="AE897" s="156">
        <f t="shared" ca="1" si="83"/>
        <v>6</v>
      </c>
    </row>
    <row r="898" spans="1:31" ht="36" hidden="1" customHeight="1">
      <c r="A898" s="414"/>
      <c r="B898" s="429" t="s">
        <v>7570</v>
      </c>
      <c r="C898" s="430" t="s">
        <v>425</v>
      </c>
      <c r="D898" s="431"/>
      <c r="E898" s="432" t="s">
        <v>1623</v>
      </c>
      <c r="F898" s="429" t="s">
        <v>427</v>
      </c>
      <c r="G898" s="434" t="s">
        <v>7875</v>
      </c>
      <c r="H898" s="636" t="s">
        <v>7552</v>
      </c>
      <c r="I898" s="433" t="s">
        <v>7553</v>
      </c>
      <c r="J898" s="432">
        <v>46143</v>
      </c>
      <c r="K898" s="429" t="s">
        <v>2493</v>
      </c>
      <c r="L898" s="487"/>
      <c r="M898" s="436" t="s">
        <v>7872</v>
      </c>
      <c r="N898" s="433"/>
      <c r="O898" s="437"/>
      <c r="P898" s="433" t="s">
        <v>2494</v>
      </c>
      <c r="Q898" s="437" t="s">
        <v>2494</v>
      </c>
      <c r="R898" s="437" t="s">
        <v>7874</v>
      </c>
      <c r="S898" s="438">
        <v>46191</v>
      </c>
      <c r="T898" s="438">
        <v>46161</v>
      </c>
      <c r="U898" s="438"/>
      <c r="V898" s="439"/>
      <c r="W898" s="439">
        <v>46164</v>
      </c>
      <c r="X898" s="439">
        <v>46191</v>
      </c>
      <c r="Y898" s="420"/>
      <c r="Z898" s="224" t="str">
        <f t="shared" si="78"/>
        <v>AG. MEDIÇÃO</v>
      </c>
      <c r="AA898" s="207" t="str">
        <f t="shared" si="79"/>
        <v>ENTREGUE</v>
      </c>
      <c r="AB898" s="207" t="str">
        <f t="shared" si="80"/>
        <v>AG. MEDIÇÃO</v>
      </c>
      <c r="AC898" s="156">
        <f t="shared" ca="1" si="81"/>
        <v>3</v>
      </c>
      <c r="AD898" s="156" t="str">
        <f t="shared" ca="1" si="82"/>
        <v>NO PRAZO</v>
      </c>
      <c r="AE898" s="156">
        <f t="shared" ca="1" si="83"/>
        <v>0</v>
      </c>
    </row>
    <row r="899" spans="1:31" ht="36" hidden="1" customHeight="1">
      <c r="A899" s="414"/>
      <c r="B899" s="440" t="s">
        <v>5016</v>
      </c>
      <c r="C899" s="440" t="s">
        <v>4794</v>
      </c>
      <c r="D899" s="440"/>
      <c r="E899" s="440" t="s">
        <v>5017</v>
      </c>
      <c r="F899" s="440" t="s">
        <v>4795</v>
      </c>
      <c r="G899" s="441"/>
      <c r="H899" s="440" t="s">
        <v>5018</v>
      </c>
      <c r="I899" s="441" t="s">
        <v>5019</v>
      </c>
      <c r="J899" s="450">
        <v>45717</v>
      </c>
      <c r="K899" s="429" t="s">
        <v>2493</v>
      </c>
      <c r="L899" s="444" t="s">
        <v>4798</v>
      </c>
      <c r="M899" s="444" t="s">
        <v>4798</v>
      </c>
      <c r="N899" s="441" t="s">
        <v>2572</v>
      </c>
      <c r="O899" s="445" t="s">
        <v>3350</v>
      </c>
      <c r="P899" s="441">
        <v>30</v>
      </c>
      <c r="Q899" s="445">
        <v>30</v>
      </c>
      <c r="R899" s="445" t="s">
        <v>5020</v>
      </c>
      <c r="S899" s="446">
        <v>45741</v>
      </c>
      <c r="T899" s="446">
        <v>45735</v>
      </c>
      <c r="U899" s="446">
        <v>45737</v>
      </c>
      <c r="V899" s="447">
        <v>45738</v>
      </c>
      <c r="W899" s="447">
        <v>45741</v>
      </c>
      <c r="X899" s="447" t="s">
        <v>8044</v>
      </c>
      <c r="Y899" s="420"/>
      <c r="Z899" s="224" t="str">
        <f t="shared" si="78"/>
        <v>AG. MEDIÇÃO</v>
      </c>
      <c r="AA899" s="207" t="str">
        <f t="shared" si="79"/>
        <v>ENTREGUE</v>
      </c>
      <c r="AB899" s="207" t="str">
        <f t="shared" si="80"/>
        <v>AG. MEDIÇÃO</v>
      </c>
      <c r="AC899" s="156">
        <f t="shared" ca="1" si="81"/>
        <v>4</v>
      </c>
      <c r="AD899" s="156" t="str">
        <f t="shared" ca="1" si="82"/>
        <v>ATRASADO</v>
      </c>
      <c r="AE899" s="156">
        <f t="shared" ca="1" si="83"/>
        <v>1</v>
      </c>
    </row>
    <row r="900" spans="1:31" ht="36" hidden="1" customHeight="1">
      <c r="A900" s="414"/>
      <c r="B900" s="440" t="s">
        <v>5660</v>
      </c>
      <c r="C900" s="440" t="s">
        <v>2531</v>
      </c>
      <c r="D900" s="440"/>
      <c r="E900" s="440"/>
      <c r="F900" s="440" t="s">
        <v>5252</v>
      </c>
      <c r="G900" s="441"/>
      <c r="H900" s="440" t="s">
        <v>5661</v>
      </c>
      <c r="I900" s="441" t="s">
        <v>5662</v>
      </c>
      <c r="J900" s="450">
        <v>45870</v>
      </c>
      <c r="K900" s="429" t="s">
        <v>2493</v>
      </c>
      <c r="L900" s="444"/>
      <c r="M900" s="444" t="s">
        <v>5255</v>
      </c>
      <c r="N900" s="441"/>
      <c r="O900" s="445"/>
      <c r="P900" s="441" t="s">
        <v>2494</v>
      </c>
      <c r="Q900" s="441" t="s">
        <v>2494</v>
      </c>
      <c r="R900" s="445" t="s">
        <v>6724</v>
      </c>
      <c r="S900" s="446">
        <v>46011</v>
      </c>
      <c r="T900" s="446">
        <v>45880</v>
      </c>
      <c r="U900" s="446"/>
      <c r="V900" s="447"/>
      <c r="W900" s="447">
        <v>45908</v>
      </c>
      <c r="X900" s="447">
        <v>46011</v>
      </c>
      <c r="Y900" s="420"/>
      <c r="Z900" s="224" t="str">
        <f t="shared" si="78"/>
        <v>AG. MEDIÇÃO</v>
      </c>
      <c r="AA900" s="207" t="str">
        <f t="shared" si="79"/>
        <v>ENTREGUE</v>
      </c>
      <c r="AB900" s="207" t="str">
        <f t="shared" si="80"/>
        <v>AG. MEDIÇÃO</v>
      </c>
      <c r="AC900" s="156">
        <f t="shared" ca="1" si="81"/>
        <v>20</v>
      </c>
      <c r="AD900" s="156" t="str">
        <f t="shared" ca="1" si="82"/>
        <v>ATRASADO</v>
      </c>
      <c r="AE900" s="156">
        <f t="shared" ca="1" si="83"/>
        <v>17</v>
      </c>
    </row>
    <row r="901" spans="1:31" ht="36" hidden="1" customHeight="1">
      <c r="A901" s="414"/>
      <c r="B901" s="429" t="s">
        <v>8253</v>
      </c>
      <c r="C901" s="429" t="s">
        <v>600</v>
      </c>
      <c r="D901" s="429"/>
      <c r="E901" s="429" t="s">
        <v>601</v>
      </c>
      <c r="F901" s="429" t="s">
        <v>42</v>
      </c>
      <c r="G901" s="562" t="s">
        <v>8258</v>
      </c>
      <c r="H901" s="562" t="s">
        <v>8259</v>
      </c>
      <c r="I901" s="565" t="s">
        <v>8260</v>
      </c>
      <c r="J901" s="432">
        <v>46235</v>
      </c>
      <c r="K901" s="429" t="s">
        <v>2493</v>
      </c>
      <c r="L901" s="436"/>
      <c r="M901" s="436" t="s">
        <v>8257</v>
      </c>
      <c r="N901" s="437"/>
      <c r="O901" s="437" t="s">
        <v>85</v>
      </c>
      <c r="P901" s="436" t="s">
        <v>2494</v>
      </c>
      <c r="Q901" s="436" t="s">
        <v>2494</v>
      </c>
      <c r="R901" s="499" t="s">
        <v>8193</v>
      </c>
      <c r="S901" s="438">
        <v>46261</v>
      </c>
      <c r="T901" s="438">
        <v>46238</v>
      </c>
      <c r="U901" s="438"/>
      <c r="V901" s="438">
        <v>46241</v>
      </c>
      <c r="W901" s="438">
        <v>46238</v>
      </c>
      <c r="X901" s="439">
        <v>46261</v>
      </c>
      <c r="Y901" s="420"/>
      <c r="Z901" s="224" t="str">
        <f t="shared" ref="Z901:Z964" si="84">IF(K901="CANCELADO","CANCELADO",IF(AA901="PENDENTE","AG. RELATÓRIO",IF(S901="SIM","AG. MEDIÇÃO",IF(S901&gt;0,"AG. MEDIÇÃO","PENDENTE"))))</f>
        <v>AG. MEDIÇÃO</v>
      </c>
      <c r="AA901" s="207" t="str">
        <f t="shared" ref="AA901:AA964" si="85">IF(K901="CANCELADO","CANCELADO",IF(X901="","PENDENTE","ENTREGUE"))</f>
        <v>ENTREGUE</v>
      </c>
      <c r="AB901" s="207" t="str">
        <f t="shared" ref="AB901:AB964" si="86">IF(K901="SEM SINAL","SEM SINAL",IF(K901="PARALISADO","PARALISADO",IF(Z901="PENDENTE","AG. MEDIÇÃO",IF(K901="CANCELADO","CANCELADO",Z901))))</f>
        <v>AG. MEDIÇÃO</v>
      </c>
      <c r="AC901" s="156">
        <f t="shared" ref="AC901:AC964" ca="1" si="87">IFERROR(IF(K901="CANCELADO","CANCELADO",IF(T901="","DATA ENTRADA",IF(AND(T901&gt;0,W901=""),NETWORKDAYS(T901,TODAY())-1,NETWORKDAYS(T901,W901)-1))),"CHECAR DATA")</f>
        <v>0</v>
      </c>
      <c r="AD901" s="156" t="str">
        <f t="shared" ref="AD901:AD964" ca="1" si="88">IF(AC901&lt;=3,"NO PRAZO","ATRASADO")</f>
        <v>NO PRAZO</v>
      </c>
      <c r="AE901" s="156">
        <f t="shared" ref="AE901:AE964" ca="1" si="89">IFERROR(AC901-3,AC901)</f>
        <v>-3</v>
      </c>
    </row>
    <row r="902" spans="1:31" ht="36" hidden="1" customHeight="1">
      <c r="A902" s="414"/>
      <c r="B902" s="440" t="s">
        <v>5021</v>
      </c>
      <c r="C902" s="440" t="s">
        <v>248</v>
      </c>
      <c r="D902" s="440" t="s">
        <v>440</v>
      </c>
      <c r="E902" s="440" t="s">
        <v>249</v>
      </c>
      <c r="F902" s="440" t="s">
        <v>42</v>
      </c>
      <c r="G902" s="441" t="s">
        <v>5022</v>
      </c>
      <c r="H902" s="440" t="s">
        <v>5023</v>
      </c>
      <c r="I902" s="441" t="s">
        <v>5024</v>
      </c>
      <c r="J902" s="450">
        <v>45717</v>
      </c>
      <c r="K902" s="429" t="s">
        <v>2493</v>
      </c>
      <c r="L902" s="444" t="s">
        <v>200</v>
      </c>
      <c r="M902" s="444" t="s">
        <v>200</v>
      </c>
      <c r="N902" s="441"/>
      <c r="O902" s="445"/>
      <c r="P902" s="441" t="s">
        <v>2494</v>
      </c>
      <c r="Q902" s="445" t="s">
        <v>2494</v>
      </c>
      <c r="R902" s="445" t="s">
        <v>5025</v>
      </c>
      <c r="S902" s="446">
        <v>45785</v>
      </c>
      <c r="T902" s="446">
        <v>45737</v>
      </c>
      <c r="U902" s="446">
        <v>45740</v>
      </c>
      <c r="V902" s="447">
        <v>45741</v>
      </c>
      <c r="W902" s="447">
        <v>45744</v>
      </c>
      <c r="X902" s="447" t="s">
        <v>8044</v>
      </c>
      <c r="Y902" s="420"/>
      <c r="Z902" s="224" t="str">
        <f t="shared" si="84"/>
        <v>AG. MEDIÇÃO</v>
      </c>
      <c r="AA902" s="207" t="str">
        <f t="shared" si="85"/>
        <v>ENTREGUE</v>
      </c>
      <c r="AB902" s="207" t="str">
        <f t="shared" si="86"/>
        <v>AG. MEDIÇÃO</v>
      </c>
      <c r="AC902" s="156">
        <f t="shared" ca="1" si="87"/>
        <v>5</v>
      </c>
      <c r="AD902" s="156" t="str">
        <f t="shared" ca="1" si="88"/>
        <v>ATRASADO</v>
      </c>
      <c r="AE902" s="156">
        <f t="shared" ca="1" si="89"/>
        <v>2</v>
      </c>
    </row>
    <row r="903" spans="1:31" ht="36" hidden="1" customHeight="1">
      <c r="A903" s="414"/>
      <c r="B903" s="440" t="s">
        <v>3639</v>
      </c>
      <c r="C903" s="440" t="s">
        <v>425</v>
      </c>
      <c r="D903" s="440"/>
      <c r="E903" s="440"/>
      <c r="F903" s="440" t="s">
        <v>42</v>
      </c>
      <c r="G903" s="441" t="s">
        <v>3640</v>
      </c>
      <c r="H903" s="440" t="s">
        <v>3641</v>
      </c>
      <c r="I903" s="441"/>
      <c r="J903" s="450">
        <v>45383</v>
      </c>
      <c r="K903" s="429" t="s">
        <v>2493</v>
      </c>
      <c r="L903" s="444"/>
      <c r="M903" s="444" t="s">
        <v>132</v>
      </c>
      <c r="N903" s="441" t="s">
        <v>2572</v>
      </c>
      <c r="O903" s="445" t="s">
        <v>85</v>
      </c>
      <c r="P903" s="441" t="s">
        <v>2494</v>
      </c>
      <c r="Q903" s="441" t="s">
        <v>2494</v>
      </c>
      <c r="R903" s="445" t="s">
        <v>3119</v>
      </c>
      <c r="S903" s="446">
        <v>45439</v>
      </c>
      <c r="T903" s="446">
        <v>45398</v>
      </c>
      <c r="U903" s="446"/>
      <c r="V903" s="447">
        <v>45407</v>
      </c>
      <c r="W903" s="447">
        <v>45418</v>
      </c>
      <c r="X903" s="447" t="s">
        <v>8044</v>
      </c>
      <c r="Y903" s="420"/>
      <c r="Z903" s="224" t="str">
        <f t="shared" si="84"/>
        <v>AG. MEDIÇÃO</v>
      </c>
      <c r="AA903" s="207" t="str">
        <f t="shared" si="85"/>
        <v>ENTREGUE</v>
      </c>
      <c r="AB903" s="207" t="str">
        <f t="shared" si="86"/>
        <v>AG. MEDIÇÃO</v>
      </c>
      <c r="AC903" s="156">
        <f t="shared" ca="1" si="87"/>
        <v>14</v>
      </c>
      <c r="AD903" s="156" t="str">
        <f t="shared" ca="1" si="88"/>
        <v>ATRASADO</v>
      </c>
      <c r="AE903" s="156">
        <f t="shared" ca="1" si="89"/>
        <v>11</v>
      </c>
    </row>
    <row r="904" spans="1:31" ht="36" hidden="1" customHeight="1">
      <c r="A904" s="414"/>
      <c r="B904" s="440" t="s">
        <v>3099</v>
      </c>
      <c r="C904" s="440" t="s">
        <v>152</v>
      </c>
      <c r="D904" s="440"/>
      <c r="E904" s="440"/>
      <c r="F904" s="440" t="s">
        <v>42</v>
      </c>
      <c r="G904" s="441" t="s">
        <v>3100</v>
      </c>
      <c r="H904" s="440" t="s">
        <v>3100</v>
      </c>
      <c r="I904" s="449"/>
      <c r="J904" s="450">
        <v>45170</v>
      </c>
      <c r="K904" s="429" t="s">
        <v>2493</v>
      </c>
      <c r="L904" s="444"/>
      <c r="M904" s="444" t="s">
        <v>51</v>
      </c>
      <c r="N904" s="441" t="s">
        <v>2572</v>
      </c>
      <c r="O904" s="445" t="s">
        <v>85</v>
      </c>
      <c r="P904" s="441" t="s">
        <v>2494</v>
      </c>
      <c r="Q904" s="441" t="s">
        <v>2494</v>
      </c>
      <c r="R904" s="445" t="s">
        <v>3101</v>
      </c>
      <c r="S904" s="446">
        <v>45223</v>
      </c>
      <c r="T904" s="446">
        <v>45196</v>
      </c>
      <c r="U904" s="446"/>
      <c r="V904" s="446">
        <v>45205</v>
      </c>
      <c r="W904" s="447">
        <v>45210</v>
      </c>
      <c r="X904" s="447" t="s">
        <v>8044</v>
      </c>
      <c r="Y904" s="420"/>
      <c r="Z904" s="224" t="str">
        <f t="shared" si="84"/>
        <v>AG. MEDIÇÃO</v>
      </c>
      <c r="AA904" s="207" t="str">
        <f t="shared" si="85"/>
        <v>ENTREGUE</v>
      </c>
      <c r="AB904" s="207" t="str">
        <f t="shared" si="86"/>
        <v>AG. MEDIÇÃO</v>
      </c>
      <c r="AC904" s="156">
        <f t="shared" ca="1" si="87"/>
        <v>10</v>
      </c>
      <c r="AD904" s="156" t="str">
        <f t="shared" ca="1" si="88"/>
        <v>ATRASADO</v>
      </c>
      <c r="AE904" s="156">
        <f t="shared" ca="1" si="89"/>
        <v>7</v>
      </c>
    </row>
    <row r="905" spans="1:31" ht="36" hidden="1" customHeight="1">
      <c r="A905" s="414"/>
      <c r="B905" s="440" t="s">
        <v>2612</v>
      </c>
      <c r="C905" s="440" t="s">
        <v>680</v>
      </c>
      <c r="D905" s="440"/>
      <c r="E905" s="440"/>
      <c r="F905" s="440" t="s">
        <v>427</v>
      </c>
      <c r="G905" s="441" t="s">
        <v>2613</v>
      </c>
      <c r="H905" s="440" t="s">
        <v>2614</v>
      </c>
      <c r="I905" s="442"/>
      <c r="J905" s="443">
        <v>44927</v>
      </c>
      <c r="K905" s="429" t="s">
        <v>2493</v>
      </c>
      <c r="L905" s="444"/>
      <c r="M905" s="444" t="s">
        <v>1155</v>
      </c>
      <c r="N905" s="441" t="s">
        <v>2572</v>
      </c>
      <c r="O905" s="441"/>
      <c r="P905" s="441" t="s">
        <v>2494</v>
      </c>
      <c r="Q905" s="441" t="s">
        <v>2494</v>
      </c>
      <c r="R905" s="444" t="s">
        <v>2615</v>
      </c>
      <c r="S905" s="446">
        <v>45096</v>
      </c>
      <c r="T905" s="446">
        <v>44974</v>
      </c>
      <c r="U905" s="446">
        <v>44995</v>
      </c>
      <c r="V905" s="447">
        <v>44999</v>
      </c>
      <c r="W905" s="447">
        <v>44999</v>
      </c>
      <c r="X905" s="447" t="s">
        <v>8044</v>
      </c>
      <c r="Y905" s="420"/>
      <c r="Z905" s="224" t="str">
        <f t="shared" si="84"/>
        <v>AG. MEDIÇÃO</v>
      </c>
      <c r="AA905" s="207" t="str">
        <f t="shared" si="85"/>
        <v>ENTREGUE</v>
      </c>
      <c r="AB905" s="207" t="str">
        <f t="shared" si="86"/>
        <v>AG. MEDIÇÃO</v>
      </c>
      <c r="AC905" s="156">
        <f t="shared" ca="1" si="87"/>
        <v>17</v>
      </c>
      <c r="AD905" s="156" t="str">
        <f t="shared" ca="1" si="88"/>
        <v>ATRASADO</v>
      </c>
      <c r="AE905" s="156">
        <f t="shared" ca="1" si="89"/>
        <v>14</v>
      </c>
    </row>
    <row r="906" spans="1:31" ht="36" hidden="1" customHeight="1">
      <c r="A906" s="414"/>
      <c r="B906" s="440" t="s">
        <v>2616</v>
      </c>
      <c r="C906" s="440" t="s">
        <v>250</v>
      </c>
      <c r="D906" s="440"/>
      <c r="E906" s="440"/>
      <c r="F906" s="440" t="s">
        <v>427</v>
      </c>
      <c r="G906" s="441" t="s">
        <v>2617</v>
      </c>
      <c r="H906" s="440" t="s">
        <v>2618</v>
      </c>
      <c r="I906" s="442"/>
      <c r="J906" s="443">
        <v>44927</v>
      </c>
      <c r="K906" s="429" t="s">
        <v>2493</v>
      </c>
      <c r="L906" s="444" t="s">
        <v>1380</v>
      </c>
      <c r="M906" s="444" t="s">
        <v>722</v>
      </c>
      <c r="N906" s="441" t="s">
        <v>2572</v>
      </c>
      <c r="O906" s="445"/>
      <c r="P906" s="445"/>
      <c r="Q906" s="445">
        <v>96</v>
      </c>
      <c r="R906" s="445" t="s">
        <v>2619</v>
      </c>
      <c r="S906" s="446" t="s">
        <v>288</v>
      </c>
      <c r="T906" s="446">
        <v>44928</v>
      </c>
      <c r="U906" s="446">
        <v>44928</v>
      </c>
      <c r="V906" s="447">
        <v>44938</v>
      </c>
      <c r="W906" s="447">
        <v>44938</v>
      </c>
      <c r="X906" s="447" t="s">
        <v>8044</v>
      </c>
      <c r="Y906" s="420"/>
      <c r="Z906" s="224" t="str">
        <f t="shared" si="84"/>
        <v>AG. MEDIÇÃO</v>
      </c>
      <c r="AA906" s="207" t="str">
        <f t="shared" si="85"/>
        <v>ENTREGUE</v>
      </c>
      <c r="AB906" s="207" t="str">
        <f t="shared" si="86"/>
        <v>AG. MEDIÇÃO</v>
      </c>
      <c r="AC906" s="156">
        <f t="shared" ca="1" si="87"/>
        <v>8</v>
      </c>
      <c r="AD906" s="156" t="str">
        <f t="shared" ca="1" si="88"/>
        <v>ATRASADO</v>
      </c>
      <c r="AE906" s="156">
        <f t="shared" ca="1" si="89"/>
        <v>5</v>
      </c>
    </row>
    <row r="907" spans="1:31" ht="36" hidden="1" customHeight="1">
      <c r="A907" s="414"/>
      <c r="B907" s="440" t="s">
        <v>2620</v>
      </c>
      <c r="C907" s="440" t="s">
        <v>250</v>
      </c>
      <c r="D907" s="440"/>
      <c r="E907" s="440"/>
      <c r="F907" s="440" t="s">
        <v>427</v>
      </c>
      <c r="G907" s="441" t="s">
        <v>2621</v>
      </c>
      <c r="H907" s="440" t="s">
        <v>2622</v>
      </c>
      <c r="I907" s="449"/>
      <c r="J907" s="443">
        <v>44927</v>
      </c>
      <c r="K907" s="429" t="s">
        <v>2493</v>
      </c>
      <c r="L907" s="444"/>
      <c r="M907" s="444" t="s">
        <v>722</v>
      </c>
      <c r="N907" s="441" t="s">
        <v>2572</v>
      </c>
      <c r="O907" s="445"/>
      <c r="P907" s="441" t="s">
        <v>2494</v>
      </c>
      <c r="Q907" s="441" t="s">
        <v>2494</v>
      </c>
      <c r="R907" s="444">
        <v>9.9999999999999905E+34</v>
      </c>
      <c r="S907" s="446" t="s">
        <v>288</v>
      </c>
      <c r="T907" s="446">
        <v>44928</v>
      </c>
      <c r="U907" s="446">
        <v>44928</v>
      </c>
      <c r="V907" s="447">
        <v>44939</v>
      </c>
      <c r="W907" s="447">
        <v>44939</v>
      </c>
      <c r="X907" s="447" t="s">
        <v>8044</v>
      </c>
      <c r="Y907" s="420"/>
      <c r="Z907" s="224" t="str">
        <f t="shared" si="84"/>
        <v>AG. MEDIÇÃO</v>
      </c>
      <c r="AA907" s="207" t="str">
        <f t="shared" si="85"/>
        <v>ENTREGUE</v>
      </c>
      <c r="AB907" s="207" t="str">
        <f t="shared" si="86"/>
        <v>AG. MEDIÇÃO</v>
      </c>
      <c r="AC907" s="156">
        <f t="shared" ca="1" si="87"/>
        <v>9</v>
      </c>
      <c r="AD907" s="156" t="str">
        <f t="shared" ca="1" si="88"/>
        <v>ATRASADO</v>
      </c>
      <c r="AE907" s="156">
        <f t="shared" ca="1" si="89"/>
        <v>6</v>
      </c>
    </row>
    <row r="908" spans="1:31" ht="36" hidden="1" customHeight="1">
      <c r="A908" s="414"/>
      <c r="B908" s="466" t="s">
        <v>2521</v>
      </c>
      <c r="C908" s="466" t="s">
        <v>425</v>
      </c>
      <c r="D908" s="466"/>
      <c r="E908" s="466" t="s">
        <v>426</v>
      </c>
      <c r="F908" s="466" t="s">
        <v>427</v>
      </c>
      <c r="G908" s="475" t="s">
        <v>6767</v>
      </c>
      <c r="H908" s="645" t="s">
        <v>2522</v>
      </c>
      <c r="I908" s="475" t="s">
        <v>2523</v>
      </c>
      <c r="J908" s="476">
        <v>45962</v>
      </c>
      <c r="K908" s="429" t="s">
        <v>2493</v>
      </c>
      <c r="L908" s="477"/>
      <c r="M908" s="477" t="s">
        <v>259</v>
      </c>
      <c r="N908" s="475"/>
      <c r="O908" s="478">
        <v>46048</v>
      </c>
      <c r="P908" s="475" t="s">
        <v>2494</v>
      </c>
      <c r="Q908" s="475" t="s">
        <v>2494</v>
      </c>
      <c r="R908" s="479" t="s">
        <v>6766</v>
      </c>
      <c r="S908" s="480">
        <v>46048</v>
      </c>
      <c r="T908" s="480">
        <v>45986</v>
      </c>
      <c r="U908" s="480"/>
      <c r="V908" s="481"/>
      <c r="W908" s="481">
        <v>45987</v>
      </c>
      <c r="X908" s="481">
        <v>46048</v>
      </c>
      <c r="Y908" s="420"/>
      <c r="Z908" s="224" t="str">
        <f t="shared" si="84"/>
        <v>AG. MEDIÇÃO</v>
      </c>
      <c r="AA908" s="207" t="str">
        <f t="shared" si="85"/>
        <v>ENTREGUE</v>
      </c>
      <c r="AB908" s="207" t="str">
        <f t="shared" si="86"/>
        <v>AG. MEDIÇÃO</v>
      </c>
      <c r="AC908" s="156">
        <f t="shared" ca="1" si="87"/>
        <v>1</v>
      </c>
      <c r="AD908" s="156" t="str">
        <f t="shared" ca="1" si="88"/>
        <v>NO PRAZO</v>
      </c>
      <c r="AE908" s="156">
        <f t="shared" ca="1" si="89"/>
        <v>-2</v>
      </c>
    </row>
    <row r="909" spans="1:31" ht="36" hidden="1" customHeight="1">
      <c r="A909" s="414"/>
      <c r="B909" s="440" t="s">
        <v>5397</v>
      </c>
      <c r="C909" s="440" t="s">
        <v>54</v>
      </c>
      <c r="D909" s="440" t="s">
        <v>1830</v>
      </c>
      <c r="E909" s="440" t="s">
        <v>55</v>
      </c>
      <c r="F909" s="440" t="s">
        <v>42</v>
      </c>
      <c r="G909" s="441" t="s">
        <v>5398</v>
      </c>
      <c r="H909" s="440" t="s">
        <v>5399</v>
      </c>
      <c r="I909" s="441" t="s">
        <v>5400</v>
      </c>
      <c r="J909" s="450">
        <v>45809</v>
      </c>
      <c r="K909" s="429" t="s">
        <v>2493</v>
      </c>
      <c r="L909" s="444"/>
      <c r="M909" s="444" t="s">
        <v>170</v>
      </c>
      <c r="N909" s="441"/>
      <c r="O909" s="445"/>
      <c r="P909" s="441"/>
      <c r="Q909" s="445"/>
      <c r="R909" s="445" t="s">
        <v>5379</v>
      </c>
      <c r="S909" s="446" t="s">
        <v>5175</v>
      </c>
      <c r="T909" s="446">
        <v>45824</v>
      </c>
      <c r="U909" s="446"/>
      <c r="V909" s="447"/>
      <c r="W909" s="447">
        <v>45824</v>
      </c>
      <c r="X909" s="447" t="s">
        <v>8044</v>
      </c>
      <c r="Y909" s="420"/>
      <c r="Z909" s="224" t="str">
        <f t="shared" si="84"/>
        <v>AG. MEDIÇÃO</v>
      </c>
      <c r="AA909" s="207" t="str">
        <f t="shared" si="85"/>
        <v>ENTREGUE</v>
      </c>
      <c r="AB909" s="207" t="str">
        <f t="shared" si="86"/>
        <v>AG. MEDIÇÃO</v>
      </c>
      <c r="AC909" s="156">
        <f t="shared" ca="1" si="87"/>
        <v>0</v>
      </c>
      <c r="AD909" s="156" t="str">
        <f t="shared" ca="1" si="88"/>
        <v>NO PRAZO</v>
      </c>
      <c r="AE909" s="156">
        <f t="shared" ca="1" si="89"/>
        <v>-3</v>
      </c>
    </row>
    <row r="910" spans="1:31" ht="36" hidden="1" customHeight="1">
      <c r="A910" s="414"/>
      <c r="B910" s="429" t="s">
        <v>7611</v>
      </c>
      <c r="C910" s="430" t="s">
        <v>2531</v>
      </c>
      <c r="D910" s="431"/>
      <c r="E910" s="432" t="s">
        <v>7861</v>
      </c>
      <c r="F910" s="429" t="s">
        <v>4638</v>
      </c>
      <c r="G910" s="434"/>
      <c r="H910" s="636" t="s">
        <v>7589</v>
      </c>
      <c r="I910" s="433" t="s">
        <v>7590</v>
      </c>
      <c r="J910" s="432">
        <v>46113</v>
      </c>
      <c r="K910" s="429" t="s">
        <v>2493</v>
      </c>
      <c r="L910" s="436" t="s">
        <v>67</v>
      </c>
      <c r="M910" s="436" t="s">
        <v>62</v>
      </c>
      <c r="N910" s="433"/>
      <c r="O910" s="437"/>
      <c r="P910" s="433">
        <v>319</v>
      </c>
      <c r="Q910" s="437">
        <v>319</v>
      </c>
      <c r="R910" s="437" t="s">
        <v>7860</v>
      </c>
      <c r="S910" s="438">
        <v>46190</v>
      </c>
      <c r="T910" s="438"/>
      <c r="U910" s="438"/>
      <c r="V910" s="439"/>
      <c r="W910" s="439">
        <v>46129</v>
      </c>
      <c r="X910" s="439">
        <v>46190</v>
      </c>
      <c r="Y910" s="420"/>
      <c r="Z910" s="224" t="str">
        <f t="shared" si="84"/>
        <v>AG. MEDIÇÃO</v>
      </c>
      <c r="AA910" s="207" t="str">
        <f t="shared" si="85"/>
        <v>ENTREGUE</v>
      </c>
      <c r="AB910" s="207" t="str">
        <f t="shared" si="86"/>
        <v>AG. MEDIÇÃO</v>
      </c>
      <c r="AC910" s="156" t="str">
        <f t="shared" ca="1" si="87"/>
        <v>DATA ENTRADA</v>
      </c>
      <c r="AD910" s="156" t="str">
        <f t="shared" ca="1" si="88"/>
        <v>ATRASADO</v>
      </c>
      <c r="AE910" s="156" t="str">
        <f t="shared" ca="1" si="89"/>
        <v>DATA ENTRADA</v>
      </c>
    </row>
    <row r="911" spans="1:31" ht="36" hidden="1" customHeight="1">
      <c r="A911" s="414"/>
      <c r="B911" s="440" t="s">
        <v>5224</v>
      </c>
      <c r="C911" s="440" t="s">
        <v>232</v>
      </c>
      <c r="D911" s="440" t="s">
        <v>1801</v>
      </c>
      <c r="E911" s="440" t="s">
        <v>389</v>
      </c>
      <c r="F911" s="440" t="s">
        <v>42</v>
      </c>
      <c r="G911" s="441"/>
      <c r="H911" s="440" t="s">
        <v>5225</v>
      </c>
      <c r="I911" s="441" t="s">
        <v>5226</v>
      </c>
      <c r="J911" s="450">
        <v>45778</v>
      </c>
      <c r="K911" s="429" t="s">
        <v>2493</v>
      </c>
      <c r="L911" s="444" t="s">
        <v>50</v>
      </c>
      <c r="M911" s="444" t="s">
        <v>1122</v>
      </c>
      <c r="N911" s="441" t="s">
        <v>2572</v>
      </c>
      <c r="O911" s="445" t="s">
        <v>3350</v>
      </c>
      <c r="P911" s="441"/>
      <c r="Q911" s="445"/>
      <c r="R911" s="445" t="s">
        <v>5227</v>
      </c>
      <c r="S911" s="446" t="s">
        <v>5175</v>
      </c>
      <c r="T911" s="446">
        <v>45799</v>
      </c>
      <c r="U911" s="446"/>
      <c r="V911" s="447"/>
      <c r="W911" s="447">
        <v>45800</v>
      </c>
      <c r="X911" s="447" t="s">
        <v>8044</v>
      </c>
      <c r="Y911" s="420"/>
      <c r="Z911" s="224" t="str">
        <f t="shared" si="84"/>
        <v>AG. MEDIÇÃO</v>
      </c>
      <c r="AA911" s="207" t="str">
        <f t="shared" si="85"/>
        <v>ENTREGUE</v>
      </c>
      <c r="AB911" s="207" t="str">
        <f t="shared" si="86"/>
        <v>AG. MEDIÇÃO</v>
      </c>
      <c r="AC911" s="156">
        <f t="shared" ca="1" si="87"/>
        <v>1</v>
      </c>
      <c r="AD911" s="156" t="str">
        <f t="shared" ca="1" si="88"/>
        <v>NO PRAZO</v>
      </c>
      <c r="AE911" s="156">
        <f t="shared" ca="1" si="89"/>
        <v>-2</v>
      </c>
    </row>
    <row r="912" spans="1:31" ht="36" hidden="1" customHeight="1">
      <c r="A912" s="414"/>
      <c r="B912" s="440" t="s">
        <v>5159</v>
      </c>
      <c r="C912" s="440" t="s">
        <v>2531</v>
      </c>
      <c r="D912" s="440"/>
      <c r="E912" s="440"/>
      <c r="F912" s="440" t="s">
        <v>2498</v>
      </c>
      <c r="G912" s="441" t="s">
        <v>5160</v>
      </c>
      <c r="H912" s="440" t="s">
        <v>5161</v>
      </c>
      <c r="I912" s="441" t="s">
        <v>5162</v>
      </c>
      <c r="J912" s="450">
        <v>45748</v>
      </c>
      <c r="K912" s="429" t="s">
        <v>2493</v>
      </c>
      <c r="L912" s="444" t="s">
        <v>2501</v>
      </c>
      <c r="M912" s="444" t="s">
        <v>2501</v>
      </c>
      <c r="N912" s="441"/>
      <c r="O912" s="445"/>
      <c r="P912" s="441"/>
      <c r="Q912" s="445">
        <v>107</v>
      </c>
      <c r="R912" s="445" t="s">
        <v>5163</v>
      </c>
      <c r="S912" s="446">
        <v>45785</v>
      </c>
      <c r="T912" s="446">
        <v>45770</v>
      </c>
      <c r="U912" s="446"/>
      <c r="V912" s="447"/>
      <c r="W912" s="447">
        <v>45776</v>
      </c>
      <c r="X912" s="447" t="s">
        <v>8044</v>
      </c>
      <c r="Y912" s="420"/>
      <c r="Z912" s="224" t="str">
        <f t="shared" si="84"/>
        <v>AG. MEDIÇÃO</v>
      </c>
      <c r="AA912" s="207" t="str">
        <f t="shared" si="85"/>
        <v>ENTREGUE</v>
      </c>
      <c r="AB912" s="207" t="str">
        <f t="shared" si="86"/>
        <v>AG. MEDIÇÃO</v>
      </c>
      <c r="AC912" s="156">
        <f t="shared" ca="1" si="87"/>
        <v>4</v>
      </c>
      <c r="AD912" s="156" t="str">
        <f t="shared" ca="1" si="88"/>
        <v>ATRASADO</v>
      </c>
      <c r="AE912" s="156">
        <f t="shared" ca="1" si="89"/>
        <v>1</v>
      </c>
    </row>
    <row r="913" spans="1:31" ht="36" hidden="1" customHeight="1">
      <c r="A913" s="414"/>
      <c r="B913" s="429" t="s">
        <v>8445</v>
      </c>
      <c r="C913" s="429" t="s">
        <v>449</v>
      </c>
      <c r="D913" s="429"/>
      <c r="E913" s="429"/>
      <c r="F913" s="429" t="s">
        <v>42</v>
      </c>
      <c r="G913" s="433" t="s">
        <v>8485</v>
      </c>
      <c r="H913" s="429" t="s">
        <v>8486</v>
      </c>
      <c r="I913" s="433" t="s">
        <v>8487</v>
      </c>
      <c r="J913" s="599">
        <v>46235</v>
      </c>
      <c r="K913" s="429" t="s">
        <v>2493</v>
      </c>
      <c r="L913" s="436" t="s">
        <v>124</v>
      </c>
      <c r="M913" s="436" t="s">
        <v>62</v>
      </c>
      <c r="N913" s="433"/>
      <c r="O913" s="433"/>
      <c r="P913" s="429">
        <v>165</v>
      </c>
      <c r="Q913" s="429">
        <v>150</v>
      </c>
      <c r="R913" s="437" t="s">
        <v>8509</v>
      </c>
      <c r="S913" s="438"/>
      <c r="T913" s="438">
        <v>46238</v>
      </c>
      <c r="U913" s="438"/>
      <c r="V913" s="438"/>
      <c r="W913" s="439">
        <v>46240</v>
      </c>
      <c r="X913" s="439"/>
      <c r="Y913" s="420"/>
      <c r="Z913" s="224" t="str">
        <f t="shared" si="84"/>
        <v>AG. RELATÓRIO</v>
      </c>
      <c r="AA913" s="207" t="str">
        <f t="shared" si="85"/>
        <v>PENDENTE</v>
      </c>
      <c r="AB913" s="207" t="str">
        <f t="shared" si="86"/>
        <v>AG. RELATÓRIO</v>
      </c>
      <c r="AC913" s="156">
        <f t="shared" ca="1" si="87"/>
        <v>2</v>
      </c>
      <c r="AD913" s="156" t="str">
        <f t="shared" ca="1" si="88"/>
        <v>NO PRAZO</v>
      </c>
      <c r="AE913" s="156">
        <f t="shared" ca="1" si="89"/>
        <v>-1</v>
      </c>
    </row>
    <row r="914" spans="1:31" ht="36" hidden="1" customHeight="1">
      <c r="A914" s="414"/>
      <c r="B914" s="440" t="s">
        <v>4676</v>
      </c>
      <c r="C914" s="440" t="s">
        <v>425</v>
      </c>
      <c r="D914" s="440" t="s">
        <v>4422</v>
      </c>
      <c r="E914" s="440" t="s">
        <v>1551</v>
      </c>
      <c r="F914" s="440" t="s">
        <v>42</v>
      </c>
      <c r="G914" s="441" t="s">
        <v>4677</v>
      </c>
      <c r="H914" s="440" t="s">
        <v>4678</v>
      </c>
      <c r="I914" s="441" t="s">
        <v>4679</v>
      </c>
      <c r="J914" s="450">
        <v>45627</v>
      </c>
      <c r="K914" s="429" t="s">
        <v>2493</v>
      </c>
      <c r="L914" s="444"/>
      <c r="M914" s="444" t="s">
        <v>1764</v>
      </c>
      <c r="N914" s="441" t="s">
        <v>2572</v>
      </c>
      <c r="O914" s="445" t="s">
        <v>4560</v>
      </c>
      <c r="P914" s="445" t="s">
        <v>2494</v>
      </c>
      <c r="Q914" s="445" t="s">
        <v>2494</v>
      </c>
      <c r="R914" s="445" t="s">
        <v>4680</v>
      </c>
      <c r="S914" s="446">
        <v>45671</v>
      </c>
      <c r="T914" s="446">
        <v>45653</v>
      </c>
      <c r="U914" s="446"/>
      <c r="V914" s="447"/>
      <c r="W914" s="447">
        <v>45666</v>
      </c>
      <c r="X914" s="447" t="s">
        <v>8044</v>
      </c>
      <c r="Y914" s="420"/>
      <c r="Z914" s="224" t="str">
        <f t="shared" si="84"/>
        <v>AG. MEDIÇÃO</v>
      </c>
      <c r="AA914" s="207" t="str">
        <f t="shared" si="85"/>
        <v>ENTREGUE</v>
      </c>
      <c r="AB914" s="207" t="str">
        <f t="shared" si="86"/>
        <v>AG. MEDIÇÃO</v>
      </c>
      <c r="AC914" s="156">
        <f t="shared" ca="1" si="87"/>
        <v>9</v>
      </c>
      <c r="AD914" s="156" t="str">
        <f t="shared" ca="1" si="88"/>
        <v>ATRASADO</v>
      </c>
      <c r="AE914" s="156">
        <f t="shared" ca="1" si="89"/>
        <v>6</v>
      </c>
    </row>
    <row r="915" spans="1:31" ht="36" hidden="1" customHeight="1">
      <c r="A915" s="414"/>
      <c r="B915" s="440" t="s">
        <v>4826</v>
      </c>
      <c r="C915" s="440" t="s">
        <v>248</v>
      </c>
      <c r="D915" s="440" t="s">
        <v>4827</v>
      </c>
      <c r="E915" s="440" t="s">
        <v>967</v>
      </c>
      <c r="F915" s="440" t="s">
        <v>2559</v>
      </c>
      <c r="G915" s="441" t="s">
        <v>4828</v>
      </c>
      <c r="H915" s="440" t="s">
        <v>4829</v>
      </c>
      <c r="I915" s="441" t="s">
        <v>4830</v>
      </c>
      <c r="J915" s="450">
        <v>45689</v>
      </c>
      <c r="K915" s="429" t="s">
        <v>2493</v>
      </c>
      <c r="L915" s="444" t="s">
        <v>1598</v>
      </c>
      <c r="M915" s="444" t="s">
        <v>1598</v>
      </c>
      <c r="N915" s="441"/>
      <c r="O915" s="445"/>
      <c r="P915" s="441">
        <v>375</v>
      </c>
      <c r="Q915" s="445">
        <v>440</v>
      </c>
      <c r="R915" s="445" t="s">
        <v>4831</v>
      </c>
      <c r="S915" s="446">
        <v>45734</v>
      </c>
      <c r="T915" s="446">
        <v>45702</v>
      </c>
      <c r="U915" s="446">
        <v>45706</v>
      </c>
      <c r="V915" s="447">
        <v>45707</v>
      </c>
      <c r="W915" s="447">
        <v>45706</v>
      </c>
      <c r="X915" s="447" t="s">
        <v>8044</v>
      </c>
      <c r="Y915" s="420"/>
      <c r="Z915" s="224" t="str">
        <f t="shared" si="84"/>
        <v>AG. MEDIÇÃO</v>
      </c>
      <c r="AA915" s="207" t="str">
        <f t="shared" si="85"/>
        <v>ENTREGUE</v>
      </c>
      <c r="AB915" s="207" t="str">
        <f t="shared" si="86"/>
        <v>AG. MEDIÇÃO</v>
      </c>
      <c r="AC915" s="156">
        <f t="shared" ca="1" si="87"/>
        <v>2</v>
      </c>
      <c r="AD915" s="156" t="str">
        <f t="shared" ca="1" si="88"/>
        <v>NO PRAZO</v>
      </c>
      <c r="AE915" s="156">
        <f t="shared" ca="1" si="89"/>
        <v>-1</v>
      </c>
    </row>
    <row r="916" spans="1:31" ht="36" hidden="1" customHeight="1">
      <c r="A916" s="414"/>
      <c r="B916" s="440" t="s">
        <v>4368</v>
      </c>
      <c r="C916" s="440" t="s">
        <v>298</v>
      </c>
      <c r="D916" s="440" t="s">
        <v>612</v>
      </c>
      <c r="E916" s="440" t="s">
        <v>299</v>
      </c>
      <c r="F916" s="440" t="s">
        <v>42</v>
      </c>
      <c r="G916" s="441" t="s">
        <v>4369</v>
      </c>
      <c r="H916" s="440" t="s">
        <v>4370</v>
      </c>
      <c r="I916" s="441" t="s">
        <v>4371</v>
      </c>
      <c r="J916" s="450">
        <v>45536</v>
      </c>
      <c r="K916" s="429" t="s">
        <v>2493</v>
      </c>
      <c r="L916" s="444" t="s">
        <v>1380</v>
      </c>
      <c r="M916" s="444" t="s">
        <v>4372</v>
      </c>
      <c r="N916" s="441" t="s">
        <v>2572</v>
      </c>
      <c r="O916" s="445" t="s">
        <v>85</v>
      </c>
      <c r="P916" s="445">
        <v>250</v>
      </c>
      <c r="Q916" s="445">
        <v>203</v>
      </c>
      <c r="R916" s="445" t="s">
        <v>4373</v>
      </c>
      <c r="S916" s="446">
        <v>45549</v>
      </c>
      <c r="T916" s="446">
        <v>45541</v>
      </c>
      <c r="U916" s="446">
        <v>45544</v>
      </c>
      <c r="V916" s="447">
        <v>45547</v>
      </c>
      <c r="W916" s="447">
        <v>45548</v>
      </c>
      <c r="X916" s="447" t="s">
        <v>8044</v>
      </c>
      <c r="Y916" s="420"/>
      <c r="Z916" s="224" t="str">
        <f t="shared" si="84"/>
        <v>AG. MEDIÇÃO</v>
      </c>
      <c r="AA916" s="207" t="str">
        <f t="shared" si="85"/>
        <v>ENTREGUE</v>
      </c>
      <c r="AB916" s="207" t="str">
        <f t="shared" si="86"/>
        <v>AG. MEDIÇÃO</v>
      </c>
      <c r="AC916" s="156">
        <f t="shared" ca="1" si="87"/>
        <v>5</v>
      </c>
      <c r="AD916" s="156" t="str">
        <f t="shared" ca="1" si="88"/>
        <v>ATRASADO</v>
      </c>
      <c r="AE916" s="156">
        <f t="shared" ca="1" si="89"/>
        <v>2</v>
      </c>
    </row>
    <row r="917" spans="1:31" ht="36" hidden="1" customHeight="1">
      <c r="A917" s="414"/>
      <c r="B917" s="440" t="s">
        <v>2964</v>
      </c>
      <c r="C917" s="440" t="s">
        <v>355</v>
      </c>
      <c r="D917" s="440"/>
      <c r="E917" s="440"/>
      <c r="F917" s="440" t="s">
        <v>42</v>
      </c>
      <c r="G917" s="441" t="s">
        <v>2965</v>
      </c>
      <c r="H917" s="440" t="s">
        <v>2966</v>
      </c>
      <c r="I917" s="449"/>
      <c r="J917" s="443">
        <v>45108</v>
      </c>
      <c r="K917" s="429" t="s">
        <v>2493</v>
      </c>
      <c r="L917" s="444"/>
      <c r="M917" s="444" t="s">
        <v>714</v>
      </c>
      <c r="N917" s="441" t="s">
        <v>2572</v>
      </c>
      <c r="O917" s="445" t="s">
        <v>2573</v>
      </c>
      <c r="P917" s="441" t="s">
        <v>2494</v>
      </c>
      <c r="Q917" s="441" t="s">
        <v>2494</v>
      </c>
      <c r="R917" s="445" t="s">
        <v>2967</v>
      </c>
      <c r="S917" s="446">
        <v>45133</v>
      </c>
      <c r="T917" s="446">
        <v>45127</v>
      </c>
      <c r="U917" s="446">
        <v>45128</v>
      </c>
      <c r="V917" s="446">
        <v>45128</v>
      </c>
      <c r="W917" s="447">
        <v>45128</v>
      </c>
      <c r="X917" s="447" t="s">
        <v>8044</v>
      </c>
      <c r="Y917" s="420"/>
      <c r="Z917" s="224" t="str">
        <f t="shared" si="84"/>
        <v>AG. MEDIÇÃO</v>
      </c>
      <c r="AA917" s="207" t="str">
        <f t="shared" si="85"/>
        <v>ENTREGUE</v>
      </c>
      <c r="AB917" s="207" t="str">
        <f t="shared" si="86"/>
        <v>AG. MEDIÇÃO</v>
      </c>
      <c r="AC917" s="156">
        <f t="shared" ca="1" si="87"/>
        <v>1</v>
      </c>
      <c r="AD917" s="156" t="str">
        <f t="shared" ca="1" si="88"/>
        <v>NO PRAZO</v>
      </c>
      <c r="AE917" s="156">
        <f t="shared" ca="1" si="89"/>
        <v>-2</v>
      </c>
    </row>
    <row r="918" spans="1:31" ht="36" hidden="1" customHeight="1">
      <c r="A918" s="414"/>
      <c r="B918" s="440" t="s">
        <v>5358</v>
      </c>
      <c r="C918" s="440" t="s">
        <v>232</v>
      </c>
      <c r="D918" s="440" t="s">
        <v>419</v>
      </c>
      <c r="E918" s="440" t="s">
        <v>389</v>
      </c>
      <c r="F918" s="440" t="s">
        <v>42</v>
      </c>
      <c r="G918" s="441" t="s">
        <v>5359</v>
      </c>
      <c r="H918" s="440" t="s">
        <v>5360</v>
      </c>
      <c r="I918" s="441" t="s">
        <v>5361</v>
      </c>
      <c r="J918" s="450">
        <v>45809</v>
      </c>
      <c r="K918" s="429" t="s">
        <v>2493</v>
      </c>
      <c r="L918" s="444" t="s">
        <v>1208</v>
      </c>
      <c r="M918" s="444" t="s">
        <v>62</v>
      </c>
      <c r="N918" s="441"/>
      <c r="O918" s="445"/>
      <c r="P918" s="441">
        <v>245</v>
      </c>
      <c r="Q918" s="445">
        <v>258</v>
      </c>
      <c r="R918" s="445" t="s">
        <v>5362</v>
      </c>
      <c r="S918" s="446">
        <v>45845</v>
      </c>
      <c r="T918" s="446">
        <v>45820</v>
      </c>
      <c r="U918" s="446"/>
      <c r="V918" s="447"/>
      <c r="W918" s="447">
        <v>45825</v>
      </c>
      <c r="X918" s="447" t="s">
        <v>8044</v>
      </c>
      <c r="Y918" s="420"/>
      <c r="Z918" s="224" t="str">
        <f t="shared" si="84"/>
        <v>AG. MEDIÇÃO</v>
      </c>
      <c r="AA918" s="207" t="str">
        <f t="shared" si="85"/>
        <v>ENTREGUE</v>
      </c>
      <c r="AB918" s="207" t="str">
        <f t="shared" si="86"/>
        <v>AG. MEDIÇÃO</v>
      </c>
      <c r="AC918" s="156">
        <f t="shared" ca="1" si="87"/>
        <v>3</v>
      </c>
      <c r="AD918" s="156" t="str">
        <f t="shared" ca="1" si="88"/>
        <v>NO PRAZO</v>
      </c>
      <c r="AE918" s="156">
        <f t="shared" ca="1" si="89"/>
        <v>0</v>
      </c>
    </row>
    <row r="919" spans="1:31" ht="36" hidden="1" customHeight="1">
      <c r="A919" s="414"/>
      <c r="B919" s="440" t="s">
        <v>2748</v>
      </c>
      <c r="C919" s="440" t="s">
        <v>539</v>
      </c>
      <c r="D919" s="440"/>
      <c r="E919" s="440"/>
      <c r="F919" s="440" t="s">
        <v>42</v>
      </c>
      <c r="G919" s="441" t="s">
        <v>2749</v>
      </c>
      <c r="H919" s="440" t="s">
        <v>2750</v>
      </c>
      <c r="I919" s="449"/>
      <c r="J919" s="443">
        <v>44986</v>
      </c>
      <c r="K919" s="429" t="s">
        <v>2493</v>
      </c>
      <c r="L919" s="444"/>
      <c r="M919" s="444" t="s">
        <v>714</v>
      </c>
      <c r="N919" s="441" t="s">
        <v>2572</v>
      </c>
      <c r="O919" s="441"/>
      <c r="P919" s="441" t="s">
        <v>2494</v>
      </c>
      <c r="Q919" s="441" t="s">
        <v>2494</v>
      </c>
      <c r="R919" s="445" t="s">
        <v>2574</v>
      </c>
      <c r="S919" s="446">
        <v>45066</v>
      </c>
      <c r="T919" s="446">
        <v>44974</v>
      </c>
      <c r="U919" s="446">
        <v>44995</v>
      </c>
      <c r="V919" s="447">
        <v>44999</v>
      </c>
      <c r="W919" s="447">
        <v>44999</v>
      </c>
      <c r="X919" s="447" t="s">
        <v>8044</v>
      </c>
      <c r="Y919" s="420"/>
      <c r="Z919" s="224" t="str">
        <f t="shared" si="84"/>
        <v>AG. MEDIÇÃO</v>
      </c>
      <c r="AA919" s="207" t="str">
        <f t="shared" si="85"/>
        <v>ENTREGUE</v>
      </c>
      <c r="AB919" s="207" t="str">
        <f t="shared" si="86"/>
        <v>AG. MEDIÇÃO</v>
      </c>
      <c r="AC919" s="156">
        <f t="shared" ca="1" si="87"/>
        <v>17</v>
      </c>
      <c r="AD919" s="156" t="str">
        <f t="shared" ca="1" si="88"/>
        <v>ATRASADO</v>
      </c>
      <c r="AE919" s="156">
        <f t="shared" ca="1" si="89"/>
        <v>14</v>
      </c>
    </row>
    <row r="920" spans="1:31" ht="36" hidden="1" customHeight="1">
      <c r="A920" s="414"/>
      <c r="B920" s="440" t="s">
        <v>3895</v>
      </c>
      <c r="C920" s="440" t="s">
        <v>336</v>
      </c>
      <c r="D920" s="440" t="s">
        <v>338</v>
      </c>
      <c r="E920" s="440" t="s">
        <v>337</v>
      </c>
      <c r="F920" s="440" t="s">
        <v>42</v>
      </c>
      <c r="G920" s="441" t="s">
        <v>3896</v>
      </c>
      <c r="H920" s="440" t="s">
        <v>3897</v>
      </c>
      <c r="I920" s="441" t="s">
        <v>3898</v>
      </c>
      <c r="J920" s="450">
        <v>45444</v>
      </c>
      <c r="K920" s="429" t="s">
        <v>2493</v>
      </c>
      <c r="L920" s="444" t="s">
        <v>169</v>
      </c>
      <c r="M920" s="444" t="s">
        <v>827</v>
      </c>
      <c r="N920" s="441" t="s">
        <v>2572</v>
      </c>
      <c r="O920" s="445" t="s">
        <v>85</v>
      </c>
      <c r="P920" s="445"/>
      <c r="Q920" s="441">
        <v>305</v>
      </c>
      <c r="R920" s="445" t="s">
        <v>3899</v>
      </c>
      <c r="S920" s="446">
        <v>45497</v>
      </c>
      <c r="T920" s="446">
        <v>45464</v>
      </c>
      <c r="U920" s="446">
        <v>45464</v>
      </c>
      <c r="V920" s="446">
        <v>45476</v>
      </c>
      <c r="W920" s="447">
        <v>45476</v>
      </c>
      <c r="X920" s="447" t="s">
        <v>8044</v>
      </c>
      <c r="Y920" s="420"/>
      <c r="Z920" s="224" t="str">
        <f t="shared" si="84"/>
        <v>AG. MEDIÇÃO</v>
      </c>
      <c r="AA920" s="207" t="str">
        <f t="shared" si="85"/>
        <v>ENTREGUE</v>
      </c>
      <c r="AB920" s="207" t="str">
        <f t="shared" si="86"/>
        <v>AG. MEDIÇÃO</v>
      </c>
      <c r="AC920" s="156">
        <f t="shared" ca="1" si="87"/>
        <v>8</v>
      </c>
      <c r="AD920" s="156" t="str">
        <f t="shared" ca="1" si="88"/>
        <v>ATRASADO</v>
      </c>
      <c r="AE920" s="156">
        <f t="shared" ca="1" si="89"/>
        <v>5</v>
      </c>
    </row>
    <row r="921" spans="1:31" ht="36" hidden="1" customHeight="1">
      <c r="A921" s="414"/>
      <c r="B921" s="440" t="s">
        <v>2751</v>
      </c>
      <c r="C921" s="440" t="s">
        <v>606</v>
      </c>
      <c r="D921" s="440"/>
      <c r="E921" s="440"/>
      <c r="F921" s="440" t="s">
        <v>42</v>
      </c>
      <c r="G921" s="441" t="s">
        <v>2752</v>
      </c>
      <c r="H921" s="440" t="s">
        <v>2753</v>
      </c>
      <c r="I921" s="442"/>
      <c r="J921" s="443">
        <v>44986</v>
      </c>
      <c r="K921" s="429" t="s">
        <v>2493</v>
      </c>
      <c r="L921" s="444"/>
      <c r="M921" s="444"/>
      <c r="N921" s="441" t="s">
        <v>2572</v>
      </c>
      <c r="O921" s="441"/>
      <c r="P921" s="441" t="s">
        <v>2494</v>
      </c>
      <c r="Q921" s="441" t="s">
        <v>2494</v>
      </c>
      <c r="R921" s="445" t="s">
        <v>2574</v>
      </c>
      <c r="S921" s="447">
        <v>45066</v>
      </c>
      <c r="T921" s="446">
        <v>44640</v>
      </c>
      <c r="U921" s="446">
        <v>45007</v>
      </c>
      <c r="V921" s="446">
        <v>45012</v>
      </c>
      <c r="W921" s="446">
        <v>45012</v>
      </c>
      <c r="X921" s="447" t="s">
        <v>8044</v>
      </c>
      <c r="Y921" s="420"/>
      <c r="Z921" s="224" t="str">
        <f t="shared" si="84"/>
        <v>AG. MEDIÇÃO</v>
      </c>
      <c r="AA921" s="207" t="str">
        <f t="shared" si="85"/>
        <v>ENTREGUE</v>
      </c>
      <c r="AB921" s="207" t="str">
        <f t="shared" si="86"/>
        <v>AG. MEDIÇÃO</v>
      </c>
      <c r="AC921" s="156">
        <f t="shared" ca="1" si="87"/>
        <v>265</v>
      </c>
      <c r="AD921" s="156" t="str">
        <f t="shared" ca="1" si="88"/>
        <v>ATRASADO</v>
      </c>
      <c r="AE921" s="156">
        <f t="shared" ca="1" si="89"/>
        <v>262</v>
      </c>
    </row>
    <row r="922" spans="1:31" ht="36" hidden="1" customHeight="1">
      <c r="A922" s="414"/>
      <c r="B922" s="440" t="s">
        <v>2754</v>
      </c>
      <c r="C922" s="440" t="s">
        <v>2755</v>
      </c>
      <c r="D922" s="440"/>
      <c r="E922" s="440"/>
      <c r="F922" s="440" t="s">
        <v>42</v>
      </c>
      <c r="G922" s="441" t="s">
        <v>2756</v>
      </c>
      <c r="H922" s="440" t="s">
        <v>2757</v>
      </c>
      <c r="I922" s="449"/>
      <c r="J922" s="443">
        <v>44986</v>
      </c>
      <c r="K922" s="429" t="s">
        <v>2493</v>
      </c>
      <c r="L922" s="444" t="s">
        <v>650</v>
      </c>
      <c r="M922" s="447" t="s">
        <v>714</v>
      </c>
      <c r="N922" s="441" t="s">
        <v>2572</v>
      </c>
      <c r="O922" s="441"/>
      <c r="P922" s="441"/>
      <c r="Q922" s="441">
        <v>215</v>
      </c>
      <c r="R922" s="445" t="s">
        <v>2758</v>
      </c>
      <c r="S922" s="446">
        <v>45066</v>
      </c>
      <c r="T922" s="446">
        <v>44998</v>
      </c>
      <c r="U922" s="446">
        <v>45001</v>
      </c>
      <c r="V922" s="446">
        <v>45005</v>
      </c>
      <c r="W922" s="446">
        <v>45005</v>
      </c>
      <c r="X922" s="447" t="s">
        <v>8044</v>
      </c>
      <c r="Y922" s="420"/>
      <c r="Z922" s="224" t="str">
        <f t="shared" si="84"/>
        <v>AG. MEDIÇÃO</v>
      </c>
      <c r="AA922" s="207" t="str">
        <f t="shared" si="85"/>
        <v>ENTREGUE</v>
      </c>
      <c r="AB922" s="207" t="str">
        <f t="shared" si="86"/>
        <v>AG. MEDIÇÃO</v>
      </c>
      <c r="AC922" s="156">
        <f t="shared" ca="1" si="87"/>
        <v>5</v>
      </c>
      <c r="AD922" s="156" t="str">
        <f t="shared" ca="1" si="88"/>
        <v>ATRASADO</v>
      </c>
      <c r="AE922" s="156">
        <f t="shared" ca="1" si="89"/>
        <v>2</v>
      </c>
    </row>
    <row r="923" spans="1:31" ht="36" hidden="1" customHeight="1">
      <c r="A923" s="414"/>
      <c r="B923" s="440" t="s">
        <v>4698</v>
      </c>
      <c r="C923" s="440" t="s">
        <v>425</v>
      </c>
      <c r="D923" s="440" t="s">
        <v>2755</v>
      </c>
      <c r="E923" s="440" t="s">
        <v>1551</v>
      </c>
      <c r="F923" s="440" t="s">
        <v>42</v>
      </c>
      <c r="G923" s="441" t="s">
        <v>4699</v>
      </c>
      <c r="H923" s="440" t="s">
        <v>4700</v>
      </c>
      <c r="I923" s="441" t="s">
        <v>4701</v>
      </c>
      <c r="J923" s="450">
        <v>45658</v>
      </c>
      <c r="K923" s="429" t="s">
        <v>2493</v>
      </c>
      <c r="L923" s="444" t="s">
        <v>200</v>
      </c>
      <c r="M923" s="444" t="s">
        <v>4702</v>
      </c>
      <c r="N923" s="441" t="s">
        <v>2572</v>
      </c>
      <c r="O923" s="445" t="s">
        <v>4560</v>
      </c>
      <c r="P923" s="445"/>
      <c r="Q923" s="445">
        <v>120</v>
      </c>
      <c r="R923" s="445" t="s">
        <v>4703</v>
      </c>
      <c r="S923" s="446">
        <v>45698</v>
      </c>
      <c r="T923" s="446">
        <v>45670</v>
      </c>
      <c r="U923" s="446"/>
      <c r="V923" s="447">
        <v>45683</v>
      </c>
      <c r="W923" s="447">
        <v>45683</v>
      </c>
      <c r="X923" s="447" t="s">
        <v>8044</v>
      </c>
      <c r="Y923" s="420"/>
      <c r="Z923" s="224" t="str">
        <f t="shared" si="84"/>
        <v>AG. MEDIÇÃO</v>
      </c>
      <c r="AA923" s="207" t="str">
        <f t="shared" si="85"/>
        <v>ENTREGUE</v>
      </c>
      <c r="AB923" s="207" t="str">
        <f t="shared" si="86"/>
        <v>AG. MEDIÇÃO</v>
      </c>
      <c r="AC923" s="156">
        <f t="shared" ca="1" si="87"/>
        <v>9</v>
      </c>
      <c r="AD923" s="156" t="str">
        <f t="shared" ca="1" si="88"/>
        <v>ATRASADO</v>
      </c>
      <c r="AE923" s="156">
        <f t="shared" ca="1" si="89"/>
        <v>6</v>
      </c>
    </row>
    <row r="924" spans="1:31" ht="36" hidden="1" customHeight="1">
      <c r="A924" s="414"/>
      <c r="B924" s="440" t="s">
        <v>4853</v>
      </c>
      <c r="C924" s="440" t="s">
        <v>248</v>
      </c>
      <c r="D924" s="440" t="s">
        <v>440</v>
      </c>
      <c r="E924" s="440" t="s">
        <v>249</v>
      </c>
      <c r="F924" s="440" t="s">
        <v>42</v>
      </c>
      <c r="G924" s="441" t="s">
        <v>4854</v>
      </c>
      <c r="H924" s="440" t="s">
        <v>4855</v>
      </c>
      <c r="I924" s="441" t="s">
        <v>4856</v>
      </c>
      <c r="J924" s="450">
        <v>45689</v>
      </c>
      <c r="K924" s="429" t="s">
        <v>2493</v>
      </c>
      <c r="L924" s="444" t="s">
        <v>200</v>
      </c>
      <c r="M924" s="444" t="s">
        <v>200</v>
      </c>
      <c r="N924" s="441"/>
      <c r="O924" s="445"/>
      <c r="P924" s="441">
        <v>160</v>
      </c>
      <c r="Q924" s="445">
        <v>181</v>
      </c>
      <c r="R924" s="445" t="s">
        <v>4857</v>
      </c>
      <c r="S924" s="446">
        <v>45734</v>
      </c>
      <c r="T924" s="446">
        <v>45713</v>
      </c>
      <c r="U924" s="446">
        <v>45715</v>
      </c>
      <c r="V924" s="447"/>
      <c r="W924" s="447"/>
      <c r="X924" s="447" t="s">
        <v>8044</v>
      </c>
      <c r="Y924" s="420"/>
      <c r="Z924" s="224" t="str">
        <f t="shared" si="84"/>
        <v>AG. MEDIÇÃO</v>
      </c>
      <c r="AA924" s="207" t="str">
        <f t="shared" si="85"/>
        <v>ENTREGUE</v>
      </c>
      <c r="AB924" s="207" t="str">
        <f t="shared" si="86"/>
        <v>AG. MEDIÇÃO</v>
      </c>
      <c r="AC924" s="156">
        <f t="shared" ca="1" si="87"/>
        <v>406</v>
      </c>
      <c r="AD924" s="156" t="str">
        <f t="shared" ca="1" si="88"/>
        <v>ATRASADO</v>
      </c>
      <c r="AE924" s="156">
        <f t="shared" ca="1" si="89"/>
        <v>403</v>
      </c>
    </row>
    <row r="925" spans="1:31" ht="36" hidden="1" customHeight="1">
      <c r="A925" s="414"/>
      <c r="B925" s="440" t="s">
        <v>2938</v>
      </c>
      <c r="C925" s="440" t="s">
        <v>2939</v>
      </c>
      <c r="D925" s="440"/>
      <c r="E925" s="440"/>
      <c r="F925" s="440" t="s">
        <v>42</v>
      </c>
      <c r="G925" s="441" t="s">
        <v>2940</v>
      </c>
      <c r="H925" s="440" t="s">
        <v>2941</v>
      </c>
      <c r="I925" s="449"/>
      <c r="J925" s="450">
        <v>45078</v>
      </c>
      <c r="K925" s="429" t="s">
        <v>2493</v>
      </c>
      <c r="L925" s="444" t="s">
        <v>896</v>
      </c>
      <c r="M925" s="444" t="s">
        <v>51</v>
      </c>
      <c r="N925" s="441" t="s">
        <v>2572</v>
      </c>
      <c r="O925" s="441" t="s">
        <v>2573</v>
      </c>
      <c r="P925" s="441"/>
      <c r="Q925" s="441">
        <v>534</v>
      </c>
      <c r="R925" s="445" t="s">
        <v>2942</v>
      </c>
      <c r="S925" s="446">
        <v>45118</v>
      </c>
      <c r="T925" s="446">
        <v>45091</v>
      </c>
      <c r="U925" s="446">
        <v>45103</v>
      </c>
      <c r="V925" s="446">
        <v>45104</v>
      </c>
      <c r="W925" s="447">
        <v>45107</v>
      </c>
      <c r="X925" s="447" t="s">
        <v>8044</v>
      </c>
      <c r="Y925" s="420"/>
      <c r="Z925" s="224" t="str">
        <f t="shared" si="84"/>
        <v>AG. MEDIÇÃO</v>
      </c>
      <c r="AA925" s="207" t="str">
        <f t="shared" si="85"/>
        <v>ENTREGUE</v>
      </c>
      <c r="AB925" s="207" t="str">
        <f t="shared" si="86"/>
        <v>AG. MEDIÇÃO</v>
      </c>
      <c r="AC925" s="156">
        <f t="shared" ca="1" si="87"/>
        <v>12</v>
      </c>
      <c r="AD925" s="156" t="str">
        <f t="shared" ca="1" si="88"/>
        <v>ATRASADO</v>
      </c>
      <c r="AE925" s="156">
        <f t="shared" ca="1" si="89"/>
        <v>9</v>
      </c>
    </row>
    <row r="926" spans="1:31" ht="36" hidden="1" customHeight="1">
      <c r="A926" s="414"/>
      <c r="B926" s="440" t="s">
        <v>4945</v>
      </c>
      <c r="C926" s="440" t="s">
        <v>293</v>
      </c>
      <c r="D926" s="440" t="s">
        <v>548</v>
      </c>
      <c r="E926" s="440" t="s">
        <v>842</v>
      </c>
      <c r="F926" s="440" t="s">
        <v>42</v>
      </c>
      <c r="G926" s="441" t="s">
        <v>4946</v>
      </c>
      <c r="H926" s="440" t="s">
        <v>4947</v>
      </c>
      <c r="I926" s="441" t="s">
        <v>4948</v>
      </c>
      <c r="J926" s="450">
        <v>45717</v>
      </c>
      <c r="K926" s="429" t="s">
        <v>2493</v>
      </c>
      <c r="L926" s="444" t="s">
        <v>200</v>
      </c>
      <c r="M926" s="444" t="s">
        <v>200</v>
      </c>
      <c r="N926" s="441" t="s">
        <v>2572</v>
      </c>
      <c r="O926" s="445" t="s">
        <v>3350</v>
      </c>
      <c r="P926" s="441"/>
      <c r="Q926" s="445">
        <v>255</v>
      </c>
      <c r="R926" s="445" t="s">
        <v>4949</v>
      </c>
      <c r="S926" s="446">
        <v>45739</v>
      </c>
      <c r="T926" s="446">
        <v>45730</v>
      </c>
      <c r="U926" s="446">
        <v>45735</v>
      </c>
      <c r="V926" s="447">
        <v>45738</v>
      </c>
      <c r="W926" s="447">
        <v>45738</v>
      </c>
      <c r="X926" s="447" t="s">
        <v>8044</v>
      </c>
      <c r="Y926" s="420"/>
      <c r="Z926" s="224" t="str">
        <f t="shared" si="84"/>
        <v>AG. MEDIÇÃO</v>
      </c>
      <c r="AA926" s="207" t="str">
        <f t="shared" si="85"/>
        <v>ENTREGUE</v>
      </c>
      <c r="AB926" s="207" t="str">
        <f t="shared" si="86"/>
        <v>AG. MEDIÇÃO</v>
      </c>
      <c r="AC926" s="156">
        <f t="shared" ca="1" si="87"/>
        <v>5</v>
      </c>
      <c r="AD926" s="156" t="str">
        <f t="shared" ca="1" si="88"/>
        <v>ATRASADO</v>
      </c>
      <c r="AE926" s="156">
        <f t="shared" ca="1" si="89"/>
        <v>2</v>
      </c>
    </row>
    <row r="927" spans="1:31" ht="36" hidden="1" customHeight="1">
      <c r="A927" s="414"/>
      <c r="B927" s="440" t="s">
        <v>2759</v>
      </c>
      <c r="C927" s="440" t="s">
        <v>232</v>
      </c>
      <c r="D927" s="440"/>
      <c r="E927" s="440"/>
      <c r="F927" s="440" t="s">
        <v>42</v>
      </c>
      <c r="G927" s="441" t="s">
        <v>2760</v>
      </c>
      <c r="H927" s="440" t="s">
        <v>2761</v>
      </c>
      <c r="I927" s="449"/>
      <c r="J927" s="443">
        <v>44986</v>
      </c>
      <c r="K927" s="429" t="s">
        <v>2493</v>
      </c>
      <c r="L927" s="444"/>
      <c r="M927" s="447" t="s">
        <v>2762</v>
      </c>
      <c r="N927" s="441" t="s">
        <v>2572</v>
      </c>
      <c r="O927" s="452"/>
      <c r="P927" s="441" t="s">
        <v>2494</v>
      </c>
      <c r="Q927" s="441" t="s">
        <v>2494</v>
      </c>
      <c r="R927" s="445" t="s">
        <v>2574</v>
      </c>
      <c r="S927" s="446">
        <v>45066</v>
      </c>
      <c r="T927" s="446">
        <v>44974</v>
      </c>
      <c r="U927" s="446">
        <v>44998</v>
      </c>
      <c r="V927" s="447">
        <v>45005</v>
      </c>
      <c r="W927" s="447">
        <v>45005</v>
      </c>
      <c r="X927" s="447" t="s">
        <v>8044</v>
      </c>
      <c r="Y927" s="420"/>
      <c r="Z927" s="224" t="str">
        <f t="shared" si="84"/>
        <v>AG. MEDIÇÃO</v>
      </c>
      <c r="AA927" s="207" t="str">
        <f t="shared" si="85"/>
        <v>ENTREGUE</v>
      </c>
      <c r="AB927" s="207" t="str">
        <f t="shared" si="86"/>
        <v>AG. MEDIÇÃO</v>
      </c>
      <c r="AC927" s="156">
        <f t="shared" ca="1" si="87"/>
        <v>21</v>
      </c>
      <c r="AD927" s="156" t="str">
        <f t="shared" ca="1" si="88"/>
        <v>ATRASADO</v>
      </c>
      <c r="AE927" s="156">
        <f t="shared" ca="1" si="89"/>
        <v>18</v>
      </c>
    </row>
    <row r="928" spans="1:31" ht="36" hidden="1" customHeight="1">
      <c r="A928" s="414"/>
      <c r="B928" s="440" t="s">
        <v>4226</v>
      </c>
      <c r="C928" s="440" t="s">
        <v>111</v>
      </c>
      <c r="D928" s="440" t="s">
        <v>1509</v>
      </c>
      <c r="E928" s="440" t="s">
        <v>2504</v>
      </c>
      <c r="F928" s="440" t="s">
        <v>42</v>
      </c>
      <c r="G928" s="441"/>
      <c r="H928" s="440" t="s">
        <v>4227</v>
      </c>
      <c r="I928" s="441" t="s">
        <v>4228</v>
      </c>
      <c r="J928" s="450">
        <v>45505</v>
      </c>
      <c r="K928" s="429" t="s">
        <v>2493</v>
      </c>
      <c r="L928" s="444" t="s">
        <v>3770</v>
      </c>
      <c r="M928" s="444" t="s">
        <v>827</v>
      </c>
      <c r="N928" s="441" t="s">
        <v>2572</v>
      </c>
      <c r="O928" s="445" t="s">
        <v>85</v>
      </c>
      <c r="P928" s="445"/>
      <c r="Q928" s="445">
        <v>1241</v>
      </c>
      <c r="R928" s="445" t="s">
        <v>4229</v>
      </c>
      <c r="S928" s="446">
        <v>45545</v>
      </c>
      <c r="T928" s="446">
        <v>45524</v>
      </c>
      <c r="U928" s="446">
        <v>45528</v>
      </c>
      <c r="V928" s="447">
        <v>45538</v>
      </c>
      <c r="W928" s="447">
        <v>45540</v>
      </c>
      <c r="X928" s="447" t="s">
        <v>8044</v>
      </c>
      <c r="Y928" s="420"/>
      <c r="Z928" s="224" t="str">
        <f t="shared" si="84"/>
        <v>AG. MEDIÇÃO</v>
      </c>
      <c r="AA928" s="207" t="str">
        <f t="shared" si="85"/>
        <v>ENTREGUE</v>
      </c>
      <c r="AB928" s="207" t="str">
        <f t="shared" si="86"/>
        <v>AG. MEDIÇÃO</v>
      </c>
      <c r="AC928" s="156">
        <f t="shared" ca="1" si="87"/>
        <v>12</v>
      </c>
      <c r="AD928" s="156" t="str">
        <f t="shared" ca="1" si="88"/>
        <v>ATRASADO</v>
      </c>
      <c r="AE928" s="156">
        <f t="shared" ca="1" si="89"/>
        <v>9</v>
      </c>
    </row>
    <row r="929" spans="1:31" ht="36" hidden="1" customHeight="1">
      <c r="A929" s="414"/>
      <c r="B929" s="440" t="s">
        <v>4230</v>
      </c>
      <c r="C929" s="440" t="s">
        <v>111</v>
      </c>
      <c r="D929" s="440" t="s">
        <v>1509</v>
      </c>
      <c r="E929" s="440" t="s">
        <v>2504</v>
      </c>
      <c r="F929" s="440" t="s">
        <v>42</v>
      </c>
      <c r="G929" s="441"/>
      <c r="H929" s="440" t="s">
        <v>4231</v>
      </c>
      <c r="I929" s="441" t="s">
        <v>4232</v>
      </c>
      <c r="J929" s="450">
        <v>45505</v>
      </c>
      <c r="K929" s="429" t="s">
        <v>2493</v>
      </c>
      <c r="L929" s="444"/>
      <c r="M929" s="444" t="s">
        <v>827</v>
      </c>
      <c r="N929" s="441" t="s">
        <v>2572</v>
      </c>
      <c r="O929" s="445" t="s">
        <v>85</v>
      </c>
      <c r="P929" s="445"/>
      <c r="Q929" s="441">
        <v>387</v>
      </c>
      <c r="R929" s="445" t="s">
        <v>4233</v>
      </c>
      <c r="S929" s="446">
        <v>45545</v>
      </c>
      <c r="T929" s="446">
        <v>45524</v>
      </c>
      <c r="U929" s="446"/>
      <c r="V929" s="447">
        <v>45538</v>
      </c>
      <c r="W929" s="447">
        <v>45540</v>
      </c>
      <c r="X929" s="447" t="s">
        <v>8044</v>
      </c>
      <c r="Y929" s="420"/>
      <c r="Z929" s="224" t="str">
        <f t="shared" si="84"/>
        <v>AG. MEDIÇÃO</v>
      </c>
      <c r="AA929" s="207" t="str">
        <f t="shared" si="85"/>
        <v>ENTREGUE</v>
      </c>
      <c r="AB929" s="207" t="str">
        <f t="shared" si="86"/>
        <v>AG. MEDIÇÃO</v>
      </c>
      <c r="AC929" s="156">
        <f t="shared" ca="1" si="87"/>
        <v>12</v>
      </c>
      <c r="AD929" s="156" t="str">
        <f t="shared" ca="1" si="88"/>
        <v>ATRASADO</v>
      </c>
      <c r="AE929" s="156">
        <f t="shared" ca="1" si="89"/>
        <v>9</v>
      </c>
    </row>
    <row r="930" spans="1:31" ht="36" hidden="1" customHeight="1">
      <c r="A930" s="414"/>
      <c r="B930" s="440" t="s">
        <v>2763</v>
      </c>
      <c r="C930" s="440" t="s">
        <v>111</v>
      </c>
      <c r="D930" s="440"/>
      <c r="E930" s="440"/>
      <c r="F930" s="440" t="s">
        <v>42</v>
      </c>
      <c r="G930" s="441" t="s">
        <v>2764</v>
      </c>
      <c r="H930" s="440" t="s">
        <v>2765</v>
      </c>
      <c r="I930" s="449"/>
      <c r="J930" s="443">
        <v>44986</v>
      </c>
      <c r="K930" s="429" t="s">
        <v>2493</v>
      </c>
      <c r="L930" s="444" t="s">
        <v>659</v>
      </c>
      <c r="M930" s="444" t="s">
        <v>2684</v>
      </c>
      <c r="N930" s="441" t="s">
        <v>2572</v>
      </c>
      <c r="O930" s="441"/>
      <c r="P930" s="441"/>
      <c r="Q930" s="441">
        <v>600</v>
      </c>
      <c r="R930" s="445" t="s">
        <v>2766</v>
      </c>
      <c r="S930" s="446">
        <v>45066</v>
      </c>
      <c r="T930" s="446">
        <v>44974</v>
      </c>
      <c r="U930" s="446">
        <v>44995</v>
      </c>
      <c r="V930" s="447">
        <v>44999</v>
      </c>
      <c r="W930" s="447">
        <v>44996</v>
      </c>
      <c r="X930" s="447" t="s">
        <v>8044</v>
      </c>
      <c r="Y930" s="420"/>
      <c r="Z930" s="224" t="str">
        <f t="shared" si="84"/>
        <v>AG. MEDIÇÃO</v>
      </c>
      <c r="AA930" s="207" t="str">
        <f t="shared" si="85"/>
        <v>ENTREGUE</v>
      </c>
      <c r="AB930" s="207" t="str">
        <f t="shared" si="86"/>
        <v>AG. MEDIÇÃO</v>
      </c>
      <c r="AC930" s="156">
        <f t="shared" ca="1" si="87"/>
        <v>15</v>
      </c>
      <c r="AD930" s="156" t="str">
        <f t="shared" ca="1" si="88"/>
        <v>ATRASADO</v>
      </c>
      <c r="AE930" s="156">
        <f t="shared" ca="1" si="89"/>
        <v>12</v>
      </c>
    </row>
    <row r="931" spans="1:31" ht="36" hidden="1" customHeight="1">
      <c r="A931" s="414"/>
      <c r="B931" s="440" t="s">
        <v>3929</v>
      </c>
      <c r="C931" s="440" t="s">
        <v>111</v>
      </c>
      <c r="D931" s="440" t="s">
        <v>1509</v>
      </c>
      <c r="E931" s="440" t="s">
        <v>2504</v>
      </c>
      <c r="F931" s="440" t="s">
        <v>42</v>
      </c>
      <c r="G931" s="441" t="s">
        <v>3930</v>
      </c>
      <c r="H931" s="440" t="s">
        <v>3931</v>
      </c>
      <c r="I931" s="441" t="s">
        <v>3932</v>
      </c>
      <c r="J931" s="450">
        <v>45474</v>
      </c>
      <c r="K931" s="429" t="s">
        <v>2493</v>
      </c>
      <c r="L931" s="444"/>
      <c r="M931" s="444" t="s">
        <v>2788</v>
      </c>
      <c r="N931" s="441" t="s">
        <v>2572</v>
      </c>
      <c r="O931" s="445" t="s">
        <v>85</v>
      </c>
      <c r="P931" s="441" t="s">
        <v>2494</v>
      </c>
      <c r="Q931" s="441" t="s">
        <v>2494</v>
      </c>
      <c r="R931" s="445" t="s">
        <v>3933</v>
      </c>
      <c r="S931" s="446">
        <v>45497</v>
      </c>
      <c r="T931" s="446">
        <v>45474</v>
      </c>
      <c r="U931" s="446">
        <v>45474</v>
      </c>
      <c r="V931" s="446">
        <v>45484</v>
      </c>
      <c r="W931" s="447">
        <v>45484</v>
      </c>
      <c r="X931" s="447" t="s">
        <v>8044</v>
      </c>
      <c r="Y931" s="420"/>
      <c r="Z931" s="224" t="str">
        <f t="shared" si="84"/>
        <v>AG. MEDIÇÃO</v>
      </c>
      <c r="AA931" s="207" t="str">
        <f t="shared" si="85"/>
        <v>ENTREGUE</v>
      </c>
      <c r="AB931" s="207" t="str">
        <f t="shared" si="86"/>
        <v>AG. MEDIÇÃO</v>
      </c>
      <c r="AC931" s="156">
        <f t="shared" ca="1" si="87"/>
        <v>8</v>
      </c>
      <c r="AD931" s="156" t="str">
        <f t="shared" ca="1" si="88"/>
        <v>ATRASADO</v>
      </c>
      <c r="AE931" s="156">
        <f t="shared" ca="1" si="89"/>
        <v>5</v>
      </c>
    </row>
    <row r="932" spans="1:31" ht="36" hidden="1" customHeight="1">
      <c r="A932" s="414"/>
      <c r="B932" s="440" t="s">
        <v>2850</v>
      </c>
      <c r="C932" s="440" t="s">
        <v>142</v>
      </c>
      <c r="D932" s="440"/>
      <c r="E932" s="440"/>
      <c r="F932" s="440" t="s">
        <v>42</v>
      </c>
      <c r="G932" s="441" t="s">
        <v>2851</v>
      </c>
      <c r="H932" s="440" t="s">
        <v>2852</v>
      </c>
      <c r="I932" s="449"/>
      <c r="J932" s="443">
        <v>45017</v>
      </c>
      <c r="K932" s="429" t="s">
        <v>2493</v>
      </c>
      <c r="L932" s="444"/>
      <c r="M932" s="444" t="s">
        <v>1155</v>
      </c>
      <c r="N932" s="441" t="s">
        <v>2572</v>
      </c>
      <c r="O932" s="445"/>
      <c r="P932" s="441" t="s">
        <v>2494</v>
      </c>
      <c r="Q932" s="441" t="s">
        <v>2494</v>
      </c>
      <c r="R932" s="444" t="s">
        <v>2853</v>
      </c>
      <c r="S932" s="447">
        <v>45084</v>
      </c>
      <c r="T932" s="446">
        <v>45013</v>
      </c>
      <c r="U932" s="446">
        <v>45016</v>
      </c>
      <c r="V932" s="446">
        <v>45020</v>
      </c>
      <c r="W932" s="447">
        <v>45028</v>
      </c>
      <c r="X932" s="447" t="s">
        <v>8044</v>
      </c>
      <c r="Y932" s="420"/>
      <c r="Z932" s="224" t="str">
        <f t="shared" si="84"/>
        <v>AG. MEDIÇÃO</v>
      </c>
      <c r="AA932" s="207" t="str">
        <f t="shared" si="85"/>
        <v>ENTREGUE</v>
      </c>
      <c r="AB932" s="207" t="str">
        <f t="shared" si="86"/>
        <v>AG. MEDIÇÃO</v>
      </c>
      <c r="AC932" s="156">
        <f t="shared" ca="1" si="87"/>
        <v>11</v>
      </c>
      <c r="AD932" s="156" t="str">
        <f t="shared" ca="1" si="88"/>
        <v>ATRASADO</v>
      </c>
      <c r="AE932" s="156">
        <f t="shared" ca="1" si="89"/>
        <v>8</v>
      </c>
    </row>
    <row r="933" spans="1:31" ht="36" hidden="1" customHeight="1">
      <c r="A933" s="414"/>
      <c r="B933" s="440" t="s">
        <v>2910</v>
      </c>
      <c r="C933" s="440" t="s">
        <v>600</v>
      </c>
      <c r="D933" s="440"/>
      <c r="E933" s="440"/>
      <c r="F933" s="440" t="s">
        <v>42</v>
      </c>
      <c r="G933" s="441" t="s">
        <v>2911</v>
      </c>
      <c r="H933" s="440" t="s">
        <v>2912</v>
      </c>
      <c r="I933" s="449"/>
      <c r="J933" s="450">
        <v>45078</v>
      </c>
      <c r="K933" s="429" t="s">
        <v>2493</v>
      </c>
      <c r="L933" s="444"/>
      <c r="M933" s="444"/>
      <c r="N933" s="441" t="s">
        <v>2572</v>
      </c>
      <c r="O933" s="441" t="s">
        <v>2573</v>
      </c>
      <c r="P933" s="441" t="s">
        <v>2494</v>
      </c>
      <c r="Q933" s="441" t="s">
        <v>2494</v>
      </c>
      <c r="R933" s="445" t="s">
        <v>2913</v>
      </c>
      <c r="S933" s="446">
        <v>45103</v>
      </c>
      <c r="T933" s="446">
        <v>45099</v>
      </c>
      <c r="U933" s="446">
        <v>45100</v>
      </c>
      <c r="V933" s="446">
        <v>45101</v>
      </c>
      <c r="W933" s="446">
        <v>45101</v>
      </c>
      <c r="X933" s="447" t="s">
        <v>8044</v>
      </c>
      <c r="Y933" s="420"/>
      <c r="Z933" s="224" t="str">
        <f t="shared" si="84"/>
        <v>AG. MEDIÇÃO</v>
      </c>
      <c r="AA933" s="207" t="str">
        <f t="shared" si="85"/>
        <v>ENTREGUE</v>
      </c>
      <c r="AB933" s="207" t="str">
        <f t="shared" si="86"/>
        <v>AG. MEDIÇÃO</v>
      </c>
      <c r="AC933" s="156">
        <f t="shared" ca="1" si="87"/>
        <v>1</v>
      </c>
      <c r="AD933" s="156" t="str">
        <f t="shared" ca="1" si="88"/>
        <v>NO PRAZO</v>
      </c>
      <c r="AE933" s="156">
        <f t="shared" ca="1" si="89"/>
        <v>-2</v>
      </c>
    </row>
    <row r="934" spans="1:31" ht="36" hidden="1" customHeight="1">
      <c r="A934" s="414"/>
      <c r="B934" s="440" t="s">
        <v>5618</v>
      </c>
      <c r="C934" s="440" t="s">
        <v>293</v>
      </c>
      <c r="D934" s="440" t="s">
        <v>5619</v>
      </c>
      <c r="E934" s="440" t="s">
        <v>842</v>
      </c>
      <c r="F934" s="440" t="s">
        <v>42</v>
      </c>
      <c r="G934" s="441"/>
      <c r="H934" s="440" t="s">
        <v>5620</v>
      </c>
      <c r="I934" s="441" t="s">
        <v>5621</v>
      </c>
      <c r="J934" s="450">
        <v>45839</v>
      </c>
      <c r="K934" s="429" t="s">
        <v>2493</v>
      </c>
      <c r="L934" s="444"/>
      <c r="M934" s="444" t="s">
        <v>170</v>
      </c>
      <c r="N934" s="441"/>
      <c r="O934" s="445"/>
      <c r="P934" s="441"/>
      <c r="Q934" s="445"/>
      <c r="R934" s="445" t="s">
        <v>5622</v>
      </c>
      <c r="S934" s="446" t="s">
        <v>5623</v>
      </c>
      <c r="T934" s="446">
        <v>45868</v>
      </c>
      <c r="U934" s="446"/>
      <c r="V934" s="447">
        <v>45877</v>
      </c>
      <c r="W934" s="447"/>
      <c r="X934" s="447">
        <v>45882</v>
      </c>
      <c r="Y934" s="420"/>
      <c r="Z934" s="224" t="str">
        <f t="shared" si="84"/>
        <v>AG. MEDIÇÃO</v>
      </c>
      <c r="AA934" s="207" t="str">
        <f t="shared" si="85"/>
        <v>ENTREGUE</v>
      </c>
      <c r="AB934" s="207" t="str">
        <f t="shared" si="86"/>
        <v>AG. MEDIÇÃO</v>
      </c>
      <c r="AC934" s="156">
        <f t="shared" ca="1" si="87"/>
        <v>295</v>
      </c>
      <c r="AD934" s="156" t="str">
        <f t="shared" ca="1" si="88"/>
        <v>ATRASADO</v>
      </c>
      <c r="AE934" s="156">
        <f t="shared" ca="1" si="89"/>
        <v>292</v>
      </c>
    </row>
    <row r="935" spans="1:31" ht="36" hidden="1" customHeight="1">
      <c r="A935" s="414"/>
      <c r="B935" s="429" t="s">
        <v>6986</v>
      </c>
      <c r="C935" s="430" t="s">
        <v>6948</v>
      </c>
      <c r="D935" s="431"/>
      <c r="E935" s="432"/>
      <c r="F935" s="429" t="s">
        <v>6949</v>
      </c>
      <c r="G935" s="434"/>
      <c r="H935" s="636" t="s">
        <v>6950</v>
      </c>
      <c r="I935" s="433" t="s">
        <v>6951</v>
      </c>
      <c r="J935" s="432">
        <v>46023</v>
      </c>
      <c r="K935" s="429" t="s">
        <v>2493</v>
      </c>
      <c r="L935" s="436" t="s">
        <v>94</v>
      </c>
      <c r="M935" s="436" t="s">
        <v>864</v>
      </c>
      <c r="N935" s="433"/>
      <c r="O935" s="437"/>
      <c r="P935" s="433">
        <v>270</v>
      </c>
      <c r="Q935" s="437">
        <v>242</v>
      </c>
      <c r="R935" s="437" t="s">
        <v>6988</v>
      </c>
      <c r="S935" s="438">
        <v>46058</v>
      </c>
      <c r="T935" s="438">
        <v>46028</v>
      </c>
      <c r="U935" s="438"/>
      <c r="V935" s="439"/>
      <c r="W935" s="439">
        <v>46030</v>
      </c>
      <c r="X935" s="439">
        <v>46058</v>
      </c>
      <c r="Y935" s="420"/>
      <c r="Z935" s="224" t="str">
        <f t="shared" si="84"/>
        <v>AG. MEDIÇÃO</v>
      </c>
      <c r="AA935" s="207" t="str">
        <f t="shared" si="85"/>
        <v>ENTREGUE</v>
      </c>
      <c r="AB935" s="207" t="str">
        <f t="shared" si="86"/>
        <v>AG. MEDIÇÃO</v>
      </c>
      <c r="AC935" s="156">
        <f t="shared" ca="1" si="87"/>
        <v>2</v>
      </c>
      <c r="AD935" s="156" t="str">
        <f t="shared" ca="1" si="88"/>
        <v>NO PRAZO</v>
      </c>
      <c r="AE935" s="156">
        <f t="shared" ca="1" si="89"/>
        <v>-1</v>
      </c>
    </row>
    <row r="936" spans="1:31" ht="36" hidden="1" customHeight="1">
      <c r="A936" s="414"/>
      <c r="B936" s="440" t="s">
        <v>4930</v>
      </c>
      <c r="C936" s="440" t="s">
        <v>479</v>
      </c>
      <c r="D936" s="440"/>
      <c r="E936" s="440"/>
      <c r="F936" s="440" t="s">
        <v>42</v>
      </c>
      <c r="G936" s="441" t="s">
        <v>4931</v>
      </c>
      <c r="H936" s="440" t="s">
        <v>4932</v>
      </c>
      <c r="I936" s="441" t="s">
        <v>4933</v>
      </c>
      <c r="J936" s="450">
        <v>45717</v>
      </c>
      <c r="K936" s="429" t="s">
        <v>2493</v>
      </c>
      <c r="L936" s="444" t="s">
        <v>1208</v>
      </c>
      <c r="M936" s="444" t="s">
        <v>4934</v>
      </c>
      <c r="N936" s="441" t="s">
        <v>2572</v>
      </c>
      <c r="O936" s="445" t="s">
        <v>3350</v>
      </c>
      <c r="P936" s="441">
        <v>350</v>
      </c>
      <c r="Q936" s="445">
        <v>322</v>
      </c>
      <c r="R936" s="445" t="s">
        <v>4935</v>
      </c>
      <c r="S936" s="446">
        <v>45740</v>
      </c>
      <c r="T936" s="446">
        <v>45728</v>
      </c>
      <c r="U936" s="446">
        <v>45729</v>
      </c>
      <c r="V936" s="447">
        <v>45730</v>
      </c>
      <c r="W936" s="447">
        <v>45731</v>
      </c>
      <c r="X936" s="447" t="s">
        <v>8044</v>
      </c>
      <c r="Y936" s="420"/>
      <c r="Z936" s="224" t="str">
        <f t="shared" si="84"/>
        <v>AG. MEDIÇÃO</v>
      </c>
      <c r="AA936" s="207" t="str">
        <f t="shared" si="85"/>
        <v>ENTREGUE</v>
      </c>
      <c r="AB936" s="207" t="str">
        <f t="shared" si="86"/>
        <v>AG. MEDIÇÃO</v>
      </c>
      <c r="AC936" s="156">
        <f t="shared" ca="1" si="87"/>
        <v>2</v>
      </c>
      <c r="AD936" s="156" t="str">
        <f t="shared" ca="1" si="88"/>
        <v>NO PRAZO</v>
      </c>
      <c r="AE936" s="156">
        <f t="shared" ca="1" si="89"/>
        <v>-1</v>
      </c>
    </row>
    <row r="937" spans="1:31" ht="36" hidden="1" customHeight="1">
      <c r="A937" s="414"/>
      <c r="B937" s="440" t="s">
        <v>4653</v>
      </c>
      <c r="C937" s="440" t="s">
        <v>479</v>
      </c>
      <c r="D937" s="440" t="s">
        <v>481</v>
      </c>
      <c r="E937" s="440" t="s">
        <v>480</v>
      </c>
      <c r="F937" s="440" t="s">
        <v>42</v>
      </c>
      <c r="G937" s="441" t="s">
        <v>4654</v>
      </c>
      <c r="H937" s="440" t="s">
        <v>4655</v>
      </c>
      <c r="I937" s="441" t="s">
        <v>4656</v>
      </c>
      <c r="J937" s="450">
        <v>45627</v>
      </c>
      <c r="K937" s="429" t="s">
        <v>2493</v>
      </c>
      <c r="L937" s="444"/>
      <c r="M937" s="444" t="s">
        <v>200</v>
      </c>
      <c r="N937" s="441" t="s">
        <v>2572</v>
      </c>
      <c r="O937" s="445" t="s">
        <v>4560</v>
      </c>
      <c r="P937" s="445"/>
      <c r="Q937" s="445"/>
      <c r="R937" s="445" t="s">
        <v>4657</v>
      </c>
      <c r="S937" s="446">
        <v>45649</v>
      </c>
      <c r="T937" s="446">
        <v>45637</v>
      </c>
      <c r="U937" s="446"/>
      <c r="V937" s="447"/>
      <c r="W937" s="447">
        <v>45639</v>
      </c>
      <c r="X937" s="447" t="s">
        <v>8044</v>
      </c>
      <c r="Y937" s="420"/>
      <c r="Z937" s="224" t="str">
        <f t="shared" si="84"/>
        <v>AG. MEDIÇÃO</v>
      </c>
      <c r="AA937" s="207" t="str">
        <f t="shared" si="85"/>
        <v>ENTREGUE</v>
      </c>
      <c r="AB937" s="207" t="str">
        <f t="shared" si="86"/>
        <v>AG. MEDIÇÃO</v>
      </c>
      <c r="AC937" s="156">
        <f t="shared" ca="1" si="87"/>
        <v>2</v>
      </c>
      <c r="AD937" s="156" t="str">
        <f t="shared" ca="1" si="88"/>
        <v>NO PRAZO</v>
      </c>
      <c r="AE937" s="156">
        <f t="shared" ca="1" si="89"/>
        <v>-1</v>
      </c>
    </row>
    <row r="938" spans="1:31" ht="36" hidden="1" customHeight="1">
      <c r="A938" s="414"/>
      <c r="B938" s="440" t="s">
        <v>2767</v>
      </c>
      <c r="C938" s="440" t="s">
        <v>241</v>
      </c>
      <c r="D938" s="440"/>
      <c r="E938" s="440"/>
      <c r="F938" s="440" t="s">
        <v>42</v>
      </c>
      <c r="G938" s="441" t="s">
        <v>2768</v>
      </c>
      <c r="H938" s="440" t="s">
        <v>2769</v>
      </c>
      <c r="I938" s="449"/>
      <c r="J938" s="443">
        <v>44986</v>
      </c>
      <c r="K938" s="429" t="s">
        <v>2493</v>
      </c>
      <c r="L938" s="444" t="s">
        <v>645</v>
      </c>
      <c r="M938" s="447" t="s">
        <v>714</v>
      </c>
      <c r="N938" s="441" t="s">
        <v>2572</v>
      </c>
      <c r="O938" s="441"/>
      <c r="P938" s="441"/>
      <c r="Q938" s="441">
        <v>870</v>
      </c>
      <c r="R938" s="445" t="s">
        <v>2770</v>
      </c>
      <c r="S938" s="446">
        <v>45066</v>
      </c>
      <c r="T938" s="446">
        <v>44974</v>
      </c>
      <c r="U938" s="446">
        <v>44995</v>
      </c>
      <c r="V938" s="447">
        <v>44999</v>
      </c>
      <c r="W938" s="447">
        <v>44999</v>
      </c>
      <c r="X938" s="447" t="s">
        <v>8044</v>
      </c>
      <c r="Y938" s="420"/>
      <c r="Z938" s="224" t="str">
        <f t="shared" si="84"/>
        <v>AG. MEDIÇÃO</v>
      </c>
      <c r="AA938" s="207" t="str">
        <f t="shared" si="85"/>
        <v>ENTREGUE</v>
      </c>
      <c r="AB938" s="207" t="str">
        <f t="shared" si="86"/>
        <v>AG. MEDIÇÃO</v>
      </c>
      <c r="AC938" s="156">
        <f t="shared" ca="1" si="87"/>
        <v>17</v>
      </c>
      <c r="AD938" s="156" t="str">
        <f t="shared" ca="1" si="88"/>
        <v>ATRASADO</v>
      </c>
      <c r="AE938" s="156">
        <f t="shared" ca="1" si="89"/>
        <v>14</v>
      </c>
    </row>
    <row r="939" spans="1:31" ht="36" hidden="1" customHeight="1">
      <c r="A939" s="414"/>
      <c r="B939" s="440" t="s">
        <v>2771</v>
      </c>
      <c r="C939" s="440" t="s">
        <v>241</v>
      </c>
      <c r="D939" s="440"/>
      <c r="E939" s="440"/>
      <c r="F939" s="440" t="s">
        <v>42</v>
      </c>
      <c r="G939" s="441" t="s">
        <v>2768</v>
      </c>
      <c r="H939" s="440" t="s">
        <v>2772</v>
      </c>
      <c r="I939" s="449"/>
      <c r="J939" s="443">
        <v>44986</v>
      </c>
      <c r="K939" s="429" t="s">
        <v>2493</v>
      </c>
      <c r="L939" s="444"/>
      <c r="M939" s="447" t="s">
        <v>714</v>
      </c>
      <c r="N939" s="441" t="s">
        <v>2572</v>
      </c>
      <c r="O939" s="441"/>
      <c r="P939" s="441" t="s">
        <v>2494</v>
      </c>
      <c r="Q939" s="441" t="s">
        <v>2494</v>
      </c>
      <c r="R939" s="445" t="s">
        <v>2657</v>
      </c>
      <c r="S939" s="446">
        <v>45066</v>
      </c>
      <c r="T939" s="446">
        <v>44974</v>
      </c>
      <c r="U939" s="446">
        <v>44995</v>
      </c>
      <c r="V939" s="447">
        <v>44999</v>
      </c>
      <c r="W939" s="447">
        <v>44999</v>
      </c>
      <c r="X939" s="447" t="s">
        <v>8044</v>
      </c>
      <c r="Y939" s="420"/>
      <c r="Z939" s="224" t="str">
        <f t="shared" si="84"/>
        <v>AG. MEDIÇÃO</v>
      </c>
      <c r="AA939" s="207" t="str">
        <f t="shared" si="85"/>
        <v>ENTREGUE</v>
      </c>
      <c r="AB939" s="207" t="str">
        <f t="shared" si="86"/>
        <v>AG. MEDIÇÃO</v>
      </c>
      <c r="AC939" s="156">
        <f t="shared" ca="1" si="87"/>
        <v>17</v>
      </c>
      <c r="AD939" s="156" t="str">
        <f t="shared" ca="1" si="88"/>
        <v>ATRASADO</v>
      </c>
      <c r="AE939" s="156">
        <f t="shared" ca="1" si="89"/>
        <v>14</v>
      </c>
    </row>
    <row r="940" spans="1:31" ht="36" hidden="1" customHeight="1">
      <c r="A940" s="414"/>
      <c r="B940" s="440" t="s">
        <v>4568</v>
      </c>
      <c r="C940" s="440" t="s">
        <v>150</v>
      </c>
      <c r="D940" s="440" t="s">
        <v>402</v>
      </c>
      <c r="E940" s="440" t="s">
        <v>151</v>
      </c>
      <c r="F940" s="440" t="s">
        <v>42</v>
      </c>
      <c r="G940" s="441"/>
      <c r="H940" s="440" t="s">
        <v>4569</v>
      </c>
      <c r="I940" s="441" t="s">
        <v>4570</v>
      </c>
      <c r="J940" s="450">
        <v>45597</v>
      </c>
      <c r="K940" s="429" t="s">
        <v>2493</v>
      </c>
      <c r="L940" s="444" t="s">
        <v>124</v>
      </c>
      <c r="M940" s="444" t="s">
        <v>714</v>
      </c>
      <c r="N940" s="441" t="s">
        <v>2572</v>
      </c>
      <c r="O940" s="445" t="s">
        <v>85</v>
      </c>
      <c r="P940" s="445"/>
      <c r="Q940" s="445"/>
      <c r="R940" s="445" t="s">
        <v>4517</v>
      </c>
      <c r="S940" s="446">
        <v>45632</v>
      </c>
      <c r="T940" s="446">
        <v>45603</v>
      </c>
      <c r="U940" s="446">
        <v>45608</v>
      </c>
      <c r="V940" s="447">
        <v>45611</v>
      </c>
      <c r="W940" s="447">
        <v>45625</v>
      </c>
      <c r="X940" s="447" t="s">
        <v>8044</v>
      </c>
      <c r="Y940" s="420"/>
      <c r="Z940" s="224" t="str">
        <f t="shared" si="84"/>
        <v>AG. MEDIÇÃO</v>
      </c>
      <c r="AA940" s="207" t="str">
        <f t="shared" si="85"/>
        <v>ENTREGUE</v>
      </c>
      <c r="AB940" s="207" t="str">
        <f t="shared" si="86"/>
        <v>AG. MEDIÇÃO</v>
      </c>
      <c r="AC940" s="156">
        <f t="shared" ca="1" si="87"/>
        <v>16</v>
      </c>
      <c r="AD940" s="156" t="str">
        <f t="shared" ca="1" si="88"/>
        <v>ATRASADO</v>
      </c>
      <c r="AE940" s="156">
        <f t="shared" ca="1" si="89"/>
        <v>13</v>
      </c>
    </row>
    <row r="941" spans="1:31" ht="36" hidden="1" customHeight="1">
      <c r="A941" s="414"/>
      <c r="B941" s="440" t="s">
        <v>2854</v>
      </c>
      <c r="C941" s="440" t="s">
        <v>88</v>
      </c>
      <c r="D941" s="440"/>
      <c r="E941" s="440"/>
      <c r="F941" s="440" t="s">
        <v>42</v>
      </c>
      <c r="G941" s="441" t="s">
        <v>2855</v>
      </c>
      <c r="H941" s="440" t="s">
        <v>2856</v>
      </c>
      <c r="I941" s="449"/>
      <c r="J941" s="443">
        <v>45017</v>
      </c>
      <c r="K941" s="429" t="s">
        <v>2493</v>
      </c>
      <c r="L941" s="444" t="s">
        <v>2646</v>
      </c>
      <c r="M941" s="444"/>
      <c r="N941" s="441" t="s">
        <v>2572</v>
      </c>
      <c r="O941" s="445" t="s">
        <v>2573</v>
      </c>
      <c r="P941" s="445"/>
      <c r="Q941" s="445">
        <v>305</v>
      </c>
      <c r="R941" s="445" t="s">
        <v>2857</v>
      </c>
      <c r="S941" s="446">
        <v>45118</v>
      </c>
      <c r="T941" s="446">
        <v>45020</v>
      </c>
      <c r="U941" s="446">
        <v>45021</v>
      </c>
      <c r="V941" s="446">
        <v>45029</v>
      </c>
      <c r="W941" s="447">
        <v>45029</v>
      </c>
      <c r="X941" s="447" t="s">
        <v>8044</v>
      </c>
      <c r="Y941" s="420"/>
      <c r="Z941" s="224" t="str">
        <f t="shared" si="84"/>
        <v>AG. MEDIÇÃO</v>
      </c>
      <c r="AA941" s="207" t="str">
        <f t="shared" si="85"/>
        <v>ENTREGUE</v>
      </c>
      <c r="AB941" s="207" t="str">
        <f t="shared" si="86"/>
        <v>AG. MEDIÇÃO</v>
      </c>
      <c r="AC941" s="156">
        <f t="shared" ca="1" si="87"/>
        <v>7</v>
      </c>
      <c r="AD941" s="156" t="str">
        <f t="shared" ca="1" si="88"/>
        <v>ATRASADO</v>
      </c>
      <c r="AE941" s="156">
        <f t="shared" ca="1" si="89"/>
        <v>4</v>
      </c>
    </row>
    <row r="942" spans="1:31" ht="36" hidden="1" customHeight="1">
      <c r="A942" s="414"/>
      <c r="B942" s="440" t="s">
        <v>4132</v>
      </c>
      <c r="C942" s="440" t="s">
        <v>79</v>
      </c>
      <c r="D942" s="440" t="s">
        <v>3969</v>
      </c>
      <c r="E942" s="440" t="s">
        <v>619</v>
      </c>
      <c r="F942" s="440" t="s">
        <v>42</v>
      </c>
      <c r="G942" s="441" t="s">
        <v>4133</v>
      </c>
      <c r="H942" s="440" t="s">
        <v>4134</v>
      </c>
      <c r="I942" s="441" t="s">
        <v>4135</v>
      </c>
      <c r="J942" s="450">
        <v>45505</v>
      </c>
      <c r="K942" s="429" t="s">
        <v>2493</v>
      </c>
      <c r="L942" s="444" t="s">
        <v>4136</v>
      </c>
      <c r="M942" s="444" t="s">
        <v>51</v>
      </c>
      <c r="N942" s="441" t="s">
        <v>2572</v>
      </c>
      <c r="O942" s="445" t="s">
        <v>3350</v>
      </c>
      <c r="P942" s="445">
        <v>360</v>
      </c>
      <c r="Q942" s="445">
        <v>658</v>
      </c>
      <c r="R942" s="445" t="s">
        <v>4137</v>
      </c>
      <c r="S942" s="446">
        <v>45588</v>
      </c>
      <c r="T942" s="446">
        <v>45511</v>
      </c>
      <c r="U942" s="446">
        <v>45524</v>
      </c>
      <c r="V942" s="447">
        <v>45546</v>
      </c>
      <c r="W942" s="447">
        <v>45565</v>
      </c>
      <c r="X942" s="447" t="s">
        <v>8044</v>
      </c>
      <c r="Y942" s="420"/>
      <c r="Z942" s="224" t="str">
        <f t="shared" si="84"/>
        <v>AG. MEDIÇÃO</v>
      </c>
      <c r="AA942" s="207" t="str">
        <f t="shared" si="85"/>
        <v>ENTREGUE</v>
      </c>
      <c r="AB942" s="207" t="str">
        <f t="shared" si="86"/>
        <v>AG. MEDIÇÃO</v>
      </c>
      <c r="AC942" s="156">
        <f t="shared" ca="1" si="87"/>
        <v>38</v>
      </c>
      <c r="AD942" s="156" t="str">
        <f t="shared" ca="1" si="88"/>
        <v>ATRASADO</v>
      </c>
      <c r="AE942" s="156">
        <f t="shared" ca="1" si="89"/>
        <v>35</v>
      </c>
    </row>
    <row r="943" spans="1:31" ht="36" hidden="1" customHeight="1">
      <c r="A943" s="414"/>
      <c r="B943" s="440" t="s">
        <v>2858</v>
      </c>
      <c r="C943" s="440" t="s">
        <v>150</v>
      </c>
      <c r="D943" s="440"/>
      <c r="E943" s="440"/>
      <c r="F943" s="440" t="s">
        <v>42</v>
      </c>
      <c r="G943" s="441" t="s">
        <v>2859</v>
      </c>
      <c r="H943" s="440" t="s">
        <v>2860</v>
      </c>
      <c r="I943" s="449"/>
      <c r="J943" s="443">
        <v>45017</v>
      </c>
      <c r="K943" s="429" t="s">
        <v>2493</v>
      </c>
      <c r="L943" s="444"/>
      <c r="M943" s="444"/>
      <c r="N943" s="441" t="s">
        <v>2572</v>
      </c>
      <c r="O943" s="445" t="s">
        <v>2573</v>
      </c>
      <c r="P943" s="441" t="s">
        <v>2494</v>
      </c>
      <c r="Q943" s="441" t="s">
        <v>2494</v>
      </c>
      <c r="R943" s="444" t="s">
        <v>2861</v>
      </c>
      <c r="S943" s="446">
        <v>45096</v>
      </c>
      <c r="T943" s="446">
        <v>45020</v>
      </c>
      <c r="U943" s="446">
        <v>45021</v>
      </c>
      <c r="V943" s="446">
        <v>45035</v>
      </c>
      <c r="W943" s="446">
        <v>45023</v>
      </c>
      <c r="X943" s="447" t="s">
        <v>8044</v>
      </c>
      <c r="Y943" s="420"/>
      <c r="Z943" s="224" t="str">
        <f t="shared" si="84"/>
        <v>AG. MEDIÇÃO</v>
      </c>
      <c r="AA943" s="207" t="str">
        <f t="shared" si="85"/>
        <v>ENTREGUE</v>
      </c>
      <c r="AB943" s="207" t="str">
        <f t="shared" si="86"/>
        <v>AG. MEDIÇÃO</v>
      </c>
      <c r="AC943" s="156">
        <f t="shared" ca="1" si="87"/>
        <v>3</v>
      </c>
      <c r="AD943" s="156" t="str">
        <f t="shared" ca="1" si="88"/>
        <v>NO PRAZO</v>
      </c>
      <c r="AE943" s="156">
        <f t="shared" ca="1" si="89"/>
        <v>0</v>
      </c>
    </row>
    <row r="944" spans="1:31" ht="36" hidden="1" customHeight="1">
      <c r="A944" s="414"/>
      <c r="B944" s="440" t="s">
        <v>4988</v>
      </c>
      <c r="C944" s="440" t="s">
        <v>425</v>
      </c>
      <c r="D944" s="440" t="s">
        <v>250</v>
      </c>
      <c r="E944" s="440" t="s">
        <v>426</v>
      </c>
      <c r="F944" s="440" t="s">
        <v>427</v>
      </c>
      <c r="G944" s="441" t="s">
        <v>4989</v>
      </c>
      <c r="H944" s="440" t="s">
        <v>4990</v>
      </c>
      <c r="I944" s="441" t="s">
        <v>4991</v>
      </c>
      <c r="J944" s="450">
        <v>45717</v>
      </c>
      <c r="K944" s="429" t="s">
        <v>2493</v>
      </c>
      <c r="L944" s="444" t="s">
        <v>124</v>
      </c>
      <c r="M944" s="444" t="s">
        <v>1478</v>
      </c>
      <c r="N944" s="441" t="s">
        <v>2572</v>
      </c>
      <c r="O944" s="445" t="s">
        <v>3350</v>
      </c>
      <c r="P944" s="441">
        <v>700</v>
      </c>
      <c r="Q944" s="445">
        <v>705</v>
      </c>
      <c r="R944" s="445" t="s">
        <v>4992</v>
      </c>
      <c r="S944" s="446">
        <v>45740</v>
      </c>
      <c r="T944" s="446">
        <v>45733</v>
      </c>
      <c r="U944" s="446">
        <v>45734</v>
      </c>
      <c r="V944" s="447">
        <v>45736</v>
      </c>
      <c r="W944" s="447">
        <v>45737</v>
      </c>
      <c r="X944" s="447" t="s">
        <v>8044</v>
      </c>
      <c r="Y944" s="420"/>
      <c r="Z944" s="224" t="str">
        <f t="shared" si="84"/>
        <v>AG. MEDIÇÃO</v>
      </c>
      <c r="AA944" s="207" t="str">
        <f t="shared" si="85"/>
        <v>ENTREGUE</v>
      </c>
      <c r="AB944" s="207" t="str">
        <f t="shared" si="86"/>
        <v>AG. MEDIÇÃO</v>
      </c>
      <c r="AC944" s="156">
        <f t="shared" ca="1" si="87"/>
        <v>4</v>
      </c>
      <c r="AD944" s="156" t="str">
        <f t="shared" ca="1" si="88"/>
        <v>ATRASADO</v>
      </c>
      <c r="AE944" s="156">
        <f t="shared" ca="1" si="89"/>
        <v>1</v>
      </c>
    </row>
    <row r="945" spans="1:31" ht="36" hidden="1" customHeight="1">
      <c r="A945" s="414"/>
      <c r="B945" s="440" t="s">
        <v>5510</v>
      </c>
      <c r="C945" s="440" t="s">
        <v>555</v>
      </c>
      <c r="D945" s="440"/>
      <c r="E945" s="440" t="s">
        <v>556</v>
      </c>
      <c r="F945" s="440" t="s">
        <v>42</v>
      </c>
      <c r="G945" s="441"/>
      <c r="H945" s="440" t="s">
        <v>5511</v>
      </c>
      <c r="I945" s="441" t="s">
        <v>5512</v>
      </c>
      <c r="J945" s="450">
        <v>45839</v>
      </c>
      <c r="K945" s="429" t="s">
        <v>2493</v>
      </c>
      <c r="L945" s="444"/>
      <c r="M945" s="444" t="s">
        <v>62</v>
      </c>
      <c r="N945" s="441"/>
      <c r="O945" s="445"/>
      <c r="P945" s="441"/>
      <c r="Q945" s="445"/>
      <c r="R945" s="445" t="s">
        <v>5513</v>
      </c>
      <c r="S945" s="446" t="s">
        <v>557</v>
      </c>
      <c r="T945" s="446">
        <v>45846</v>
      </c>
      <c r="U945" s="446"/>
      <c r="V945" s="447"/>
      <c r="W945" s="447">
        <v>45848</v>
      </c>
      <c r="X945" s="447" t="s">
        <v>8044</v>
      </c>
      <c r="Y945" s="420"/>
      <c r="Z945" s="224" t="str">
        <f t="shared" si="84"/>
        <v>AG. MEDIÇÃO</v>
      </c>
      <c r="AA945" s="207" t="str">
        <f t="shared" si="85"/>
        <v>ENTREGUE</v>
      </c>
      <c r="AB945" s="207" t="str">
        <f t="shared" si="86"/>
        <v>AG. MEDIÇÃO</v>
      </c>
      <c r="AC945" s="156">
        <f t="shared" ca="1" si="87"/>
        <v>2</v>
      </c>
      <c r="AD945" s="156" t="str">
        <f t="shared" ca="1" si="88"/>
        <v>NO PRAZO</v>
      </c>
      <c r="AE945" s="156">
        <f t="shared" ca="1" si="89"/>
        <v>-1</v>
      </c>
    </row>
    <row r="946" spans="1:31" ht="36" hidden="1" customHeight="1">
      <c r="A946" s="414"/>
      <c r="B946" s="440" t="s">
        <v>2773</v>
      </c>
      <c r="C946" s="440" t="s">
        <v>142</v>
      </c>
      <c r="D946" s="440"/>
      <c r="E946" s="440"/>
      <c r="F946" s="440" t="s">
        <v>42</v>
      </c>
      <c r="G946" s="441" t="s">
        <v>2774</v>
      </c>
      <c r="H946" s="440" t="s">
        <v>2775</v>
      </c>
      <c r="I946" s="449"/>
      <c r="J946" s="443">
        <v>44986</v>
      </c>
      <c r="K946" s="429" t="s">
        <v>2493</v>
      </c>
      <c r="L946" s="444"/>
      <c r="M946" s="444"/>
      <c r="N946" s="441" t="s">
        <v>2572</v>
      </c>
      <c r="O946" s="441"/>
      <c r="P946" s="441" t="s">
        <v>2494</v>
      </c>
      <c r="Q946" s="441" t="s">
        <v>2494</v>
      </c>
      <c r="R946" s="445" t="s">
        <v>2574</v>
      </c>
      <c r="S946" s="447">
        <v>45066</v>
      </c>
      <c r="T946" s="446">
        <v>44640</v>
      </c>
      <c r="U946" s="446">
        <v>45007</v>
      </c>
      <c r="V946" s="446">
        <v>45012</v>
      </c>
      <c r="W946" s="447">
        <v>45008</v>
      </c>
      <c r="X946" s="447" t="s">
        <v>8044</v>
      </c>
      <c r="Y946" s="420"/>
      <c r="Z946" s="224" t="str">
        <f t="shared" si="84"/>
        <v>AG. MEDIÇÃO</v>
      </c>
      <c r="AA946" s="207" t="str">
        <f t="shared" si="85"/>
        <v>ENTREGUE</v>
      </c>
      <c r="AB946" s="207" t="str">
        <f t="shared" si="86"/>
        <v>AG. MEDIÇÃO</v>
      </c>
      <c r="AC946" s="156">
        <f t="shared" ca="1" si="87"/>
        <v>263</v>
      </c>
      <c r="AD946" s="156" t="str">
        <f t="shared" ca="1" si="88"/>
        <v>ATRASADO</v>
      </c>
      <c r="AE946" s="156">
        <f t="shared" ca="1" si="89"/>
        <v>260</v>
      </c>
    </row>
    <row r="947" spans="1:31" ht="36" hidden="1" customHeight="1">
      <c r="A947" s="414"/>
      <c r="B947" s="440" t="s">
        <v>4845</v>
      </c>
      <c r="C947" s="440" t="s">
        <v>70</v>
      </c>
      <c r="D947" s="440" t="s">
        <v>4846</v>
      </c>
      <c r="E947" s="440" t="s">
        <v>71</v>
      </c>
      <c r="F947" s="440" t="s">
        <v>42</v>
      </c>
      <c r="G947" s="441"/>
      <c r="H947" s="440" t="s">
        <v>4847</v>
      </c>
      <c r="I947" s="441" t="s">
        <v>4848</v>
      </c>
      <c r="J947" s="450">
        <v>45689</v>
      </c>
      <c r="K947" s="429" t="s">
        <v>2493</v>
      </c>
      <c r="L947" s="444"/>
      <c r="M947" s="444" t="s">
        <v>132</v>
      </c>
      <c r="N947" s="441" t="s">
        <v>2572</v>
      </c>
      <c r="O947" s="445" t="s">
        <v>3350</v>
      </c>
      <c r="P947" s="441" t="s">
        <v>2494</v>
      </c>
      <c r="Q947" s="445" t="s">
        <v>2494</v>
      </c>
      <c r="R947" s="445" t="s">
        <v>4849</v>
      </c>
      <c r="S947" s="446">
        <v>45734</v>
      </c>
      <c r="T947" s="446">
        <v>45707</v>
      </c>
      <c r="U947" s="446">
        <v>45712</v>
      </c>
      <c r="V947" s="447">
        <v>45714</v>
      </c>
      <c r="W947" s="447">
        <v>45714</v>
      </c>
      <c r="X947" s="447" t="s">
        <v>8044</v>
      </c>
      <c r="Y947" s="420"/>
      <c r="Z947" s="224" t="str">
        <f t="shared" si="84"/>
        <v>AG. MEDIÇÃO</v>
      </c>
      <c r="AA947" s="207" t="str">
        <f t="shared" si="85"/>
        <v>ENTREGUE</v>
      </c>
      <c r="AB947" s="207" t="str">
        <f t="shared" si="86"/>
        <v>AG. MEDIÇÃO</v>
      </c>
      <c r="AC947" s="156">
        <f t="shared" ca="1" si="87"/>
        <v>5</v>
      </c>
      <c r="AD947" s="156" t="str">
        <f t="shared" ca="1" si="88"/>
        <v>ATRASADO</v>
      </c>
      <c r="AE947" s="156">
        <f t="shared" ca="1" si="89"/>
        <v>2</v>
      </c>
    </row>
    <row r="948" spans="1:31" ht="36" hidden="1" customHeight="1">
      <c r="A948" s="414"/>
      <c r="B948" s="440" t="s">
        <v>2914</v>
      </c>
      <c r="C948" s="440" t="s">
        <v>507</v>
      </c>
      <c r="D948" s="440"/>
      <c r="E948" s="440"/>
      <c r="F948" s="440" t="s">
        <v>42</v>
      </c>
      <c r="G948" s="441" t="s">
        <v>2915</v>
      </c>
      <c r="H948" s="440" t="s">
        <v>2916</v>
      </c>
      <c r="I948" s="449"/>
      <c r="J948" s="450">
        <v>45078</v>
      </c>
      <c r="K948" s="429" t="s">
        <v>2493</v>
      </c>
      <c r="L948" s="444"/>
      <c r="M948" s="444"/>
      <c r="N948" s="441" t="s">
        <v>2572</v>
      </c>
      <c r="O948" s="441" t="s">
        <v>2573</v>
      </c>
      <c r="P948" s="441" t="s">
        <v>2494</v>
      </c>
      <c r="Q948" s="441" t="s">
        <v>2494</v>
      </c>
      <c r="R948" s="445" t="s">
        <v>2913</v>
      </c>
      <c r="S948" s="446">
        <v>45103</v>
      </c>
      <c r="T948" s="446">
        <v>45099</v>
      </c>
      <c r="U948" s="446">
        <v>45100</v>
      </c>
      <c r="V948" s="446">
        <v>45101</v>
      </c>
      <c r="W948" s="447">
        <v>45101</v>
      </c>
      <c r="X948" s="447" t="s">
        <v>8044</v>
      </c>
      <c r="Y948" s="420"/>
      <c r="Z948" s="224" t="str">
        <f t="shared" si="84"/>
        <v>AG. MEDIÇÃO</v>
      </c>
      <c r="AA948" s="207" t="str">
        <f t="shared" si="85"/>
        <v>ENTREGUE</v>
      </c>
      <c r="AB948" s="207" t="str">
        <f t="shared" si="86"/>
        <v>AG. MEDIÇÃO</v>
      </c>
      <c r="AC948" s="156">
        <f t="shared" ca="1" si="87"/>
        <v>1</v>
      </c>
      <c r="AD948" s="156" t="str">
        <f t="shared" ca="1" si="88"/>
        <v>NO PRAZO</v>
      </c>
      <c r="AE948" s="156">
        <f t="shared" ca="1" si="89"/>
        <v>-2</v>
      </c>
    </row>
    <row r="949" spans="1:31" ht="36" hidden="1" customHeight="1">
      <c r="A949" s="414"/>
      <c r="B949" s="440" t="s">
        <v>3189</v>
      </c>
      <c r="C949" s="440" t="s">
        <v>479</v>
      </c>
      <c r="D949" s="440"/>
      <c r="E949" s="440"/>
      <c r="F949" s="440" t="s">
        <v>42</v>
      </c>
      <c r="G949" s="441" t="s">
        <v>3190</v>
      </c>
      <c r="H949" s="440" t="s">
        <v>3190</v>
      </c>
      <c r="I949" s="449"/>
      <c r="J949" s="450">
        <v>45231</v>
      </c>
      <c r="K949" s="429" t="s">
        <v>2493</v>
      </c>
      <c r="L949" s="444"/>
      <c r="M949" s="444" t="s">
        <v>774</v>
      </c>
      <c r="N949" s="441" t="s">
        <v>2572</v>
      </c>
      <c r="O949" s="445" t="s">
        <v>2573</v>
      </c>
      <c r="P949" s="441" t="s">
        <v>2494</v>
      </c>
      <c r="Q949" s="441" t="s">
        <v>2494</v>
      </c>
      <c r="R949" s="445" t="s">
        <v>3191</v>
      </c>
      <c r="S949" s="446">
        <v>45250</v>
      </c>
      <c r="T949" s="446">
        <v>45231</v>
      </c>
      <c r="U949" s="446"/>
      <c r="V949" s="446">
        <v>45236</v>
      </c>
      <c r="W949" s="446">
        <v>45236</v>
      </c>
      <c r="X949" s="447" t="s">
        <v>8044</v>
      </c>
      <c r="Y949" s="420"/>
      <c r="Z949" s="224" t="str">
        <f t="shared" si="84"/>
        <v>AG. MEDIÇÃO</v>
      </c>
      <c r="AA949" s="207" t="str">
        <f t="shared" si="85"/>
        <v>ENTREGUE</v>
      </c>
      <c r="AB949" s="207" t="str">
        <f t="shared" si="86"/>
        <v>AG. MEDIÇÃO</v>
      </c>
      <c r="AC949" s="156">
        <f t="shared" ca="1" si="87"/>
        <v>3</v>
      </c>
      <c r="AD949" s="156" t="str">
        <f t="shared" ca="1" si="88"/>
        <v>NO PRAZO</v>
      </c>
      <c r="AE949" s="156">
        <f t="shared" ca="1" si="89"/>
        <v>0</v>
      </c>
    </row>
    <row r="950" spans="1:31" ht="36" hidden="1" customHeight="1">
      <c r="A950" s="414"/>
      <c r="B950" s="440" t="s">
        <v>3523</v>
      </c>
      <c r="C950" s="440" t="s">
        <v>571</v>
      </c>
      <c r="D950" s="440"/>
      <c r="E950" s="440"/>
      <c r="F950" s="440" t="s">
        <v>42</v>
      </c>
      <c r="G950" s="441" t="s">
        <v>3524</v>
      </c>
      <c r="H950" s="440" t="s">
        <v>3525</v>
      </c>
      <c r="I950" s="441"/>
      <c r="J950" s="450">
        <v>45352</v>
      </c>
      <c r="K950" s="429" t="s">
        <v>2493</v>
      </c>
      <c r="L950" s="444"/>
      <c r="M950" s="444" t="s">
        <v>51</v>
      </c>
      <c r="N950" s="441" t="s">
        <v>2572</v>
      </c>
      <c r="O950" s="445" t="s">
        <v>85</v>
      </c>
      <c r="P950" s="441" t="s">
        <v>2494</v>
      </c>
      <c r="Q950" s="441" t="s">
        <v>2494</v>
      </c>
      <c r="R950" s="445" t="s">
        <v>3526</v>
      </c>
      <c r="S950" s="446">
        <v>45405</v>
      </c>
      <c r="T950" s="446">
        <v>45377</v>
      </c>
      <c r="U950" s="446"/>
      <c r="V950" s="446">
        <v>45378</v>
      </c>
      <c r="W950" s="447">
        <v>45378</v>
      </c>
      <c r="X950" s="447" t="s">
        <v>8044</v>
      </c>
      <c r="Y950" s="420"/>
      <c r="Z950" s="224" t="str">
        <f t="shared" si="84"/>
        <v>AG. MEDIÇÃO</v>
      </c>
      <c r="AA950" s="207" t="str">
        <f t="shared" si="85"/>
        <v>ENTREGUE</v>
      </c>
      <c r="AB950" s="207" t="str">
        <f t="shared" si="86"/>
        <v>AG. MEDIÇÃO</v>
      </c>
      <c r="AC950" s="156">
        <f t="shared" ca="1" si="87"/>
        <v>1</v>
      </c>
      <c r="AD950" s="156" t="str">
        <f t="shared" ca="1" si="88"/>
        <v>NO PRAZO</v>
      </c>
      <c r="AE950" s="156">
        <f t="shared" ca="1" si="89"/>
        <v>-2</v>
      </c>
    </row>
    <row r="951" spans="1:31" ht="36" hidden="1" customHeight="1">
      <c r="A951" s="414"/>
      <c r="B951" s="440" t="s">
        <v>2623</v>
      </c>
      <c r="C951" s="440" t="s">
        <v>250</v>
      </c>
      <c r="D951" s="440"/>
      <c r="E951" s="440"/>
      <c r="F951" s="440" t="s">
        <v>427</v>
      </c>
      <c r="G951" s="441" t="s">
        <v>2624</v>
      </c>
      <c r="H951" s="440" t="s">
        <v>2625</v>
      </c>
      <c r="I951" s="442"/>
      <c r="J951" s="443">
        <v>44927</v>
      </c>
      <c r="K951" s="429" t="s">
        <v>2493</v>
      </c>
      <c r="L951" s="444" t="s">
        <v>1380</v>
      </c>
      <c r="M951" s="444" t="s">
        <v>722</v>
      </c>
      <c r="N951" s="441" t="s">
        <v>2572</v>
      </c>
      <c r="O951" s="445"/>
      <c r="P951" s="445"/>
      <c r="Q951" s="445">
        <v>151</v>
      </c>
      <c r="R951" s="445" t="s">
        <v>2626</v>
      </c>
      <c r="S951" s="446" t="s">
        <v>288</v>
      </c>
      <c r="T951" s="446">
        <v>44928</v>
      </c>
      <c r="U951" s="446">
        <v>44928</v>
      </c>
      <c r="V951" s="447">
        <v>44938</v>
      </c>
      <c r="W951" s="447">
        <v>44938</v>
      </c>
      <c r="X951" s="447" t="s">
        <v>8044</v>
      </c>
      <c r="Y951" s="420"/>
      <c r="Z951" s="224" t="str">
        <f t="shared" si="84"/>
        <v>AG. MEDIÇÃO</v>
      </c>
      <c r="AA951" s="207" t="str">
        <f t="shared" si="85"/>
        <v>ENTREGUE</v>
      </c>
      <c r="AB951" s="207" t="str">
        <f t="shared" si="86"/>
        <v>AG. MEDIÇÃO</v>
      </c>
      <c r="AC951" s="156">
        <f t="shared" ca="1" si="87"/>
        <v>8</v>
      </c>
      <c r="AD951" s="156" t="str">
        <f t="shared" ca="1" si="88"/>
        <v>ATRASADO</v>
      </c>
      <c r="AE951" s="156">
        <f t="shared" ca="1" si="89"/>
        <v>5</v>
      </c>
    </row>
    <row r="952" spans="1:31" ht="36" hidden="1" customHeight="1">
      <c r="A952" s="414"/>
      <c r="B952" s="440" t="s">
        <v>5242</v>
      </c>
      <c r="C952" s="440" t="s">
        <v>496</v>
      </c>
      <c r="D952" s="440" t="s">
        <v>658</v>
      </c>
      <c r="E952" s="440" t="s">
        <v>497</v>
      </c>
      <c r="F952" s="440" t="s">
        <v>2559</v>
      </c>
      <c r="G952" s="441"/>
      <c r="H952" s="440" t="s">
        <v>5243</v>
      </c>
      <c r="I952" s="441" t="s">
        <v>5244</v>
      </c>
      <c r="J952" s="450">
        <v>45778</v>
      </c>
      <c r="K952" s="429" t="s">
        <v>2493</v>
      </c>
      <c r="L952" s="444" t="s">
        <v>124</v>
      </c>
      <c r="M952" s="444" t="s">
        <v>1122</v>
      </c>
      <c r="N952" s="441"/>
      <c r="O952" s="445"/>
      <c r="P952" s="441">
        <v>537</v>
      </c>
      <c r="Q952" s="445">
        <v>645</v>
      </c>
      <c r="R952" s="445" t="s">
        <v>5245</v>
      </c>
      <c r="S952" s="446">
        <v>45826</v>
      </c>
      <c r="T952" s="446">
        <v>45806</v>
      </c>
      <c r="U952" s="446"/>
      <c r="V952" s="447"/>
      <c r="W952" s="447">
        <v>45812</v>
      </c>
      <c r="X952" s="447" t="s">
        <v>8044</v>
      </c>
      <c r="Y952" s="420"/>
      <c r="Z952" s="224" t="str">
        <f t="shared" si="84"/>
        <v>AG. MEDIÇÃO</v>
      </c>
      <c r="AA952" s="207" t="str">
        <f t="shared" si="85"/>
        <v>ENTREGUE</v>
      </c>
      <c r="AB952" s="207" t="str">
        <f t="shared" si="86"/>
        <v>AG. MEDIÇÃO</v>
      </c>
      <c r="AC952" s="156">
        <f t="shared" ca="1" si="87"/>
        <v>4</v>
      </c>
      <c r="AD952" s="156" t="str">
        <f t="shared" ca="1" si="88"/>
        <v>ATRASADO</v>
      </c>
      <c r="AE952" s="156">
        <f t="shared" ca="1" si="89"/>
        <v>1</v>
      </c>
    </row>
    <row r="953" spans="1:31" ht="36" hidden="1" customHeight="1">
      <c r="A953" s="414"/>
      <c r="B953" s="440" t="s">
        <v>2627</v>
      </c>
      <c r="C953" s="440" t="s">
        <v>250</v>
      </c>
      <c r="D953" s="440"/>
      <c r="E953" s="440"/>
      <c r="F953" s="440" t="s">
        <v>427</v>
      </c>
      <c r="G953" s="441" t="s">
        <v>2628</v>
      </c>
      <c r="H953" s="440" t="s">
        <v>2629</v>
      </c>
      <c r="I953" s="442"/>
      <c r="J953" s="443">
        <v>44927</v>
      </c>
      <c r="K953" s="429" t="s">
        <v>2493</v>
      </c>
      <c r="L953" s="444" t="s">
        <v>2585</v>
      </c>
      <c r="M953" s="444" t="s">
        <v>722</v>
      </c>
      <c r="N953" s="441" t="s">
        <v>2572</v>
      </c>
      <c r="O953" s="445"/>
      <c r="P953" s="445"/>
      <c r="Q953" s="445">
        <v>342</v>
      </c>
      <c r="R953" s="445" t="s">
        <v>2630</v>
      </c>
      <c r="S953" s="446" t="s">
        <v>288</v>
      </c>
      <c r="T953" s="446">
        <v>44928</v>
      </c>
      <c r="U953" s="446">
        <v>44928</v>
      </c>
      <c r="V953" s="447">
        <v>44936</v>
      </c>
      <c r="W953" s="447">
        <v>44936</v>
      </c>
      <c r="X953" s="447" t="s">
        <v>8044</v>
      </c>
      <c r="Y953" s="420"/>
      <c r="Z953" s="224" t="str">
        <f t="shared" si="84"/>
        <v>AG. MEDIÇÃO</v>
      </c>
      <c r="AA953" s="207" t="str">
        <f t="shared" si="85"/>
        <v>ENTREGUE</v>
      </c>
      <c r="AB953" s="207" t="str">
        <f t="shared" si="86"/>
        <v>AG. MEDIÇÃO</v>
      </c>
      <c r="AC953" s="156">
        <f t="shared" ca="1" si="87"/>
        <v>6</v>
      </c>
      <c r="AD953" s="156" t="str">
        <f t="shared" ca="1" si="88"/>
        <v>ATRASADO</v>
      </c>
      <c r="AE953" s="156">
        <f t="shared" ca="1" si="89"/>
        <v>3</v>
      </c>
    </row>
    <row r="954" spans="1:31" ht="36" hidden="1" customHeight="1">
      <c r="A954" s="414"/>
      <c r="B954" s="440" t="s">
        <v>2631</v>
      </c>
      <c r="C954" s="440" t="s">
        <v>250</v>
      </c>
      <c r="D954" s="440"/>
      <c r="E954" s="440"/>
      <c r="F954" s="440" t="s">
        <v>427</v>
      </c>
      <c r="G954" s="441" t="s">
        <v>2632</v>
      </c>
      <c r="H954" s="440" t="s">
        <v>2633</v>
      </c>
      <c r="I954" s="442"/>
      <c r="J954" s="443">
        <v>44927</v>
      </c>
      <c r="K954" s="429" t="s">
        <v>2493</v>
      </c>
      <c r="L954" s="444"/>
      <c r="M954" s="444" t="s">
        <v>722</v>
      </c>
      <c r="N954" s="441" t="s">
        <v>2572</v>
      </c>
      <c r="O954" s="445"/>
      <c r="P954" s="441" t="s">
        <v>2494</v>
      </c>
      <c r="Q954" s="441" t="s">
        <v>2494</v>
      </c>
      <c r="R954" s="444" t="s">
        <v>2574</v>
      </c>
      <c r="S954" s="446" t="s">
        <v>288</v>
      </c>
      <c r="T954" s="446">
        <v>44928</v>
      </c>
      <c r="U954" s="446">
        <v>44928</v>
      </c>
      <c r="V954" s="447">
        <v>44936</v>
      </c>
      <c r="W954" s="447">
        <v>44936</v>
      </c>
      <c r="X954" s="447" t="s">
        <v>8044</v>
      </c>
      <c r="Y954" s="420"/>
      <c r="Z954" s="224" t="str">
        <f t="shared" si="84"/>
        <v>AG. MEDIÇÃO</v>
      </c>
      <c r="AA954" s="207" t="str">
        <f t="shared" si="85"/>
        <v>ENTREGUE</v>
      </c>
      <c r="AB954" s="207" t="str">
        <f t="shared" si="86"/>
        <v>AG. MEDIÇÃO</v>
      </c>
      <c r="AC954" s="156">
        <f t="shared" ca="1" si="87"/>
        <v>6</v>
      </c>
      <c r="AD954" s="156" t="str">
        <f t="shared" ca="1" si="88"/>
        <v>ATRASADO</v>
      </c>
      <c r="AE954" s="156">
        <f t="shared" ca="1" si="89"/>
        <v>3</v>
      </c>
    </row>
    <row r="955" spans="1:31" ht="36" hidden="1" customHeight="1">
      <c r="A955" s="414"/>
      <c r="B955" s="440" t="s">
        <v>2634</v>
      </c>
      <c r="C955" s="440" t="s">
        <v>250</v>
      </c>
      <c r="D955" s="440"/>
      <c r="E955" s="440"/>
      <c r="F955" s="440" t="s">
        <v>427</v>
      </c>
      <c r="G955" s="441" t="s">
        <v>2635</v>
      </c>
      <c r="H955" s="440" t="s">
        <v>2636</v>
      </c>
      <c r="I955" s="449"/>
      <c r="J955" s="443">
        <v>44927</v>
      </c>
      <c r="K955" s="429" t="s">
        <v>2493</v>
      </c>
      <c r="L955" s="444"/>
      <c r="M955" s="444" t="s">
        <v>722</v>
      </c>
      <c r="N955" s="441" t="s">
        <v>2572</v>
      </c>
      <c r="O955" s="445"/>
      <c r="P955" s="441" t="s">
        <v>2494</v>
      </c>
      <c r="Q955" s="441" t="s">
        <v>2494</v>
      </c>
      <c r="R955" s="444" t="s">
        <v>2574</v>
      </c>
      <c r="S955" s="446" t="s">
        <v>288</v>
      </c>
      <c r="T955" s="446">
        <v>44928</v>
      </c>
      <c r="U955" s="446">
        <v>44928</v>
      </c>
      <c r="V955" s="447">
        <v>44936</v>
      </c>
      <c r="W955" s="447">
        <v>44936</v>
      </c>
      <c r="X955" s="447" t="s">
        <v>8044</v>
      </c>
      <c r="Y955" s="420"/>
      <c r="Z955" s="224" t="str">
        <f t="shared" si="84"/>
        <v>AG. MEDIÇÃO</v>
      </c>
      <c r="AA955" s="207" t="str">
        <f t="shared" si="85"/>
        <v>ENTREGUE</v>
      </c>
      <c r="AB955" s="207" t="str">
        <f t="shared" si="86"/>
        <v>AG. MEDIÇÃO</v>
      </c>
      <c r="AC955" s="156">
        <f t="shared" ca="1" si="87"/>
        <v>6</v>
      </c>
      <c r="AD955" s="156" t="str">
        <f t="shared" ca="1" si="88"/>
        <v>ATRASADO</v>
      </c>
      <c r="AE955" s="156">
        <f t="shared" ca="1" si="89"/>
        <v>3</v>
      </c>
    </row>
    <row r="956" spans="1:31" ht="36" hidden="1" customHeight="1">
      <c r="A956" s="414"/>
      <c r="B956" s="440" t="s">
        <v>2862</v>
      </c>
      <c r="C956" s="440" t="s">
        <v>232</v>
      </c>
      <c r="D956" s="440"/>
      <c r="E956" s="440"/>
      <c r="F956" s="440" t="s">
        <v>42</v>
      </c>
      <c r="G956" s="441" t="s">
        <v>2863</v>
      </c>
      <c r="H956" s="440" t="s">
        <v>2864</v>
      </c>
      <c r="I956" s="449"/>
      <c r="J956" s="443">
        <v>45017</v>
      </c>
      <c r="K956" s="429" t="s">
        <v>2493</v>
      </c>
      <c r="L956" s="444"/>
      <c r="M956" s="444"/>
      <c r="N956" s="441" t="s">
        <v>2572</v>
      </c>
      <c r="O956" s="445" t="s">
        <v>2573</v>
      </c>
      <c r="P956" s="445"/>
      <c r="Q956" s="441">
        <v>158</v>
      </c>
      <c r="R956" s="444" t="s">
        <v>2865</v>
      </c>
      <c r="S956" s="446">
        <v>45118</v>
      </c>
      <c r="T956" s="446">
        <v>45020</v>
      </c>
      <c r="U956" s="446"/>
      <c r="V956" s="446">
        <v>45036</v>
      </c>
      <c r="W956" s="447">
        <v>45036</v>
      </c>
      <c r="X956" s="447" t="s">
        <v>8044</v>
      </c>
      <c r="Y956" s="420"/>
      <c r="Z956" s="224" t="str">
        <f t="shared" si="84"/>
        <v>AG. MEDIÇÃO</v>
      </c>
      <c r="AA956" s="207" t="str">
        <f t="shared" si="85"/>
        <v>ENTREGUE</v>
      </c>
      <c r="AB956" s="207" t="str">
        <f t="shared" si="86"/>
        <v>AG. MEDIÇÃO</v>
      </c>
      <c r="AC956" s="156">
        <f t="shared" ca="1" si="87"/>
        <v>12</v>
      </c>
      <c r="AD956" s="156" t="str">
        <f t="shared" ca="1" si="88"/>
        <v>ATRASADO</v>
      </c>
      <c r="AE956" s="156">
        <f t="shared" ca="1" si="89"/>
        <v>9</v>
      </c>
    </row>
    <row r="957" spans="1:31" ht="36" hidden="1" customHeight="1">
      <c r="A957" s="414"/>
      <c r="B957" s="440" t="s">
        <v>4965</v>
      </c>
      <c r="C957" s="440" t="s">
        <v>383</v>
      </c>
      <c r="D957" s="440" t="s">
        <v>387</v>
      </c>
      <c r="E957" s="440" t="s">
        <v>384</v>
      </c>
      <c r="F957" s="440" t="s">
        <v>42</v>
      </c>
      <c r="G957" s="441" t="s">
        <v>4966</v>
      </c>
      <c r="H957" s="440" t="s">
        <v>4967</v>
      </c>
      <c r="I957" s="441" t="s">
        <v>4968</v>
      </c>
      <c r="J957" s="450">
        <v>45717</v>
      </c>
      <c r="K957" s="429" t="s">
        <v>2493</v>
      </c>
      <c r="L957" s="444" t="s">
        <v>1208</v>
      </c>
      <c r="M957" s="444" t="s">
        <v>200</v>
      </c>
      <c r="N957" s="441"/>
      <c r="O957" s="445"/>
      <c r="P957" s="441">
        <v>205</v>
      </c>
      <c r="Q957" s="445">
        <v>271</v>
      </c>
      <c r="R957" s="445" t="s">
        <v>4969</v>
      </c>
      <c r="S957" s="446">
        <v>45739</v>
      </c>
      <c r="T957" s="446">
        <v>45733</v>
      </c>
      <c r="U957" s="446">
        <v>45734</v>
      </c>
      <c r="V957" s="447">
        <v>45737</v>
      </c>
      <c r="W957" s="447">
        <v>45736</v>
      </c>
      <c r="X957" s="447" t="s">
        <v>8044</v>
      </c>
      <c r="Y957" s="420"/>
      <c r="Z957" s="224" t="str">
        <f t="shared" si="84"/>
        <v>AG. MEDIÇÃO</v>
      </c>
      <c r="AA957" s="207" t="str">
        <f t="shared" si="85"/>
        <v>ENTREGUE</v>
      </c>
      <c r="AB957" s="207" t="str">
        <f t="shared" si="86"/>
        <v>AG. MEDIÇÃO</v>
      </c>
      <c r="AC957" s="156">
        <f t="shared" ca="1" si="87"/>
        <v>3</v>
      </c>
      <c r="AD957" s="156" t="str">
        <f t="shared" ca="1" si="88"/>
        <v>NO PRAZO</v>
      </c>
      <c r="AE957" s="156">
        <f t="shared" ca="1" si="89"/>
        <v>0</v>
      </c>
    </row>
    <row r="958" spans="1:31" ht="36" hidden="1" customHeight="1">
      <c r="A958" s="414"/>
      <c r="B958" s="440" t="s">
        <v>4715</v>
      </c>
      <c r="C958" s="440" t="s">
        <v>853</v>
      </c>
      <c r="D958" s="440"/>
      <c r="E958" s="440" t="s">
        <v>854</v>
      </c>
      <c r="F958" s="440" t="s">
        <v>427</v>
      </c>
      <c r="G958" s="441"/>
      <c r="H958" s="440" t="s">
        <v>4716</v>
      </c>
      <c r="I958" s="441" t="s">
        <v>4717</v>
      </c>
      <c r="J958" s="450">
        <v>45658</v>
      </c>
      <c r="K958" s="429" t="s">
        <v>2493</v>
      </c>
      <c r="L958" s="444" t="s">
        <v>124</v>
      </c>
      <c r="M958" s="444" t="s">
        <v>1478</v>
      </c>
      <c r="N958" s="441" t="s">
        <v>2572</v>
      </c>
      <c r="O958" s="445" t="s">
        <v>85</v>
      </c>
      <c r="P958" s="445">
        <v>1010</v>
      </c>
      <c r="Q958" s="445">
        <v>1105</v>
      </c>
      <c r="R958" s="445" t="s">
        <v>4718</v>
      </c>
      <c r="S958" s="446">
        <v>45698</v>
      </c>
      <c r="T958" s="446">
        <v>45671</v>
      </c>
      <c r="U958" s="446">
        <v>45677</v>
      </c>
      <c r="V958" s="447">
        <v>45678</v>
      </c>
      <c r="W958" s="447">
        <v>45679</v>
      </c>
      <c r="X958" s="447" t="s">
        <v>8044</v>
      </c>
      <c r="Y958" s="420"/>
      <c r="Z958" s="224" t="str">
        <f t="shared" si="84"/>
        <v>AG. MEDIÇÃO</v>
      </c>
      <c r="AA958" s="207" t="str">
        <f t="shared" si="85"/>
        <v>ENTREGUE</v>
      </c>
      <c r="AB958" s="207" t="str">
        <f t="shared" si="86"/>
        <v>AG. MEDIÇÃO</v>
      </c>
      <c r="AC958" s="156">
        <f t="shared" ca="1" si="87"/>
        <v>6</v>
      </c>
      <c r="AD958" s="156" t="str">
        <f t="shared" ca="1" si="88"/>
        <v>ATRASADO</v>
      </c>
      <c r="AE958" s="156">
        <f t="shared" ca="1" si="89"/>
        <v>3</v>
      </c>
    </row>
    <row r="959" spans="1:31" ht="36" hidden="1" customHeight="1">
      <c r="A959" s="414"/>
      <c r="B959" s="440" t="s">
        <v>2926</v>
      </c>
      <c r="C959" s="440" t="s">
        <v>111</v>
      </c>
      <c r="D959" s="440"/>
      <c r="E959" s="440"/>
      <c r="F959" s="440" t="s">
        <v>42</v>
      </c>
      <c r="G959" s="441" t="s">
        <v>2927</v>
      </c>
      <c r="H959" s="440" t="s">
        <v>2928</v>
      </c>
      <c r="I959" s="449"/>
      <c r="J959" s="450">
        <v>45078</v>
      </c>
      <c r="K959" s="429" t="s">
        <v>2493</v>
      </c>
      <c r="L959" s="444" t="s">
        <v>864</v>
      </c>
      <c r="M959" s="444" t="s">
        <v>864</v>
      </c>
      <c r="N959" s="441" t="s">
        <v>2572</v>
      </c>
      <c r="O959" s="445" t="s">
        <v>2573</v>
      </c>
      <c r="P959" s="445"/>
      <c r="Q959" s="441">
        <v>150</v>
      </c>
      <c r="R959" s="445" t="s">
        <v>2929</v>
      </c>
      <c r="S959" s="446">
        <v>45118</v>
      </c>
      <c r="T959" s="446">
        <v>45098</v>
      </c>
      <c r="U959" s="446">
        <v>45098</v>
      </c>
      <c r="V959" s="446">
        <v>45098</v>
      </c>
      <c r="W959" s="447">
        <v>45098</v>
      </c>
      <c r="X959" s="447" t="s">
        <v>8044</v>
      </c>
      <c r="Y959" s="420"/>
      <c r="Z959" s="224" t="str">
        <f t="shared" si="84"/>
        <v>AG. MEDIÇÃO</v>
      </c>
      <c r="AA959" s="207" t="str">
        <f t="shared" si="85"/>
        <v>ENTREGUE</v>
      </c>
      <c r="AB959" s="207" t="str">
        <f t="shared" si="86"/>
        <v>AG. MEDIÇÃO</v>
      </c>
      <c r="AC959" s="156">
        <f t="shared" ca="1" si="87"/>
        <v>0</v>
      </c>
      <c r="AD959" s="156" t="str">
        <f t="shared" ca="1" si="88"/>
        <v>NO PRAZO</v>
      </c>
      <c r="AE959" s="156">
        <f t="shared" ca="1" si="89"/>
        <v>-3</v>
      </c>
    </row>
    <row r="960" spans="1:31" ht="36" hidden="1" customHeight="1">
      <c r="A960" s="414"/>
      <c r="B960" s="440" t="s">
        <v>2776</v>
      </c>
      <c r="C960" s="440" t="s">
        <v>596</v>
      </c>
      <c r="D960" s="440"/>
      <c r="E960" s="440"/>
      <c r="F960" s="440" t="s">
        <v>42</v>
      </c>
      <c r="G960" s="441" t="s">
        <v>2777</v>
      </c>
      <c r="H960" s="440" t="s">
        <v>2778</v>
      </c>
      <c r="I960" s="449"/>
      <c r="J960" s="443">
        <v>44986</v>
      </c>
      <c r="K960" s="429" t="s">
        <v>2493</v>
      </c>
      <c r="L960" s="446" t="s">
        <v>650</v>
      </c>
      <c r="M960" s="444" t="s">
        <v>2684</v>
      </c>
      <c r="N960" s="441" t="s">
        <v>2572</v>
      </c>
      <c r="O960" s="441"/>
      <c r="P960" s="441"/>
      <c r="Q960" s="441">
        <v>300</v>
      </c>
      <c r="R960" s="445" t="s">
        <v>2779</v>
      </c>
      <c r="S960" s="447">
        <v>45066</v>
      </c>
      <c r="T960" s="446">
        <v>44640</v>
      </c>
      <c r="U960" s="446">
        <v>45007</v>
      </c>
      <c r="V960" s="446">
        <v>45009</v>
      </c>
      <c r="W960" s="446">
        <v>45011</v>
      </c>
      <c r="X960" s="447" t="s">
        <v>8044</v>
      </c>
      <c r="Y960" s="420"/>
      <c r="Z960" s="224" t="str">
        <f t="shared" si="84"/>
        <v>AG. MEDIÇÃO</v>
      </c>
      <c r="AA960" s="207" t="str">
        <f t="shared" si="85"/>
        <v>ENTREGUE</v>
      </c>
      <c r="AB960" s="207" t="str">
        <f t="shared" si="86"/>
        <v>AG. MEDIÇÃO</v>
      </c>
      <c r="AC960" s="156">
        <f t="shared" ca="1" si="87"/>
        <v>264</v>
      </c>
      <c r="AD960" s="156" t="str">
        <f t="shared" ca="1" si="88"/>
        <v>ATRASADO</v>
      </c>
      <c r="AE960" s="156">
        <f t="shared" ca="1" si="89"/>
        <v>261</v>
      </c>
    </row>
    <row r="961" spans="1:31" ht="36" hidden="1" customHeight="1">
      <c r="A961" s="414"/>
      <c r="B961" s="429" t="s">
        <v>7647</v>
      </c>
      <c r="C961" s="430" t="s">
        <v>315</v>
      </c>
      <c r="D961" s="430" t="s">
        <v>1218</v>
      </c>
      <c r="E961" s="432" t="s">
        <v>316</v>
      </c>
      <c r="F961" s="429" t="s">
        <v>42</v>
      </c>
      <c r="G961" s="434"/>
      <c r="H961" s="636" t="s">
        <v>7626</v>
      </c>
      <c r="I961" s="433" t="s">
        <v>7627</v>
      </c>
      <c r="J961" s="432">
        <v>46143</v>
      </c>
      <c r="K961" s="429" t="s">
        <v>2493</v>
      </c>
      <c r="L961" s="436" t="s">
        <v>77</v>
      </c>
      <c r="M961" s="436" t="s">
        <v>77</v>
      </c>
      <c r="N961" s="433"/>
      <c r="O961" s="437" t="s">
        <v>85</v>
      </c>
      <c r="P961" s="433">
        <v>180</v>
      </c>
      <c r="Q961" s="437">
        <v>180</v>
      </c>
      <c r="R961" s="437" t="s">
        <v>8192</v>
      </c>
      <c r="S961" s="438">
        <v>46226</v>
      </c>
      <c r="T961" s="438">
        <v>46149</v>
      </c>
      <c r="U961" s="438"/>
      <c r="V961" s="439"/>
      <c r="W961" s="439">
        <v>46150</v>
      </c>
      <c r="X961" s="439">
        <v>46226</v>
      </c>
      <c r="Y961" s="420"/>
      <c r="Z961" s="224" t="str">
        <f t="shared" si="84"/>
        <v>AG. MEDIÇÃO</v>
      </c>
      <c r="AA961" s="207" t="str">
        <f t="shared" si="85"/>
        <v>ENTREGUE</v>
      </c>
      <c r="AB961" s="207" t="str">
        <f t="shared" si="86"/>
        <v>AG. MEDIÇÃO</v>
      </c>
      <c r="AC961" s="156">
        <f t="shared" ca="1" si="87"/>
        <v>1</v>
      </c>
      <c r="AD961" s="156" t="str">
        <f t="shared" ca="1" si="88"/>
        <v>NO PRAZO</v>
      </c>
      <c r="AE961" s="156">
        <f t="shared" ca="1" si="89"/>
        <v>-2</v>
      </c>
    </row>
    <row r="962" spans="1:31" ht="28.8" hidden="1">
      <c r="A962" s="414"/>
      <c r="B962" s="440" t="s">
        <v>3649</v>
      </c>
      <c r="C962" s="440" t="s">
        <v>232</v>
      </c>
      <c r="D962" s="440"/>
      <c r="E962" s="440"/>
      <c r="F962" s="440" t="s">
        <v>42</v>
      </c>
      <c r="G962" s="441" t="s">
        <v>3348</v>
      </c>
      <c r="H962" s="440" t="s">
        <v>3650</v>
      </c>
      <c r="I962" s="441"/>
      <c r="J962" s="450">
        <v>45383</v>
      </c>
      <c r="K962" s="429" t="s">
        <v>2493</v>
      </c>
      <c r="L962" s="444" t="s">
        <v>2293</v>
      </c>
      <c r="M962" s="444" t="s">
        <v>132</v>
      </c>
      <c r="N962" s="441" t="s">
        <v>2572</v>
      </c>
      <c r="O962" s="445" t="s">
        <v>85</v>
      </c>
      <c r="P962" s="445"/>
      <c r="Q962" s="441">
        <v>498</v>
      </c>
      <c r="R962" s="445" t="s">
        <v>3651</v>
      </c>
      <c r="S962" s="446">
        <v>45439</v>
      </c>
      <c r="T962" s="446">
        <v>45399</v>
      </c>
      <c r="U962" s="446">
        <v>45401</v>
      </c>
      <c r="V962" s="447">
        <v>45405</v>
      </c>
      <c r="W962" s="447">
        <v>45419</v>
      </c>
      <c r="X962" s="447" t="s">
        <v>8044</v>
      </c>
      <c r="Y962" s="420"/>
      <c r="Z962" s="224" t="str">
        <f t="shared" si="84"/>
        <v>AG. MEDIÇÃO</v>
      </c>
      <c r="AA962" s="207" t="str">
        <f t="shared" si="85"/>
        <v>ENTREGUE</v>
      </c>
      <c r="AB962" s="207" t="str">
        <f t="shared" si="86"/>
        <v>AG. MEDIÇÃO</v>
      </c>
      <c r="AC962" s="156">
        <f t="shared" ca="1" si="87"/>
        <v>14</v>
      </c>
      <c r="AD962" s="156" t="str">
        <f t="shared" ca="1" si="88"/>
        <v>ATRASADO</v>
      </c>
      <c r="AE962" s="156">
        <f t="shared" ca="1" si="89"/>
        <v>11</v>
      </c>
    </row>
    <row r="963" spans="1:31" ht="40.950000000000003" hidden="1" customHeight="1">
      <c r="A963" s="414"/>
      <c r="B963" s="440" t="s">
        <v>3979</v>
      </c>
      <c r="C963" s="440" t="s">
        <v>479</v>
      </c>
      <c r="D963" s="440" t="s">
        <v>481</v>
      </c>
      <c r="E963" s="440" t="s">
        <v>480</v>
      </c>
      <c r="F963" s="440" t="s">
        <v>42</v>
      </c>
      <c r="G963" s="441" t="s">
        <v>3980</v>
      </c>
      <c r="H963" s="440" t="s">
        <v>3981</v>
      </c>
      <c r="I963" s="441" t="s">
        <v>3982</v>
      </c>
      <c r="J963" s="450">
        <v>45474</v>
      </c>
      <c r="K963" s="429" t="s">
        <v>2493</v>
      </c>
      <c r="L963" s="444" t="s">
        <v>124</v>
      </c>
      <c r="M963" s="444" t="s">
        <v>51</v>
      </c>
      <c r="N963" s="441" t="s">
        <v>2572</v>
      </c>
      <c r="O963" s="445" t="s">
        <v>85</v>
      </c>
      <c r="P963" s="445"/>
      <c r="Q963" s="445">
        <v>100</v>
      </c>
      <c r="R963" s="445" t="s">
        <v>3983</v>
      </c>
      <c r="S963" s="446">
        <v>45497</v>
      </c>
      <c r="T963" s="446">
        <v>45482</v>
      </c>
      <c r="U963" s="446">
        <v>45484</v>
      </c>
      <c r="V963" s="447">
        <v>45492</v>
      </c>
      <c r="W963" s="447">
        <v>45492</v>
      </c>
      <c r="X963" s="447" t="s">
        <v>8044</v>
      </c>
      <c r="Y963" s="420"/>
      <c r="Z963" s="224" t="str">
        <f t="shared" si="84"/>
        <v>AG. MEDIÇÃO</v>
      </c>
      <c r="AA963" s="207" t="str">
        <f t="shared" si="85"/>
        <v>ENTREGUE</v>
      </c>
      <c r="AB963" s="207" t="str">
        <f t="shared" si="86"/>
        <v>AG. MEDIÇÃO</v>
      </c>
      <c r="AC963" s="156">
        <f t="shared" ca="1" si="87"/>
        <v>8</v>
      </c>
      <c r="AD963" s="156" t="str">
        <f t="shared" ca="1" si="88"/>
        <v>ATRASADO</v>
      </c>
      <c r="AE963" s="156">
        <f t="shared" ca="1" si="89"/>
        <v>5</v>
      </c>
    </row>
    <row r="964" spans="1:31" ht="36" hidden="1" customHeight="1">
      <c r="A964" s="414"/>
      <c r="B964" s="440" t="s">
        <v>4112</v>
      </c>
      <c r="C964" s="440" t="s">
        <v>425</v>
      </c>
      <c r="D964" s="440" t="s">
        <v>891</v>
      </c>
      <c r="E964" s="440" t="s">
        <v>484</v>
      </c>
      <c r="F964" s="440" t="s">
        <v>2559</v>
      </c>
      <c r="G964" s="441" t="s">
        <v>4113</v>
      </c>
      <c r="H964" s="440" t="s">
        <v>4114</v>
      </c>
      <c r="I964" s="441" t="s">
        <v>4115</v>
      </c>
      <c r="J964" s="450">
        <v>45505</v>
      </c>
      <c r="K964" s="429" t="s">
        <v>2493</v>
      </c>
      <c r="L964" s="444" t="s">
        <v>124</v>
      </c>
      <c r="M964" s="444" t="s">
        <v>51</v>
      </c>
      <c r="N964" s="441" t="s">
        <v>2572</v>
      </c>
      <c r="O964" s="445" t="s">
        <v>85</v>
      </c>
      <c r="P964" s="445"/>
      <c r="Q964" s="445">
        <v>470</v>
      </c>
      <c r="R964" s="445" t="s">
        <v>4116</v>
      </c>
      <c r="S964" s="446">
        <v>45532</v>
      </c>
      <c r="T964" s="446">
        <v>45505</v>
      </c>
      <c r="U964" s="446">
        <v>45512</v>
      </c>
      <c r="V964" s="447">
        <v>45517</v>
      </c>
      <c r="W964" s="447">
        <v>45517</v>
      </c>
      <c r="X964" s="447" t="s">
        <v>8044</v>
      </c>
      <c r="Y964" s="420"/>
      <c r="Z964" s="224" t="str">
        <f t="shared" si="84"/>
        <v>AG. MEDIÇÃO</v>
      </c>
      <c r="AA964" s="207" t="str">
        <f t="shared" si="85"/>
        <v>ENTREGUE</v>
      </c>
      <c r="AB964" s="207" t="str">
        <f t="shared" si="86"/>
        <v>AG. MEDIÇÃO</v>
      </c>
      <c r="AC964" s="156">
        <f t="shared" ca="1" si="87"/>
        <v>8</v>
      </c>
      <c r="AD964" s="156" t="str">
        <f t="shared" ca="1" si="88"/>
        <v>ATRASADO</v>
      </c>
      <c r="AE964" s="156">
        <f t="shared" ca="1" si="89"/>
        <v>5</v>
      </c>
    </row>
    <row r="965" spans="1:31" ht="36" hidden="1" customHeight="1">
      <c r="A965" s="414"/>
      <c r="B965" s="440" t="s">
        <v>2882</v>
      </c>
      <c r="C965" s="440" t="s">
        <v>2883</v>
      </c>
      <c r="D965" s="440"/>
      <c r="E965" s="440"/>
      <c r="F965" s="440" t="s">
        <v>42</v>
      </c>
      <c r="G965" s="441" t="s">
        <v>2884</v>
      </c>
      <c r="H965" s="440" t="s">
        <v>2885</v>
      </c>
      <c r="I965" s="449"/>
      <c r="J965" s="450">
        <v>45047</v>
      </c>
      <c r="K965" s="429" t="s">
        <v>2493</v>
      </c>
      <c r="L965" s="444" t="s">
        <v>2646</v>
      </c>
      <c r="M965" s="444" t="s">
        <v>774</v>
      </c>
      <c r="N965" s="441" t="s">
        <v>2572</v>
      </c>
      <c r="O965" s="445" t="s">
        <v>85</v>
      </c>
      <c r="P965" s="445"/>
      <c r="Q965" s="441">
        <v>75</v>
      </c>
      <c r="R965" s="445" t="s">
        <v>2886</v>
      </c>
      <c r="S965" s="446">
        <v>45083</v>
      </c>
      <c r="T965" s="451"/>
      <c r="U965" s="446"/>
      <c r="V965" s="446"/>
      <c r="W965" s="447"/>
      <c r="X965" s="447" t="s">
        <v>8044</v>
      </c>
      <c r="Y965" s="420"/>
      <c r="Z965" s="224" t="str">
        <f t="shared" ref="Z965:Z1028" si="90">IF(K965="CANCELADO","CANCELADO",IF(AA965="PENDENTE","AG. RELATÓRIO",IF(S965="SIM","AG. MEDIÇÃO",IF(S965&gt;0,"AG. MEDIÇÃO","PENDENTE"))))</f>
        <v>AG. MEDIÇÃO</v>
      </c>
      <c r="AA965" s="207" t="str">
        <f t="shared" ref="AA965:AA1028" si="91">IF(K965="CANCELADO","CANCELADO",IF(X965="","PENDENTE","ENTREGUE"))</f>
        <v>ENTREGUE</v>
      </c>
      <c r="AB965" s="207" t="str">
        <f t="shared" ref="AB965:AB1028" si="92">IF(K965="SEM SINAL","SEM SINAL",IF(K965="PARALISADO","PARALISADO",IF(Z965="PENDENTE","AG. MEDIÇÃO",IF(K965="CANCELADO","CANCELADO",Z965))))</f>
        <v>AG. MEDIÇÃO</v>
      </c>
      <c r="AC965" s="156" t="str">
        <f t="shared" ref="AC965:AC1028" ca="1" si="93">IFERROR(IF(K965="CANCELADO","CANCELADO",IF(T965="","DATA ENTRADA",IF(AND(T965&gt;0,W965=""),NETWORKDAYS(T965,TODAY())-1,NETWORKDAYS(T965,W965)-1))),"CHECAR DATA")</f>
        <v>DATA ENTRADA</v>
      </c>
      <c r="AD965" s="156" t="str">
        <f t="shared" ref="AD965:AD1028" ca="1" si="94">IF(AC965&lt;=3,"NO PRAZO","ATRASADO")</f>
        <v>ATRASADO</v>
      </c>
      <c r="AE965" s="156" t="str">
        <f t="shared" ref="AE965:AE1028" ca="1" si="95">IFERROR(AC965-3,AC965)</f>
        <v>DATA ENTRADA</v>
      </c>
    </row>
    <row r="966" spans="1:31" ht="36" hidden="1" customHeight="1">
      <c r="A966" s="414"/>
      <c r="B966" s="440" t="s">
        <v>5667</v>
      </c>
      <c r="C966" s="440" t="s">
        <v>373</v>
      </c>
      <c r="D966" s="440" t="s">
        <v>1137</v>
      </c>
      <c r="E966" s="440" t="s">
        <v>374</v>
      </c>
      <c r="F966" s="440" t="s">
        <v>42</v>
      </c>
      <c r="G966" s="441"/>
      <c r="H966" s="440" t="s">
        <v>5668</v>
      </c>
      <c r="I966" s="441" t="s">
        <v>5669</v>
      </c>
      <c r="J966" s="450">
        <v>45870</v>
      </c>
      <c r="K966" s="429" t="s">
        <v>2493</v>
      </c>
      <c r="L966" s="444"/>
      <c r="M966" s="444" t="s">
        <v>5670</v>
      </c>
      <c r="N966" s="441" t="s">
        <v>2572</v>
      </c>
      <c r="O966" s="445"/>
      <c r="P966" s="441" t="s">
        <v>2494</v>
      </c>
      <c r="Q966" s="441" t="s">
        <v>2494</v>
      </c>
      <c r="R966" s="445" t="s">
        <v>7009</v>
      </c>
      <c r="S966" s="446">
        <v>46062</v>
      </c>
      <c r="T966" s="446">
        <v>45889</v>
      </c>
      <c r="U966" s="446"/>
      <c r="V966" s="447"/>
      <c r="W966" s="447">
        <v>45895</v>
      </c>
      <c r="X966" s="447">
        <v>46062</v>
      </c>
      <c r="Y966" s="420"/>
      <c r="Z966" s="224" t="str">
        <f t="shared" si="90"/>
        <v>AG. MEDIÇÃO</v>
      </c>
      <c r="AA966" s="207" t="str">
        <f t="shared" si="91"/>
        <v>ENTREGUE</v>
      </c>
      <c r="AB966" s="207" t="str">
        <f t="shared" si="92"/>
        <v>AG. MEDIÇÃO</v>
      </c>
      <c r="AC966" s="156">
        <f t="shared" ca="1" si="93"/>
        <v>4</v>
      </c>
      <c r="AD966" s="156" t="str">
        <f t="shared" ca="1" si="94"/>
        <v>ATRASADO</v>
      </c>
      <c r="AE966" s="156">
        <f t="shared" ca="1" si="95"/>
        <v>1</v>
      </c>
    </row>
    <row r="967" spans="1:31" ht="36" hidden="1" customHeight="1">
      <c r="A967" s="414"/>
      <c r="B967" s="440" t="s">
        <v>5384</v>
      </c>
      <c r="C967" s="440" t="s">
        <v>54</v>
      </c>
      <c r="D967" s="440" t="s">
        <v>592</v>
      </c>
      <c r="E967" s="440" t="s">
        <v>55</v>
      </c>
      <c r="F967" s="440" t="s">
        <v>42</v>
      </c>
      <c r="G967" s="441" t="s">
        <v>5385</v>
      </c>
      <c r="H967" s="440" t="s">
        <v>5386</v>
      </c>
      <c r="I967" s="441" t="s">
        <v>5387</v>
      </c>
      <c r="J967" s="450">
        <v>45809</v>
      </c>
      <c r="K967" s="429" t="s">
        <v>2493</v>
      </c>
      <c r="L967" s="444"/>
      <c r="M967" s="444" t="s">
        <v>1155</v>
      </c>
      <c r="N967" s="441"/>
      <c r="O967" s="445"/>
      <c r="P967" s="441" t="s">
        <v>2494</v>
      </c>
      <c r="Q967" s="445" t="s">
        <v>2494</v>
      </c>
      <c r="R967" s="445" t="s">
        <v>5388</v>
      </c>
      <c r="S967" s="446">
        <v>45845</v>
      </c>
      <c r="T967" s="446">
        <v>45821</v>
      </c>
      <c r="U967" s="446"/>
      <c r="V967" s="447"/>
      <c r="W967" s="447">
        <v>45825</v>
      </c>
      <c r="X967" s="447" t="s">
        <v>8044</v>
      </c>
      <c r="Y967" s="420"/>
      <c r="Z967" s="224" t="str">
        <f t="shared" si="90"/>
        <v>AG. MEDIÇÃO</v>
      </c>
      <c r="AA967" s="207" t="str">
        <f t="shared" si="91"/>
        <v>ENTREGUE</v>
      </c>
      <c r="AB967" s="207" t="str">
        <f t="shared" si="92"/>
        <v>AG. MEDIÇÃO</v>
      </c>
      <c r="AC967" s="156">
        <f t="shared" ca="1" si="93"/>
        <v>2</v>
      </c>
      <c r="AD967" s="156" t="str">
        <f t="shared" ca="1" si="94"/>
        <v>NO PRAZO</v>
      </c>
      <c r="AE967" s="156">
        <f t="shared" ca="1" si="95"/>
        <v>-1</v>
      </c>
    </row>
    <row r="968" spans="1:31" ht="36" hidden="1" customHeight="1">
      <c r="A968" s="414"/>
      <c r="B968" s="440" t="s">
        <v>5380</v>
      </c>
      <c r="C968" s="440" t="s">
        <v>54</v>
      </c>
      <c r="D968" s="440" t="s">
        <v>592</v>
      </c>
      <c r="E968" s="440" t="s">
        <v>55</v>
      </c>
      <c r="F968" s="440" t="s">
        <v>42</v>
      </c>
      <c r="G968" s="441" t="s">
        <v>5381</v>
      </c>
      <c r="H968" s="440" t="s">
        <v>5382</v>
      </c>
      <c r="I968" s="441" t="s">
        <v>5383</v>
      </c>
      <c r="J968" s="450">
        <v>45809</v>
      </c>
      <c r="K968" s="429" t="s">
        <v>2493</v>
      </c>
      <c r="L968" s="444"/>
      <c r="M968" s="444" t="s">
        <v>1155</v>
      </c>
      <c r="N968" s="441"/>
      <c r="O968" s="445"/>
      <c r="P968" s="441" t="s">
        <v>2494</v>
      </c>
      <c r="Q968" s="445" t="s">
        <v>2494</v>
      </c>
      <c r="R968" s="445" t="s">
        <v>5025</v>
      </c>
      <c r="S968" s="446">
        <v>45845</v>
      </c>
      <c r="T968" s="446">
        <v>45821</v>
      </c>
      <c r="U968" s="446"/>
      <c r="V968" s="447"/>
      <c r="W968" s="447">
        <v>45825</v>
      </c>
      <c r="X968" s="447" t="s">
        <v>8044</v>
      </c>
      <c r="Y968" s="420"/>
      <c r="Z968" s="224" t="str">
        <f t="shared" si="90"/>
        <v>AG. MEDIÇÃO</v>
      </c>
      <c r="AA968" s="207" t="str">
        <f t="shared" si="91"/>
        <v>ENTREGUE</v>
      </c>
      <c r="AB968" s="207" t="str">
        <f t="shared" si="92"/>
        <v>AG. MEDIÇÃO</v>
      </c>
      <c r="AC968" s="156">
        <f t="shared" ca="1" si="93"/>
        <v>2</v>
      </c>
      <c r="AD968" s="156" t="str">
        <f t="shared" ca="1" si="94"/>
        <v>NO PRAZO</v>
      </c>
      <c r="AE968" s="156">
        <f t="shared" ca="1" si="95"/>
        <v>-1</v>
      </c>
    </row>
    <row r="969" spans="1:31" ht="36" hidden="1" customHeight="1">
      <c r="A969" s="414"/>
      <c r="B969" s="440" t="s">
        <v>5389</v>
      </c>
      <c r="C969" s="440" t="s">
        <v>54</v>
      </c>
      <c r="D969" s="440" t="s">
        <v>592</v>
      </c>
      <c r="E969" s="440" t="s">
        <v>55</v>
      </c>
      <c r="F969" s="440" t="s">
        <v>42</v>
      </c>
      <c r="G969" s="441" t="s">
        <v>5390</v>
      </c>
      <c r="H969" s="440" t="s">
        <v>5391</v>
      </c>
      <c r="I969" s="441" t="s">
        <v>5392</v>
      </c>
      <c r="J969" s="450">
        <v>45809</v>
      </c>
      <c r="K969" s="429" t="s">
        <v>2493</v>
      </c>
      <c r="L969" s="444"/>
      <c r="M969" s="444" t="s">
        <v>1155</v>
      </c>
      <c r="N969" s="441"/>
      <c r="O969" s="445"/>
      <c r="P969" s="441" t="s">
        <v>2494</v>
      </c>
      <c r="Q969" s="445" t="s">
        <v>2494</v>
      </c>
      <c r="R969" s="445" t="s">
        <v>5388</v>
      </c>
      <c r="S969" s="446">
        <v>45845</v>
      </c>
      <c r="T969" s="446">
        <v>45821</v>
      </c>
      <c r="U969" s="446"/>
      <c r="V969" s="447"/>
      <c r="W969" s="447">
        <v>45825</v>
      </c>
      <c r="X969" s="447" t="s">
        <v>8044</v>
      </c>
      <c r="Y969" s="420"/>
      <c r="Z969" s="224" t="str">
        <f t="shared" si="90"/>
        <v>AG. MEDIÇÃO</v>
      </c>
      <c r="AA969" s="207" t="str">
        <f t="shared" si="91"/>
        <v>ENTREGUE</v>
      </c>
      <c r="AB969" s="207" t="str">
        <f t="shared" si="92"/>
        <v>AG. MEDIÇÃO</v>
      </c>
      <c r="AC969" s="156">
        <f t="shared" ca="1" si="93"/>
        <v>2</v>
      </c>
      <c r="AD969" s="156" t="str">
        <f t="shared" ca="1" si="94"/>
        <v>NO PRAZO</v>
      </c>
      <c r="AE969" s="156">
        <f t="shared" ca="1" si="95"/>
        <v>-1</v>
      </c>
    </row>
    <row r="970" spans="1:31" ht="36" hidden="1" customHeight="1">
      <c r="A970" s="414"/>
      <c r="B970" s="440" t="s">
        <v>5164</v>
      </c>
      <c r="C970" s="440" t="s">
        <v>4873</v>
      </c>
      <c r="D970" s="440"/>
      <c r="E970" s="440"/>
      <c r="F970" s="440" t="s">
        <v>5165</v>
      </c>
      <c r="G970" s="441"/>
      <c r="H970" s="440" t="s">
        <v>5166</v>
      </c>
      <c r="I970" s="441" t="s">
        <v>5167</v>
      </c>
      <c r="J970" s="450">
        <v>45748</v>
      </c>
      <c r="K970" s="429" t="s">
        <v>2493</v>
      </c>
      <c r="L970" s="444"/>
      <c r="M970" s="444" t="s">
        <v>827</v>
      </c>
      <c r="N970" s="441"/>
      <c r="O970" s="445"/>
      <c r="P970" s="441"/>
      <c r="Q970" s="445"/>
      <c r="R970" s="445" t="s">
        <v>2789</v>
      </c>
      <c r="S970" s="446">
        <v>45785</v>
      </c>
      <c r="T970" s="446">
        <v>45770</v>
      </c>
      <c r="U970" s="446"/>
      <c r="V970" s="447"/>
      <c r="W970" s="447">
        <v>45776</v>
      </c>
      <c r="X970" s="447" t="s">
        <v>8044</v>
      </c>
      <c r="Y970" s="420"/>
      <c r="Z970" s="224" t="str">
        <f t="shared" si="90"/>
        <v>AG. MEDIÇÃO</v>
      </c>
      <c r="AA970" s="207" t="str">
        <f t="shared" si="91"/>
        <v>ENTREGUE</v>
      </c>
      <c r="AB970" s="207" t="str">
        <f t="shared" si="92"/>
        <v>AG. MEDIÇÃO</v>
      </c>
      <c r="AC970" s="156">
        <f t="shared" ca="1" si="93"/>
        <v>4</v>
      </c>
      <c r="AD970" s="156" t="str">
        <f t="shared" ca="1" si="94"/>
        <v>ATRASADO</v>
      </c>
      <c r="AE970" s="156">
        <f t="shared" ca="1" si="95"/>
        <v>1</v>
      </c>
    </row>
    <row r="971" spans="1:31" ht="36" hidden="1" customHeight="1">
      <c r="A971" s="414"/>
      <c r="B971" s="440" t="s">
        <v>4955</v>
      </c>
      <c r="C971" s="440" t="s">
        <v>88</v>
      </c>
      <c r="D971" s="440" t="s">
        <v>1331</v>
      </c>
      <c r="E971" s="440" t="s">
        <v>4956</v>
      </c>
      <c r="F971" s="440" t="s">
        <v>42</v>
      </c>
      <c r="G971" s="441"/>
      <c r="H971" s="440" t="s">
        <v>4957</v>
      </c>
      <c r="I971" s="441" t="s">
        <v>4958</v>
      </c>
      <c r="J971" s="450">
        <v>45717</v>
      </c>
      <c r="K971" s="429" t="s">
        <v>2493</v>
      </c>
      <c r="L971" s="444"/>
      <c r="M971" s="444" t="s">
        <v>200</v>
      </c>
      <c r="N971" s="441"/>
      <c r="O971" s="445"/>
      <c r="P971" s="441" t="s">
        <v>2494</v>
      </c>
      <c r="Q971" s="445" t="s">
        <v>2494</v>
      </c>
      <c r="R971" s="445" t="s">
        <v>4662</v>
      </c>
      <c r="S971" s="446">
        <v>45739</v>
      </c>
      <c r="T971" s="446">
        <v>45730</v>
      </c>
      <c r="U971" s="446">
        <v>45733</v>
      </c>
      <c r="V971" s="447">
        <v>45737</v>
      </c>
      <c r="W971" s="447">
        <v>45736</v>
      </c>
      <c r="X971" s="447" t="s">
        <v>8044</v>
      </c>
      <c r="Y971" s="420"/>
      <c r="Z971" s="224" t="str">
        <f t="shared" si="90"/>
        <v>AG. MEDIÇÃO</v>
      </c>
      <c r="AA971" s="207" t="str">
        <f t="shared" si="91"/>
        <v>ENTREGUE</v>
      </c>
      <c r="AB971" s="207" t="str">
        <f t="shared" si="92"/>
        <v>AG. MEDIÇÃO</v>
      </c>
      <c r="AC971" s="156">
        <f t="shared" ca="1" si="93"/>
        <v>4</v>
      </c>
      <c r="AD971" s="156" t="str">
        <f t="shared" ca="1" si="94"/>
        <v>ATRASADO</v>
      </c>
      <c r="AE971" s="156">
        <f t="shared" ca="1" si="95"/>
        <v>1</v>
      </c>
    </row>
    <row r="972" spans="1:31" ht="36" hidden="1" customHeight="1">
      <c r="A972" s="414"/>
      <c r="B972" s="440" t="s">
        <v>3698</v>
      </c>
      <c r="C972" s="440" t="s">
        <v>479</v>
      </c>
      <c r="D972" s="440" t="s">
        <v>493</v>
      </c>
      <c r="E972" s="440" t="s">
        <v>480</v>
      </c>
      <c r="F972" s="440" t="s">
        <v>42</v>
      </c>
      <c r="G972" s="441" t="s">
        <v>3699</v>
      </c>
      <c r="H972" s="440" t="s">
        <v>3700</v>
      </c>
      <c r="I972" s="441" t="s">
        <v>3701</v>
      </c>
      <c r="J972" s="450">
        <v>45383</v>
      </c>
      <c r="K972" s="429" t="s">
        <v>2493</v>
      </c>
      <c r="L972" s="444" t="s">
        <v>3691</v>
      </c>
      <c r="M972" s="444" t="s">
        <v>132</v>
      </c>
      <c r="N972" s="441" t="s">
        <v>2572</v>
      </c>
      <c r="O972" s="445" t="s">
        <v>3350</v>
      </c>
      <c r="P972" s="445"/>
      <c r="Q972" s="441">
        <v>170</v>
      </c>
      <c r="R972" s="445" t="s">
        <v>3702</v>
      </c>
      <c r="S972" s="446">
        <v>45439</v>
      </c>
      <c r="T972" s="446">
        <v>45404</v>
      </c>
      <c r="U972" s="446">
        <v>45428</v>
      </c>
      <c r="V972" s="447">
        <v>45434</v>
      </c>
      <c r="W972" s="447">
        <v>45434</v>
      </c>
      <c r="X972" s="447" t="s">
        <v>8044</v>
      </c>
      <c r="Y972" s="420"/>
      <c r="Z972" s="224" t="str">
        <f t="shared" si="90"/>
        <v>AG. MEDIÇÃO</v>
      </c>
      <c r="AA972" s="207" t="str">
        <f t="shared" si="91"/>
        <v>ENTREGUE</v>
      </c>
      <c r="AB972" s="207" t="str">
        <f t="shared" si="92"/>
        <v>AG. MEDIÇÃO</v>
      </c>
      <c r="AC972" s="156">
        <f t="shared" ca="1" si="93"/>
        <v>22</v>
      </c>
      <c r="AD972" s="156" t="str">
        <f t="shared" ca="1" si="94"/>
        <v>ATRASADO</v>
      </c>
      <c r="AE972" s="156">
        <f t="shared" ca="1" si="95"/>
        <v>19</v>
      </c>
    </row>
    <row r="973" spans="1:31" ht="36" hidden="1" customHeight="1">
      <c r="A973" s="414"/>
      <c r="B973" s="429" t="s">
        <v>7280</v>
      </c>
      <c r="C973" s="429" t="s">
        <v>37</v>
      </c>
      <c r="D973" s="429" t="s">
        <v>7184</v>
      </c>
      <c r="E973" s="429" t="s">
        <v>55</v>
      </c>
      <c r="F973" s="429" t="s">
        <v>42</v>
      </c>
      <c r="G973" s="433"/>
      <c r="H973" s="652" t="s">
        <v>7233</v>
      </c>
      <c r="I973" s="433" t="s">
        <v>7185</v>
      </c>
      <c r="J973" s="432">
        <v>46082</v>
      </c>
      <c r="K973" s="429" t="s">
        <v>2493</v>
      </c>
      <c r="L973" s="436"/>
      <c r="M973" s="487" t="s">
        <v>200</v>
      </c>
      <c r="N973" s="433"/>
      <c r="O973" s="437"/>
      <c r="P973" s="433"/>
      <c r="Q973" s="437">
        <v>763</v>
      </c>
      <c r="R973" s="437" t="s">
        <v>7232</v>
      </c>
      <c r="S973" s="438">
        <v>46114</v>
      </c>
      <c r="T973" s="438">
        <v>46098</v>
      </c>
      <c r="U973" s="438"/>
      <c r="V973" s="439"/>
      <c r="W973" s="439">
        <v>46114</v>
      </c>
      <c r="X973" s="439">
        <v>46114</v>
      </c>
      <c r="Y973" s="420"/>
      <c r="Z973" s="224" t="str">
        <f t="shared" si="90"/>
        <v>AG. MEDIÇÃO</v>
      </c>
      <c r="AA973" s="207" t="str">
        <f t="shared" si="91"/>
        <v>ENTREGUE</v>
      </c>
      <c r="AB973" s="207" t="str">
        <f t="shared" si="92"/>
        <v>AG. MEDIÇÃO</v>
      </c>
      <c r="AC973" s="156">
        <f t="shared" ca="1" si="93"/>
        <v>12</v>
      </c>
      <c r="AD973" s="156" t="str">
        <f t="shared" ca="1" si="94"/>
        <v>ATRASADO</v>
      </c>
      <c r="AE973" s="156">
        <f t="shared" ca="1" si="95"/>
        <v>9</v>
      </c>
    </row>
    <row r="974" spans="1:31" ht="36" hidden="1" customHeight="1">
      <c r="A974" s="414"/>
      <c r="B974" s="440" t="s">
        <v>5347</v>
      </c>
      <c r="C974" s="440" t="s">
        <v>150</v>
      </c>
      <c r="D974" s="440" t="s">
        <v>1444</v>
      </c>
      <c r="E974" s="440" t="s">
        <v>151</v>
      </c>
      <c r="F974" s="440" t="s">
        <v>42</v>
      </c>
      <c r="G974" s="441"/>
      <c r="H974" s="440" t="s">
        <v>5348</v>
      </c>
      <c r="I974" s="441" t="s">
        <v>5349</v>
      </c>
      <c r="J974" s="450">
        <v>45809</v>
      </c>
      <c r="K974" s="429" t="s">
        <v>2493</v>
      </c>
      <c r="L974" s="444" t="s">
        <v>94</v>
      </c>
      <c r="M974" s="444" t="s">
        <v>1155</v>
      </c>
      <c r="N974" s="441"/>
      <c r="O974" s="445"/>
      <c r="P974" s="441"/>
      <c r="Q974" s="445"/>
      <c r="R974" s="445" t="s">
        <v>5350</v>
      </c>
      <c r="S974" s="446" t="s">
        <v>5351</v>
      </c>
      <c r="T974" s="446">
        <v>45819</v>
      </c>
      <c r="U974" s="446"/>
      <c r="V974" s="447"/>
      <c r="W974" s="447"/>
      <c r="X974" s="447" t="s">
        <v>8044</v>
      </c>
      <c r="Y974" s="420"/>
      <c r="Z974" s="224" t="str">
        <f t="shared" si="90"/>
        <v>AG. MEDIÇÃO</v>
      </c>
      <c r="AA974" s="207" t="str">
        <f t="shared" si="91"/>
        <v>ENTREGUE</v>
      </c>
      <c r="AB974" s="207" t="str">
        <f t="shared" si="92"/>
        <v>AG. MEDIÇÃO</v>
      </c>
      <c r="AC974" s="156">
        <f t="shared" ca="1" si="93"/>
        <v>330</v>
      </c>
      <c r="AD974" s="156" t="str">
        <f t="shared" ca="1" si="94"/>
        <v>ATRASADO</v>
      </c>
      <c r="AE974" s="156">
        <f t="shared" ca="1" si="95"/>
        <v>327</v>
      </c>
    </row>
    <row r="975" spans="1:31" ht="36" hidden="1" customHeight="1">
      <c r="A975" s="414"/>
      <c r="B975" s="440" t="s">
        <v>4890</v>
      </c>
      <c r="C975" s="440" t="s">
        <v>150</v>
      </c>
      <c r="D975" s="440" t="s">
        <v>371</v>
      </c>
      <c r="E975" s="440" t="s">
        <v>151</v>
      </c>
      <c r="F975" s="440" t="s">
        <v>42</v>
      </c>
      <c r="G975" s="441" t="s">
        <v>4891</v>
      </c>
      <c r="H975" s="440" t="s">
        <v>4892</v>
      </c>
      <c r="I975" s="441" t="s">
        <v>4893</v>
      </c>
      <c r="J975" s="450">
        <v>45689</v>
      </c>
      <c r="K975" s="429" t="s">
        <v>2493</v>
      </c>
      <c r="L975" s="444" t="s">
        <v>1598</v>
      </c>
      <c r="M975" s="444" t="s">
        <v>1598</v>
      </c>
      <c r="N975" s="441"/>
      <c r="O975" s="445"/>
      <c r="P975" s="441">
        <v>360</v>
      </c>
      <c r="Q975" s="445">
        <v>378</v>
      </c>
      <c r="R975" s="445" t="s">
        <v>4894</v>
      </c>
      <c r="S975" s="446">
        <v>45734</v>
      </c>
      <c r="T975" s="446">
        <v>45716</v>
      </c>
      <c r="U975" s="446">
        <v>45721</v>
      </c>
      <c r="V975" s="447">
        <v>45729</v>
      </c>
      <c r="W975" s="447">
        <v>45729</v>
      </c>
      <c r="X975" s="447" t="s">
        <v>8044</v>
      </c>
      <c r="Y975" s="420"/>
      <c r="Z975" s="224" t="str">
        <f t="shared" si="90"/>
        <v>AG. MEDIÇÃO</v>
      </c>
      <c r="AA975" s="207" t="str">
        <f t="shared" si="91"/>
        <v>ENTREGUE</v>
      </c>
      <c r="AB975" s="207" t="str">
        <f t="shared" si="92"/>
        <v>AG. MEDIÇÃO</v>
      </c>
      <c r="AC975" s="156">
        <f t="shared" ca="1" si="93"/>
        <v>9</v>
      </c>
      <c r="AD975" s="156" t="str">
        <f t="shared" ca="1" si="94"/>
        <v>ATRASADO</v>
      </c>
      <c r="AE975" s="156">
        <f t="shared" ca="1" si="95"/>
        <v>6</v>
      </c>
    </row>
    <row r="976" spans="1:31" ht="36" hidden="1" customHeight="1">
      <c r="A976" s="414"/>
      <c r="B976" s="429" t="s">
        <v>6987</v>
      </c>
      <c r="C976" s="430" t="s">
        <v>5265</v>
      </c>
      <c r="D976" s="430"/>
      <c r="E976" s="432"/>
      <c r="F976" s="429" t="s">
        <v>4875</v>
      </c>
      <c r="G976" s="434"/>
      <c r="H976" s="636" t="s">
        <v>6942</v>
      </c>
      <c r="I976" s="433" t="s">
        <v>6943</v>
      </c>
      <c r="J976" s="432">
        <v>46023</v>
      </c>
      <c r="K976" s="429" t="s">
        <v>2493</v>
      </c>
      <c r="L976" s="436" t="s">
        <v>2141</v>
      </c>
      <c r="M976" s="436" t="s">
        <v>1764</v>
      </c>
      <c r="N976" s="433"/>
      <c r="O976" s="437"/>
      <c r="P976" s="433"/>
      <c r="Q976" s="437">
        <v>1707</v>
      </c>
      <c r="R976" s="437" t="s">
        <v>6944</v>
      </c>
      <c r="S976" s="438">
        <v>46058</v>
      </c>
      <c r="T976" s="438">
        <v>46028</v>
      </c>
      <c r="U976" s="438"/>
      <c r="V976" s="439"/>
      <c r="W976" s="439">
        <v>46029</v>
      </c>
      <c r="X976" s="439">
        <v>46058</v>
      </c>
      <c r="Y976" s="420"/>
      <c r="Z976" s="224" t="str">
        <f t="shared" si="90"/>
        <v>AG. MEDIÇÃO</v>
      </c>
      <c r="AA976" s="207" t="str">
        <f t="shared" si="91"/>
        <v>ENTREGUE</v>
      </c>
      <c r="AB976" s="207" t="str">
        <f t="shared" si="92"/>
        <v>AG. MEDIÇÃO</v>
      </c>
      <c r="AC976" s="156">
        <f t="shared" ca="1" si="93"/>
        <v>1</v>
      </c>
      <c r="AD976" s="156" t="str">
        <f t="shared" ca="1" si="94"/>
        <v>NO PRAZO</v>
      </c>
      <c r="AE976" s="156">
        <f t="shared" ca="1" si="95"/>
        <v>-2</v>
      </c>
    </row>
    <row r="977" spans="1:31" ht="36" hidden="1" customHeight="1">
      <c r="A977" s="414"/>
      <c r="B977" s="440" t="s">
        <v>4635</v>
      </c>
      <c r="C977" s="440" t="s">
        <v>2531</v>
      </c>
      <c r="D977" s="440" t="s">
        <v>4636</v>
      </c>
      <c r="E977" s="440" t="s">
        <v>4637</v>
      </c>
      <c r="F977" s="440" t="s">
        <v>4638</v>
      </c>
      <c r="G977" s="441"/>
      <c r="H977" s="440" t="s">
        <v>4639</v>
      </c>
      <c r="I977" s="441" t="s">
        <v>4640</v>
      </c>
      <c r="J977" s="450">
        <v>45627</v>
      </c>
      <c r="K977" s="429" t="s">
        <v>2493</v>
      </c>
      <c r="L977" s="444" t="s">
        <v>1208</v>
      </c>
      <c r="M977" s="444" t="s">
        <v>4641</v>
      </c>
      <c r="N977" s="441" t="s">
        <v>2572</v>
      </c>
      <c r="O977" s="445"/>
      <c r="P977" s="445">
        <v>1000</v>
      </c>
      <c r="Q977" s="445">
        <v>812</v>
      </c>
      <c r="R977" s="445" t="s">
        <v>4642</v>
      </c>
      <c r="S977" s="446">
        <v>45649</v>
      </c>
      <c r="T977" s="446">
        <v>45630</v>
      </c>
      <c r="U977" s="446"/>
      <c r="V977" s="447"/>
      <c r="W977" s="447">
        <v>45633</v>
      </c>
      <c r="X977" s="447" t="s">
        <v>8044</v>
      </c>
      <c r="Y977" s="420"/>
      <c r="Z977" s="224" t="str">
        <f t="shared" si="90"/>
        <v>AG. MEDIÇÃO</v>
      </c>
      <c r="AA977" s="207" t="str">
        <f t="shared" si="91"/>
        <v>ENTREGUE</v>
      </c>
      <c r="AB977" s="207" t="str">
        <f t="shared" si="92"/>
        <v>AG. MEDIÇÃO</v>
      </c>
      <c r="AC977" s="156">
        <f t="shared" ca="1" si="93"/>
        <v>2</v>
      </c>
      <c r="AD977" s="156" t="str">
        <f t="shared" ca="1" si="94"/>
        <v>NO PRAZO</v>
      </c>
      <c r="AE977" s="156">
        <f t="shared" ca="1" si="95"/>
        <v>-1</v>
      </c>
    </row>
    <row r="978" spans="1:31" ht="36" hidden="1" customHeight="1">
      <c r="A978" s="414"/>
      <c r="B978" s="440" t="s">
        <v>5755</v>
      </c>
      <c r="C978" s="440" t="s">
        <v>267</v>
      </c>
      <c r="D978" s="440" t="s">
        <v>4682</v>
      </c>
      <c r="E978" s="440" t="s">
        <v>480</v>
      </c>
      <c r="F978" s="440" t="s">
        <v>42</v>
      </c>
      <c r="G978" s="441"/>
      <c r="H978" s="440" t="s">
        <v>5756</v>
      </c>
      <c r="I978" s="441" t="s">
        <v>5757</v>
      </c>
      <c r="J978" s="450">
        <v>45901</v>
      </c>
      <c r="K978" s="429" t="s">
        <v>2493</v>
      </c>
      <c r="L978" s="444"/>
      <c r="M978" s="444" t="s">
        <v>94</v>
      </c>
      <c r="N978" s="441"/>
      <c r="O978" s="445"/>
      <c r="P978" s="441"/>
      <c r="Q978" s="445"/>
      <c r="R978" s="445" t="s">
        <v>5715</v>
      </c>
      <c r="S978" s="446" t="s">
        <v>4682</v>
      </c>
      <c r="T978" s="446">
        <v>45919</v>
      </c>
      <c r="U978" s="446"/>
      <c r="V978" s="447"/>
      <c r="W978" s="447">
        <v>45920</v>
      </c>
      <c r="X978" s="447" t="s">
        <v>8044</v>
      </c>
      <c r="Y978" s="420"/>
      <c r="Z978" s="224" t="str">
        <f t="shared" si="90"/>
        <v>AG. MEDIÇÃO</v>
      </c>
      <c r="AA978" s="207" t="str">
        <f t="shared" si="91"/>
        <v>ENTREGUE</v>
      </c>
      <c r="AB978" s="207" t="str">
        <f t="shared" si="92"/>
        <v>AG. MEDIÇÃO</v>
      </c>
      <c r="AC978" s="156">
        <f t="shared" ca="1" si="93"/>
        <v>0</v>
      </c>
      <c r="AD978" s="156" t="str">
        <f t="shared" ca="1" si="94"/>
        <v>NO PRAZO</v>
      </c>
      <c r="AE978" s="156">
        <f t="shared" ca="1" si="95"/>
        <v>-3</v>
      </c>
    </row>
    <row r="979" spans="1:31" ht="36" hidden="1" customHeight="1">
      <c r="A979" s="414"/>
      <c r="B979" s="440" t="s">
        <v>5280</v>
      </c>
      <c r="C979" s="440" t="s">
        <v>111</v>
      </c>
      <c r="D979" s="440" t="s">
        <v>1745</v>
      </c>
      <c r="E979" s="440" t="s">
        <v>2504</v>
      </c>
      <c r="F979" s="440" t="s">
        <v>42</v>
      </c>
      <c r="G979" s="441"/>
      <c r="H979" s="440" t="s">
        <v>5281</v>
      </c>
      <c r="I979" s="441" t="s">
        <v>5282</v>
      </c>
      <c r="J979" s="450">
        <v>45809</v>
      </c>
      <c r="K979" s="429" t="s">
        <v>2493</v>
      </c>
      <c r="L979" s="444" t="s">
        <v>77</v>
      </c>
      <c r="M979" s="444" t="s">
        <v>62</v>
      </c>
      <c r="N979" s="441" t="s">
        <v>2572</v>
      </c>
      <c r="O979" s="445" t="s">
        <v>3350</v>
      </c>
      <c r="P979" s="441">
        <v>220</v>
      </c>
      <c r="Q979" s="445">
        <v>214</v>
      </c>
      <c r="R979" s="445" t="s">
        <v>5283</v>
      </c>
      <c r="S979" s="446">
        <v>45826</v>
      </c>
      <c r="T979" s="446">
        <v>45812</v>
      </c>
      <c r="U979" s="446"/>
      <c r="V979" s="447"/>
      <c r="W979" s="447">
        <v>45813</v>
      </c>
      <c r="X979" s="447" t="s">
        <v>8044</v>
      </c>
      <c r="Y979" s="420"/>
      <c r="Z979" s="224" t="str">
        <f t="shared" si="90"/>
        <v>AG. MEDIÇÃO</v>
      </c>
      <c r="AA979" s="207" t="str">
        <f t="shared" si="91"/>
        <v>ENTREGUE</v>
      </c>
      <c r="AB979" s="207" t="str">
        <f t="shared" si="92"/>
        <v>AG. MEDIÇÃO</v>
      </c>
      <c r="AC979" s="156">
        <f t="shared" ca="1" si="93"/>
        <v>1</v>
      </c>
      <c r="AD979" s="156" t="str">
        <f t="shared" ca="1" si="94"/>
        <v>NO PRAZO</v>
      </c>
      <c r="AE979" s="156">
        <f t="shared" ca="1" si="95"/>
        <v>-2</v>
      </c>
    </row>
    <row r="980" spans="1:31" ht="36" hidden="1" customHeight="1">
      <c r="A980" s="414"/>
      <c r="B980" s="440" t="s">
        <v>3600</v>
      </c>
      <c r="C980" s="440" t="s">
        <v>150</v>
      </c>
      <c r="D980" s="440"/>
      <c r="E980" s="440"/>
      <c r="F980" s="440" t="s">
        <v>42</v>
      </c>
      <c r="G980" s="441" t="s">
        <v>3601</v>
      </c>
      <c r="H980" s="440" t="s">
        <v>3602</v>
      </c>
      <c r="I980" s="441"/>
      <c r="J980" s="450">
        <v>45383</v>
      </c>
      <c r="K980" s="429" t="s">
        <v>2493</v>
      </c>
      <c r="L980" s="664"/>
      <c r="M980" s="444" t="s">
        <v>774</v>
      </c>
      <c r="N980" s="441" t="s">
        <v>2572</v>
      </c>
      <c r="O980" s="445" t="s">
        <v>85</v>
      </c>
      <c r="P980" s="441" t="s">
        <v>2494</v>
      </c>
      <c r="Q980" s="441" t="s">
        <v>2494</v>
      </c>
      <c r="R980" s="445" t="s">
        <v>3603</v>
      </c>
      <c r="S980" s="446">
        <v>45405</v>
      </c>
      <c r="T980" s="446">
        <v>45392</v>
      </c>
      <c r="U980" s="446"/>
      <c r="V980" s="446">
        <v>45399</v>
      </c>
      <c r="W980" s="447">
        <v>45400</v>
      </c>
      <c r="X980" s="447" t="s">
        <v>8044</v>
      </c>
      <c r="Y980" s="420"/>
      <c r="Z980" s="224" t="str">
        <f t="shared" si="90"/>
        <v>AG. MEDIÇÃO</v>
      </c>
      <c r="AA980" s="207" t="str">
        <f t="shared" si="91"/>
        <v>ENTREGUE</v>
      </c>
      <c r="AB980" s="207" t="str">
        <f t="shared" si="92"/>
        <v>AG. MEDIÇÃO</v>
      </c>
      <c r="AC980" s="156">
        <f t="shared" ca="1" si="93"/>
        <v>6</v>
      </c>
      <c r="AD980" s="156" t="str">
        <f t="shared" ca="1" si="94"/>
        <v>ATRASADO</v>
      </c>
      <c r="AE980" s="156">
        <f t="shared" ca="1" si="95"/>
        <v>3</v>
      </c>
    </row>
    <row r="981" spans="1:31" ht="36" hidden="1" customHeight="1">
      <c r="A981" s="414"/>
      <c r="B981" s="440" t="s">
        <v>2780</v>
      </c>
      <c r="C981" s="440" t="s">
        <v>150</v>
      </c>
      <c r="D981" s="440"/>
      <c r="E981" s="440"/>
      <c r="F981" s="440" t="s">
        <v>42</v>
      </c>
      <c r="G981" s="441" t="s">
        <v>2781</v>
      </c>
      <c r="H981" s="440" t="s">
        <v>2782</v>
      </c>
      <c r="I981" s="449"/>
      <c r="J981" s="443">
        <v>44986</v>
      </c>
      <c r="K981" s="429" t="s">
        <v>2493</v>
      </c>
      <c r="L981" s="444" t="s">
        <v>689</v>
      </c>
      <c r="M981" s="444" t="s">
        <v>2783</v>
      </c>
      <c r="N981" s="441" t="s">
        <v>2572</v>
      </c>
      <c r="O981" s="441"/>
      <c r="P981" s="441" t="s">
        <v>2494</v>
      </c>
      <c r="Q981" s="441" t="s">
        <v>2494</v>
      </c>
      <c r="R981" s="445" t="s">
        <v>2784</v>
      </c>
      <c r="S981" s="446">
        <v>45096</v>
      </c>
      <c r="T981" s="446">
        <v>45000</v>
      </c>
      <c r="U981" s="446">
        <v>45001</v>
      </c>
      <c r="V981" s="446">
        <v>45012</v>
      </c>
      <c r="W981" s="446">
        <v>45012</v>
      </c>
      <c r="X981" s="447" t="s">
        <v>8044</v>
      </c>
      <c r="Y981" s="420"/>
      <c r="Z981" s="224" t="str">
        <f t="shared" si="90"/>
        <v>AG. MEDIÇÃO</v>
      </c>
      <c r="AA981" s="207" t="str">
        <f t="shared" si="91"/>
        <v>ENTREGUE</v>
      </c>
      <c r="AB981" s="207" t="str">
        <f t="shared" si="92"/>
        <v>AG. MEDIÇÃO</v>
      </c>
      <c r="AC981" s="156">
        <f t="shared" ca="1" si="93"/>
        <v>8</v>
      </c>
      <c r="AD981" s="156" t="str">
        <f t="shared" ca="1" si="94"/>
        <v>ATRASADO</v>
      </c>
      <c r="AE981" s="156">
        <f t="shared" ca="1" si="95"/>
        <v>5</v>
      </c>
    </row>
    <row r="982" spans="1:31" ht="36" hidden="1" customHeight="1">
      <c r="A982" s="414"/>
      <c r="B982" s="440" t="s">
        <v>2943</v>
      </c>
      <c r="C982" s="440" t="s">
        <v>150</v>
      </c>
      <c r="D982" s="440"/>
      <c r="E982" s="440"/>
      <c r="F982" s="440" t="s">
        <v>42</v>
      </c>
      <c r="G982" s="441" t="s">
        <v>2944</v>
      </c>
      <c r="H982" s="440" t="s">
        <v>2945</v>
      </c>
      <c r="I982" s="449"/>
      <c r="J982" s="450">
        <v>45078</v>
      </c>
      <c r="K982" s="429" t="s">
        <v>2493</v>
      </c>
      <c r="L982" s="444" t="s">
        <v>2946</v>
      </c>
      <c r="M982" s="444" t="s">
        <v>864</v>
      </c>
      <c r="N982" s="441" t="s">
        <v>2572</v>
      </c>
      <c r="O982" s="445" t="s">
        <v>85</v>
      </c>
      <c r="P982" s="445"/>
      <c r="Q982" s="441">
        <v>185</v>
      </c>
      <c r="R982" s="445" t="s">
        <v>2947</v>
      </c>
      <c r="S982" s="446">
        <v>45118</v>
      </c>
      <c r="T982" s="446">
        <v>45097</v>
      </c>
      <c r="U982" s="446">
        <v>45097</v>
      </c>
      <c r="V982" s="446">
        <v>45098</v>
      </c>
      <c r="W982" s="447">
        <v>45098</v>
      </c>
      <c r="X982" s="447" t="s">
        <v>8044</v>
      </c>
      <c r="Y982" s="420"/>
      <c r="Z982" s="224" t="str">
        <f t="shared" si="90"/>
        <v>AG. MEDIÇÃO</v>
      </c>
      <c r="AA982" s="207" t="str">
        <f t="shared" si="91"/>
        <v>ENTREGUE</v>
      </c>
      <c r="AB982" s="207" t="str">
        <f t="shared" si="92"/>
        <v>AG. MEDIÇÃO</v>
      </c>
      <c r="AC982" s="156">
        <f t="shared" ca="1" si="93"/>
        <v>1</v>
      </c>
      <c r="AD982" s="156" t="str">
        <f t="shared" ca="1" si="94"/>
        <v>NO PRAZO</v>
      </c>
      <c r="AE982" s="156">
        <f t="shared" ca="1" si="95"/>
        <v>-2</v>
      </c>
    </row>
    <row r="983" spans="1:31" ht="36" hidden="1" customHeight="1">
      <c r="A983" s="414"/>
      <c r="B983" s="440" t="s">
        <v>3333</v>
      </c>
      <c r="C983" s="440" t="s">
        <v>111</v>
      </c>
      <c r="D983" s="440"/>
      <c r="E983" s="440"/>
      <c r="F983" s="440" t="s">
        <v>42</v>
      </c>
      <c r="G983" s="441" t="s">
        <v>3334</v>
      </c>
      <c r="H983" s="440" t="s">
        <v>3335</v>
      </c>
      <c r="I983" s="449"/>
      <c r="J983" s="450">
        <v>45231</v>
      </c>
      <c r="K983" s="429" t="s">
        <v>2493</v>
      </c>
      <c r="L983" s="444"/>
      <c r="M983" s="444" t="s">
        <v>774</v>
      </c>
      <c r="N983" s="441" t="s">
        <v>2572</v>
      </c>
      <c r="O983" s="445" t="s">
        <v>85</v>
      </c>
      <c r="P983" s="441" t="s">
        <v>2494</v>
      </c>
      <c r="Q983" s="441" t="s">
        <v>2494</v>
      </c>
      <c r="R983" s="445" t="s">
        <v>2861</v>
      </c>
      <c r="S983" s="446">
        <v>45273</v>
      </c>
      <c r="T983" s="446">
        <v>45259</v>
      </c>
      <c r="U983" s="446"/>
      <c r="V983" s="446">
        <v>45260</v>
      </c>
      <c r="W983" s="446">
        <v>45260</v>
      </c>
      <c r="X983" s="447" t="s">
        <v>8044</v>
      </c>
      <c r="Y983" s="420"/>
      <c r="Z983" s="224" t="str">
        <f t="shared" si="90"/>
        <v>AG. MEDIÇÃO</v>
      </c>
      <c r="AA983" s="207" t="str">
        <f t="shared" si="91"/>
        <v>ENTREGUE</v>
      </c>
      <c r="AB983" s="207" t="str">
        <f t="shared" si="92"/>
        <v>AG. MEDIÇÃO</v>
      </c>
      <c r="AC983" s="156">
        <f t="shared" ca="1" si="93"/>
        <v>1</v>
      </c>
      <c r="AD983" s="156" t="str">
        <f t="shared" ca="1" si="94"/>
        <v>NO PRAZO</v>
      </c>
      <c r="AE983" s="156">
        <f t="shared" ca="1" si="95"/>
        <v>-2</v>
      </c>
    </row>
    <row r="984" spans="1:31" ht="36" hidden="1" customHeight="1">
      <c r="A984" s="414"/>
      <c r="B984" s="440" t="s">
        <v>2637</v>
      </c>
      <c r="C984" s="440" t="s">
        <v>348</v>
      </c>
      <c r="D984" s="440"/>
      <c r="E984" s="440"/>
      <c r="F984" s="440" t="s">
        <v>42</v>
      </c>
      <c r="G984" s="441" t="s">
        <v>2638</v>
      </c>
      <c r="H984" s="440" t="s">
        <v>2639</v>
      </c>
      <c r="I984" s="442"/>
      <c r="J984" s="443">
        <v>44927</v>
      </c>
      <c r="K984" s="429" t="s">
        <v>2493</v>
      </c>
      <c r="L984" s="444"/>
      <c r="M984" s="444" t="s">
        <v>1155</v>
      </c>
      <c r="N984" s="441" t="s">
        <v>2572</v>
      </c>
      <c r="O984" s="445"/>
      <c r="P984" s="441" t="s">
        <v>2494</v>
      </c>
      <c r="Q984" s="441" t="s">
        <v>2494</v>
      </c>
      <c r="R984" s="444" t="s">
        <v>2574</v>
      </c>
      <c r="S984" s="446" t="s">
        <v>288</v>
      </c>
      <c r="T984" s="446">
        <v>44928</v>
      </c>
      <c r="U984" s="446">
        <v>44928</v>
      </c>
      <c r="V984" s="447">
        <v>44942</v>
      </c>
      <c r="W984" s="447">
        <v>44942</v>
      </c>
      <c r="X984" s="447" t="s">
        <v>8044</v>
      </c>
      <c r="Y984" s="420"/>
      <c r="Z984" s="224" t="str">
        <f t="shared" si="90"/>
        <v>AG. MEDIÇÃO</v>
      </c>
      <c r="AA984" s="207" t="str">
        <f t="shared" si="91"/>
        <v>ENTREGUE</v>
      </c>
      <c r="AB984" s="207" t="str">
        <f t="shared" si="92"/>
        <v>AG. MEDIÇÃO</v>
      </c>
      <c r="AC984" s="156">
        <f t="shared" ca="1" si="93"/>
        <v>10</v>
      </c>
      <c r="AD984" s="156" t="str">
        <f t="shared" ca="1" si="94"/>
        <v>ATRASADO</v>
      </c>
      <c r="AE984" s="156">
        <f t="shared" ca="1" si="95"/>
        <v>7</v>
      </c>
    </row>
    <row r="985" spans="1:31" ht="36" hidden="1" customHeight="1">
      <c r="A985" s="414"/>
      <c r="B985" s="440" t="s">
        <v>5554</v>
      </c>
      <c r="C985" s="440" t="s">
        <v>555</v>
      </c>
      <c r="D985" s="440"/>
      <c r="E985" s="440" t="s">
        <v>556</v>
      </c>
      <c r="F985" s="440" t="s">
        <v>42</v>
      </c>
      <c r="G985" s="441" t="s">
        <v>5555</v>
      </c>
      <c r="H985" s="440" t="s">
        <v>5556</v>
      </c>
      <c r="I985" s="441" t="s">
        <v>5557</v>
      </c>
      <c r="J985" s="450">
        <v>45839</v>
      </c>
      <c r="K985" s="429" t="s">
        <v>2493</v>
      </c>
      <c r="L985" s="444" t="s">
        <v>147</v>
      </c>
      <c r="M985" s="444" t="s">
        <v>1155</v>
      </c>
      <c r="N985" s="441" t="s">
        <v>2572</v>
      </c>
      <c r="O985" s="445"/>
      <c r="P985" s="441">
        <v>500</v>
      </c>
      <c r="Q985" s="445">
        <v>685</v>
      </c>
      <c r="R985" s="445" t="s">
        <v>5558</v>
      </c>
      <c r="S985" s="446">
        <v>45887</v>
      </c>
      <c r="T985" s="446">
        <v>45856</v>
      </c>
      <c r="U985" s="446">
        <v>45858</v>
      </c>
      <c r="V985" s="447">
        <v>45861</v>
      </c>
      <c r="W985" s="447">
        <v>45861</v>
      </c>
      <c r="X985" s="447" t="s">
        <v>8044</v>
      </c>
      <c r="Y985" s="420"/>
      <c r="Z985" s="224" t="str">
        <f t="shared" si="90"/>
        <v>AG. MEDIÇÃO</v>
      </c>
      <c r="AA985" s="207" t="str">
        <f t="shared" si="91"/>
        <v>ENTREGUE</v>
      </c>
      <c r="AB985" s="207" t="str">
        <f t="shared" si="92"/>
        <v>AG. MEDIÇÃO</v>
      </c>
      <c r="AC985" s="156">
        <f t="shared" ca="1" si="93"/>
        <v>3</v>
      </c>
      <c r="AD985" s="156" t="str">
        <f t="shared" ca="1" si="94"/>
        <v>NO PRAZO</v>
      </c>
      <c r="AE985" s="156">
        <f t="shared" ca="1" si="95"/>
        <v>0</v>
      </c>
    </row>
    <row r="986" spans="1:31" ht="36" hidden="1" customHeight="1">
      <c r="A986" s="414"/>
      <c r="B986" s="440" t="s">
        <v>2968</v>
      </c>
      <c r="C986" s="440" t="s">
        <v>1369</v>
      </c>
      <c r="D986" s="440"/>
      <c r="E986" s="440"/>
      <c r="F986" s="440" t="s">
        <v>42</v>
      </c>
      <c r="G986" s="441" t="s">
        <v>2969</v>
      </c>
      <c r="H986" s="440" t="s">
        <v>2970</v>
      </c>
      <c r="I986" s="449"/>
      <c r="J986" s="443">
        <v>45108</v>
      </c>
      <c r="K986" s="429" t="s">
        <v>2493</v>
      </c>
      <c r="L986" s="444" t="s">
        <v>2946</v>
      </c>
      <c r="M986" s="444" t="s">
        <v>864</v>
      </c>
      <c r="N986" s="441" t="s">
        <v>2572</v>
      </c>
      <c r="O986" s="445" t="s">
        <v>2573</v>
      </c>
      <c r="P986" s="441" t="s">
        <v>2494</v>
      </c>
      <c r="Q986" s="441" t="s">
        <v>2494</v>
      </c>
      <c r="R986" s="445" t="s">
        <v>2971</v>
      </c>
      <c r="S986" s="446">
        <v>45198</v>
      </c>
      <c r="T986" s="446">
        <v>45119</v>
      </c>
      <c r="U986" s="446">
        <v>45121</v>
      </c>
      <c r="V986" s="446">
        <v>45124</v>
      </c>
      <c r="W986" s="447">
        <v>45124</v>
      </c>
      <c r="X986" s="447" t="s">
        <v>8044</v>
      </c>
      <c r="Y986" s="420"/>
      <c r="Z986" s="224" t="str">
        <f t="shared" si="90"/>
        <v>AG. MEDIÇÃO</v>
      </c>
      <c r="AA986" s="207" t="str">
        <f t="shared" si="91"/>
        <v>ENTREGUE</v>
      </c>
      <c r="AB986" s="207" t="str">
        <f t="shared" si="92"/>
        <v>AG. MEDIÇÃO</v>
      </c>
      <c r="AC986" s="156">
        <f t="shared" ca="1" si="93"/>
        <v>3</v>
      </c>
      <c r="AD986" s="156" t="str">
        <f t="shared" ca="1" si="94"/>
        <v>NO PRAZO</v>
      </c>
      <c r="AE986" s="156">
        <f t="shared" ca="1" si="95"/>
        <v>0</v>
      </c>
    </row>
    <row r="987" spans="1:31" ht="36" hidden="1" customHeight="1">
      <c r="A987" s="414"/>
      <c r="B987" s="440" t="s">
        <v>5200</v>
      </c>
      <c r="C987" s="440" t="s">
        <v>54</v>
      </c>
      <c r="D987" s="440" t="s">
        <v>1369</v>
      </c>
      <c r="E987" s="440" t="s">
        <v>55</v>
      </c>
      <c r="F987" s="440" t="s">
        <v>42</v>
      </c>
      <c r="G987" s="441" t="s">
        <v>5201</v>
      </c>
      <c r="H987" s="440" t="s">
        <v>5202</v>
      </c>
      <c r="I987" s="441" t="s">
        <v>5203</v>
      </c>
      <c r="J987" s="450">
        <v>45778</v>
      </c>
      <c r="K987" s="429" t="s">
        <v>2493</v>
      </c>
      <c r="L987" s="444" t="s">
        <v>1319</v>
      </c>
      <c r="M987" s="444" t="s">
        <v>170</v>
      </c>
      <c r="N987" s="441" t="s">
        <v>2572</v>
      </c>
      <c r="O987" s="445" t="s">
        <v>3350</v>
      </c>
      <c r="P987" s="441"/>
      <c r="Q987" s="445"/>
      <c r="R987" s="445" t="s">
        <v>5204</v>
      </c>
      <c r="S987" s="446" t="s">
        <v>5175</v>
      </c>
      <c r="T987" s="446">
        <v>45796</v>
      </c>
      <c r="U987" s="446"/>
      <c r="V987" s="447"/>
      <c r="W987" s="447">
        <v>45800</v>
      </c>
      <c r="X987" s="447" t="s">
        <v>8044</v>
      </c>
      <c r="Y987" s="420"/>
      <c r="Z987" s="224" t="str">
        <f t="shared" si="90"/>
        <v>AG. MEDIÇÃO</v>
      </c>
      <c r="AA987" s="207" t="str">
        <f t="shared" si="91"/>
        <v>ENTREGUE</v>
      </c>
      <c r="AB987" s="207" t="str">
        <f t="shared" si="92"/>
        <v>AG. MEDIÇÃO</v>
      </c>
      <c r="AC987" s="156">
        <f t="shared" ca="1" si="93"/>
        <v>4</v>
      </c>
      <c r="AD987" s="156" t="str">
        <f t="shared" ca="1" si="94"/>
        <v>ATRASADO</v>
      </c>
      <c r="AE987" s="156">
        <f t="shared" ca="1" si="95"/>
        <v>1</v>
      </c>
    </row>
    <row r="988" spans="1:31" ht="36" hidden="1" customHeight="1">
      <c r="A988" s="414"/>
      <c r="B988" s="440" t="s">
        <v>5306</v>
      </c>
      <c r="C988" s="440" t="s">
        <v>248</v>
      </c>
      <c r="D988" s="440" t="s">
        <v>440</v>
      </c>
      <c r="E988" s="440" t="s">
        <v>249</v>
      </c>
      <c r="F988" s="440" t="s">
        <v>42</v>
      </c>
      <c r="G988" s="441"/>
      <c r="H988" s="440" t="s">
        <v>5307</v>
      </c>
      <c r="I988" s="441"/>
      <c r="J988" s="450">
        <v>45748</v>
      </c>
      <c r="K988" s="429" t="s">
        <v>2493</v>
      </c>
      <c r="L988" s="444" t="s">
        <v>5308</v>
      </c>
      <c r="M988" s="444" t="s">
        <v>5308</v>
      </c>
      <c r="N988" s="441"/>
      <c r="O988" s="445"/>
      <c r="P988" s="441"/>
      <c r="Q988" s="445">
        <v>154</v>
      </c>
      <c r="R988" s="445" t="s">
        <v>5309</v>
      </c>
      <c r="S988" s="446">
        <v>45826</v>
      </c>
      <c r="T988" s="446"/>
      <c r="U988" s="446"/>
      <c r="V988" s="447"/>
      <c r="W988" s="447">
        <v>45779</v>
      </c>
      <c r="X988" s="447" t="s">
        <v>8044</v>
      </c>
      <c r="Y988" s="420"/>
      <c r="Z988" s="224" t="str">
        <f t="shared" si="90"/>
        <v>AG. MEDIÇÃO</v>
      </c>
      <c r="AA988" s="207" t="str">
        <f t="shared" si="91"/>
        <v>ENTREGUE</v>
      </c>
      <c r="AB988" s="207" t="str">
        <f t="shared" si="92"/>
        <v>AG. MEDIÇÃO</v>
      </c>
      <c r="AC988" s="156" t="str">
        <f t="shared" ca="1" si="93"/>
        <v>DATA ENTRADA</v>
      </c>
      <c r="AD988" s="156" t="str">
        <f t="shared" ca="1" si="94"/>
        <v>ATRASADO</v>
      </c>
      <c r="AE988" s="156" t="str">
        <f t="shared" ca="1" si="95"/>
        <v>DATA ENTRADA</v>
      </c>
    </row>
    <row r="989" spans="1:31" ht="36" hidden="1" customHeight="1">
      <c r="A989" s="414"/>
      <c r="B989" s="440" t="s">
        <v>5033</v>
      </c>
      <c r="C989" s="440" t="s">
        <v>248</v>
      </c>
      <c r="D989" s="440" t="s">
        <v>440</v>
      </c>
      <c r="E989" s="440" t="s">
        <v>249</v>
      </c>
      <c r="F989" s="440" t="s">
        <v>42</v>
      </c>
      <c r="G989" s="441"/>
      <c r="H989" s="440" t="s">
        <v>5034</v>
      </c>
      <c r="I989" s="441" t="s">
        <v>5035</v>
      </c>
      <c r="J989" s="450">
        <v>45717</v>
      </c>
      <c r="K989" s="429" t="s">
        <v>2493</v>
      </c>
      <c r="L989" s="444" t="s">
        <v>77</v>
      </c>
      <c r="M989" s="444" t="s">
        <v>62</v>
      </c>
      <c r="N989" s="441" t="s">
        <v>2572</v>
      </c>
      <c r="O989" s="445" t="s">
        <v>85</v>
      </c>
      <c r="P989" s="441">
        <v>1100</v>
      </c>
      <c r="Q989" s="445">
        <v>1450</v>
      </c>
      <c r="R989" s="445" t="s">
        <v>5036</v>
      </c>
      <c r="S989" s="446">
        <v>45785</v>
      </c>
      <c r="T989" s="446">
        <v>45741</v>
      </c>
      <c r="U989" s="446">
        <v>45742</v>
      </c>
      <c r="V989" s="447">
        <v>45743</v>
      </c>
      <c r="W989" s="447">
        <v>45751</v>
      </c>
      <c r="X989" s="447" t="s">
        <v>8044</v>
      </c>
      <c r="Y989" s="420"/>
      <c r="Z989" s="224" t="str">
        <f t="shared" si="90"/>
        <v>AG. MEDIÇÃO</v>
      </c>
      <c r="AA989" s="207" t="str">
        <f t="shared" si="91"/>
        <v>ENTREGUE</v>
      </c>
      <c r="AB989" s="207" t="str">
        <f t="shared" si="92"/>
        <v>AG. MEDIÇÃO</v>
      </c>
      <c r="AC989" s="156">
        <f t="shared" ca="1" si="93"/>
        <v>8</v>
      </c>
      <c r="AD989" s="156" t="str">
        <f t="shared" ca="1" si="94"/>
        <v>ATRASADO</v>
      </c>
      <c r="AE989" s="156">
        <f t="shared" ca="1" si="95"/>
        <v>5</v>
      </c>
    </row>
    <row r="990" spans="1:31" ht="36" hidden="1" customHeight="1">
      <c r="A990" s="414"/>
      <c r="B990" s="440" t="s">
        <v>5054</v>
      </c>
      <c r="C990" s="440" t="s">
        <v>248</v>
      </c>
      <c r="D990" s="440" t="s">
        <v>440</v>
      </c>
      <c r="E990" s="440" t="s">
        <v>249</v>
      </c>
      <c r="F990" s="440" t="s">
        <v>42</v>
      </c>
      <c r="G990" s="441" t="s">
        <v>5055</v>
      </c>
      <c r="H990" s="440" t="s">
        <v>5056</v>
      </c>
      <c r="I990" s="441" t="s">
        <v>5057</v>
      </c>
      <c r="J990" s="450">
        <v>45717</v>
      </c>
      <c r="K990" s="429" t="s">
        <v>2493</v>
      </c>
      <c r="L990" s="444"/>
      <c r="M990" s="444" t="s">
        <v>62</v>
      </c>
      <c r="N990" s="441" t="s">
        <v>2572</v>
      </c>
      <c r="O990" s="445" t="s">
        <v>85</v>
      </c>
      <c r="P990" s="441" t="s">
        <v>2494</v>
      </c>
      <c r="Q990" s="445" t="s">
        <v>2494</v>
      </c>
      <c r="R990" s="445" t="s">
        <v>5058</v>
      </c>
      <c r="S990" s="446">
        <v>45785</v>
      </c>
      <c r="T990" s="446">
        <v>45743</v>
      </c>
      <c r="U990" s="446">
        <v>45744</v>
      </c>
      <c r="V990" s="447">
        <v>45745</v>
      </c>
      <c r="W990" s="447">
        <v>45751</v>
      </c>
      <c r="X990" s="447" t="s">
        <v>8044</v>
      </c>
      <c r="Y990" s="420"/>
      <c r="Z990" s="224" t="str">
        <f t="shared" si="90"/>
        <v>AG. MEDIÇÃO</v>
      </c>
      <c r="AA990" s="207" t="str">
        <f t="shared" si="91"/>
        <v>ENTREGUE</v>
      </c>
      <c r="AB990" s="207" t="str">
        <f t="shared" si="92"/>
        <v>AG. MEDIÇÃO</v>
      </c>
      <c r="AC990" s="156">
        <f t="shared" ca="1" si="93"/>
        <v>6</v>
      </c>
      <c r="AD990" s="156" t="str">
        <f t="shared" ca="1" si="94"/>
        <v>ATRASADO</v>
      </c>
      <c r="AE990" s="156">
        <f t="shared" ca="1" si="95"/>
        <v>3</v>
      </c>
    </row>
    <row r="991" spans="1:31" ht="36" hidden="1" customHeight="1">
      <c r="A991" s="414"/>
      <c r="B991" s="440" t="s">
        <v>4461</v>
      </c>
      <c r="C991" s="440" t="s">
        <v>4462</v>
      </c>
      <c r="D991" s="440"/>
      <c r="E991" s="440" t="s">
        <v>1438</v>
      </c>
      <c r="F991" s="440" t="s">
        <v>2559</v>
      </c>
      <c r="G991" s="441" t="s">
        <v>3348</v>
      </c>
      <c r="H991" s="440" t="s">
        <v>4463</v>
      </c>
      <c r="I991" s="441" t="s">
        <v>4464</v>
      </c>
      <c r="J991" s="450">
        <v>45536</v>
      </c>
      <c r="K991" s="429" t="s">
        <v>2493</v>
      </c>
      <c r="L991" s="444" t="s">
        <v>1319</v>
      </c>
      <c r="M991" s="444" t="s">
        <v>774</v>
      </c>
      <c r="N991" s="441" t="s">
        <v>2572</v>
      </c>
      <c r="O991" s="445" t="s">
        <v>85</v>
      </c>
      <c r="P991" s="445">
        <v>800</v>
      </c>
      <c r="Q991" s="445">
        <v>859</v>
      </c>
      <c r="R991" s="445" t="s">
        <v>4465</v>
      </c>
      <c r="S991" s="446">
        <v>45555</v>
      </c>
      <c r="T991" s="446"/>
      <c r="U991" s="446"/>
      <c r="V991" s="447"/>
      <c r="W991" s="447">
        <v>45554</v>
      </c>
      <c r="X991" s="447" t="s">
        <v>8044</v>
      </c>
      <c r="Y991" s="420"/>
      <c r="Z991" s="224" t="str">
        <f t="shared" si="90"/>
        <v>AG. MEDIÇÃO</v>
      </c>
      <c r="AA991" s="207" t="str">
        <f t="shared" si="91"/>
        <v>ENTREGUE</v>
      </c>
      <c r="AB991" s="207" t="str">
        <f t="shared" si="92"/>
        <v>AG. MEDIÇÃO</v>
      </c>
      <c r="AC991" s="156" t="str">
        <f t="shared" ca="1" si="93"/>
        <v>DATA ENTRADA</v>
      </c>
      <c r="AD991" s="156" t="str">
        <f t="shared" ca="1" si="94"/>
        <v>ATRASADO</v>
      </c>
      <c r="AE991" s="156" t="str">
        <f t="shared" ca="1" si="95"/>
        <v>DATA ENTRADA</v>
      </c>
    </row>
    <row r="992" spans="1:31" ht="36" hidden="1" customHeight="1">
      <c r="A992" s="414"/>
      <c r="B992" s="429" t="s">
        <v>8264</v>
      </c>
      <c r="C992" s="429" t="s">
        <v>241</v>
      </c>
      <c r="D992" s="429" t="s">
        <v>8265</v>
      </c>
      <c r="E992" s="429" t="s">
        <v>242</v>
      </c>
      <c r="F992" s="429" t="s">
        <v>42</v>
      </c>
      <c r="G992" s="567" t="s">
        <v>8261</v>
      </c>
      <c r="H992" s="562" t="s">
        <v>8262</v>
      </c>
      <c r="I992" s="562" t="s">
        <v>8263</v>
      </c>
      <c r="J992" s="432">
        <v>46235</v>
      </c>
      <c r="K992" s="429" t="s">
        <v>2493</v>
      </c>
      <c r="L992" s="436"/>
      <c r="M992" s="436" t="s">
        <v>8257</v>
      </c>
      <c r="N992" s="437"/>
      <c r="O992" s="437" t="s">
        <v>85</v>
      </c>
      <c r="P992" s="436" t="s">
        <v>2494</v>
      </c>
      <c r="Q992" s="436" t="s">
        <v>2494</v>
      </c>
      <c r="R992" s="499" t="s">
        <v>8468</v>
      </c>
      <c r="S992" s="438">
        <v>46261</v>
      </c>
      <c r="T992" s="438">
        <v>46238</v>
      </c>
      <c r="U992" s="438"/>
      <c r="V992" s="438"/>
      <c r="W992" s="438">
        <v>46239</v>
      </c>
      <c r="X992" s="439">
        <v>46261</v>
      </c>
      <c r="Y992" s="420"/>
      <c r="Z992" s="224" t="str">
        <f t="shared" si="90"/>
        <v>AG. MEDIÇÃO</v>
      </c>
      <c r="AA992" s="207" t="str">
        <f t="shared" si="91"/>
        <v>ENTREGUE</v>
      </c>
      <c r="AB992" s="207" t="str">
        <f t="shared" si="92"/>
        <v>AG. MEDIÇÃO</v>
      </c>
      <c r="AC992" s="156">
        <f t="shared" ca="1" si="93"/>
        <v>1</v>
      </c>
      <c r="AD992" s="156" t="str">
        <f t="shared" ca="1" si="94"/>
        <v>NO PRAZO</v>
      </c>
      <c r="AE992" s="156">
        <f t="shared" ca="1" si="95"/>
        <v>-2</v>
      </c>
    </row>
    <row r="993" spans="1:31" ht="36" hidden="1" customHeight="1">
      <c r="A993" s="414"/>
      <c r="B993" s="440" t="s">
        <v>4910</v>
      </c>
      <c r="C993" s="440" t="s">
        <v>373</v>
      </c>
      <c r="D993" s="440" t="s">
        <v>691</v>
      </c>
      <c r="E993" s="440" t="s">
        <v>374</v>
      </c>
      <c r="F993" s="440" t="s">
        <v>42</v>
      </c>
      <c r="G993" s="441" t="s">
        <v>4911</v>
      </c>
      <c r="H993" s="440" t="s">
        <v>4912</v>
      </c>
      <c r="I993" s="441" t="s">
        <v>4913</v>
      </c>
      <c r="J993" s="450">
        <v>45717</v>
      </c>
      <c r="K993" s="429" t="s">
        <v>2493</v>
      </c>
      <c r="L993" s="444" t="s">
        <v>1478</v>
      </c>
      <c r="M993" s="444" t="s">
        <v>1478</v>
      </c>
      <c r="N993" s="441"/>
      <c r="O993" s="445"/>
      <c r="P993" s="441">
        <v>205</v>
      </c>
      <c r="Q993" s="445">
        <v>160</v>
      </c>
      <c r="R993" s="445" t="s">
        <v>4914</v>
      </c>
      <c r="S993" s="446">
        <v>45734</v>
      </c>
      <c r="T993" s="446">
        <v>45727</v>
      </c>
      <c r="U993" s="446">
        <v>45728</v>
      </c>
      <c r="V993" s="447">
        <v>45728</v>
      </c>
      <c r="W993" s="447">
        <v>45728</v>
      </c>
      <c r="X993" s="447" t="s">
        <v>8044</v>
      </c>
      <c r="Y993" s="420"/>
      <c r="Z993" s="224" t="str">
        <f t="shared" si="90"/>
        <v>AG. MEDIÇÃO</v>
      </c>
      <c r="AA993" s="207" t="str">
        <f t="shared" si="91"/>
        <v>ENTREGUE</v>
      </c>
      <c r="AB993" s="207" t="str">
        <f t="shared" si="92"/>
        <v>AG. MEDIÇÃO</v>
      </c>
      <c r="AC993" s="156">
        <f t="shared" ca="1" si="93"/>
        <v>1</v>
      </c>
      <c r="AD993" s="156" t="str">
        <f t="shared" ca="1" si="94"/>
        <v>NO PRAZO</v>
      </c>
      <c r="AE993" s="156">
        <f t="shared" ca="1" si="95"/>
        <v>-2</v>
      </c>
    </row>
    <row r="994" spans="1:31" ht="36" hidden="1" customHeight="1">
      <c r="A994" s="414"/>
      <c r="B994" s="440" t="s">
        <v>3456</v>
      </c>
      <c r="C994" s="440" t="s">
        <v>232</v>
      </c>
      <c r="D994" s="440"/>
      <c r="E994" s="440"/>
      <c r="F994" s="440" t="s">
        <v>42</v>
      </c>
      <c r="G994" s="441" t="s">
        <v>3457</v>
      </c>
      <c r="H994" s="440" t="s">
        <v>3458</v>
      </c>
      <c r="I994" s="441"/>
      <c r="J994" s="450">
        <v>45352</v>
      </c>
      <c r="K994" s="429" t="s">
        <v>2493</v>
      </c>
      <c r="L994" s="444"/>
      <c r="M994" s="444" t="s">
        <v>714</v>
      </c>
      <c r="N994" s="441" t="s">
        <v>2572</v>
      </c>
      <c r="O994" s="445" t="s">
        <v>85</v>
      </c>
      <c r="P994" s="441" t="s">
        <v>2494</v>
      </c>
      <c r="Q994" s="441" t="s">
        <v>2494</v>
      </c>
      <c r="R994" s="445" t="s">
        <v>3459</v>
      </c>
      <c r="S994" s="446">
        <v>45377</v>
      </c>
      <c r="T994" s="446">
        <v>45362</v>
      </c>
      <c r="U994" s="446"/>
      <c r="V994" s="446">
        <v>45363</v>
      </c>
      <c r="W994" s="447">
        <v>45369</v>
      </c>
      <c r="X994" s="447" t="s">
        <v>8044</v>
      </c>
      <c r="Y994" s="420"/>
      <c r="Z994" s="224" t="str">
        <f t="shared" si="90"/>
        <v>AG. MEDIÇÃO</v>
      </c>
      <c r="AA994" s="207" t="str">
        <f t="shared" si="91"/>
        <v>ENTREGUE</v>
      </c>
      <c r="AB994" s="207" t="str">
        <f t="shared" si="92"/>
        <v>AG. MEDIÇÃO</v>
      </c>
      <c r="AC994" s="156">
        <f t="shared" ca="1" si="93"/>
        <v>5</v>
      </c>
      <c r="AD994" s="156" t="str">
        <f t="shared" ca="1" si="94"/>
        <v>ATRASADO</v>
      </c>
      <c r="AE994" s="156">
        <f t="shared" ca="1" si="95"/>
        <v>2</v>
      </c>
    </row>
    <row r="995" spans="1:31" ht="36" hidden="1" customHeight="1">
      <c r="A995" s="414"/>
      <c r="B995" s="440" t="s">
        <v>2785</v>
      </c>
      <c r="C995" s="440" t="s">
        <v>241</v>
      </c>
      <c r="D995" s="440"/>
      <c r="E995" s="440"/>
      <c r="F995" s="440" t="s">
        <v>42</v>
      </c>
      <c r="G995" s="441" t="s">
        <v>2786</v>
      </c>
      <c r="H995" s="440" t="s">
        <v>2787</v>
      </c>
      <c r="I995" s="449"/>
      <c r="J995" s="443">
        <v>44986</v>
      </c>
      <c r="K995" s="429" t="s">
        <v>2493</v>
      </c>
      <c r="L995" s="444"/>
      <c r="M995" s="444" t="s">
        <v>2788</v>
      </c>
      <c r="N995" s="441" t="s">
        <v>2572</v>
      </c>
      <c r="O995" s="441"/>
      <c r="P995" s="441" t="s">
        <v>2494</v>
      </c>
      <c r="Q995" s="441" t="s">
        <v>2494</v>
      </c>
      <c r="R995" s="444" t="s">
        <v>2789</v>
      </c>
      <c r="S995" s="446">
        <v>45084</v>
      </c>
      <c r="T995" s="446">
        <v>44974</v>
      </c>
      <c r="U995" s="446">
        <v>44995</v>
      </c>
      <c r="V995" s="447">
        <v>44999</v>
      </c>
      <c r="W995" s="447">
        <v>44999</v>
      </c>
      <c r="X995" s="447" t="s">
        <v>8044</v>
      </c>
      <c r="Y995" s="420"/>
      <c r="Z995" s="224" t="str">
        <f t="shared" si="90"/>
        <v>AG. MEDIÇÃO</v>
      </c>
      <c r="AA995" s="207" t="str">
        <f t="shared" si="91"/>
        <v>ENTREGUE</v>
      </c>
      <c r="AB995" s="207" t="str">
        <f t="shared" si="92"/>
        <v>AG. MEDIÇÃO</v>
      </c>
      <c r="AC995" s="156">
        <f t="shared" ca="1" si="93"/>
        <v>17</v>
      </c>
      <c r="AD995" s="156" t="str">
        <f t="shared" ca="1" si="94"/>
        <v>ATRASADO</v>
      </c>
      <c r="AE995" s="156">
        <f t="shared" ca="1" si="95"/>
        <v>14</v>
      </c>
    </row>
    <row r="996" spans="1:31" ht="36" hidden="1" customHeight="1">
      <c r="A996" s="414"/>
      <c r="B996" s="440" t="s">
        <v>2640</v>
      </c>
      <c r="C996" s="440" t="s">
        <v>399</v>
      </c>
      <c r="D996" s="440"/>
      <c r="E996" s="440"/>
      <c r="F996" s="440" t="s">
        <v>42</v>
      </c>
      <c r="G996" s="441" t="s">
        <v>2641</v>
      </c>
      <c r="H996" s="440" t="s">
        <v>2642</v>
      </c>
      <c r="I996" s="442"/>
      <c r="J996" s="443">
        <v>44927</v>
      </c>
      <c r="K996" s="429" t="s">
        <v>2493</v>
      </c>
      <c r="L996" s="444"/>
      <c r="M996" s="444" t="s">
        <v>1155</v>
      </c>
      <c r="N996" s="441" t="s">
        <v>2572</v>
      </c>
      <c r="O996" s="445"/>
      <c r="P996" s="441" t="s">
        <v>2494</v>
      </c>
      <c r="Q996" s="441" t="s">
        <v>2494</v>
      </c>
      <c r="R996" s="444" t="s">
        <v>2574</v>
      </c>
      <c r="S996" s="446" t="s">
        <v>288</v>
      </c>
      <c r="T996" s="446">
        <v>44928</v>
      </c>
      <c r="U996" s="446">
        <v>44928</v>
      </c>
      <c r="V996" s="447">
        <v>44942</v>
      </c>
      <c r="W996" s="447">
        <v>44942</v>
      </c>
      <c r="X996" s="447" t="s">
        <v>8044</v>
      </c>
      <c r="Y996" s="420"/>
      <c r="Z996" s="224" t="str">
        <f t="shared" si="90"/>
        <v>AG. MEDIÇÃO</v>
      </c>
      <c r="AA996" s="207" t="str">
        <f t="shared" si="91"/>
        <v>ENTREGUE</v>
      </c>
      <c r="AB996" s="207" t="str">
        <f t="shared" si="92"/>
        <v>AG. MEDIÇÃO</v>
      </c>
      <c r="AC996" s="156">
        <f t="shared" ca="1" si="93"/>
        <v>10</v>
      </c>
      <c r="AD996" s="156" t="str">
        <f t="shared" ca="1" si="94"/>
        <v>ATRASADO</v>
      </c>
      <c r="AE996" s="156">
        <f t="shared" ca="1" si="95"/>
        <v>7</v>
      </c>
    </row>
    <row r="997" spans="1:31" ht="36" hidden="1" customHeight="1">
      <c r="A997" s="414"/>
      <c r="B997" s="429" t="s">
        <v>7430</v>
      </c>
      <c r="C997" s="429" t="s">
        <v>949</v>
      </c>
      <c r="D997" s="429"/>
      <c r="E997" s="429"/>
      <c r="F997" s="429" t="s">
        <v>427</v>
      </c>
      <c r="G997" s="433"/>
      <c r="H997" s="652" t="s">
        <v>7408</v>
      </c>
      <c r="I997" s="433" t="s">
        <v>7409</v>
      </c>
      <c r="J997" s="432">
        <v>46143</v>
      </c>
      <c r="K997" s="429" t="s">
        <v>2493</v>
      </c>
      <c r="L997" s="436" t="s">
        <v>124</v>
      </c>
      <c r="M997" s="436" t="s">
        <v>50</v>
      </c>
      <c r="N997" s="433"/>
      <c r="O997" s="439"/>
      <c r="P997" s="433">
        <v>650</v>
      </c>
      <c r="Q997" s="437">
        <v>699</v>
      </c>
      <c r="R997" s="437" t="s">
        <v>7600</v>
      </c>
      <c r="S997" s="438">
        <v>46149</v>
      </c>
      <c r="T997" s="438">
        <v>46146</v>
      </c>
      <c r="U997" s="438"/>
      <c r="V997" s="439"/>
      <c r="W997" s="439">
        <v>46147</v>
      </c>
      <c r="X997" s="439">
        <v>46149</v>
      </c>
      <c r="Y997" s="420"/>
      <c r="Z997" s="224" t="str">
        <f t="shared" si="90"/>
        <v>AG. MEDIÇÃO</v>
      </c>
      <c r="AA997" s="207" t="str">
        <f t="shared" si="91"/>
        <v>ENTREGUE</v>
      </c>
      <c r="AB997" s="207" t="str">
        <f t="shared" si="92"/>
        <v>AG. MEDIÇÃO</v>
      </c>
      <c r="AC997" s="156">
        <f t="shared" ca="1" si="93"/>
        <v>1</v>
      </c>
      <c r="AD997" s="156" t="str">
        <f t="shared" ca="1" si="94"/>
        <v>NO PRAZO</v>
      </c>
      <c r="AE997" s="156">
        <f t="shared" ca="1" si="95"/>
        <v>-2</v>
      </c>
    </row>
    <row r="998" spans="1:31" ht="36" hidden="1" customHeight="1">
      <c r="A998" s="414"/>
      <c r="B998" s="429" t="s">
        <v>7918</v>
      </c>
      <c r="C998" s="429" t="s">
        <v>949</v>
      </c>
      <c r="D998" s="429"/>
      <c r="E998" s="429"/>
      <c r="F998" s="429" t="s">
        <v>427</v>
      </c>
      <c r="G998" s="433"/>
      <c r="H998" s="429" t="s">
        <v>7942</v>
      </c>
      <c r="I998" s="433" t="s">
        <v>7944</v>
      </c>
      <c r="J998" s="432">
        <v>46174</v>
      </c>
      <c r="K998" s="429" t="s">
        <v>2493</v>
      </c>
      <c r="L998" s="436" t="s">
        <v>124</v>
      </c>
      <c r="M998" s="436" t="s">
        <v>7943</v>
      </c>
      <c r="N998" s="437"/>
      <c r="O998" s="437" t="s">
        <v>85</v>
      </c>
      <c r="P998" s="437">
        <v>355</v>
      </c>
      <c r="Q998" s="433">
        <v>436</v>
      </c>
      <c r="R998" s="499" t="s">
        <v>8369</v>
      </c>
      <c r="S998" s="438">
        <v>46247</v>
      </c>
      <c r="T998" s="438">
        <v>46182</v>
      </c>
      <c r="U998" s="438"/>
      <c r="V998" s="438"/>
      <c r="W998" s="439">
        <v>46185</v>
      </c>
      <c r="X998" s="439">
        <v>46247</v>
      </c>
      <c r="Y998" s="420"/>
      <c r="Z998" s="224" t="str">
        <f t="shared" si="90"/>
        <v>AG. MEDIÇÃO</v>
      </c>
      <c r="AA998" s="207" t="str">
        <f t="shared" si="91"/>
        <v>ENTREGUE</v>
      </c>
      <c r="AB998" s="207" t="str">
        <f t="shared" si="92"/>
        <v>AG. MEDIÇÃO</v>
      </c>
      <c r="AC998" s="156">
        <f t="shared" ca="1" si="93"/>
        <v>3</v>
      </c>
      <c r="AD998" s="156" t="str">
        <f t="shared" ca="1" si="94"/>
        <v>NO PRAZO</v>
      </c>
      <c r="AE998" s="156">
        <f t="shared" ca="1" si="95"/>
        <v>0</v>
      </c>
    </row>
    <row r="999" spans="1:31" ht="36" hidden="1" customHeight="1">
      <c r="A999" s="414"/>
      <c r="B999" s="440" t="s">
        <v>4553</v>
      </c>
      <c r="C999" s="440" t="s">
        <v>4554</v>
      </c>
      <c r="D999" s="440" t="s">
        <v>4554</v>
      </c>
      <c r="E999" s="440" t="s">
        <v>4555</v>
      </c>
      <c r="F999" s="440" t="s">
        <v>42</v>
      </c>
      <c r="G999" s="441" t="s">
        <v>4556</v>
      </c>
      <c r="H999" s="440" t="s">
        <v>4557</v>
      </c>
      <c r="I999" s="441" t="s">
        <v>4558</v>
      </c>
      <c r="J999" s="450">
        <v>45597</v>
      </c>
      <c r="K999" s="429" t="s">
        <v>2493</v>
      </c>
      <c r="L999" s="444" t="s">
        <v>4559</v>
      </c>
      <c r="M999" s="444" t="s">
        <v>200</v>
      </c>
      <c r="N999" s="441" t="s">
        <v>2572</v>
      </c>
      <c r="O999" s="445" t="s">
        <v>4560</v>
      </c>
      <c r="P999" s="445"/>
      <c r="Q999" s="445">
        <v>979</v>
      </c>
      <c r="R999" s="445" t="s">
        <v>4561</v>
      </c>
      <c r="S999" s="446">
        <v>45649</v>
      </c>
      <c r="T999" s="446">
        <v>45603</v>
      </c>
      <c r="U999" s="446">
        <v>45632</v>
      </c>
      <c r="V999" s="447"/>
      <c r="W999" s="447">
        <v>45642</v>
      </c>
      <c r="X999" s="447" t="s">
        <v>8044</v>
      </c>
      <c r="Y999" s="420"/>
      <c r="Z999" s="224" t="str">
        <f t="shared" si="90"/>
        <v>AG. MEDIÇÃO</v>
      </c>
      <c r="AA999" s="207" t="str">
        <f t="shared" si="91"/>
        <v>ENTREGUE</v>
      </c>
      <c r="AB999" s="207" t="str">
        <f t="shared" si="92"/>
        <v>AG. MEDIÇÃO</v>
      </c>
      <c r="AC999" s="156">
        <f t="shared" ca="1" si="93"/>
        <v>27</v>
      </c>
      <c r="AD999" s="156" t="str">
        <f t="shared" ca="1" si="94"/>
        <v>ATRASADO</v>
      </c>
      <c r="AE999" s="156">
        <f t="shared" ca="1" si="95"/>
        <v>24</v>
      </c>
    </row>
    <row r="1000" spans="1:31" ht="36" hidden="1" customHeight="1">
      <c r="A1000" s="414"/>
      <c r="B1000" s="440" t="s">
        <v>5220</v>
      </c>
      <c r="C1000" s="440" t="s">
        <v>248</v>
      </c>
      <c r="D1000" s="440" t="s">
        <v>440</v>
      </c>
      <c r="E1000" s="440" t="s">
        <v>249</v>
      </c>
      <c r="F1000" s="440" t="s">
        <v>42</v>
      </c>
      <c r="G1000" s="441"/>
      <c r="H1000" s="440" t="s">
        <v>5221</v>
      </c>
      <c r="I1000" s="441" t="s">
        <v>5222</v>
      </c>
      <c r="J1000" s="450">
        <v>45778</v>
      </c>
      <c r="K1000" s="429" t="s">
        <v>2493</v>
      </c>
      <c r="L1000" s="444" t="s">
        <v>1854</v>
      </c>
      <c r="M1000" s="465" t="s">
        <v>259</v>
      </c>
      <c r="N1000" s="441"/>
      <c r="O1000" s="445"/>
      <c r="P1000" s="441"/>
      <c r="Q1000" s="445">
        <v>600</v>
      </c>
      <c r="R1000" s="445" t="s">
        <v>5223</v>
      </c>
      <c r="S1000" s="446">
        <v>45826</v>
      </c>
      <c r="T1000" s="446">
        <v>45793</v>
      </c>
      <c r="U1000" s="446"/>
      <c r="V1000" s="447"/>
      <c r="W1000" s="447">
        <v>45793</v>
      </c>
      <c r="X1000" s="447" t="s">
        <v>8044</v>
      </c>
      <c r="Y1000" s="420"/>
      <c r="Z1000" s="224" t="str">
        <f t="shared" si="90"/>
        <v>AG. MEDIÇÃO</v>
      </c>
      <c r="AA1000" s="207" t="str">
        <f t="shared" si="91"/>
        <v>ENTREGUE</v>
      </c>
      <c r="AB1000" s="207" t="str">
        <f t="shared" si="92"/>
        <v>AG. MEDIÇÃO</v>
      </c>
      <c r="AC1000" s="156">
        <f t="shared" ca="1" si="93"/>
        <v>0</v>
      </c>
      <c r="AD1000" s="156" t="str">
        <f t="shared" ca="1" si="94"/>
        <v>NO PRAZO</v>
      </c>
      <c r="AE1000" s="156">
        <f t="shared" ca="1" si="95"/>
        <v>-3</v>
      </c>
    </row>
    <row r="1001" spans="1:31" ht="36" hidden="1" customHeight="1">
      <c r="A1001" s="414"/>
      <c r="B1001" s="440" t="s">
        <v>4708</v>
      </c>
      <c r="C1001" s="440" t="s">
        <v>425</v>
      </c>
      <c r="D1001" s="440" t="s">
        <v>2531</v>
      </c>
      <c r="E1001" s="440" t="s">
        <v>4709</v>
      </c>
      <c r="F1001" s="440" t="s">
        <v>4710</v>
      </c>
      <c r="G1001" s="441" t="s">
        <v>4711</v>
      </c>
      <c r="H1001" s="440" t="s">
        <v>4712</v>
      </c>
      <c r="I1001" s="441" t="s">
        <v>4713</v>
      </c>
      <c r="J1001" s="450">
        <v>45658</v>
      </c>
      <c r="K1001" s="429" t="s">
        <v>2493</v>
      </c>
      <c r="L1001" s="444" t="s">
        <v>1478</v>
      </c>
      <c r="M1001" s="444" t="s">
        <v>1478</v>
      </c>
      <c r="N1001" s="441" t="s">
        <v>2572</v>
      </c>
      <c r="O1001" s="445" t="s">
        <v>4560</v>
      </c>
      <c r="P1001" s="445">
        <v>200</v>
      </c>
      <c r="Q1001" s="445">
        <v>160</v>
      </c>
      <c r="R1001" s="445" t="s">
        <v>4714</v>
      </c>
      <c r="S1001" s="446">
        <v>45698</v>
      </c>
      <c r="T1001" s="446">
        <v>45671</v>
      </c>
      <c r="U1001" s="446">
        <v>45307</v>
      </c>
      <c r="V1001" s="447">
        <v>45673</v>
      </c>
      <c r="W1001" s="447">
        <v>45673</v>
      </c>
      <c r="X1001" s="447" t="s">
        <v>8044</v>
      </c>
      <c r="Y1001" s="420"/>
      <c r="Z1001" s="224" t="str">
        <f t="shared" si="90"/>
        <v>AG. MEDIÇÃO</v>
      </c>
      <c r="AA1001" s="207" t="str">
        <f t="shared" si="91"/>
        <v>ENTREGUE</v>
      </c>
      <c r="AB1001" s="207" t="str">
        <f t="shared" si="92"/>
        <v>AG. MEDIÇÃO</v>
      </c>
      <c r="AC1001" s="156">
        <f t="shared" ca="1" si="93"/>
        <v>2</v>
      </c>
      <c r="AD1001" s="156" t="str">
        <f t="shared" ca="1" si="94"/>
        <v>NO PRAZO</v>
      </c>
      <c r="AE1001" s="156">
        <f t="shared" ca="1" si="95"/>
        <v>-1</v>
      </c>
    </row>
    <row r="1002" spans="1:31" ht="36" hidden="1" customHeight="1">
      <c r="A1002" s="414"/>
      <c r="B1002" s="440" t="s">
        <v>3543</v>
      </c>
      <c r="C1002" s="440" t="s">
        <v>298</v>
      </c>
      <c r="D1002" s="440"/>
      <c r="E1002" s="440"/>
      <c r="F1002" s="440" t="s">
        <v>42</v>
      </c>
      <c r="G1002" s="441" t="s">
        <v>3544</v>
      </c>
      <c r="H1002" s="440" t="s">
        <v>3545</v>
      </c>
      <c r="I1002" s="441"/>
      <c r="J1002" s="450">
        <v>45352</v>
      </c>
      <c r="K1002" s="429" t="s">
        <v>2493</v>
      </c>
      <c r="L1002" s="444" t="s">
        <v>3546</v>
      </c>
      <c r="M1002" s="444" t="s">
        <v>714</v>
      </c>
      <c r="N1002" s="441" t="s">
        <v>2572</v>
      </c>
      <c r="O1002" s="445" t="s">
        <v>85</v>
      </c>
      <c r="P1002" s="445"/>
      <c r="Q1002" s="441">
        <v>647</v>
      </c>
      <c r="R1002" s="445" t="s">
        <v>3547</v>
      </c>
      <c r="S1002" s="446">
        <v>45405</v>
      </c>
      <c r="T1002" s="446">
        <v>45379</v>
      </c>
      <c r="U1002" s="446">
        <v>45384</v>
      </c>
      <c r="V1002" s="446">
        <v>45392</v>
      </c>
      <c r="W1002" s="447">
        <v>45392</v>
      </c>
      <c r="X1002" s="447" t="s">
        <v>8044</v>
      </c>
      <c r="Y1002" s="420"/>
      <c r="Z1002" s="224" t="str">
        <f t="shared" si="90"/>
        <v>AG. MEDIÇÃO</v>
      </c>
      <c r="AA1002" s="207" t="str">
        <f t="shared" si="91"/>
        <v>ENTREGUE</v>
      </c>
      <c r="AB1002" s="207" t="str">
        <f t="shared" si="92"/>
        <v>AG. MEDIÇÃO</v>
      </c>
      <c r="AC1002" s="156">
        <f t="shared" ca="1" si="93"/>
        <v>9</v>
      </c>
      <c r="AD1002" s="156" t="str">
        <f t="shared" ca="1" si="94"/>
        <v>ATRASADO</v>
      </c>
      <c r="AE1002" s="156">
        <f t="shared" ca="1" si="95"/>
        <v>6</v>
      </c>
    </row>
    <row r="1003" spans="1:31" ht="36" hidden="1" customHeight="1">
      <c r="A1003" s="414"/>
      <c r="B1003" s="440" t="s">
        <v>2866</v>
      </c>
      <c r="C1003" s="440" t="s">
        <v>616</v>
      </c>
      <c r="D1003" s="440"/>
      <c r="E1003" s="440"/>
      <c r="F1003" s="440" t="s">
        <v>42</v>
      </c>
      <c r="G1003" s="441" t="s">
        <v>2867</v>
      </c>
      <c r="H1003" s="440" t="s">
        <v>2868</v>
      </c>
      <c r="I1003" s="449"/>
      <c r="J1003" s="443">
        <v>45017</v>
      </c>
      <c r="K1003" s="429" t="s">
        <v>2493</v>
      </c>
      <c r="L1003" s="444" t="s">
        <v>689</v>
      </c>
      <c r="M1003" s="444" t="s">
        <v>646</v>
      </c>
      <c r="N1003" s="441" t="s">
        <v>2572</v>
      </c>
      <c r="O1003" s="445" t="s">
        <v>2573</v>
      </c>
      <c r="P1003" s="445"/>
      <c r="Q1003" s="441">
        <v>199</v>
      </c>
      <c r="R1003" s="445" t="s">
        <v>2869</v>
      </c>
      <c r="S1003" s="446">
        <v>45118</v>
      </c>
      <c r="T1003" s="446">
        <v>45020</v>
      </c>
      <c r="U1003" s="446">
        <v>45027</v>
      </c>
      <c r="V1003" s="446">
        <v>45033</v>
      </c>
      <c r="W1003" s="447">
        <v>45033</v>
      </c>
      <c r="X1003" s="447" t="s">
        <v>8044</v>
      </c>
      <c r="Y1003" s="420"/>
      <c r="Z1003" s="224" t="str">
        <f t="shared" si="90"/>
        <v>AG. MEDIÇÃO</v>
      </c>
      <c r="AA1003" s="207" t="str">
        <f t="shared" si="91"/>
        <v>ENTREGUE</v>
      </c>
      <c r="AB1003" s="207" t="str">
        <f t="shared" si="92"/>
        <v>AG. MEDIÇÃO</v>
      </c>
      <c r="AC1003" s="156">
        <f t="shared" ca="1" si="93"/>
        <v>9</v>
      </c>
      <c r="AD1003" s="156" t="str">
        <f t="shared" ca="1" si="94"/>
        <v>ATRASADO</v>
      </c>
      <c r="AE1003" s="156">
        <f t="shared" ca="1" si="95"/>
        <v>6</v>
      </c>
    </row>
    <row r="1004" spans="1:31" ht="36" hidden="1" customHeight="1">
      <c r="A1004" s="414"/>
      <c r="B1004" s="440" t="s">
        <v>5808</v>
      </c>
      <c r="C1004" s="440" t="s">
        <v>989</v>
      </c>
      <c r="D1004" s="440" t="s">
        <v>5809</v>
      </c>
      <c r="E1004" s="440" t="s">
        <v>2235</v>
      </c>
      <c r="F1004" s="440" t="s">
        <v>42</v>
      </c>
      <c r="G1004" s="660"/>
      <c r="H1004" s="640" t="s">
        <v>5810</v>
      </c>
      <c r="I1004" s="660" t="s">
        <v>5811</v>
      </c>
      <c r="J1004" s="450">
        <v>45931</v>
      </c>
      <c r="K1004" s="429" t="s">
        <v>2493</v>
      </c>
      <c r="L1004" s="444" t="s">
        <v>50</v>
      </c>
      <c r="M1004" s="444" t="s">
        <v>94</v>
      </c>
      <c r="N1004" s="441"/>
      <c r="O1004" s="445"/>
      <c r="P1004" s="441"/>
      <c r="Q1004" s="445"/>
      <c r="R1004" s="445" t="s">
        <v>5812</v>
      </c>
      <c r="S1004" s="446" t="s">
        <v>5813</v>
      </c>
      <c r="T1004" s="446">
        <v>45951</v>
      </c>
      <c r="U1004" s="446"/>
      <c r="V1004" s="447"/>
      <c r="W1004" s="447">
        <v>45960</v>
      </c>
      <c r="X1004" s="447" t="s">
        <v>8044</v>
      </c>
      <c r="Y1004" s="420"/>
      <c r="Z1004" s="224" t="str">
        <f t="shared" si="90"/>
        <v>AG. MEDIÇÃO</v>
      </c>
      <c r="AA1004" s="207" t="str">
        <f t="shared" si="91"/>
        <v>ENTREGUE</v>
      </c>
      <c r="AB1004" s="207" t="str">
        <f t="shared" si="92"/>
        <v>AG. MEDIÇÃO</v>
      </c>
      <c r="AC1004" s="156">
        <f t="shared" ca="1" si="93"/>
        <v>7</v>
      </c>
      <c r="AD1004" s="156" t="str">
        <f t="shared" ca="1" si="94"/>
        <v>ATRASADO</v>
      </c>
      <c r="AE1004" s="156">
        <f t="shared" ca="1" si="95"/>
        <v>4</v>
      </c>
    </row>
    <row r="1005" spans="1:31" ht="36" hidden="1" customHeight="1">
      <c r="A1005" s="414"/>
      <c r="B1005" s="429" t="s">
        <v>8447</v>
      </c>
      <c r="C1005" s="429" t="s">
        <v>336</v>
      </c>
      <c r="D1005" s="429"/>
      <c r="E1005" s="429"/>
      <c r="F1005" s="429" t="s">
        <v>42</v>
      </c>
      <c r="G1005" s="433"/>
      <c r="H1005" s="429" t="s">
        <v>8448</v>
      </c>
      <c r="I1005" s="433" t="s">
        <v>8449</v>
      </c>
      <c r="J1005" s="599">
        <v>46235</v>
      </c>
      <c r="K1005" s="429" t="s">
        <v>2493</v>
      </c>
      <c r="L1005" s="436" t="s">
        <v>124</v>
      </c>
      <c r="M1005" s="436" t="s">
        <v>62</v>
      </c>
      <c r="N1005" s="433"/>
      <c r="O1005" s="433"/>
      <c r="P1005" s="429">
        <v>110</v>
      </c>
      <c r="Q1005" s="429">
        <v>110</v>
      </c>
      <c r="R1005" s="437"/>
      <c r="S1005" s="438"/>
      <c r="T1005" s="438">
        <v>46253</v>
      </c>
      <c r="U1005" s="438"/>
      <c r="V1005" s="438"/>
      <c r="W1005" s="439">
        <v>46256</v>
      </c>
      <c r="X1005" s="439"/>
      <c r="Y1005" s="420"/>
      <c r="Z1005" s="224" t="str">
        <f t="shared" si="90"/>
        <v>AG. RELATÓRIO</v>
      </c>
      <c r="AA1005" s="207" t="str">
        <f t="shared" si="91"/>
        <v>PENDENTE</v>
      </c>
      <c r="AB1005" s="207" t="str">
        <f t="shared" si="92"/>
        <v>AG. RELATÓRIO</v>
      </c>
      <c r="AC1005" s="156">
        <f t="shared" ca="1" si="93"/>
        <v>2</v>
      </c>
      <c r="AD1005" s="156" t="str">
        <f t="shared" ca="1" si="94"/>
        <v>NO PRAZO</v>
      </c>
      <c r="AE1005" s="156">
        <f t="shared" ca="1" si="95"/>
        <v>-1</v>
      </c>
    </row>
    <row r="1006" spans="1:31" ht="36" hidden="1" customHeight="1">
      <c r="A1006" s="414"/>
      <c r="B1006" s="440" t="s">
        <v>3208</v>
      </c>
      <c r="C1006" s="440" t="s">
        <v>248</v>
      </c>
      <c r="D1006" s="440"/>
      <c r="E1006" s="440"/>
      <c r="F1006" s="440" t="s">
        <v>817</v>
      </c>
      <c r="G1006" s="440" t="s">
        <v>3209</v>
      </c>
      <c r="H1006" s="440" t="s">
        <v>3209</v>
      </c>
      <c r="I1006" s="456"/>
      <c r="J1006" s="450">
        <v>45200</v>
      </c>
      <c r="K1006" s="429" t="s">
        <v>2493</v>
      </c>
      <c r="L1006" s="444"/>
      <c r="M1006" s="444" t="s">
        <v>774</v>
      </c>
      <c r="N1006" s="441" t="s">
        <v>2572</v>
      </c>
      <c r="O1006" s="445" t="s">
        <v>85</v>
      </c>
      <c r="P1006" s="445"/>
      <c r="Q1006" s="445">
        <v>20</v>
      </c>
      <c r="R1006" s="445" t="s">
        <v>3210</v>
      </c>
      <c r="S1006" s="446">
        <v>45250</v>
      </c>
      <c r="T1006" s="446"/>
      <c r="U1006" s="446"/>
      <c r="V1006" s="446">
        <v>45219</v>
      </c>
      <c r="W1006" s="446">
        <v>45219</v>
      </c>
      <c r="X1006" s="447" t="s">
        <v>8044</v>
      </c>
      <c r="Y1006" s="420"/>
      <c r="Z1006" s="224" t="str">
        <f t="shared" si="90"/>
        <v>AG. MEDIÇÃO</v>
      </c>
      <c r="AA1006" s="207" t="str">
        <f t="shared" si="91"/>
        <v>ENTREGUE</v>
      </c>
      <c r="AB1006" s="207" t="str">
        <f t="shared" si="92"/>
        <v>AG. MEDIÇÃO</v>
      </c>
      <c r="AC1006" s="156" t="str">
        <f t="shared" ca="1" si="93"/>
        <v>DATA ENTRADA</v>
      </c>
      <c r="AD1006" s="156" t="str">
        <f t="shared" ca="1" si="94"/>
        <v>ATRASADO</v>
      </c>
      <c r="AE1006" s="156" t="str">
        <f t="shared" ca="1" si="95"/>
        <v>DATA ENTRADA</v>
      </c>
    </row>
    <row r="1007" spans="1:31" ht="36" hidden="1" customHeight="1">
      <c r="A1007" s="414"/>
      <c r="B1007" s="440" t="s">
        <v>3652</v>
      </c>
      <c r="C1007" s="440" t="s">
        <v>232</v>
      </c>
      <c r="D1007" s="440"/>
      <c r="E1007" s="440"/>
      <c r="F1007" s="440" t="s">
        <v>42</v>
      </c>
      <c r="G1007" s="441" t="s">
        <v>3348</v>
      </c>
      <c r="H1007" s="440" t="s">
        <v>3653</v>
      </c>
      <c r="I1007" s="441"/>
      <c r="J1007" s="450">
        <v>45383</v>
      </c>
      <c r="K1007" s="429" t="s">
        <v>2493</v>
      </c>
      <c r="L1007" s="444" t="s">
        <v>3561</v>
      </c>
      <c r="M1007" s="444" t="s">
        <v>3654</v>
      </c>
      <c r="N1007" s="441" t="s">
        <v>2572</v>
      </c>
      <c r="O1007" s="445" t="s">
        <v>85</v>
      </c>
      <c r="P1007" s="445"/>
      <c r="Q1007" s="441">
        <v>119</v>
      </c>
      <c r="R1007" s="445" t="s">
        <v>3655</v>
      </c>
      <c r="S1007" s="446">
        <v>45405</v>
      </c>
      <c r="T1007" s="446">
        <v>45399</v>
      </c>
      <c r="U1007" s="446">
        <v>45399</v>
      </c>
      <c r="V1007" s="446">
        <v>45400</v>
      </c>
      <c r="W1007" s="447">
        <v>45400</v>
      </c>
      <c r="X1007" s="447" t="s">
        <v>8044</v>
      </c>
      <c r="Y1007" s="420"/>
      <c r="Z1007" s="224" t="str">
        <f t="shared" si="90"/>
        <v>AG. MEDIÇÃO</v>
      </c>
      <c r="AA1007" s="207" t="str">
        <f t="shared" si="91"/>
        <v>ENTREGUE</v>
      </c>
      <c r="AB1007" s="207" t="str">
        <f t="shared" si="92"/>
        <v>AG. MEDIÇÃO</v>
      </c>
      <c r="AC1007" s="156">
        <f t="shared" ca="1" si="93"/>
        <v>1</v>
      </c>
      <c r="AD1007" s="156" t="str">
        <f t="shared" ca="1" si="94"/>
        <v>NO PRAZO</v>
      </c>
      <c r="AE1007" s="156">
        <f t="shared" ca="1" si="95"/>
        <v>-2</v>
      </c>
    </row>
    <row r="1008" spans="1:31" ht="36" hidden="1" customHeight="1">
      <c r="A1008" s="414"/>
      <c r="B1008" s="440" t="s">
        <v>2790</v>
      </c>
      <c r="C1008" s="440" t="s">
        <v>2791</v>
      </c>
      <c r="D1008" s="440"/>
      <c r="E1008" s="440"/>
      <c r="F1008" s="440" t="s">
        <v>42</v>
      </c>
      <c r="G1008" s="441" t="s">
        <v>2792</v>
      </c>
      <c r="H1008" s="440" t="s">
        <v>2793</v>
      </c>
      <c r="I1008" s="449"/>
      <c r="J1008" s="443">
        <v>44986</v>
      </c>
      <c r="K1008" s="429" t="s">
        <v>2493</v>
      </c>
      <c r="L1008" s="444"/>
      <c r="M1008" s="444"/>
      <c r="N1008" s="441" t="s">
        <v>2572</v>
      </c>
      <c r="O1008" s="452"/>
      <c r="P1008" s="452"/>
      <c r="Q1008" s="441">
        <v>500</v>
      </c>
      <c r="R1008" s="445" t="s">
        <v>2794</v>
      </c>
      <c r="S1008" s="447">
        <v>45066</v>
      </c>
      <c r="T1008" s="446">
        <v>44979</v>
      </c>
      <c r="U1008" s="446">
        <v>44998</v>
      </c>
      <c r="V1008" s="447">
        <v>45016</v>
      </c>
      <c r="W1008" s="447">
        <v>45014</v>
      </c>
      <c r="X1008" s="447" t="s">
        <v>8044</v>
      </c>
      <c r="Y1008" s="420"/>
      <c r="Z1008" s="224" t="str">
        <f t="shared" si="90"/>
        <v>AG. MEDIÇÃO</v>
      </c>
      <c r="AA1008" s="207" t="str">
        <f t="shared" si="91"/>
        <v>ENTREGUE</v>
      </c>
      <c r="AB1008" s="207" t="str">
        <f t="shared" si="92"/>
        <v>AG. MEDIÇÃO</v>
      </c>
      <c r="AC1008" s="156">
        <f t="shared" ca="1" si="93"/>
        <v>25</v>
      </c>
      <c r="AD1008" s="156" t="str">
        <f t="shared" ca="1" si="94"/>
        <v>ATRASADO</v>
      </c>
      <c r="AE1008" s="156">
        <f t="shared" ca="1" si="95"/>
        <v>22</v>
      </c>
    </row>
    <row r="1009" spans="1:31" ht="36" hidden="1" customHeight="1">
      <c r="A1009" s="414"/>
      <c r="B1009" s="440" t="s">
        <v>2795</v>
      </c>
      <c r="C1009" s="440" t="s">
        <v>643</v>
      </c>
      <c r="D1009" s="440"/>
      <c r="E1009" s="440"/>
      <c r="F1009" s="440" t="s">
        <v>42</v>
      </c>
      <c r="G1009" s="441" t="s">
        <v>2796</v>
      </c>
      <c r="H1009" s="440" t="s">
        <v>2797</v>
      </c>
      <c r="I1009" s="449"/>
      <c r="J1009" s="443">
        <v>44986</v>
      </c>
      <c r="K1009" s="429" t="s">
        <v>2493</v>
      </c>
      <c r="L1009" s="447"/>
      <c r="M1009" s="444"/>
      <c r="N1009" s="441" t="s">
        <v>2572</v>
      </c>
      <c r="O1009" s="441"/>
      <c r="P1009" s="441"/>
      <c r="Q1009" s="441">
        <v>975</v>
      </c>
      <c r="R1009" s="445" t="s">
        <v>2798</v>
      </c>
      <c r="S1009" s="447">
        <v>45066</v>
      </c>
      <c r="T1009" s="446">
        <v>44979</v>
      </c>
      <c r="U1009" s="446">
        <v>44998</v>
      </c>
      <c r="V1009" s="447">
        <v>45007</v>
      </c>
      <c r="W1009" s="447">
        <v>45014</v>
      </c>
      <c r="X1009" s="447" t="s">
        <v>8044</v>
      </c>
      <c r="Y1009" s="420"/>
      <c r="Z1009" s="224" t="str">
        <f t="shared" si="90"/>
        <v>AG. MEDIÇÃO</v>
      </c>
      <c r="AA1009" s="207" t="str">
        <f t="shared" si="91"/>
        <v>ENTREGUE</v>
      </c>
      <c r="AB1009" s="207" t="str">
        <f t="shared" si="92"/>
        <v>AG. MEDIÇÃO</v>
      </c>
      <c r="AC1009" s="156">
        <f t="shared" ca="1" si="93"/>
        <v>25</v>
      </c>
      <c r="AD1009" s="156" t="str">
        <f t="shared" ca="1" si="94"/>
        <v>ATRASADO</v>
      </c>
      <c r="AE1009" s="156">
        <f t="shared" ca="1" si="95"/>
        <v>22</v>
      </c>
    </row>
    <row r="1010" spans="1:31" ht="36" hidden="1" customHeight="1">
      <c r="A1010" s="414"/>
      <c r="B1010" s="440" t="s">
        <v>2799</v>
      </c>
      <c r="C1010" s="440" t="s">
        <v>643</v>
      </c>
      <c r="D1010" s="440"/>
      <c r="E1010" s="440"/>
      <c r="F1010" s="440" t="s">
        <v>42</v>
      </c>
      <c r="G1010" s="441" t="s">
        <v>2800</v>
      </c>
      <c r="H1010" s="440" t="s">
        <v>2801</v>
      </c>
      <c r="I1010" s="449"/>
      <c r="J1010" s="443">
        <v>44986</v>
      </c>
      <c r="K1010" s="429" t="s">
        <v>2493</v>
      </c>
      <c r="L1010" s="447" t="s">
        <v>895</v>
      </c>
      <c r="M1010" s="447" t="s">
        <v>714</v>
      </c>
      <c r="N1010" s="441" t="s">
        <v>2572</v>
      </c>
      <c r="O1010" s="452"/>
      <c r="P1010" s="452"/>
      <c r="Q1010" s="441">
        <v>785</v>
      </c>
      <c r="R1010" s="445" t="s">
        <v>2802</v>
      </c>
      <c r="S1010" s="446">
        <v>45066</v>
      </c>
      <c r="T1010" s="446">
        <v>44979</v>
      </c>
      <c r="U1010" s="446">
        <v>44995</v>
      </c>
      <c r="V1010" s="447">
        <v>45005</v>
      </c>
      <c r="W1010" s="447">
        <v>45005</v>
      </c>
      <c r="X1010" s="447" t="s">
        <v>8044</v>
      </c>
      <c r="Y1010" s="420"/>
      <c r="Z1010" s="224" t="str">
        <f t="shared" si="90"/>
        <v>AG. MEDIÇÃO</v>
      </c>
      <c r="AA1010" s="207" t="str">
        <f t="shared" si="91"/>
        <v>ENTREGUE</v>
      </c>
      <c r="AB1010" s="207" t="str">
        <f t="shared" si="92"/>
        <v>AG. MEDIÇÃO</v>
      </c>
      <c r="AC1010" s="156">
        <f t="shared" ca="1" si="93"/>
        <v>18</v>
      </c>
      <c r="AD1010" s="156" t="str">
        <f t="shared" ca="1" si="94"/>
        <v>ATRASADO</v>
      </c>
      <c r="AE1010" s="156">
        <f t="shared" ca="1" si="95"/>
        <v>15</v>
      </c>
    </row>
    <row r="1011" spans="1:31" ht="36" hidden="1" customHeight="1">
      <c r="A1011" s="414"/>
      <c r="B1011" s="440" t="s">
        <v>2803</v>
      </c>
      <c r="C1011" s="440" t="s">
        <v>643</v>
      </c>
      <c r="D1011" s="440"/>
      <c r="E1011" s="440"/>
      <c r="F1011" s="440" t="s">
        <v>42</v>
      </c>
      <c r="G1011" s="441" t="s">
        <v>2804</v>
      </c>
      <c r="H1011" s="440" t="s">
        <v>2805</v>
      </c>
      <c r="I1011" s="449"/>
      <c r="J1011" s="443">
        <v>44986</v>
      </c>
      <c r="K1011" s="429" t="s">
        <v>2493</v>
      </c>
      <c r="L1011" s="444"/>
      <c r="M1011" s="444"/>
      <c r="N1011" s="441" t="s">
        <v>2572</v>
      </c>
      <c r="O1011" s="441"/>
      <c r="P1011" s="441"/>
      <c r="Q1011" s="441">
        <v>785</v>
      </c>
      <c r="R1011" s="445" t="s">
        <v>2806</v>
      </c>
      <c r="S1011" s="446">
        <v>45066</v>
      </c>
      <c r="T1011" s="446">
        <v>44979</v>
      </c>
      <c r="U1011" s="446">
        <v>44998</v>
      </c>
      <c r="V1011" s="447">
        <v>45005</v>
      </c>
      <c r="W1011" s="447">
        <v>45005</v>
      </c>
      <c r="X1011" s="447" t="s">
        <v>8044</v>
      </c>
      <c r="Y1011" s="420"/>
      <c r="Z1011" s="224" t="str">
        <f t="shared" si="90"/>
        <v>AG. MEDIÇÃO</v>
      </c>
      <c r="AA1011" s="207" t="str">
        <f t="shared" si="91"/>
        <v>ENTREGUE</v>
      </c>
      <c r="AB1011" s="207" t="str">
        <f t="shared" si="92"/>
        <v>AG. MEDIÇÃO</v>
      </c>
      <c r="AC1011" s="156">
        <f t="shared" ca="1" si="93"/>
        <v>18</v>
      </c>
      <c r="AD1011" s="156" t="str">
        <f t="shared" ca="1" si="94"/>
        <v>ATRASADO</v>
      </c>
      <c r="AE1011" s="156">
        <f t="shared" ca="1" si="95"/>
        <v>15</v>
      </c>
    </row>
    <row r="1012" spans="1:31" ht="36" hidden="1" customHeight="1">
      <c r="A1012" s="414"/>
      <c r="B1012" s="429" t="s">
        <v>6941</v>
      </c>
      <c r="C1012" s="430" t="s">
        <v>7079</v>
      </c>
      <c r="D1012" s="431"/>
      <c r="E1012" s="432"/>
      <c r="F1012" s="429" t="s">
        <v>7018</v>
      </c>
      <c r="G1012" s="434"/>
      <c r="H1012" s="636" t="s">
        <v>7017</v>
      </c>
      <c r="I1012" s="433" t="s">
        <v>7078</v>
      </c>
      <c r="J1012" s="432">
        <v>46054</v>
      </c>
      <c r="K1012" s="429" t="s">
        <v>2493</v>
      </c>
      <c r="L1012" s="436" t="s">
        <v>94</v>
      </c>
      <c r="M1012" s="436" t="s">
        <v>94</v>
      </c>
      <c r="N1012" s="433"/>
      <c r="O1012" s="437"/>
      <c r="P1012" s="433">
        <v>538</v>
      </c>
      <c r="Q1012" s="437">
        <v>600</v>
      </c>
      <c r="R1012" s="437" t="s">
        <v>7118</v>
      </c>
      <c r="S1012" s="438">
        <v>46099</v>
      </c>
      <c r="T1012" s="438">
        <v>46063</v>
      </c>
      <c r="U1012" s="438"/>
      <c r="V1012" s="439"/>
      <c r="W1012" s="439">
        <v>46077</v>
      </c>
      <c r="X1012" s="439">
        <v>46099</v>
      </c>
      <c r="Y1012" s="420"/>
      <c r="Z1012" s="224" t="str">
        <f t="shared" si="90"/>
        <v>AG. MEDIÇÃO</v>
      </c>
      <c r="AA1012" s="207" t="str">
        <f t="shared" si="91"/>
        <v>ENTREGUE</v>
      </c>
      <c r="AB1012" s="207" t="str">
        <f t="shared" si="92"/>
        <v>AG. MEDIÇÃO</v>
      </c>
      <c r="AC1012" s="156">
        <f t="shared" ca="1" si="93"/>
        <v>10</v>
      </c>
      <c r="AD1012" s="156" t="str">
        <f t="shared" ca="1" si="94"/>
        <v>ATRASADO</v>
      </c>
      <c r="AE1012" s="156">
        <f t="shared" ca="1" si="95"/>
        <v>7</v>
      </c>
    </row>
    <row r="1013" spans="1:31" ht="36" hidden="1" customHeight="1">
      <c r="A1013" s="414"/>
      <c r="B1013" s="466" t="s">
        <v>6734</v>
      </c>
      <c r="C1013" s="483" t="s">
        <v>4873</v>
      </c>
      <c r="D1013" s="483"/>
      <c r="E1013" s="483" t="s">
        <v>4874</v>
      </c>
      <c r="F1013" s="483" t="s">
        <v>5165</v>
      </c>
      <c r="G1013" s="467"/>
      <c r="H1013" s="646" t="s">
        <v>6740</v>
      </c>
      <c r="I1013" s="467" t="s">
        <v>6739</v>
      </c>
      <c r="J1013" s="469">
        <v>45992</v>
      </c>
      <c r="K1013" s="429" t="s">
        <v>2493</v>
      </c>
      <c r="L1013" s="471" t="s">
        <v>4394</v>
      </c>
      <c r="M1013" s="471" t="s">
        <v>76</v>
      </c>
      <c r="N1013" s="467"/>
      <c r="O1013" s="472"/>
      <c r="P1013" s="472">
        <v>379</v>
      </c>
      <c r="Q1013" s="472">
        <v>319</v>
      </c>
      <c r="R1013" s="472" t="s">
        <v>6929</v>
      </c>
      <c r="S1013" s="473">
        <v>46052</v>
      </c>
      <c r="T1013" s="473">
        <v>46010</v>
      </c>
      <c r="U1013" s="473"/>
      <c r="V1013" s="474"/>
      <c r="W1013" s="474">
        <v>46382</v>
      </c>
      <c r="X1013" s="474">
        <v>46052</v>
      </c>
      <c r="Y1013" s="420"/>
      <c r="Z1013" s="224" t="str">
        <f t="shared" si="90"/>
        <v>AG. MEDIÇÃO</v>
      </c>
      <c r="AA1013" s="207" t="str">
        <f t="shared" si="91"/>
        <v>ENTREGUE</v>
      </c>
      <c r="AB1013" s="207" t="str">
        <f t="shared" si="92"/>
        <v>AG. MEDIÇÃO</v>
      </c>
      <c r="AC1013" s="156">
        <f t="shared" ca="1" si="93"/>
        <v>265</v>
      </c>
      <c r="AD1013" s="156" t="str">
        <f t="shared" ca="1" si="94"/>
        <v>ATRASADO</v>
      </c>
      <c r="AE1013" s="156">
        <f t="shared" ca="1" si="95"/>
        <v>262</v>
      </c>
    </row>
    <row r="1014" spans="1:31" ht="36" hidden="1" customHeight="1">
      <c r="A1014" s="414"/>
      <c r="B1014" s="440" t="s">
        <v>4681</v>
      </c>
      <c r="C1014" s="440" t="s">
        <v>267</v>
      </c>
      <c r="D1014" s="440" t="s">
        <v>4682</v>
      </c>
      <c r="E1014" s="440" t="s">
        <v>268</v>
      </c>
      <c r="F1014" s="440" t="s">
        <v>42</v>
      </c>
      <c r="G1014" s="441"/>
      <c r="H1014" s="440" t="s">
        <v>4683</v>
      </c>
      <c r="I1014" s="441" t="s">
        <v>4684</v>
      </c>
      <c r="J1014" s="450">
        <v>45658</v>
      </c>
      <c r="K1014" s="429" t="s">
        <v>2493</v>
      </c>
      <c r="L1014" s="444" t="s">
        <v>1208</v>
      </c>
      <c r="M1014" s="444" t="s">
        <v>132</v>
      </c>
      <c r="N1014" s="441" t="s">
        <v>2572</v>
      </c>
      <c r="O1014" s="445" t="s">
        <v>4560</v>
      </c>
      <c r="P1014" s="445"/>
      <c r="Q1014" s="445"/>
      <c r="R1014" s="445" t="s">
        <v>4685</v>
      </c>
      <c r="S1014" s="446">
        <v>45671</v>
      </c>
      <c r="T1014" s="446">
        <v>45297</v>
      </c>
      <c r="U1014" s="446">
        <v>45666</v>
      </c>
      <c r="V1014" s="447">
        <v>45670</v>
      </c>
      <c r="W1014" s="447">
        <v>45670</v>
      </c>
      <c r="X1014" s="447" t="s">
        <v>8044</v>
      </c>
      <c r="Y1014" s="420"/>
      <c r="Z1014" s="224" t="str">
        <f t="shared" si="90"/>
        <v>AG. MEDIÇÃO</v>
      </c>
      <c r="AA1014" s="207" t="str">
        <f t="shared" si="91"/>
        <v>ENTREGUE</v>
      </c>
      <c r="AB1014" s="207" t="str">
        <f t="shared" si="92"/>
        <v>AG. MEDIÇÃO</v>
      </c>
      <c r="AC1014" s="156">
        <f t="shared" ca="1" si="93"/>
        <v>265</v>
      </c>
      <c r="AD1014" s="156" t="str">
        <f t="shared" ca="1" si="94"/>
        <v>ATRASADO</v>
      </c>
      <c r="AE1014" s="156">
        <f t="shared" ca="1" si="95"/>
        <v>262</v>
      </c>
    </row>
    <row r="1015" spans="1:31" ht="36" hidden="1" customHeight="1">
      <c r="A1015" s="414"/>
      <c r="B1015" s="440" t="s">
        <v>2870</v>
      </c>
      <c r="C1015" s="440" t="s">
        <v>2871</v>
      </c>
      <c r="D1015" s="440"/>
      <c r="E1015" s="440"/>
      <c r="F1015" s="440" t="s">
        <v>42</v>
      </c>
      <c r="G1015" s="441" t="s">
        <v>2872</v>
      </c>
      <c r="H1015" s="440" t="s">
        <v>2873</v>
      </c>
      <c r="I1015" s="449"/>
      <c r="J1015" s="443">
        <v>45017</v>
      </c>
      <c r="K1015" s="429" t="s">
        <v>2493</v>
      </c>
      <c r="L1015" s="444" t="s">
        <v>51</v>
      </c>
      <c r="M1015" s="444" t="s">
        <v>51</v>
      </c>
      <c r="N1015" s="441" t="s">
        <v>2572</v>
      </c>
      <c r="O1015" s="452"/>
      <c r="P1015" s="452"/>
      <c r="Q1015" s="441">
        <v>42</v>
      </c>
      <c r="R1015" s="445" t="s">
        <v>2874</v>
      </c>
      <c r="S1015" s="446">
        <v>45082</v>
      </c>
      <c r="T1015" s="446">
        <v>45015</v>
      </c>
      <c r="U1015" s="446">
        <v>45022</v>
      </c>
      <c r="V1015" s="446">
        <v>45027</v>
      </c>
      <c r="W1015" s="447">
        <v>45026</v>
      </c>
      <c r="X1015" s="447" t="s">
        <v>8044</v>
      </c>
      <c r="Y1015" s="420"/>
      <c r="Z1015" s="224" t="str">
        <f t="shared" si="90"/>
        <v>AG. MEDIÇÃO</v>
      </c>
      <c r="AA1015" s="207" t="str">
        <f t="shared" si="91"/>
        <v>ENTREGUE</v>
      </c>
      <c r="AB1015" s="207" t="str">
        <f t="shared" si="92"/>
        <v>AG. MEDIÇÃO</v>
      </c>
      <c r="AC1015" s="156">
        <f t="shared" ca="1" si="93"/>
        <v>7</v>
      </c>
      <c r="AD1015" s="156" t="str">
        <f t="shared" ca="1" si="94"/>
        <v>ATRASADO</v>
      </c>
      <c r="AE1015" s="156">
        <f t="shared" ca="1" si="95"/>
        <v>4</v>
      </c>
    </row>
    <row r="1016" spans="1:31" ht="36" hidden="1" customHeight="1">
      <c r="A1016" s="414"/>
      <c r="B1016" s="440" t="s">
        <v>5417</v>
      </c>
      <c r="C1016" s="440" t="s">
        <v>126</v>
      </c>
      <c r="D1016" s="440" t="s">
        <v>1689</v>
      </c>
      <c r="E1016" s="440" t="s">
        <v>127</v>
      </c>
      <c r="F1016" s="440" t="s">
        <v>42</v>
      </c>
      <c r="G1016" s="441" t="s">
        <v>5418</v>
      </c>
      <c r="H1016" s="440" t="s">
        <v>5419</v>
      </c>
      <c r="I1016" s="441" t="s">
        <v>5420</v>
      </c>
      <c r="J1016" s="450">
        <v>45809</v>
      </c>
      <c r="K1016" s="429" t="s">
        <v>2493</v>
      </c>
      <c r="L1016" s="444" t="s">
        <v>1208</v>
      </c>
      <c r="M1016" s="444" t="s">
        <v>62</v>
      </c>
      <c r="N1016" s="441"/>
      <c r="O1016" s="445"/>
      <c r="P1016" s="441">
        <v>300</v>
      </c>
      <c r="Q1016" s="445">
        <v>282</v>
      </c>
      <c r="R1016" s="445" t="s">
        <v>5421</v>
      </c>
      <c r="S1016" s="446">
        <v>45845</v>
      </c>
      <c r="T1016" s="446">
        <v>45826</v>
      </c>
      <c r="U1016" s="446"/>
      <c r="V1016" s="447"/>
      <c r="W1016" s="447">
        <v>45832</v>
      </c>
      <c r="X1016" s="447" t="s">
        <v>8044</v>
      </c>
      <c r="Y1016" s="420"/>
      <c r="Z1016" s="224" t="str">
        <f t="shared" si="90"/>
        <v>AG. MEDIÇÃO</v>
      </c>
      <c r="AA1016" s="207" t="str">
        <f t="shared" si="91"/>
        <v>ENTREGUE</v>
      </c>
      <c r="AB1016" s="207" t="str">
        <f t="shared" si="92"/>
        <v>AG. MEDIÇÃO</v>
      </c>
      <c r="AC1016" s="156">
        <f t="shared" ca="1" si="93"/>
        <v>4</v>
      </c>
      <c r="AD1016" s="156" t="str">
        <f t="shared" ca="1" si="94"/>
        <v>ATRASADO</v>
      </c>
      <c r="AE1016" s="156">
        <f t="shared" ca="1" si="95"/>
        <v>1</v>
      </c>
    </row>
    <row r="1017" spans="1:31" ht="36" hidden="1" customHeight="1">
      <c r="A1017" s="414"/>
      <c r="B1017" s="440" t="s">
        <v>3581</v>
      </c>
      <c r="C1017" s="440" t="s">
        <v>305</v>
      </c>
      <c r="D1017" s="440"/>
      <c r="E1017" s="440"/>
      <c r="F1017" s="440" t="s">
        <v>42</v>
      </c>
      <c r="G1017" s="441" t="s">
        <v>3582</v>
      </c>
      <c r="H1017" s="440" t="s">
        <v>3583</v>
      </c>
      <c r="I1017" s="441"/>
      <c r="J1017" s="450">
        <v>45383</v>
      </c>
      <c r="K1017" s="429" t="s">
        <v>2493</v>
      </c>
      <c r="L1017" s="444"/>
      <c r="M1017" s="444" t="s">
        <v>714</v>
      </c>
      <c r="N1017" s="441" t="s">
        <v>2572</v>
      </c>
      <c r="O1017" s="445" t="s">
        <v>85</v>
      </c>
      <c r="P1017" s="441" t="s">
        <v>2494</v>
      </c>
      <c r="Q1017" s="441" t="s">
        <v>2494</v>
      </c>
      <c r="R1017" s="445" t="s">
        <v>3584</v>
      </c>
      <c r="S1017" s="446">
        <v>45405</v>
      </c>
      <c r="T1017" s="446">
        <v>45390</v>
      </c>
      <c r="U1017" s="446"/>
      <c r="V1017" s="446">
        <v>45391</v>
      </c>
      <c r="W1017" s="447">
        <v>45391</v>
      </c>
      <c r="X1017" s="447" t="s">
        <v>8044</v>
      </c>
      <c r="Y1017" s="420"/>
      <c r="Z1017" s="224" t="str">
        <f t="shared" si="90"/>
        <v>AG. MEDIÇÃO</v>
      </c>
      <c r="AA1017" s="207" t="str">
        <f t="shared" si="91"/>
        <v>ENTREGUE</v>
      </c>
      <c r="AB1017" s="207" t="str">
        <f t="shared" si="92"/>
        <v>AG. MEDIÇÃO</v>
      </c>
      <c r="AC1017" s="156">
        <f t="shared" ca="1" si="93"/>
        <v>1</v>
      </c>
      <c r="AD1017" s="156" t="str">
        <f t="shared" ca="1" si="94"/>
        <v>NO PRAZO</v>
      </c>
      <c r="AE1017" s="156">
        <f t="shared" ca="1" si="95"/>
        <v>-2</v>
      </c>
    </row>
    <row r="1018" spans="1:31" ht="36" hidden="1" customHeight="1">
      <c r="A1018" s="414"/>
      <c r="B1018" s="440" t="s">
        <v>2807</v>
      </c>
      <c r="C1018" s="440" t="s">
        <v>555</v>
      </c>
      <c r="D1018" s="440"/>
      <c r="E1018" s="440"/>
      <c r="F1018" s="440" t="s">
        <v>42</v>
      </c>
      <c r="G1018" s="441" t="s">
        <v>2808</v>
      </c>
      <c r="H1018" s="440" t="s">
        <v>2809</v>
      </c>
      <c r="I1018" s="449"/>
      <c r="J1018" s="443">
        <v>44986</v>
      </c>
      <c r="K1018" s="429" t="s">
        <v>2493</v>
      </c>
      <c r="L1018" s="444" t="s">
        <v>650</v>
      </c>
      <c r="M1018" s="444"/>
      <c r="N1018" s="441" t="s">
        <v>2572</v>
      </c>
      <c r="O1018" s="441"/>
      <c r="P1018" s="441" t="s">
        <v>2494</v>
      </c>
      <c r="Q1018" s="441" t="s">
        <v>2494</v>
      </c>
      <c r="R1018" s="445" t="s">
        <v>2574</v>
      </c>
      <c r="S1018" s="446">
        <v>45066</v>
      </c>
      <c r="T1018" s="446">
        <v>45000</v>
      </c>
      <c r="U1018" s="446">
        <v>45001</v>
      </c>
      <c r="V1018" s="446">
        <v>45012</v>
      </c>
      <c r="W1018" s="446">
        <v>45012</v>
      </c>
      <c r="X1018" s="447" t="s">
        <v>8044</v>
      </c>
      <c r="Y1018" s="420"/>
      <c r="Z1018" s="224" t="str">
        <f t="shared" si="90"/>
        <v>AG. MEDIÇÃO</v>
      </c>
      <c r="AA1018" s="207" t="str">
        <f t="shared" si="91"/>
        <v>ENTREGUE</v>
      </c>
      <c r="AB1018" s="207" t="str">
        <f t="shared" si="92"/>
        <v>AG. MEDIÇÃO</v>
      </c>
      <c r="AC1018" s="156">
        <f t="shared" ca="1" si="93"/>
        <v>8</v>
      </c>
      <c r="AD1018" s="156" t="str">
        <f t="shared" ca="1" si="94"/>
        <v>ATRASADO</v>
      </c>
      <c r="AE1018" s="156">
        <f t="shared" ca="1" si="95"/>
        <v>5</v>
      </c>
    </row>
    <row r="1019" spans="1:31" ht="36" hidden="1" customHeight="1">
      <c r="A1019" s="414"/>
      <c r="B1019" s="440" t="s">
        <v>2643</v>
      </c>
      <c r="C1019" s="440" t="s">
        <v>250</v>
      </c>
      <c r="D1019" s="440"/>
      <c r="E1019" s="440"/>
      <c r="F1019" s="440" t="s">
        <v>427</v>
      </c>
      <c r="G1019" s="441" t="s">
        <v>2644</v>
      </c>
      <c r="H1019" s="440" t="s">
        <v>2645</v>
      </c>
      <c r="I1019" s="442"/>
      <c r="J1019" s="443">
        <v>44927</v>
      </c>
      <c r="K1019" s="429" t="s">
        <v>2493</v>
      </c>
      <c r="L1019" s="444" t="s">
        <v>2646</v>
      </c>
      <c r="M1019" s="444" t="s">
        <v>722</v>
      </c>
      <c r="N1019" s="441" t="s">
        <v>2572</v>
      </c>
      <c r="O1019" s="445"/>
      <c r="P1019" s="445"/>
      <c r="Q1019" s="445">
        <v>400</v>
      </c>
      <c r="R1019" s="445" t="s">
        <v>2647</v>
      </c>
      <c r="S1019" s="446" t="s">
        <v>288</v>
      </c>
      <c r="T1019" s="446">
        <v>44928</v>
      </c>
      <c r="U1019" s="446">
        <v>44928</v>
      </c>
      <c r="V1019" s="447">
        <v>44935</v>
      </c>
      <c r="W1019" s="447">
        <v>44935</v>
      </c>
      <c r="X1019" s="447" t="s">
        <v>8044</v>
      </c>
      <c r="Y1019" s="420"/>
      <c r="Z1019" s="224" t="str">
        <f t="shared" si="90"/>
        <v>AG. MEDIÇÃO</v>
      </c>
      <c r="AA1019" s="207" t="str">
        <f t="shared" si="91"/>
        <v>ENTREGUE</v>
      </c>
      <c r="AB1019" s="207" t="str">
        <f t="shared" si="92"/>
        <v>AG. MEDIÇÃO</v>
      </c>
      <c r="AC1019" s="156">
        <f t="shared" ca="1" si="93"/>
        <v>5</v>
      </c>
      <c r="AD1019" s="156" t="str">
        <f t="shared" ca="1" si="94"/>
        <v>ATRASADO</v>
      </c>
      <c r="AE1019" s="156">
        <f t="shared" ca="1" si="95"/>
        <v>2</v>
      </c>
    </row>
    <row r="1020" spans="1:31" ht="36" hidden="1" customHeight="1">
      <c r="A1020" s="414"/>
      <c r="B1020" s="440" t="s">
        <v>3656</v>
      </c>
      <c r="C1020" s="440" t="s">
        <v>117</v>
      </c>
      <c r="D1020" s="440"/>
      <c r="E1020" s="440"/>
      <c r="F1020" s="440" t="s">
        <v>42</v>
      </c>
      <c r="G1020" s="441" t="s">
        <v>3348</v>
      </c>
      <c r="H1020" s="440" t="s">
        <v>3657</v>
      </c>
      <c r="I1020" s="441"/>
      <c r="J1020" s="450">
        <v>45383</v>
      </c>
      <c r="K1020" s="429" t="s">
        <v>2493</v>
      </c>
      <c r="L1020" s="444" t="s">
        <v>2293</v>
      </c>
      <c r="M1020" s="444" t="s">
        <v>3658</v>
      </c>
      <c r="N1020" s="441" t="s">
        <v>2572</v>
      </c>
      <c r="O1020" s="445" t="s">
        <v>85</v>
      </c>
      <c r="P1020" s="445"/>
      <c r="Q1020" s="441">
        <v>197</v>
      </c>
      <c r="R1020" s="445" t="s">
        <v>3659</v>
      </c>
      <c r="S1020" s="446">
        <v>45405</v>
      </c>
      <c r="T1020" s="446">
        <v>45399</v>
      </c>
      <c r="U1020" s="446">
        <v>45399</v>
      </c>
      <c r="V1020" s="446">
        <v>45400</v>
      </c>
      <c r="W1020" s="447">
        <v>45400</v>
      </c>
      <c r="X1020" s="447" t="s">
        <v>8044</v>
      </c>
      <c r="Y1020" s="420"/>
      <c r="Z1020" s="224" t="str">
        <f t="shared" si="90"/>
        <v>AG. MEDIÇÃO</v>
      </c>
      <c r="AA1020" s="207" t="str">
        <f t="shared" si="91"/>
        <v>ENTREGUE</v>
      </c>
      <c r="AB1020" s="207" t="str">
        <f t="shared" si="92"/>
        <v>AG. MEDIÇÃO</v>
      </c>
      <c r="AC1020" s="156">
        <f t="shared" ca="1" si="93"/>
        <v>1</v>
      </c>
      <c r="AD1020" s="156" t="str">
        <f t="shared" ca="1" si="94"/>
        <v>NO PRAZO</v>
      </c>
      <c r="AE1020" s="156">
        <f t="shared" ca="1" si="95"/>
        <v>-2</v>
      </c>
    </row>
    <row r="1021" spans="1:31" ht="36" hidden="1" customHeight="1">
      <c r="A1021" s="414"/>
      <c r="B1021" s="440" t="s">
        <v>3363</v>
      </c>
      <c r="C1021" s="440" t="s">
        <v>353</v>
      </c>
      <c r="D1021" s="440"/>
      <c r="E1021" s="440"/>
      <c r="F1021" s="440" t="s">
        <v>42</v>
      </c>
      <c r="G1021" s="441" t="s">
        <v>3364</v>
      </c>
      <c r="H1021" s="440" t="s">
        <v>3365</v>
      </c>
      <c r="I1021" s="441"/>
      <c r="J1021" s="450">
        <v>45261</v>
      </c>
      <c r="K1021" s="429" t="s">
        <v>2493</v>
      </c>
      <c r="L1021" s="449"/>
      <c r="M1021" s="457" t="s">
        <v>51</v>
      </c>
      <c r="N1021" s="441" t="s">
        <v>2572</v>
      </c>
      <c r="O1021" s="445" t="s">
        <v>85</v>
      </c>
      <c r="P1021" s="441" t="s">
        <v>2494</v>
      </c>
      <c r="Q1021" s="441" t="s">
        <v>2494</v>
      </c>
      <c r="R1021" s="445" t="s">
        <v>3366</v>
      </c>
      <c r="S1021" s="446">
        <v>45300</v>
      </c>
      <c r="T1021" s="446">
        <v>45288</v>
      </c>
      <c r="U1021" s="446"/>
      <c r="V1021" s="446">
        <v>45290</v>
      </c>
      <c r="W1021" s="447">
        <v>45290</v>
      </c>
      <c r="X1021" s="447" t="s">
        <v>8044</v>
      </c>
      <c r="Y1021" s="420"/>
      <c r="Z1021" s="224" t="str">
        <f t="shared" si="90"/>
        <v>AG. MEDIÇÃO</v>
      </c>
      <c r="AA1021" s="207" t="str">
        <f t="shared" si="91"/>
        <v>ENTREGUE</v>
      </c>
      <c r="AB1021" s="207" t="str">
        <f t="shared" si="92"/>
        <v>AG. MEDIÇÃO</v>
      </c>
      <c r="AC1021" s="156">
        <f t="shared" ca="1" si="93"/>
        <v>1</v>
      </c>
      <c r="AD1021" s="156" t="str">
        <f t="shared" ca="1" si="94"/>
        <v>NO PRAZO</v>
      </c>
      <c r="AE1021" s="156">
        <f t="shared" ca="1" si="95"/>
        <v>-2</v>
      </c>
    </row>
    <row r="1022" spans="1:31" ht="36" hidden="1" customHeight="1">
      <c r="A1022" s="414"/>
      <c r="B1022" s="440" t="s">
        <v>5412</v>
      </c>
      <c r="C1022" s="440" t="s">
        <v>248</v>
      </c>
      <c r="D1022" s="440" t="s">
        <v>425</v>
      </c>
      <c r="E1022" s="440" t="s">
        <v>249</v>
      </c>
      <c r="F1022" s="440" t="s">
        <v>42</v>
      </c>
      <c r="G1022" s="441" t="s">
        <v>5413</v>
      </c>
      <c r="H1022" s="440" t="s">
        <v>5414</v>
      </c>
      <c r="I1022" s="441" t="s">
        <v>5415</v>
      </c>
      <c r="J1022" s="450">
        <v>45809</v>
      </c>
      <c r="K1022" s="429" t="s">
        <v>2493</v>
      </c>
      <c r="L1022" s="444" t="s">
        <v>1208</v>
      </c>
      <c r="M1022" s="444" t="s">
        <v>62</v>
      </c>
      <c r="N1022" s="441"/>
      <c r="O1022" s="445"/>
      <c r="P1022" s="441">
        <v>150</v>
      </c>
      <c r="Q1022" s="445">
        <v>110</v>
      </c>
      <c r="R1022" s="445" t="s">
        <v>5416</v>
      </c>
      <c r="S1022" s="446" t="s">
        <v>1175</v>
      </c>
      <c r="T1022" s="446">
        <v>45826</v>
      </c>
      <c r="U1022" s="446"/>
      <c r="V1022" s="447"/>
      <c r="W1022" s="447">
        <v>45831</v>
      </c>
      <c r="X1022" s="447" t="s">
        <v>8044</v>
      </c>
      <c r="Y1022" s="420"/>
      <c r="Z1022" s="224" t="str">
        <f t="shared" si="90"/>
        <v>AG. MEDIÇÃO</v>
      </c>
      <c r="AA1022" s="207" t="str">
        <f t="shared" si="91"/>
        <v>ENTREGUE</v>
      </c>
      <c r="AB1022" s="207" t="str">
        <f t="shared" si="92"/>
        <v>AG. MEDIÇÃO</v>
      </c>
      <c r="AC1022" s="156">
        <f t="shared" ca="1" si="93"/>
        <v>3</v>
      </c>
      <c r="AD1022" s="156" t="str">
        <f t="shared" ca="1" si="94"/>
        <v>NO PRAZO</v>
      </c>
      <c r="AE1022" s="156">
        <f t="shared" ca="1" si="95"/>
        <v>0</v>
      </c>
    </row>
    <row r="1023" spans="1:31" ht="36" hidden="1" customHeight="1">
      <c r="A1023" s="414"/>
      <c r="B1023" s="440" t="s">
        <v>2917</v>
      </c>
      <c r="C1023" s="440" t="s">
        <v>2052</v>
      </c>
      <c r="D1023" s="440"/>
      <c r="E1023" s="440"/>
      <c r="F1023" s="440" t="s">
        <v>42</v>
      </c>
      <c r="G1023" s="441" t="s">
        <v>2918</v>
      </c>
      <c r="H1023" s="440" t="s">
        <v>2919</v>
      </c>
      <c r="I1023" s="449"/>
      <c r="J1023" s="450">
        <v>45078</v>
      </c>
      <c r="K1023" s="429" t="s">
        <v>2493</v>
      </c>
      <c r="L1023" s="444"/>
      <c r="M1023" s="444"/>
      <c r="N1023" s="441" t="s">
        <v>2572</v>
      </c>
      <c r="O1023" s="445" t="s">
        <v>2573</v>
      </c>
      <c r="P1023" s="445"/>
      <c r="Q1023" s="441">
        <v>218</v>
      </c>
      <c r="R1023" s="445" t="s">
        <v>2920</v>
      </c>
      <c r="S1023" s="446">
        <v>45103</v>
      </c>
      <c r="T1023" s="446">
        <v>45100</v>
      </c>
      <c r="U1023" s="446">
        <v>45100</v>
      </c>
      <c r="V1023" s="446">
        <v>45101</v>
      </c>
      <c r="W1023" s="447">
        <v>45101</v>
      </c>
      <c r="X1023" s="447" t="s">
        <v>8044</v>
      </c>
      <c r="Y1023" s="420"/>
      <c r="Z1023" s="224" t="str">
        <f t="shared" si="90"/>
        <v>AG. MEDIÇÃO</v>
      </c>
      <c r="AA1023" s="207" t="str">
        <f t="shared" si="91"/>
        <v>ENTREGUE</v>
      </c>
      <c r="AB1023" s="207" t="str">
        <f t="shared" si="92"/>
        <v>AG. MEDIÇÃO</v>
      </c>
      <c r="AC1023" s="156">
        <f t="shared" ca="1" si="93"/>
        <v>0</v>
      </c>
      <c r="AD1023" s="156" t="str">
        <f t="shared" ca="1" si="94"/>
        <v>NO PRAZO</v>
      </c>
      <c r="AE1023" s="156">
        <f t="shared" ca="1" si="95"/>
        <v>-3</v>
      </c>
    </row>
    <row r="1024" spans="1:31" ht="36" hidden="1" customHeight="1">
      <c r="A1024" s="414"/>
      <c r="B1024" s="440" t="s">
        <v>5343</v>
      </c>
      <c r="C1024" s="440" t="s">
        <v>134</v>
      </c>
      <c r="D1024" s="440" t="s">
        <v>1283</v>
      </c>
      <c r="E1024" s="440" t="s">
        <v>135</v>
      </c>
      <c r="F1024" s="440" t="s">
        <v>42</v>
      </c>
      <c r="G1024" s="441" t="s">
        <v>5344</v>
      </c>
      <c r="H1024" s="440" t="s">
        <v>5345</v>
      </c>
      <c r="I1024" s="441" t="s">
        <v>5346</v>
      </c>
      <c r="J1024" s="450">
        <v>45809</v>
      </c>
      <c r="K1024" s="429" t="s">
        <v>2493</v>
      </c>
      <c r="L1024" s="444"/>
      <c r="M1024" s="444" t="s">
        <v>1155</v>
      </c>
      <c r="N1024" s="441"/>
      <c r="O1024" s="445"/>
      <c r="P1024" s="441" t="s">
        <v>2494</v>
      </c>
      <c r="Q1024" s="445" t="s">
        <v>2494</v>
      </c>
      <c r="R1024" s="445" t="s">
        <v>5053</v>
      </c>
      <c r="S1024" s="446">
        <v>45826</v>
      </c>
      <c r="T1024" s="446">
        <v>45818</v>
      </c>
      <c r="U1024" s="446"/>
      <c r="V1024" s="447"/>
      <c r="W1024" s="447">
        <v>45820</v>
      </c>
      <c r="X1024" s="447" t="s">
        <v>8044</v>
      </c>
      <c r="Y1024" s="420"/>
      <c r="Z1024" s="224" t="str">
        <f t="shared" si="90"/>
        <v>AG. MEDIÇÃO</v>
      </c>
      <c r="AA1024" s="207" t="str">
        <f t="shared" si="91"/>
        <v>ENTREGUE</v>
      </c>
      <c r="AB1024" s="207" t="str">
        <f t="shared" si="92"/>
        <v>AG. MEDIÇÃO</v>
      </c>
      <c r="AC1024" s="156">
        <f t="shared" ca="1" si="93"/>
        <v>2</v>
      </c>
      <c r="AD1024" s="156" t="str">
        <f t="shared" ca="1" si="94"/>
        <v>NO PRAZO</v>
      </c>
      <c r="AE1024" s="156">
        <f t="shared" ca="1" si="95"/>
        <v>-1</v>
      </c>
    </row>
    <row r="1025" spans="1:31" ht="36" hidden="1" customHeight="1">
      <c r="A1025" s="414"/>
      <c r="B1025" s="440" t="s">
        <v>3090</v>
      </c>
      <c r="C1025" s="440" t="s">
        <v>37</v>
      </c>
      <c r="D1025" s="440"/>
      <c r="E1025" s="440"/>
      <c r="F1025" s="440" t="s">
        <v>42</v>
      </c>
      <c r="G1025" s="441" t="s">
        <v>3091</v>
      </c>
      <c r="H1025" s="440" t="s">
        <v>3092</v>
      </c>
      <c r="I1025" s="449"/>
      <c r="J1025" s="450">
        <v>45170</v>
      </c>
      <c r="K1025" s="429" t="s">
        <v>2493</v>
      </c>
      <c r="L1025" s="444" t="s">
        <v>1092</v>
      </c>
      <c r="M1025" s="444" t="s">
        <v>631</v>
      </c>
      <c r="N1025" s="441" t="s">
        <v>2572</v>
      </c>
      <c r="O1025" s="445" t="s">
        <v>85</v>
      </c>
      <c r="P1025" s="445"/>
      <c r="Q1025" s="445"/>
      <c r="R1025" s="445" t="s">
        <v>3093</v>
      </c>
      <c r="S1025" s="446">
        <v>45250</v>
      </c>
      <c r="T1025" s="446">
        <v>45197</v>
      </c>
      <c r="U1025" s="446"/>
      <c r="V1025" s="446">
        <v>45210</v>
      </c>
      <c r="W1025" s="447">
        <v>45219</v>
      </c>
      <c r="X1025" s="447" t="s">
        <v>8044</v>
      </c>
      <c r="Y1025" s="420"/>
      <c r="Z1025" s="224" t="str">
        <f t="shared" si="90"/>
        <v>AG. MEDIÇÃO</v>
      </c>
      <c r="AA1025" s="207" t="str">
        <f t="shared" si="91"/>
        <v>ENTREGUE</v>
      </c>
      <c r="AB1025" s="207" t="str">
        <f t="shared" si="92"/>
        <v>AG. MEDIÇÃO</v>
      </c>
      <c r="AC1025" s="156">
        <f t="shared" ca="1" si="93"/>
        <v>16</v>
      </c>
      <c r="AD1025" s="156" t="str">
        <f t="shared" ca="1" si="94"/>
        <v>ATRASADO</v>
      </c>
      <c r="AE1025" s="156">
        <f t="shared" ca="1" si="95"/>
        <v>13</v>
      </c>
    </row>
    <row r="1026" spans="1:31" ht="36" hidden="1" customHeight="1">
      <c r="A1026" s="414"/>
      <c r="B1026" s="440" t="s">
        <v>3155</v>
      </c>
      <c r="C1026" s="440" t="s">
        <v>79</v>
      </c>
      <c r="D1026" s="440"/>
      <c r="E1026" s="440"/>
      <c r="F1026" s="440" t="s">
        <v>42</v>
      </c>
      <c r="G1026" s="440" t="s">
        <v>3156</v>
      </c>
      <c r="H1026" s="440" t="s">
        <v>3157</v>
      </c>
      <c r="I1026" s="456"/>
      <c r="J1026" s="450">
        <v>45200</v>
      </c>
      <c r="K1026" s="429" t="s">
        <v>2493</v>
      </c>
      <c r="L1026" s="444"/>
      <c r="M1026" s="444" t="s">
        <v>774</v>
      </c>
      <c r="N1026" s="441" t="s">
        <v>2572</v>
      </c>
      <c r="O1026" s="445" t="s">
        <v>85</v>
      </c>
      <c r="P1026" s="441" t="s">
        <v>2494</v>
      </c>
      <c r="Q1026" s="441" t="s">
        <v>2494</v>
      </c>
      <c r="R1026" s="445" t="s">
        <v>3158</v>
      </c>
      <c r="S1026" s="446">
        <v>45229</v>
      </c>
      <c r="T1026" s="446">
        <v>45224</v>
      </c>
      <c r="U1026" s="446"/>
      <c r="V1026" s="446">
        <v>45224</v>
      </c>
      <c r="W1026" s="447">
        <v>45224</v>
      </c>
      <c r="X1026" s="447" t="s">
        <v>8044</v>
      </c>
      <c r="Y1026" s="420"/>
      <c r="Z1026" s="224" t="str">
        <f t="shared" si="90"/>
        <v>AG. MEDIÇÃO</v>
      </c>
      <c r="AA1026" s="207" t="str">
        <f t="shared" si="91"/>
        <v>ENTREGUE</v>
      </c>
      <c r="AB1026" s="207" t="str">
        <f t="shared" si="92"/>
        <v>AG. MEDIÇÃO</v>
      </c>
      <c r="AC1026" s="156">
        <f t="shared" ca="1" si="93"/>
        <v>0</v>
      </c>
      <c r="AD1026" s="156" t="str">
        <f t="shared" ca="1" si="94"/>
        <v>NO PRAZO</v>
      </c>
      <c r="AE1026" s="156">
        <f t="shared" ca="1" si="95"/>
        <v>-3</v>
      </c>
    </row>
    <row r="1027" spans="1:31" ht="36" hidden="1" customHeight="1">
      <c r="A1027" s="414"/>
      <c r="B1027" s="440" t="s">
        <v>3539</v>
      </c>
      <c r="C1027" s="440" t="s">
        <v>373</v>
      </c>
      <c r="D1027" s="440"/>
      <c r="E1027" s="440"/>
      <c r="F1027" s="440" t="s">
        <v>42</v>
      </c>
      <c r="G1027" s="441" t="s">
        <v>3540</v>
      </c>
      <c r="H1027" s="440" t="s">
        <v>3541</v>
      </c>
      <c r="I1027" s="441"/>
      <c r="J1027" s="450">
        <v>45352</v>
      </c>
      <c r="K1027" s="429" t="s">
        <v>2493</v>
      </c>
      <c r="L1027" s="444" t="s">
        <v>1208</v>
      </c>
      <c r="M1027" s="444" t="s">
        <v>51</v>
      </c>
      <c r="N1027" s="441" t="s">
        <v>2572</v>
      </c>
      <c r="O1027" s="445" t="s">
        <v>85</v>
      </c>
      <c r="P1027" s="445"/>
      <c r="Q1027" s="441">
        <v>517</v>
      </c>
      <c r="R1027" s="445" t="s">
        <v>3542</v>
      </c>
      <c r="S1027" s="446">
        <v>45405</v>
      </c>
      <c r="T1027" s="446">
        <v>45379</v>
      </c>
      <c r="U1027" s="446">
        <v>45381</v>
      </c>
      <c r="V1027" s="446">
        <v>45381</v>
      </c>
      <c r="W1027" s="447">
        <v>45382</v>
      </c>
      <c r="X1027" s="447" t="s">
        <v>8044</v>
      </c>
      <c r="Y1027" s="420"/>
      <c r="Z1027" s="224" t="str">
        <f t="shared" si="90"/>
        <v>AG. MEDIÇÃO</v>
      </c>
      <c r="AA1027" s="207" t="str">
        <f t="shared" si="91"/>
        <v>ENTREGUE</v>
      </c>
      <c r="AB1027" s="207" t="str">
        <f t="shared" si="92"/>
        <v>AG. MEDIÇÃO</v>
      </c>
      <c r="AC1027" s="156">
        <f t="shared" ca="1" si="93"/>
        <v>1</v>
      </c>
      <c r="AD1027" s="156" t="str">
        <f t="shared" ca="1" si="94"/>
        <v>NO PRAZO</v>
      </c>
      <c r="AE1027" s="156">
        <f t="shared" ca="1" si="95"/>
        <v>-2</v>
      </c>
    </row>
    <row r="1028" spans="1:31" ht="36" hidden="1" customHeight="1">
      <c r="A1028" s="414"/>
      <c r="B1028" s="440" t="s">
        <v>3786</v>
      </c>
      <c r="C1028" s="440" t="s">
        <v>410</v>
      </c>
      <c r="D1028" s="440" t="s">
        <v>412</v>
      </c>
      <c r="E1028" s="440"/>
      <c r="F1028" s="440" t="s">
        <v>42</v>
      </c>
      <c r="G1028" s="441" t="s">
        <v>3348</v>
      </c>
      <c r="H1028" s="440" t="s">
        <v>3787</v>
      </c>
      <c r="I1028" s="441" t="s">
        <v>3788</v>
      </c>
      <c r="J1028" s="450">
        <v>45383</v>
      </c>
      <c r="K1028" s="429" t="s">
        <v>2493</v>
      </c>
      <c r="L1028" s="444"/>
      <c r="M1028" s="444" t="s">
        <v>51</v>
      </c>
      <c r="N1028" s="441" t="s">
        <v>2572</v>
      </c>
      <c r="O1028" s="445" t="s">
        <v>85</v>
      </c>
      <c r="P1028" s="441" t="s">
        <v>2494</v>
      </c>
      <c r="Q1028" s="441" t="s">
        <v>2494</v>
      </c>
      <c r="R1028" s="445" t="s">
        <v>3789</v>
      </c>
      <c r="S1028" s="446">
        <v>45469</v>
      </c>
      <c r="T1028" s="446">
        <v>45412</v>
      </c>
      <c r="U1028" s="446">
        <v>45433</v>
      </c>
      <c r="V1028" s="447">
        <v>45433</v>
      </c>
      <c r="W1028" s="447">
        <v>45433</v>
      </c>
      <c r="X1028" s="447" t="s">
        <v>8044</v>
      </c>
      <c r="Y1028" s="420"/>
      <c r="Z1028" s="224" t="str">
        <f t="shared" si="90"/>
        <v>AG. MEDIÇÃO</v>
      </c>
      <c r="AA1028" s="207" t="str">
        <f t="shared" si="91"/>
        <v>ENTREGUE</v>
      </c>
      <c r="AB1028" s="207" t="str">
        <f t="shared" si="92"/>
        <v>AG. MEDIÇÃO</v>
      </c>
      <c r="AC1028" s="156">
        <f t="shared" ca="1" si="93"/>
        <v>15</v>
      </c>
      <c r="AD1028" s="156" t="str">
        <f t="shared" ca="1" si="94"/>
        <v>ATRASADO</v>
      </c>
      <c r="AE1028" s="156">
        <f t="shared" ca="1" si="95"/>
        <v>12</v>
      </c>
    </row>
    <row r="1029" spans="1:31" ht="36" hidden="1" customHeight="1">
      <c r="A1029" s="414"/>
      <c r="B1029" s="440" t="s">
        <v>3818</v>
      </c>
      <c r="C1029" s="440" t="s">
        <v>232</v>
      </c>
      <c r="D1029" s="440"/>
      <c r="E1029" s="440"/>
      <c r="F1029" s="440" t="s">
        <v>42</v>
      </c>
      <c r="G1029" s="441" t="s">
        <v>3348</v>
      </c>
      <c r="H1029" s="440" t="s">
        <v>3819</v>
      </c>
      <c r="I1029" s="441"/>
      <c r="J1029" s="450">
        <v>45383</v>
      </c>
      <c r="K1029" s="429" t="s">
        <v>2493</v>
      </c>
      <c r="L1029" s="444"/>
      <c r="M1029" s="444" t="s">
        <v>51</v>
      </c>
      <c r="N1029" s="441" t="s">
        <v>2572</v>
      </c>
      <c r="O1029" s="445" t="s">
        <v>85</v>
      </c>
      <c r="P1029" s="441" t="s">
        <v>2494</v>
      </c>
      <c r="Q1029" s="441" t="s">
        <v>2494</v>
      </c>
      <c r="R1029" s="445" t="s">
        <v>3820</v>
      </c>
      <c r="S1029" s="446">
        <v>45439</v>
      </c>
      <c r="T1029" s="446">
        <v>45412</v>
      </c>
      <c r="U1029" s="446">
        <v>45433</v>
      </c>
      <c r="V1029" s="447">
        <v>45433</v>
      </c>
      <c r="W1029" s="447">
        <v>45433</v>
      </c>
      <c r="X1029" s="447" t="s">
        <v>8044</v>
      </c>
      <c r="Y1029" s="420"/>
      <c r="Z1029" s="224" t="str">
        <f t="shared" ref="Z1029:Z1070" si="96">IF(K1029="CANCELADO","CANCELADO",IF(AA1029="PENDENTE","AG. RELATÓRIO",IF(S1029="SIM","AG. MEDIÇÃO",IF(S1029&gt;0,"AG. MEDIÇÃO","PENDENTE"))))</f>
        <v>AG. MEDIÇÃO</v>
      </c>
      <c r="AA1029" s="207" t="str">
        <f t="shared" ref="AA1029:AA1070" si="97">IF(K1029="CANCELADO","CANCELADO",IF(X1029="","PENDENTE","ENTREGUE"))</f>
        <v>ENTREGUE</v>
      </c>
      <c r="AB1029" s="207" t="str">
        <f t="shared" ref="AB1029:AB1070" si="98">IF(K1029="SEM SINAL","SEM SINAL",IF(K1029="PARALISADO","PARALISADO",IF(Z1029="PENDENTE","AG. MEDIÇÃO",IF(K1029="CANCELADO","CANCELADO",Z1029))))</f>
        <v>AG. MEDIÇÃO</v>
      </c>
      <c r="AC1029" s="156">
        <f t="shared" ref="AC1029:AC1070" ca="1" si="99">IFERROR(IF(K1029="CANCELADO","CANCELADO",IF(T1029="","DATA ENTRADA",IF(AND(T1029&gt;0,W1029=""),NETWORKDAYS(T1029,TODAY())-1,NETWORKDAYS(T1029,W1029)-1))),"CHECAR DATA")</f>
        <v>15</v>
      </c>
      <c r="AD1029" s="156" t="str">
        <f t="shared" ref="AD1029:AD1070" ca="1" si="100">IF(AC1029&lt;=3,"NO PRAZO","ATRASADO")</f>
        <v>ATRASADO</v>
      </c>
      <c r="AE1029" s="156">
        <f t="shared" ref="AE1029:AE1070" ca="1" si="101">IFERROR(AC1029-3,AC1029)</f>
        <v>12</v>
      </c>
    </row>
    <row r="1030" spans="1:31" ht="36" hidden="1" customHeight="1">
      <c r="A1030" s="414"/>
      <c r="B1030" s="440" t="s">
        <v>3707</v>
      </c>
      <c r="C1030" s="440" t="s">
        <v>328</v>
      </c>
      <c r="D1030" s="440" t="s">
        <v>111</v>
      </c>
      <c r="E1030" s="440"/>
      <c r="F1030" s="440" t="s">
        <v>42</v>
      </c>
      <c r="G1030" s="441" t="s">
        <v>3348</v>
      </c>
      <c r="H1030" s="440" t="s">
        <v>3708</v>
      </c>
      <c r="I1030" s="441" t="s">
        <v>3709</v>
      </c>
      <c r="J1030" s="450">
        <v>45383</v>
      </c>
      <c r="K1030" s="429" t="s">
        <v>2493</v>
      </c>
      <c r="L1030" s="444" t="s">
        <v>169</v>
      </c>
      <c r="M1030" s="444" t="s">
        <v>132</v>
      </c>
      <c r="N1030" s="441" t="s">
        <v>2572</v>
      </c>
      <c r="O1030" s="445" t="s">
        <v>85</v>
      </c>
      <c r="P1030" s="445"/>
      <c r="Q1030" s="441">
        <v>350</v>
      </c>
      <c r="R1030" s="445" t="s">
        <v>3710</v>
      </c>
      <c r="S1030" s="446">
        <v>45469</v>
      </c>
      <c r="T1030" s="446">
        <v>45404</v>
      </c>
      <c r="U1030" s="446">
        <v>45446</v>
      </c>
      <c r="V1030" s="447">
        <v>45466</v>
      </c>
      <c r="W1030" s="447">
        <v>45466</v>
      </c>
      <c r="X1030" s="447" t="s">
        <v>8044</v>
      </c>
      <c r="Y1030" s="420"/>
      <c r="Z1030" s="224" t="str">
        <f t="shared" si="96"/>
        <v>AG. MEDIÇÃO</v>
      </c>
      <c r="AA1030" s="207" t="str">
        <f t="shared" si="97"/>
        <v>ENTREGUE</v>
      </c>
      <c r="AB1030" s="207" t="str">
        <f t="shared" si="98"/>
        <v>AG. MEDIÇÃO</v>
      </c>
      <c r="AC1030" s="156">
        <f t="shared" ca="1" si="99"/>
        <v>44</v>
      </c>
      <c r="AD1030" s="156" t="str">
        <f t="shared" ca="1" si="100"/>
        <v>ATRASADO</v>
      </c>
      <c r="AE1030" s="156">
        <f t="shared" ca="1" si="101"/>
        <v>41</v>
      </c>
    </row>
    <row r="1031" spans="1:31" ht="36" hidden="1" customHeight="1">
      <c r="A1031" s="414"/>
      <c r="B1031" s="440" t="s">
        <v>5790</v>
      </c>
      <c r="C1031" s="440" t="s">
        <v>425</v>
      </c>
      <c r="D1031" s="440" t="s">
        <v>1458</v>
      </c>
      <c r="E1031" s="440" t="s">
        <v>426</v>
      </c>
      <c r="F1031" s="440" t="s">
        <v>427</v>
      </c>
      <c r="G1031" s="441"/>
      <c r="H1031" s="642" t="s">
        <v>5791</v>
      </c>
      <c r="I1031" s="441" t="s">
        <v>5792</v>
      </c>
      <c r="J1031" s="450">
        <v>45931</v>
      </c>
      <c r="K1031" s="429" t="s">
        <v>2493</v>
      </c>
      <c r="L1031" s="444"/>
      <c r="M1031" s="444" t="s">
        <v>1155</v>
      </c>
      <c r="N1031" s="441"/>
      <c r="O1031" s="445"/>
      <c r="P1031" s="441" t="s">
        <v>2494</v>
      </c>
      <c r="Q1031" s="445" t="s">
        <v>2494</v>
      </c>
      <c r="R1031" s="445" t="s">
        <v>5793</v>
      </c>
      <c r="S1031" s="446">
        <v>45951</v>
      </c>
      <c r="T1031" s="446">
        <v>45951</v>
      </c>
      <c r="U1031" s="446">
        <v>45951</v>
      </c>
      <c r="V1031" s="447">
        <v>45951</v>
      </c>
      <c r="W1031" s="447">
        <v>45951</v>
      </c>
      <c r="X1031" s="447">
        <v>45951</v>
      </c>
      <c r="Y1031" s="420"/>
      <c r="Z1031" s="224" t="str">
        <f t="shared" si="96"/>
        <v>AG. MEDIÇÃO</v>
      </c>
      <c r="AA1031" s="207" t="str">
        <f t="shared" si="97"/>
        <v>ENTREGUE</v>
      </c>
      <c r="AB1031" s="207" t="str">
        <f t="shared" si="98"/>
        <v>AG. MEDIÇÃO</v>
      </c>
      <c r="AC1031" s="156">
        <f t="shared" ca="1" si="99"/>
        <v>0</v>
      </c>
      <c r="AD1031" s="156" t="str">
        <f t="shared" ca="1" si="100"/>
        <v>NO PRAZO</v>
      </c>
      <c r="AE1031" s="156">
        <f t="shared" ca="1" si="101"/>
        <v>-3</v>
      </c>
    </row>
    <row r="1032" spans="1:31" ht="36" hidden="1" customHeight="1">
      <c r="A1032" s="414"/>
      <c r="B1032" s="429" t="s">
        <v>7880</v>
      </c>
      <c r="C1032" s="429" t="s">
        <v>293</v>
      </c>
      <c r="D1032" s="429" t="s">
        <v>295</v>
      </c>
      <c r="E1032" s="429" t="s">
        <v>842</v>
      </c>
      <c r="F1032" s="429" t="s">
        <v>42</v>
      </c>
      <c r="G1032" s="433"/>
      <c r="H1032" s="429" t="s">
        <v>7878</v>
      </c>
      <c r="I1032" s="433" t="s">
        <v>7879</v>
      </c>
      <c r="J1032" s="432">
        <v>46174</v>
      </c>
      <c r="K1032" s="429" t="s">
        <v>2493</v>
      </c>
      <c r="L1032" s="436"/>
      <c r="M1032" s="436" t="s">
        <v>77</v>
      </c>
      <c r="N1032" s="437"/>
      <c r="O1032" s="437" t="s">
        <v>85</v>
      </c>
      <c r="P1032" s="437" t="s">
        <v>2494</v>
      </c>
      <c r="Q1032" s="433" t="s">
        <v>2494</v>
      </c>
      <c r="R1032" s="499" t="s">
        <v>7904</v>
      </c>
      <c r="S1032" s="438">
        <v>46195</v>
      </c>
      <c r="T1032" s="438">
        <v>46190</v>
      </c>
      <c r="U1032" s="438"/>
      <c r="V1032" s="438"/>
      <c r="W1032" s="439">
        <v>46192</v>
      </c>
      <c r="X1032" s="439">
        <v>46195</v>
      </c>
      <c r="Y1032" s="420"/>
      <c r="Z1032" s="224" t="str">
        <f t="shared" si="96"/>
        <v>AG. MEDIÇÃO</v>
      </c>
      <c r="AA1032" s="207" t="str">
        <f t="shared" si="97"/>
        <v>ENTREGUE</v>
      </c>
      <c r="AB1032" s="207" t="str">
        <f t="shared" si="98"/>
        <v>AG. MEDIÇÃO</v>
      </c>
      <c r="AC1032" s="156">
        <f t="shared" ca="1" si="99"/>
        <v>2</v>
      </c>
      <c r="AD1032" s="156" t="str">
        <f t="shared" ca="1" si="100"/>
        <v>NO PRAZO</v>
      </c>
      <c r="AE1032" s="156">
        <f t="shared" ca="1" si="101"/>
        <v>-1</v>
      </c>
    </row>
    <row r="1033" spans="1:31" ht="36" hidden="1" customHeight="1">
      <c r="A1033" s="414"/>
      <c r="B1033" s="440" t="s">
        <v>3511</v>
      </c>
      <c r="C1033" s="440" t="s">
        <v>232</v>
      </c>
      <c r="D1033" s="440"/>
      <c r="E1033" s="440"/>
      <c r="F1033" s="440" t="s">
        <v>42</v>
      </c>
      <c r="G1033" s="441" t="s">
        <v>3512</v>
      </c>
      <c r="H1033" s="440" t="s">
        <v>3513</v>
      </c>
      <c r="I1033" s="441"/>
      <c r="J1033" s="450">
        <v>45352</v>
      </c>
      <c r="K1033" s="429" t="s">
        <v>2493</v>
      </c>
      <c r="L1033" s="444" t="s">
        <v>1130</v>
      </c>
      <c r="M1033" s="444" t="s">
        <v>51</v>
      </c>
      <c r="N1033" s="441" t="s">
        <v>2572</v>
      </c>
      <c r="O1033" s="445" t="s">
        <v>85</v>
      </c>
      <c r="P1033" s="445"/>
      <c r="Q1033" s="441">
        <v>365</v>
      </c>
      <c r="R1033" s="445" t="s">
        <v>3514</v>
      </c>
      <c r="S1033" s="446">
        <v>45405</v>
      </c>
      <c r="T1033" s="446">
        <v>45373</v>
      </c>
      <c r="U1033" s="446">
        <v>45377</v>
      </c>
      <c r="V1033" s="446">
        <v>45382</v>
      </c>
      <c r="W1033" s="447">
        <v>45384</v>
      </c>
      <c r="X1033" s="447" t="s">
        <v>8044</v>
      </c>
      <c r="Y1033" s="420"/>
      <c r="Z1033" s="224" t="str">
        <f t="shared" si="96"/>
        <v>AG. MEDIÇÃO</v>
      </c>
      <c r="AA1033" s="207" t="str">
        <f t="shared" si="97"/>
        <v>ENTREGUE</v>
      </c>
      <c r="AB1033" s="207" t="str">
        <f t="shared" si="98"/>
        <v>AG. MEDIÇÃO</v>
      </c>
      <c r="AC1033" s="156">
        <f t="shared" ca="1" si="99"/>
        <v>7</v>
      </c>
      <c r="AD1033" s="156" t="str">
        <f t="shared" ca="1" si="100"/>
        <v>ATRASADO</v>
      </c>
      <c r="AE1033" s="156">
        <f t="shared" ca="1" si="101"/>
        <v>4</v>
      </c>
    </row>
    <row r="1034" spans="1:31" ht="36" hidden="1" customHeight="1">
      <c r="A1034" s="414"/>
      <c r="B1034" s="429" t="s">
        <v>7776</v>
      </c>
      <c r="C1034" s="430" t="s">
        <v>373</v>
      </c>
      <c r="D1034" s="430" t="s">
        <v>2902</v>
      </c>
      <c r="E1034" s="432" t="s">
        <v>374</v>
      </c>
      <c r="F1034" s="429" t="s">
        <v>42</v>
      </c>
      <c r="G1034" s="434"/>
      <c r="H1034" s="636" t="s">
        <v>7747</v>
      </c>
      <c r="I1034" s="433" t="s">
        <v>7748</v>
      </c>
      <c r="J1034" s="432">
        <v>46174</v>
      </c>
      <c r="K1034" s="429" t="s">
        <v>2493</v>
      </c>
      <c r="L1034" s="436" t="s">
        <v>124</v>
      </c>
      <c r="M1034" s="436" t="s">
        <v>62</v>
      </c>
      <c r="N1034" s="433"/>
      <c r="O1034" s="437" t="s">
        <v>85</v>
      </c>
      <c r="P1034" s="433">
        <v>290</v>
      </c>
      <c r="Q1034" s="437">
        <v>293</v>
      </c>
      <c r="R1034" s="437" t="s">
        <v>8364</v>
      </c>
      <c r="S1034" s="438">
        <v>46247</v>
      </c>
      <c r="T1034" s="438">
        <v>46177</v>
      </c>
      <c r="U1034" s="438"/>
      <c r="V1034" s="439"/>
      <c r="W1034" s="439">
        <v>46178</v>
      </c>
      <c r="X1034" s="439">
        <v>46247</v>
      </c>
      <c r="Y1034" s="420"/>
      <c r="Z1034" s="224" t="str">
        <f t="shared" si="96"/>
        <v>AG. MEDIÇÃO</v>
      </c>
      <c r="AA1034" s="207" t="str">
        <f t="shared" si="97"/>
        <v>ENTREGUE</v>
      </c>
      <c r="AB1034" s="207" t="str">
        <f t="shared" si="98"/>
        <v>AG. MEDIÇÃO</v>
      </c>
      <c r="AC1034" s="156">
        <f t="shared" ca="1" si="99"/>
        <v>1</v>
      </c>
      <c r="AD1034" s="156" t="str">
        <f t="shared" ca="1" si="100"/>
        <v>NO PRAZO</v>
      </c>
      <c r="AE1034" s="156">
        <f t="shared" ca="1" si="101"/>
        <v>-2</v>
      </c>
    </row>
    <row r="1035" spans="1:31" ht="36" hidden="1" customHeight="1">
      <c r="A1035" s="414"/>
      <c r="B1035" s="440" t="s">
        <v>3484</v>
      </c>
      <c r="C1035" s="440" t="s">
        <v>425</v>
      </c>
      <c r="D1035" s="440"/>
      <c r="E1035" s="440"/>
      <c r="F1035" s="440" t="s">
        <v>1408</v>
      </c>
      <c r="G1035" s="441" t="s">
        <v>3485</v>
      </c>
      <c r="H1035" s="440" t="s">
        <v>3486</v>
      </c>
      <c r="I1035" s="441" t="s">
        <v>3487</v>
      </c>
      <c r="J1035" s="450">
        <v>45352</v>
      </c>
      <c r="K1035" s="429" t="s">
        <v>2493</v>
      </c>
      <c r="L1035" s="444" t="s">
        <v>1130</v>
      </c>
      <c r="M1035" s="444" t="s">
        <v>3488</v>
      </c>
      <c r="N1035" s="441" t="s">
        <v>2572</v>
      </c>
      <c r="O1035" s="445" t="s">
        <v>85</v>
      </c>
      <c r="P1035" s="445"/>
      <c r="Q1035" s="441">
        <v>1100</v>
      </c>
      <c r="R1035" s="445" t="s">
        <v>3489</v>
      </c>
      <c r="S1035" s="446">
        <v>45377</v>
      </c>
      <c r="T1035" s="446">
        <v>45364</v>
      </c>
      <c r="U1035" s="446">
        <v>45365</v>
      </c>
      <c r="V1035" s="446">
        <v>45366</v>
      </c>
      <c r="W1035" s="447">
        <v>45372</v>
      </c>
      <c r="X1035" s="447" t="s">
        <v>8044</v>
      </c>
      <c r="Y1035" s="420"/>
      <c r="Z1035" s="224" t="str">
        <f t="shared" si="96"/>
        <v>AG. MEDIÇÃO</v>
      </c>
      <c r="AA1035" s="207" t="str">
        <f t="shared" si="97"/>
        <v>ENTREGUE</v>
      </c>
      <c r="AB1035" s="207" t="str">
        <f t="shared" si="98"/>
        <v>AG. MEDIÇÃO</v>
      </c>
      <c r="AC1035" s="156">
        <f t="shared" ca="1" si="99"/>
        <v>6</v>
      </c>
      <c r="AD1035" s="156" t="str">
        <f t="shared" ca="1" si="100"/>
        <v>ATRASADO</v>
      </c>
      <c r="AE1035" s="156">
        <f t="shared" ca="1" si="101"/>
        <v>3</v>
      </c>
    </row>
    <row r="1036" spans="1:31" ht="36" hidden="1" customHeight="1">
      <c r="A1036" s="414"/>
      <c r="B1036" s="429" t="s">
        <v>7283</v>
      </c>
      <c r="C1036" s="429" t="s">
        <v>571</v>
      </c>
      <c r="D1036" s="429" t="s">
        <v>581</v>
      </c>
      <c r="E1036" s="429" t="s">
        <v>572</v>
      </c>
      <c r="F1036" s="429" t="s">
        <v>42</v>
      </c>
      <c r="G1036" s="433" t="s">
        <v>7291</v>
      </c>
      <c r="H1036" s="652" t="s">
        <v>7292</v>
      </c>
      <c r="I1036" s="433" t="s">
        <v>7290</v>
      </c>
      <c r="J1036" s="432">
        <v>46113</v>
      </c>
      <c r="K1036" s="429" t="s">
        <v>2493</v>
      </c>
      <c r="L1036" s="436"/>
      <c r="M1036" s="436" t="s">
        <v>62</v>
      </c>
      <c r="N1036" s="433"/>
      <c r="O1036" s="437"/>
      <c r="P1036" s="433" t="s">
        <v>2494</v>
      </c>
      <c r="Q1036" s="437" t="s">
        <v>2494</v>
      </c>
      <c r="R1036" s="437" t="s">
        <v>2516</v>
      </c>
      <c r="S1036" s="438">
        <v>46163</v>
      </c>
      <c r="T1036" s="438">
        <v>46129</v>
      </c>
      <c r="U1036" s="438"/>
      <c r="V1036" s="439"/>
      <c r="W1036" s="439">
        <v>46134</v>
      </c>
      <c r="X1036" s="439">
        <v>46163</v>
      </c>
      <c r="Y1036" s="420"/>
      <c r="Z1036" s="224" t="str">
        <f t="shared" si="96"/>
        <v>AG. MEDIÇÃO</v>
      </c>
      <c r="AA1036" s="207" t="str">
        <f t="shared" si="97"/>
        <v>ENTREGUE</v>
      </c>
      <c r="AB1036" s="207" t="str">
        <f t="shared" si="98"/>
        <v>AG. MEDIÇÃO</v>
      </c>
      <c r="AC1036" s="156">
        <f t="shared" ca="1" si="99"/>
        <v>3</v>
      </c>
      <c r="AD1036" s="156" t="str">
        <f t="shared" ca="1" si="100"/>
        <v>NO PRAZO</v>
      </c>
      <c r="AE1036" s="156">
        <f t="shared" ca="1" si="101"/>
        <v>0</v>
      </c>
    </row>
    <row r="1037" spans="1:31" ht="36" hidden="1" customHeight="1">
      <c r="A1037" s="414"/>
      <c r="B1037" s="440" t="s">
        <v>3275</v>
      </c>
      <c r="C1037" s="440" t="s">
        <v>241</v>
      </c>
      <c r="D1037" s="440"/>
      <c r="E1037" s="440"/>
      <c r="F1037" s="440" t="s">
        <v>42</v>
      </c>
      <c r="G1037" s="441" t="s">
        <v>3276</v>
      </c>
      <c r="H1037" s="440" t="s">
        <v>3277</v>
      </c>
      <c r="I1037" s="449"/>
      <c r="J1037" s="450">
        <v>45231</v>
      </c>
      <c r="K1037" s="429" t="s">
        <v>2493</v>
      </c>
      <c r="L1037" s="444"/>
      <c r="M1037" s="444" t="s">
        <v>3278</v>
      </c>
      <c r="N1037" s="441" t="s">
        <v>2572</v>
      </c>
      <c r="O1037" s="445" t="s">
        <v>2573</v>
      </c>
      <c r="P1037" s="441" t="s">
        <v>2494</v>
      </c>
      <c r="Q1037" s="441" t="s">
        <v>2494</v>
      </c>
      <c r="R1037" s="445" t="s">
        <v>3279</v>
      </c>
      <c r="S1037" s="446">
        <v>45273</v>
      </c>
      <c r="T1037" s="446">
        <v>45260</v>
      </c>
      <c r="U1037" s="446"/>
      <c r="V1037" s="446">
        <v>45261</v>
      </c>
      <c r="W1037" s="446">
        <v>45261</v>
      </c>
      <c r="X1037" s="447" t="s">
        <v>8044</v>
      </c>
      <c r="Y1037" s="420"/>
      <c r="Z1037" s="224" t="str">
        <f t="shared" si="96"/>
        <v>AG. MEDIÇÃO</v>
      </c>
      <c r="AA1037" s="207" t="str">
        <f t="shared" si="97"/>
        <v>ENTREGUE</v>
      </c>
      <c r="AB1037" s="207" t="str">
        <f t="shared" si="98"/>
        <v>AG. MEDIÇÃO</v>
      </c>
      <c r="AC1037" s="156">
        <f t="shared" ca="1" si="99"/>
        <v>1</v>
      </c>
      <c r="AD1037" s="156" t="str">
        <f t="shared" ca="1" si="100"/>
        <v>NO PRAZO</v>
      </c>
      <c r="AE1037" s="156">
        <f t="shared" ca="1" si="101"/>
        <v>-2</v>
      </c>
    </row>
    <row r="1038" spans="1:31" ht="36" hidden="1" customHeight="1">
      <c r="A1038" s="414"/>
      <c r="B1038" s="440" t="s">
        <v>4234</v>
      </c>
      <c r="C1038" s="440" t="s">
        <v>328</v>
      </c>
      <c r="D1038" s="440" t="s">
        <v>111</v>
      </c>
      <c r="E1038" s="440" t="s">
        <v>329</v>
      </c>
      <c r="F1038" s="440" t="s">
        <v>42</v>
      </c>
      <c r="G1038" s="441" t="s">
        <v>4235</v>
      </c>
      <c r="H1038" s="440" t="s">
        <v>4236</v>
      </c>
      <c r="I1038" s="441" t="s">
        <v>4237</v>
      </c>
      <c r="J1038" s="450">
        <v>45505</v>
      </c>
      <c r="K1038" s="429" t="s">
        <v>2493</v>
      </c>
      <c r="L1038" s="444"/>
      <c r="M1038" s="444" t="s">
        <v>51</v>
      </c>
      <c r="N1038" s="441" t="s">
        <v>2572</v>
      </c>
      <c r="O1038" s="445" t="s">
        <v>85</v>
      </c>
      <c r="P1038" s="441" t="s">
        <v>2494</v>
      </c>
      <c r="Q1038" s="441" t="s">
        <v>2494</v>
      </c>
      <c r="R1038" s="445" t="s">
        <v>4238</v>
      </c>
      <c r="S1038" s="446">
        <v>45545</v>
      </c>
      <c r="T1038" s="446">
        <v>45525</v>
      </c>
      <c r="U1038" s="446">
        <v>45540</v>
      </c>
      <c r="V1038" s="447">
        <v>45540</v>
      </c>
      <c r="W1038" s="447">
        <v>45541</v>
      </c>
      <c r="X1038" s="447" t="s">
        <v>8044</v>
      </c>
      <c r="Y1038" s="420"/>
      <c r="Z1038" s="224" t="str">
        <f t="shared" si="96"/>
        <v>AG. MEDIÇÃO</v>
      </c>
      <c r="AA1038" s="207" t="str">
        <f t="shared" si="97"/>
        <v>ENTREGUE</v>
      </c>
      <c r="AB1038" s="207" t="str">
        <f t="shared" si="98"/>
        <v>AG. MEDIÇÃO</v>
      </c>
      <c r="AC1038" s="156">
        <f t="shared" ca="1" si="99"/>
        <v>12</v>
      </c>
      <c r="AD1038" s="156" t="str">
        <f t="shared" ca="1" si="100"/>
        <v>ATRASADO</v>
      </c>
      <c r="AE1038" s="156">
        <f t="shared" ca="1" si="101"/>
        <v>9</v>
      </c>
    </row>
    <row r="1039" spans="1:31" ht="36" hidden="1" customHeight="1">
      <c r="A1039" s="414"/>
      <c r="B1039" s="440" t="s">
        <v>5712</v>
      </c>
      <c r="C1039" s="440" t="s">
        <v>267</v>
      </c>
      <c r="D1039" s="440" t="s">
        <v>4682</v>
      </c>
      <c r="E1039" s="440" t="s">
        <v>268</v>
      </c>
      <c r="F1039" s="440" t="s">
        <v>42</v>
      </c>
      <c r="G1039" s="441"/>
      <c r="H1039" s="440" t="s">
        <v>5713</v>
      </c>
      <c r="I1039" s="441" t="s">
        <v>5714</v>
      </c>
      <c r="J1039" s="450">
        <v>45901</v>
      </c>
      <c r="K1039" s="429" t="s">
        <v>2493</v>
      </c>
      <c r="L1039" s="444" t="s">
        <v>94</v>
      </c>
      <c r="M1039" s="444" t="s">
        <v>1155</v>
      </c>
      <c r="N1039" s="441"/>
      <c r="O1039" s="445"/>
      <c r="P1039" s="441"/>
      <c r="Q1039" s="445"/>
      <c r="R1039" s="445" t="s">
        <v>5715</v>
      </c>
      <c r="S1039" s="446" t="s">
        <v>4682</v>
      </c>
      <c r="T1039" s="446"/>
      <c r="U1039" s="446"/>
      <c r="V1039" s="447"/>
      <c r="W1039" s="447">
        <v>45925</v>
      </c>
      <c r="X1039" s="447" t="s">
        <v>8044</v>
      </c>
      <c r="Y1039" s="420"/>
      <c r="Z1039" s="224" t="str">
        <f t="shared" si="96"/>
        <v>AG. MEDIÇÃO</v>
      </c>
      <c r="AA1039" s="207" t="str">
        <f t="shared" si="97"/>
        <v>ENTREGUE</v>
      </c>
      <c r="AB1039" s="207" t="str">
        <f t="shared" si="98"/>
        <v>AG. MEDIÇÃO</v>
      </c>
      <c r="AC1039" s="156" t="str">
        <f t="shared" ca="1" si="99"/>
        <v>DATA ENTRADA</v>
      </c>
      <c r="AD1039" s="156" t="str">
        <f t="shared" ca="1" si="100"/>
        <v>ATRASADO</v>
      </c>
      <c r="AE1039" s="156" t="str">
        <f t="shared" ca="1" si="101"/>
        <v>DATA ENTRADA</v>
      </c>
    </row>
    <row r="1040" spans="1:31" ht="36" hidden="1" customHeight="1">
      <c r="A1040" s="414"/>
      <c r="B1040" s="429" t="s">
        <v>7742</v>
      </c>
      <c r="C1040" s="430" t="s">
        <v>555</v>
      </c>
      <c r="D1040" s="430" t="s">
        <v>577</v>
      </c>
      <c r="E1040" s="432" t="s">
        <v>556</v>
      </c>
      <c r="F1040" s="429" t="s">
        <v>42</v>
      </c>
      <c r="G1040" s="434"/>
      <c r="H1040" s="636" t="s">
        <v>7716</v>
      </c>
      <c r="I1040" s="433" t="s">
        <v>7717</v>
      </c>
      <c r="J1040" s="432">
        <v>46174</v>
      </c>
      <c r="K1040" s="429" t="s">
        <v>2493</v>
      </c>
      <c r="L1040" s="436" t="s">
        <v>124</v>
      </c>
      <c r="M1040" s="436" t="s">
        <v>77</v>
      </c>
      <c r="N1040" s="433"/>
      <c r="O1040" s="437" t="s">
        <v>85</v>
      </c>
      <c r="P1040" s="433">
        <v>190</v>
      </c>
      <c r="Q1040" s="437">
        <v>200</v>
      </c>
      <c r="R1040" s="437" t="s">
        <v>8021</v>
      </c>
      <c r="S1040" s="438">
        <v>46209</v>
      </c>
      <c r="T1040" s="438">
        <v>46178</v>
      </c>
      <c r="U1040" s="438"/>
      <c r="V1040" s="439"/>
      <c r="W1040" s="439">
        <v>46186</v>
      </c>
      <c r="X1040" s="439">
        <v>46209</v>
      </c>
      <c r="Y1040" s="420"/>
      <c r="Z1040" s="224" t="str">
        <f t="shared" si="96"/>
        <v>AG. MEDIÇÃO</v>
      </c>
      <c r="AA1040" s="207" t="str">
        <f t="shared" si="97"/>
        <v>ENTREGUE</v>
      </c>
      <c r="AB1040" s="207" t="str">
        <f t="shared" si="98"/>
        <v>AG. MEDIÇÃO</v>
      </c>
      <c r="AC1040" s="156">
        <f t="shared" ca="1" si="99"/>
        <v>5</v>
      </c>
      <c r="AD1040" s="156" t="str">
        <f t="shared" ca="1" si="100"/>
        <v>ATRASADO</v>
      </c>
      <c r="AE1040" s="156">
        <f t="shared" ca="1" si="101"/>
        <v>2</v>
      </c>
    </row>
    <row r="1041" spans="1:31" ht="36" hidden="1" customHeight="1">
      <c r="A1041" s="414"/>
      <c r="B1041" s="440" t="s">
        <v>3790</v>
      </c>
      <c r="C1041" s="440" t="s">
        <v>311</v>
      </c>
      <c r="D1041" s="440" t="s">
        <v>630</v>
      </c>
      <c r="E1041" s="440" t="s">
        <v>312</v>
      </c>
      <c r="F1041" s="440" t="s">
        <v>42</v>
      </c>
      <c r="G1041" s="441" t="s">
        <v>3348</v>
      </c>
      <c r="H1041" s="440" t="s">
        <v>3791</v>
      </c>
      <c r="I1041" s="441" t="s">
        <v>3792</v>
      </c>
      <c r="J1041" s="450">
        <v>45383</v>
      </c>
      <c r="K1041" s="429" t="s">
        <v>2493</v>
      </c>
      <c r="L1041" s="444" t="s">
        <v>3105</v>
      </c>
      <c r="M1041" s="444" t="s">
        <v>109</v>
      </c>
      <c r="N1041" s="441" t="s">
        <v>2572</v>
      </c>
      <c r="O1041" s="445" t="s">
        <v>85</v>
      </c>
      <c r="P1041" s="445"/>
      <c r="Q1041" s="441">
        <v>320</v>
      </c>
      <c r="R1041" s="445" t="s">
        <v>3793</v>
      </c>
      <c r="S1041" s="446">
        <v>45469</v>
      </c>
      <c r="T1041" s="446">
        <v>45412</v>
      </c>
      <c r="U1041" s="446">
        <v>45448</v>
      </c>
      <c r="V1041" s="447">
        <v>45449</v>
      </c>
      <c r="W1041" s="447">
        <v>45449</v>
      </c>
      <c r="X1041" s="447" t="s">
        <v>8044</v>
      </c>
      <c r="Y1041" s="420"/>
      <c r="Z1041" s="224" t="str">
        <f t="shared" si="96"/>
        <v>AG. MEDIÇÃO</v>
      </c>
      <c r="AA1041" s="207" t="str">
        <f t="shared" si="97"/>
        <v>ENTREGUE</v>
      </c>
      <c r="AB1041" s="207" t="str">
        <f t="shared" si="98"/>
        <v>AG. MEDIÇÃO</v>
      </c>
      <c r="AC1041" s="156">
        <f t="shared" ca="1" si="99"/>
        <v>27</v>
      </c>
      <c r="AD1041" s="156" t="str">
        <f t="shared" ca="1" si="100"/>
        <v>ATRASADO</v>
      </c>
      <c r="AE1041" s="156">
        <f t="shared" ca="1" si="101"/>
        <v>24</v>
      </c>
    </row>
    <row r="1042" spans="1:31" ht="36" hidden="1" customHeight="1">
      <c r="A1042" s="414"/>
      <c r="B1042" s="440" t="s">
        <v>3920</v>
      </c>
      <c r="C1042" s="440" t="s">
        <v>674</v>
      </c>
      <c r="D1042" s="440"/>
      <c r="E1042" s="440"/>
      <c r="F1042" s="440" t="s">
        <v>833</v>
      </c>
      <c r="G1042" s="441" t="s">
        <v>3921</v>
      </c>
      <c r="H1042" s="440"/>
      <c r="I1042" s="441" t="s">
        <v>3922</v>
      </c>
      <c r="J1042" s="450">
        <v>45444</v>
      </c>
      <c r="K1042" s="429" t="s">
        <v>2493</v>
      </c>
      <c r="L1042" s="444" t="s">
        <v>124</v>
      </c>
      <c r="M1042" s="444" t="s">
        <v>51</v>
      </c>
      <c r="N1042" s="441" t="s">
        <v>2572</v>
      </c>
      <c r="O1042" s="445" t="s">
        <v>85</v>
      </c>
      <c r="P1042" s="445"/>
      <c r="Q1042" s="441">
        <v>480</v>
      </c>
      <c r="R1042" s="445" t="s">
        <v>3923</v>
      </c>
      <c r="S1042" s="446">
        <v>45497</v>
      </c>
      <c r="T1042" s="446">
        <v>45471</v>
      </c>
      <c r="U1042" s="446">
        <v>45472</v>
      </c>
      <c r="V1042" s="446">
        <v>45473</v>
      </c>
      <c r="W1042" s="447">
        <v>45473</v>
      </c>
      <c r="X1042" s="447" t="s">
        <v>8044</v>
      </c>
      <c r="Y1042" s="420"/>
      <c r="Z1042" s="224" t="str">
        <f t="shared" si="96"/>
        <v>AG. MEDIÇÃO</v>
      </c>
      <c r="AA1042" s="207" t="str">
        <f t="shared" si="97"/>
        <v>ENTREGUE</v>
      </c>
      <c r="AB1042" s="207" t="str">
        <f t="shared" si="98"/>
        <v>AG. MEDIÇÃO</v>
      </c>
      <c r="AC1042" s="156">
        <f t="shared" ca="1" si="99"/>
        <v>0</v>
      </c>
      <c r="AD1042" s="156" t="str">
        <f t="shared" ca="1" si="100"/>
        <v>NO PRAZO</v>
      </c>
      <c r="AE1042" s="156">
        <f t="shared" ca="1" si="101"/>
        <v>-3</v>
      </c>
    </row>
    <row r="1043" spans="1:31" ht="36" hidden="1" customHeight="1">
      <c r="A1043" s="414"/>
      <c r="B1043" s="440" t="s">
        <v>4089</v>
      </c>
      <c r="C1043" s="440" t="s">
        <v>711</v>
      </c>
      <c r="D1043" s="440" t="s">
        <v>4090</v>
      </c>
      <c r="E1043" s="440" t="s">
        <v>712</v>
      </c>
      <c r="F1043" s="440" t="s">
        <v>42</v>
      </c>
      <c r="G1043" s="441" t="s">
        <v>4091</v>
      </c>
      <c r="H1043" s="440"/>
      <c r="I1043" s="441" t="s">
        <v>4092</v>
      </c>
      <c r="J1043" s="450">
        <v>45474</v>
      </c>
      <c r="K1043" s="429" t="s">
        <v>2493</v>
      </c>
      <c r="L1043" s="444"/>
      <c r="M1043" s="444" t="s">
        <v>827</v>
      </c>
      <c r="N1043" s="441" t="s">
        <v>2572</v>
      </c>
      <c r="O1043" s="445" t="s">
        <v>85</v>
      </c>
      <c r="P1043" s="441" t="s">
        <v>2494</v>
      </c>
      <c r="Q1043" s="441" t="s">
        <v>2494</v>
      </c>
      <c r="R1043" s="445" t="s">
        <v>4093</v>
      </c>
      <c r="S1043" s="446">
        <v>45532</v>
      </c>
      <c r="T1043" s="446">
        <v>45502</v>
      </c>
      <c r="U1043" s="446">
        <v>45506</v>
      </c>
      <c r="V1043" s="447">
        <v>45506</v>
      </c>
      <c r="W1043" s="447">
        <v>45506</v>
      </c>
      <c r="X1043" s="447" t="s">
        <v>8044</v>
      </c>
      <c r="Y1043" s="420"/>
      <c r="Z1043" s="224" t="str">
        <f t="shared" si="96"/>
        <v>AG. MEDIÇÃO</v>
      </c>
      <c r="AA1043" s="207" t="str">
        <f t="shared" si="97"/>
        <v>ENTREGUE</v>
      </c>
      <c r="AB1043" s="207" t="str">
        <f t="shared" si="98"/>
        <v>AG. MEDIÇÃO</v>
      </c>
      <c r="AC1043" s="156">
        <f t="shared" ca="1" si="99"/>
        <v>4</v>
      </c>
      <c r="AD1043" s="156" t="str">
        <f t="shared" ca="1" si="100"/>
        <v>ATRASADO</v>
      </c>
      <c r="AE1043" s="156">
        <f t="shared" ca="1" si="101"/>
        <v>1</v>
      </c>
    </row>
    <row r="1044" spans="1:31" ht="36" hidden="1" customHeight="1">
      <c r="A1044" s="414"/>
      <c r="B1044" s="429" t="s">
        <v>8499</v>
      </c>
      <c r="C1044" s="429" t="s">
        <v>1197</v>
      </c>
      <c r="D1044" s="429"/>
      <c r="E1044" s="429"/>
      <c r="F1044" s="429" t="s">
        <v>42</v>
      </c>
      <c r="G1044" s="433" t="s">
        <v>8531</v>
      </c>
      <c r="H1044" s="652" t="s">
        <v>8532</v>
      </c>
      <c r="I1044" s="433" t="s">
        <v>8533</v>
      </c>
      <c r="J1044" s="599">
        <v>46235</v>
      </c>
      <c r="K1044" s="429" t="s">
        <v>2493</v>
      </c>
      <c r="L1044" s="436"/>
      <c r="M1044" s="436" t="s">
        <v>7910</v>
      </c>
      <c r="N1044" s="433"/>
      <c r="O1044" s="433" t="s">
        <v>85</v>
      </c>
      <c r="P1044" s="433" t="s">
        <v>2494</v>
      </c>
      <c r="Q1044" s="433" t="s">
        <v>2494</v>
      </c>
      <c r="R1044" s="437" t="s">
        <v>8547</v>
      </c>
      <c r="S1044" s="438">
        <v>46262</v>
      </c>
      <c r="T1044" s="438">
        <v>46261</v>
      </c>
      <c r="U1044" s="438"/>
      <c r="V1044" s="438"/>
      <c r="W1044" s="439">
        <v>46261</v>
      </c>
      <c r="X1044" s="439">
        <v>46262</v>
      </c>
      <c r="Y1044" s="420"/>
      <c r="Z1044" s="224" t="str">
        <f t="shared" si="96"/>
        <v>AG. MEDIÇÃO</v>
      </c>
      <c r="AA1044" s="207" t="str">
        <f t="shared" si="97"/>
        <v>ENTREGUE</v>
      </c>
      <c r="AB1044" s="207" t="str">
        <f t="shared" si="98"/>
        <v>AG. MEDIÇÃO</v>
      </c>
      <c r="AC1044" s="156">
        <f t="shared" ca="1" si="99"/>
        <v>0</v>
      </c>
      <c r="AD1044" s="156" t="str">
        <f t="shared" ca="1" si="100"/>
        <v>NO PRAZO</v>
      </c>
      <c r="AE1044" s="156">
        <f t="shared" ca="1" si="101"/>
        <v>-3</v>
      </c>
    </row>
    <row r="1045" spans="1:31" ht="36" hidden="1" customHeight="1">
      <c r="A1045" s="414"/>
      <c r="B1045" s="667" t="s">
        <v>8500</v>
      </c>
      <c r="C1045" s="667" t="s">
        <v>425</v>
      </c>
      <c r="D1045" s="667"/>
      <c r="E1045" s="667"/>
      <c r="F1045" s="667" t="s">
        <v>42</v>
      </c>
      <c r="G1045" s="668" t="s">
        <v>8540</v>
      </c>
      <c r="H1045" s="670" t="s">
        <v>8541</v>
      </c>
      <c r="I1045" s="668" t="s">
        <v>8542</v>
      </c>
      <c r="J1045" s="671">
        <v>46235</v>
      </c>
      <c r="K1045" s="667" t="s">
        <v>2269</v>
      </c>
      <c r="L1045" s="500"/>
      <c r="M1045" s="500" t="s">
        <v>7910</v>
      </c>
      <c r="N1045" s="668"/>
      <c r="O1045" s="668"/>
      <c r="P1045" s="668" t="s">
        <v>2494</v>
      </c>
      <c r="Q1045" s="668" t="s">
        <v>2494</v>
      </c>
      <c r="R1045" s="672"/>
      <c r="S1045" s="673"/>
      <c r="T1045" s="673">
        <v>46261</v>
      </c>
      <c r="U1045" s="673"/>
      <c r="V1045" s="673"/>
      <c r="W1045" s="674"/>
      <c r="X1045" s="674"/>
      <c r="Y1045" s="420"/>
      <c r="Z1045" s="224" t="str">
        <f t="shared" si="96"/>
        <v>AG. RELATÓRIO</v>
      </c>
      <c r="AA1045" s="207" t="str">
        <f t="shared" si="97"/>
        <v>PENDENTE</v>
      </c>
      <c r="AB1045" s="207" t="str">
        <f t="shared" si="98"/>
        <v>AG. RELATÓRIO</v>
      </c>
      <c r="AC1045" s="156">
        <f t="shared" ca="1" si="99"/>
        <v>14</v>
      </c>
      <c r="AD1045" s="156" t="str">
        <f t="shared" ca="1" si="100"/>
        <v>ATRASADO</v>
      </c>
      <c r="AE1045" s="156">
        <f t="shared" ca="1" si="101"/>
        <v>11</v>
      </c>
    </row>
    <row r="1046" spans="1:31" ht="36" hidden="1" customHeight="1">
      <c r="A1046" s="414"/>
      <c r="B1046" s="626" t="s">
        <v>8501</v>
      </c>
      <c r="C1046" s="626"/>
      <c r="D1046" s="626"/>
      <c r="E1046" s="626"/>
      <c r="F1046" s="626"/>
      <c r="G1046" s="627"/>
      <c r="H1046" s="669"/>
      <c r="I1046" s="627"/>
      <c r="J1046" s="628"/>
      <c r="K1046" s="626"/>
      <c r="L1046" s="629"/>
      <c r="M1046" s="629"/>
      <c r="N1046" s="627"/>
      <c r="O1046" s="627"/>
      <c r="P1046" s="627"/>
      <c r="Q1046" s="627"/>
      <c r="R1046" s="630"/>
      <c r="S1046" s="631"/>
      <c r="T1046" s="631"/>
      <c r="U1046" s="631"/>
      <c r="V1046" s="631"/>
      <c r="W1046" s="569"/>
      <c r="X1046" s="569"/>
      <c r="Y1046" s="420"/>
      <c r="Z1046" s="224" t="str">
        <f t="shared" si="96"/>
        <v>AG. RELATÓRIO</v>
      </c>
      <c r="AA1046" s="207" t="str">
        <f t="shared" si="97"/>
        <v>PENDENTE</v>
      </c>
      <c r="AB1046" s="207" t="str">
        <f t="shared" si="98"/>
        <v>AG. RELATÓRIO</v>
      </c>
      <c r="AC1046" s="156" t="str">
        <f t="shared" ca="1" si="99"/>
        <v>DATA ENTRADA</v>
      </c>
      <c r="AD1046" s="156" t="str">
        <f t="shared" ca="1" si="100"/>
        <v>ATRASADO</v>
      </c>
      <c r="AE1046" s="156" t="str">
        <f t="shared" ca="1" si="101"/>
        <v>DATA ENTRADA</v>
      </c>
    </row>
    <row r="1047" spans="1:31" ht="36" hidden="1" customHeight="1">
      <c r="A1047" s="414"/>
      <c r="B1047" s="626" t="s">
        <v>8502</v>
      </c>
      <c r="C1047" s="626"/>
      <c r="D1047" s="626"/>
      <c r="E1047" s="626"/>
      <c r="F1047" s="626" t="s">
        <v>8534</v>
      </c>
      <c r="G1047" s="627"/>
      <c r="H1047" s="669"/>
      <c r="I1047" s="627"/>
      <c r="J1047" s="628"/>
      <c r="K1047" s="626"/>
      <c r="L1047" s="629"/>
      <c r="M1047" s="629"/>
      <c r="N1047" s="627"/>
      <c r="O1047" s="627"/>
      <c r="P1047" s="627"/>
      <c r="Q1047" s="627"/>
      <c r="R1047" s="630"/>
      <c r="S1047" s="631"/>
      <c r="T1047" s="631"/>
      <c r="U1047" s="631"/>
      <c r="V1047" s="631"/>
      <c r="W1047" s="569"/>
      <c r="X1047" s="569"/>
      <c r="Y1047" s="420"/>
      <c r="Z1047" s="224" t="str">
        <f t="shared" si="96"/>
        <v>AG. RELATÓRIO</v>
      </c>
      <c r="AA1047" s="207" t="str">
        <f t="shared" si="97"/>
        <v>PENDENTE</v>
      </c>
      <c r="AB1047" s="207" t="str">
        <f t="shared" si="98"/>
        <v>AG. RELATÓRIO</v>
      </c>
      <c r="AC1047" s="156" t="str">
        <f t="shared" ca="1" si="99"/>
        <v>DATA ENTRADA</v>
      </c>
      <c r="AD1047" s="156" t="str">
        <f t="shared" ca="1" si="100"/>
        <v>ATRASADO</v>
      </c>
      <c r="AE1047" s="156" t="str">
        <f t="shared" ca="1" si="101"/>
        <v>DATA ENTRADA</v>
      </c>
    </row>
    <row r="1048" spans="1:31" ht="36" hidden="1" customHeight="1">
      <c r="A1048" s="414"/>
      <c r="B1048" s="626" t="s">
        <v>8503</v>
      </c>
      <c r="C1048" s="626"/>
      <c r="D1048" s="626"/>
      <c r="E1048" s="626"/>
      <c r="F1048" s="626"/>
      <c r="G1048" s="627"/>
      <c r="H1048" s="669"/>
      <c r="I1048" s="627"/>
      <c r="J1048" s="628"/>
      <c r="K1048" s="626"/>
      <c r="L1048" s="629"/>
      <c r="M1048" s="629"/>
      <c r="N1048" s="627"/>
      <c r="O1048" s="627"/>
      <c r="P1048" s="627"/>
      <c r="Q1048" s="627"/>
      <c r="R1048" s="630"/>
      <c r="S1048" s="631"/>
      <c r="T1048" s="631"/>
      <c r="U1048" s="631"/>
      <c r="V1048" s="631"/>
      <c r="W1048" s="569"/>
      <c r="X1048" s="569"/>
      <c r="Y1048" s="420"/>
      <c r="Z1048" s="224" t="str">
        <f t="shared" si="96"/>
        <v>AG. RELATÓRIO</v>
      </c>
      <c r="AA1048" s="207" t="str">
        <f t="shared" si="97"/>
        <v>PENDENTE</v>
      </c>
      <c r="AB1048" s="207" t="str">
        <f t="shared" si="98"/>
        <v>AG. RELATÓRIO</v>
      </c>
      <c r="AC1048" s="156" t="str">
        <f t="shared" ca="1" si="99"/>
        <v>DATA ENTRADA</v>
      </c>
      <c r="AD1048" s="156" t="str">
        <f t="shared" ca="1" si="100"/>
        <v>ATRASADO</v>
      </c>
      <c r="AE1048" s="156" t="str">
        <f t="shared" ca="1" si="101"/>
        <v>DATA ENTRADA</v>
      </c>
    </row>
    <row r="1049" spans="1:31" ht="36" hidden="1" customHeight="1">
      <c r="A1049" s="414"/>
      <c r="B1049" s="626" t="s">
        <v>8504</v>
      </c>
      <c r="C1049" s="626"/>
      <c r="D1049" s="626"/>
      <c r="E1049" s="626"/>
      <c r="F1049" s="626"/>
      <c r="G1049" s="627"/>
      <c r="H1049" s="669"/>
      <c r="I1049" s="627"/>
      <c r="J1049" s="628"/>
      <c r="K1049" s="626"/>
      <c r="L1049" s="629"/>
      <c r="M1049" s="629"/>
      <c r="N1049" s="627"/>
      <c r="O1049" s="627"/>
      <c r="P1049" s="627"/>
      <c r="Q1049" s="627"/>
      <c r="R1049" s="630"/>
      <c r="S1049" s="631"/>
      <c r="T1049" s="631"/>
      <c r="U1049" s="631"/>
      <c r="V1049" s="631"/>
      <c r="W1049" s="569"/>
      <c r="X1049" s="569"/>
      <c r="Y1049" s="420"/>
      <c r="Z1049" s="224" t="str">
        <f t="shared" si="96"/>
        <v>AG. RELATÓRIO</v>
      </c>
      <c r="AA1049" s="207" t="str">
        <f t="shared" si="97"/>
        <v>PENDENTE</v>
      </c>
      <c r="AB1049" s="207" t="str">
        <f t="shared" si="98"/>
        <v>AG. RELATÓRIO</v>
      </c>
      <c r="AC1049" s="156" t="str">
        <f t="shared" ca="1" si="99"/>
        <v>DATA ENTRADA</v>
      </c>
      <c r="AD1049" s="156" t="str">
        <f t="shared" ca="1" si="100"/>
        <v>ATRASADO</v>
      </c>
      <c r="AE1049" s="156" t="str">
        <f t="shared" ca="1" si="101"/>
        <v>DATA ENTRADA</v>
      </c>
    </row>
    <row r="1050" spans="1:31" ht="36" hidden="1" customHeight="1">
      <c r="A1050" s="414"/>
      <c r="B1050" s="619" t="s">
        <v>8505</v>
      </c>
      <c r="C1050" s="619"/>
      <c r="D1050" s="619"/>
      <c r="E1050" s="619"/>
      <c r="F1050" s="619"/>
      <c r="G1050" s="620"/>
      <c r="H1050" s="653"/>
      <c r="I1050" s="620"/>
      <c r="J1050" s="621"/>
      <c r="K1050" s="619"/>
      <c r="L1050" s="622"/>
      <c r="M1050" s="622"/>
      <c r="N1050" s="620"/>
      <c r="O1050" s="620"/>
      <c r="P1050" s="620"/>
      <c r="Q1050" s="620"/>
      <c r="R1050" s="623"/>
      <c r="S1050" s="624"/>
      <c r="T1050" s="624"/>
      <c r="U1050" s="624"/>
      <c r="V1050" s="624"/>
      <c r="W1050" s="625"/>
      <c r="X1050" s="625"/>
      <c r="Y1050" s="420"/>
      <c r="Z1050" s="224" t="str">
        <f t="shared" si="96"/>
        <v>AG. RELATÓRIO</v>
      </c>
      <c r="AA1050" s="207" t="str">
        <f t="shared" si="97"/>
        <v>PENDENTE</v>
      </c>
      <c r="AB1050" s="207" t="str">
        <f t="shared" si="98"/>
        <v>AG. RELATÓRIO</v>
      </c>
      <c r="AC1050" s="601" t="str">
        <f t="shared" ca="1" si="99"/>
        <v>DATA ENTRADA</v>
      </c>
      <c r="AD1050" s="601" t="str">
        <f t="shared" ca="1" si="100"/>
        <v>ATRASADO</v>
      </c>
      <c r="AE1050" s="601" t="str">
        <f t="shared" ca="1" si="101"/>
        <v>DATA ENTRADA</v>
      </c>
    </row>
    <row r="1051" spans="1:31" ht="36" hidden="1" customHeight="1">
      <c r="A1051" s="414"/>
      <c r="B1051" s="626" t="s">
        <v>8506</v>
      </c>
      <c r="C1051" s="626"/>
      <c r="D1051" s="626"/>
      <c r="E1051" s="626"/>
      <c r="F1051" s="626"/>
      <c r="G1051" s="627"/>
      <c r="H1051" s="669"/>
      <c r="I1051" s="627"/>
      <c r="J1051" s="628"/>
      <c r="K1051" s="626"/>
      <c r="L1051" s="629"/>
      <c r="M1051" s="629"/>
      <c r="N1051" s="627"/>
      <c r="O1051" s="627"/>
      <c r="P1051" s="627"/>
      <c r="Q1051" s="627"/>
      <c r="R1051" s="630"/>
      <c r="S1051" s="631"/>
      <c r="T1051" s="631"/>
      <c r="U1051" s="631"/>
      <c r="V1051" s="631"/>
      <c r="W1051" s="569"/>
      <c r="X1051" s="569"/>
      <c r="Y1051" s="569"/>
      <c r="Z1051" s="224" t="str">
        <f t="shared" si="96"/>
        <v>AG. RELATÓRIO</v>
      </c>
      <c r="AA1051" s="207" t="str">
        <f t="shared" si="97"/>
        <v>PENDENTE</v>
      </c>
      <c r="AB1051" s="207" t="str">
        <f t="shared" si="98"/>
        <v>AG. RELATÓRIO</v>
      </c>
      <c r="AC1051" s="156" t="str">
        <f t="shared" ca="1" si="99"/>
        <v>DATA ENTRADA</v>
      </c>
      <c r="AD1051" s="156" t="str">
        <f t="shared" ca="1" si="100"/>
        <v>ATRASADO</v>
      </c>
      <c r="AE1051" s="156" t="str">
        <f t="shared" ca="1" si="101"/>
        <v>DATA ENTRADA</v>
      </c>
    </row>
    <row r="1052" spans="1:31" ht="36" hidden="1" customHeight="1">
      <c r="A1052" s="414"/>
      <c r="B1052" s="626" t="s">
        <v>8507</v>
      </c>
      <c r="C1052" s="626"/>
      <c r="D1052" s="626"/>
      <c r="E1052" s="626"/>
      <c r="F1052" s="626"/>
      <c r="G1052" s="627"/>
      <c r="H1052" s="669"/>
      <c r="I1052" s="627"/>
      <c r="J1052" s="628"/>
      <c r="K1052" s="626"/>
      <c r="L1052" s="629"/>
      <c r="M1052" s="629"/>
      <c r="N1052" s="627"/>
      <c r="O1052" s="627"/>
      <c r="P1052" s="627"/>
      <c r="Q1052" s="627"/>
      <c r="R1052" s="630"/>
      <c r="S1052" s="631"/>
      <c r="T1052" s="631"/>
      <c r="U1052" s="631"/>
      <c r="V1052" s="631"/>
      <c r="W1052" s="569"/>
      <c r="X1052" s="569"/>
      <c r="Y1052" s="569"/>
      <c r="Z1052" s="224" t="str">
        <f t="shared" si="96"/>
        <v>AG. RELATÓRIO</v>
      </c>
      <c r="AA1052" s="207" t="str">
        <f t="shared" si="97"/>
        <v>PENDENTE</v>
      </c>
      <c r="AB1052" s="207" t="str">
        <f t="shared" si="98"/>
        <v>AG. RELATÓRIO</v>
      </c>
      <c r="AC1052" s="156" t="str">
        <f t="shared" ca="1" si="99"/>
        <v>DATA ENTRADA</v>
      </c>
      <c r="AD1052" s="156" t="str">
        <f t="shared" ca="1" si="100"/>
        <v>ATRASADO</v>
      </c>
      <c r="AE1052" s="156" t="str">
        <f t="shared" ca="1" si="101"/>
        <v>DATA ENTRADA</v>
      </c>
    </row>
    <row r="1053" spans="1:31" ht="36" hidden="1" customHeight="1">
      <c r="A1053" s="414"/>
      <c r="B1053" s="626" t="s">
        <v>8508</v>
      </c>
      <c r="C1053" s="626"/>
      <c r="D1053" s="626"/>
      <c r="E1053" s="626"/>
      <c r="F1053" s="626"/>
      <c r="G1053" s="627"/>
      <c r="H1053" s="626"/>
      <c r="I1053" s="627"/>
      <c r="J1053" s="628"/>
      <c r="K1053" s="626"/>
      <c r="L1053" s="629"/>
      <c r="M1053" s="629"/>
      <c r="N1053" s="627"/>
      <c r="O1053" s="627"/>
      <c r="P1053" s="627"/>
      <c r="Q1053" s="627"/>
      <c r="R1053" s="630"/>
      <c r="S1053" s="631"/>
      <c r="T1053" s="631"/>
      <c r="U1053" s="631"/>
      <c r="V1053" s="631"/>
      <c r="W1053" s="569"/>
      <c r="X1053" s="569"/>
      <c r="Y1053" s="569"/>
      <c r="Z1053" s="224" t="str">
        <f t="shared" si="96"/>
        <v>AG. RELATÓRIO</v>
      </c>
      <c r="AA1053" s="207" t="str">
        <f t="shared" si="97"/>
        <v>PENDENTE</v>
      </c>
      <c r="AB1053" s="207" t="str">
        <f t="shared" si="98"/>
        <v>AG. RELATÓRIO</v>
      </c>
      <c r="AC1053" s="156" t="str">
        <f t="shared" ca="1" si="99"/>
        <v>DATA ENTRADA</v>
      </c>
      <c r="AD1053" s="156" t="str">
        <f t="shared" ca="1" si="100"/>
        <v>ATRASADO</v>
      </c>
      <c r="AE1053" s="156" t="str">
        <f t="shared" ca="1" si="101"/>
        <v>DATA ENTRADA</v>
      </c>
    </row>
    <row r="1054" spans="1:31" ht="27" hidden="1" customHeight="1">
      <c r="A1054" s="414"/>
      <c r="B1054" s="492" t="s">
        <v>5872</v>
      </c>
      <c r="C1054" s="492"/>
      <c r="D1054" s="492"/>
      <c r="E1054" s="492"/>
      <c r="F1054" s="492" t="s">
        <v>42</v>
      </c>
      <c r="G1054" s="493" t="s">
        <v>5873</v>
      </c>
      <c r="H1054" s="492" t="s">
        <v>5874</v>
      </c>
      <c r="I1054" s="533"/>
      <c r="J1054" s="508">
        <v>44927</v>
      </c>
      <c r="K1054" s="494" t="s">
        <v>2427</v>
      </c>
      <c r="L1054" s="495"/>
      <c r="M1054" s="495"/>
      <c r="N1054" s="493" t="s">
        <v>5875</v>
      </c>
      <c r="O1054" s="496"/>
      <c r="P1054" s="496"/>
      <c r="Q1054" s="496"/>
      <c r="R1054" s="495"/>
      <c r="S1054" s="497"/>
      <c r="T1054" s="497">
        <v>44928</v>
      </c>
      <c r="U1054" s="497">
        <v>44928</v>
      </c>
      <c r="V1054" s="498">
        <v>44935</v>
      </c>
      <c r="W1054" s="498" t="s">
        <v>2427</v>
      </c>
      <c r="X1054" s="602" t="s">
        <v>8044</v>
      </c>
      <c r="Y1054" s="569"/>
      <c r="Z1054" s="224" t="str">
        <f t="shared" si="96"/>
        <v>CANCELADO</v>
      </c>
      <c r="AA1054" s="207" t="str">
        <f t="shared" si="97"/>
        <v>CANCELADO</v>
      </c>
      <c r="AB1054" s="207" t="str">
        <f t="shared" si="98"/>
        <v>CANCELADO</v>
      </c>
      <c r="AC1054" s="156" t="str">
        <f t="shared" ca="1" si="99"/>
        <v>CANCELADO</v>
      </c>
      <c r="AD1054" s="156" t="str">
        <f t="shared" ca="1" si="100"/>
        <v>ATRASADO</v>
      </c>
      <c r="AE1054" s="156" t="str">
        <f t="shared" ca="1" si="101"/>
        <v>CANCELADO</v>
      </c>
    </row>
    <row r="1055" spans="1:31" ht="27" hidden="1" customHeight="1">
      <c r="A1055" s="414"/>
      <c r="B1055" s="492" t="s">
        <v>5876</v>
      </c>
      <c r="C1055" s="492" t="s">
        <v>567</v>
      </c>
      <c r="D1055" s="492"/>
      <c r="E1055" s="492"/>
      <c r="F1055" s="492" t="s">
        <v>42</v>
      </c>
      <c r="G1055" s="493" t="s">
        <v>5877</v>
      </c>
      <c r="H1055" s="492" t="s">
        <v>5878</v>
      </c>
      <c r="I1055" s="509"/>
      <c r="J1055" s="510">
        <v>44986</v>
      </c>
      <c r="K1055" s="494" t="s">
        <v>2427</v>
      </c>
      <c r="L1055" s="498" t="s">
        <v>5879</v>
      </c>
      <c r="M1055" s="498" t="s">
        <v>2762</v>
      </c>
      <c r="N1055" s="493" t="s">
        <v>2572</v>
      </c>
      <c r="O1055" s="493"/>
      <c r="P1055" s="493"/>
      <c r="Q1055" s="493" t="s">
        <v>5880</v>
      </c>
      <c r="R1055" s="511" t="s">
        <v>5881</v>
      </c>
      <c r="S1055" s="498"/>
      <c r="T1055" s="497">
        <v>44974</v>
      </c>
      <c r="U1055" s="497">
        <v>44995</v>
      </c>
      <c r="V1055" s="498">
        <v>45016</v>
      </c>
      <c r="W1055" s="498" t="s">
        <v>2427</v>
      </c>
      <c r="X1055" s="602" t="s">
        <v>8044</v>
      </c>
      <c r="Y1055" s="569"/>
      <c r="Z1055" s="224" t="str">
        <f t="shared" si="96"/>
        <v>CANCELADO</v>
      </c>
      <c r="AA1055" s="207" t="str">
        <f t="shared" si="97"/>
        <v>CANCELADO</v>
      </c>
      <c r="AB1055" s="207" t="str">
        <f t="shared" si="98"/>
        <v>CANCELADO</v>
      </c>
      <c r="AC1055" s="156" t="str">
        <f t="shared" ca="1" si="99"/>
        <v>CANCELADO</v>
      </c>
      <c r="AD1055" s="156" t="str">
        <f t="shared" ca="1" si="100"/>
        <v>ATRASADO</v>
      </c>
      <c r="AE1055" s="156" t="str">
        <f t="shared" ca="1" si="101"/>
        <v>CANCELADO</v>
      </c>
    </row>
    <row r="1056" spans="1:31" ht="27" hidden="1" customHeight="1">
      <c r="A1056" s="414"/>
      <c r="B1056" s="492" t="s">
        <v>5882</v>
      </c>
      <c r="C1056" s="492" t="s">
        <v>4760</v>
      </c>
      <c r="D1056" s="492"/>
      <c r="E1056" s="492"/>
      <c r="F1056" s="492" t="s">
        <v>42</v>
      </c>
      <c r="G1056" s="493" t="s">
        <v>5883</v>
      </c>
      <c r="H1056" s="492" t="s">
        <v>5884</v>
      </c>
      <c r="I1056" s="509"/>
      <c r="J1056" s="510">
        <v>44986</v>
      </c>
      <c r="K1056" s="494" t="s">
        <v>2427</v>
      </c>
      <c r="L1056" s="495"/>
      <c r="M1056" s="495"/>
      <c r="N1056" s="493" t="s">
        <v>5875</v>
      </c>
      <c r="O1056" s="493"/>
      <c r="P1056" s="493"/>
      <c r="Q1056" s="493"/>
      <c r="R1056" s="496"/>
      <c r="S1056" s="497"/>
      <c r="T1056" s="497">
        <v>44979</v>
      </c>
      <c r="U1056" s="497">
        <v>44998</v>
      </c>
      <c r="V1056" s="498">
        <v>45005</v>
      </c>
      <c r="W1056" s="498" t="s">
        <v>2427</v>
      </c>
      <c r="X1056" s="602" t="s">
        <v>8044</v>
      </c>
      <c r="Y1056" s="569"/>
      <c r="Z1056" s="224" t="str">
        <f t="shared" si="96"/>
        <v>CANCELADO</v>
      </c>
      <c r="AA1056" s="207" t="str">
        <f t="shared" si="97"/>
        <v>CANCELADO</v>
      </c>
      <c r="AB1056" s="207" t="str">
        <f t="shared" si="98"/>
        <v>CANCELADO</v>
      </c>
      <c r="AC1056" s="156" t="str">
        <f t="shared" ca="1" si="99"/>
        <v>CANCELADO</v>
      </c>
      <c r="AD1056" s="156" t="str">
        <f t="shared" ca="1" si="100"/>
        <v>ATRASADO</v>
      </c>
      <c r="AE1056" s="156" t="str">
        <f t="shared" ca="1" si="101"/>
        <v>CANCELADO</v>
      </c>
    </row>
    <row r="1057" spans="1:31" ht="27" hidden="1" customHeight="1">
      <c r="A1057" s="414"/>
      <c r="B1057" s="600" t="s">
        <v>5885</v>
      </c>
      <c r="C1057" s="600" t="s">
        <v>150</v>
      </c>
      <c r="D1057" s="600"/>
      <c r="E1057" s="600"/>
      <c r="F1057" s="600" t="s">
        <v>42</v>
      </c>
      <c r="G1057" s="679" t="s">
        <v>5886</v>
      </c>
      <c r="H1057" s="600" t="s">
        <v>5887</v>
      </c>
      <c r="I1057" s="684"/>
      <c r="J1057" s="688">
        <v>44986</v>
      </c>
      <c r="K1057" s="687" t="s">
        <v>2427</v>
      </c>
      <c r="L1057" s="495"/>
      <c r="M1057" s="495"/>
      <c r="N1057" s="493"/>
      <c r="O1057" s="493"/>
      <c r="P1057" s="493"/>
      <c r="Q1057" s="493"/>
      <c r="R1057" s="496"/>
      <c r="S1057" s="696"/>
      <c r="T1057" s="696">
        <v>45000</v>
      </c>
      <c r="U1057" s="696">
        <v>45001</v>
      </c>
      <c r="V1057" s="696">
        <v>45010</v>
      </c>
      <c r="W1057" s="698" t="s">
        <v>2427</v>
      </c>
      <c r="X1057" s="700" t="s">
        <v>8044</v>
      </c>
      <c r="Y1057" s="569"/>
      <c r="Z1057" s="224" t="str">
        <f t="shared" si="96"/>
        <v>CANCELADO</v>
      </c>
      <c r="AA1057" s="207" t="str">
        <f t="shared" si="97"/>
        <v>CANCELADO</v>
      </c>
      <c r="AB1057" s="207" t="str">
        <f t="shared" si="98"/>
        <v>CANCELADO</v>
      </c>
      <c r="AC1057" s="156" t="str">
        <f t="shared" ca="1" si="99"/>
        <v>CANCELADO</v>
      </c>
      <c r="AD1057" s="156" t="str">
        <f t="shared" ca="1" si="100"/>
        <v>ATRASADO</v>
      </c>
      <c r="AE1057" s="156" t="str">
        <f t="shared" ca="1" si="101"/>
        <v>CANCELADO</v>
      </c>
    </row>
    <row r="1058" spans="1:31" ht="27" hidden="1" customHeight="1">
      <c r="A1058" s="414"/>
      <c r="B1058" s="600" t="s">
        <v>5864</v>
      </c>
      <c r="C1058" s="600" t="s">
        <v>5865</v>
      </c>
      <c r="D1058" s="600"/>
      <c r="E1058" s="600"/>
      <c r="F1058" s="600" t="s">
        <v>42</v>
      </c>
      <c r="G1058" s="679" t="s">
        <v>5866</v>
      </c>
      <c r="H1058" s="600" t="s">
        <v>5867</v>
      </c>
      <c r="I1058" s="684"/>
      <c r="J1058" s="686">
        <v>45047</v>
      </c>
      <c r="K1058" s="687" t="s">
        <v>2427</v>
      </c>
      <c r="L1058" s="495" t="s">
        <v>5868</v>
      </c>
      <c r="M1058" s="495"/>
      <c r="N1058" s="496"/>
      <c r="O1058" s="496"/>
      <c r="P1058" s="496"/>
      <c r="Q1058" s="496"/>
      <c r="R1058" s="496"/>
      <c r="S1058" s="696"/>
      <c r="T1058" s="696"/>
      <c r="U1058" s="696"/>
      <c r="V1058" s="696"/>
      <c r="W1058" s="698" t="s">
        <v>2427</v>
      </c>
      <c r="X1058" s="700" t="s">
        <v>8044</v>
      </c>
      <c r="Y1058" s="420"/>
      <c r="Z1058" s="224" t="str">
        <f t="shared" si="96"/>
        <v>CANCELADO</v>
      </c>
      <c r="AA1058" s="207" t="str">
        <f t="shared" si="97"/>
        <v>CANCELADO</v>
      </c>
      <c r="AB1058" s="207" t="str">
        <f t="shared" si="98"/>
        <v>CANCELADO</v>
      </c>
      <c r="AC1058" s="156" t="str">
        <f t="shared" ca="1" si="99"/>
        <v>CANCELADO</v>
      </c>
      <c r="AD1058" s="156" t="str">
        <f t="shared" ca="1" si="100"/>
        <v>ATRASADO</v>
      </c>
      <c r="AE1058" s="156" t="str">
        <f t="shared" ca="1" si="101"/>
        <v>CANCELADO</v>
      </c>
    </row>
    <row r="1059" spans="1:31" ht="27" hidden="1" customHeight="1">
      <c r="A1059" s="414"/>
      <c r="B1059" s="600" t="s">
        <v>5869</v>
      </c>
      <c r="C1059" s="600" t="s">
        <v>3876</v>
      </c>
      <c r="D1059" s="600"/>
      <c r="E1059" s="600"/>
      <c r="F1059" s="600" t="s">
        <v>42</v>
      </c>
      <c r="G1059" s="679" t="s">
        <v>5870</v>
      </c>
      <c r="H1059" s="600" t="s">
        <v>5871</v>
      </c>
      <c r="I1059" s="684"/>
      <c r="J1059" s="687">
        <v>45078</v>
      </c>
      <c r="K1059" s="687" t="s">
        <v>2427</v>
      </c>
      <c r="L1059" s="495"/>
      <c r="M1059" s="495"/>
      <c r="N1059" s="496"/>
      <c r="O1059" s="496"/>
      <c r="P1059" s="496"/>
      <c r="Q1059" s="496"/>
      <c r="R1059" s="496"/>
      <c r="S1059" s="497"/>
      <c r="T1059" s="696">
        <v>45107</v>
      </c>
      <c r="U1059" s="696"/>
      <c r="V1059" s="696"/>
      <c r="W1059" s="698" t="s">
        <v>2427</v>
      </c>
      <c r="X1059" s="700" t="s">
        <v>8044</v>
      </c>
      <c r="Y1059" s="420"/>
      <c r="Z1059" s="224" t="str">
        <f t="shared" si="96"/>
        <v>CANCELADO</v>
      </c>
      <c r="AA1059" s="207" t="str">
        <f t="shared" si="97"/>
        <v>CANCELADO</v>
      </c>
      <c r="AB1059" s="207" t="str">
        <f t="shared" si="98"/>
        <v>CANCELADO</v>
      </c>
      <c r="AC1059" s="156" t="str">
        <f t="shared" ca="1" si="99"/>
        <v>CANCELADO</v>
      </c>
      <c r="AD1059" s="156" t="str">
        <f t="shared" ca="1" si="100"/>
        <v>ATRASADO</v>
      </c>
      <c r="AE1059" s="156" t="str">
        <f t="shared" ca="1" si="101"/>
        <v>CANCELADO</v>
      </c>
    </row>
    <row r="1060" spans="1:31" ht="27" hidden="1" customHeight="1">
      <c r="A1060" s="414"/>
      <c r="B1060" s="600" t="s">
        <v>5888</v>
      </c>
      <c r="C1060" s="600" t="s">
        <v>232</v>
      </c>
      <c r="D1060" s="600"/>
      <c r="E1060" s="600"/>
      <c r="F1060" s="600" t="s">
        <v>42</v>
      </c>
      <c r="G1060" s="679"/>
      <c r="H1060" s="600" t="s">
        <v>5889</v>
      </c>
      <c r="I1060" s="679"/>
      <c r="J1060" s="687">
        <v>45383</v>
      </c>
      <c r="K1060" s="687" t="s">
        <v>2427</v>
      </c>
      <c r="L1060" s="495" t="s">
        <v>1208</v>
      </c>
      <c r="M1060" s="495" t="s">
        <v>51</v>
      </c>
      <c r="N1060" s="496"/>
      <c r="O1060" s="496"/>
      <c r="P1060" s="496"/>
      <c r="Q1060" s="493" t="s">
        <v>5890</v>
      </c>
      <c r="R1060" s="511" t="s">
        <v>5891</v>
      </c>
      <c r="S1060" s="497"/>
      <c r="T1060" s="696">
        <v>45383</v>
      </c>
      <c r="U1060" s="696">
        <v>45383</v>
      </c>
      <c r="V1060" s="696"/>
      <c r="W1060" s="698" t="s">
        <v>2427</v>
      </c>
      <c r="X1060" s="700" t="s">
        <v>8044</v>
      </c>
      <c r="Y1060" s="420"/>
      <c r="Z1060" s="224" t="str">
        <f t="shared" si="96"/>
        <v>CANCELADO</v>
      </c>
      <c r="AA1060" s="207" t="str">
        <f t="shared" si="97"/>
        <v>CANCELADO</v>
      </c>
      <c r="AB1060" s="207" t="str">
        <f t="shared" si="98"/>
        <v>CANCELADO</v>
      </c>
      <c r="AC1060" s="156" t="str">
        <f t="shared" ca="1" si="99"/>
        <v>CANCELADO</v>
      </c>
      <c r="AD1060" s="156" t="str">
        <f t="shared" ca="1" si="100"/>
        <v>ATRASADO</v>
      </c>
      <c r="AE1060" s="156" t="str">
        <f t="shared" ca="1" si="101"/>
        <v>CANCELADO</v>
      </c>
    </row>
    <row r="1061" spans="1:31" ht="27" hidden="1" customHeight="1">
      <c r="A1061" s="414"/>
      <c r="B1061" s="600" t="s">
        <v>5892</v>
      </c>
      <c r="C1061" s="600" t="s">
        <v>2496</v>
      </c>
      <c r="D1061" s="600"/>
      <c r="E1061" s="600"/>
      <c r="F1061" s="600" t="s">
        <v>2498</v>
      </c>
      <c r="G1061" s="679"/>
      <c r="H1061" s="600" t="s">
        <v>5893</v>
      </c>
      <c r="I1061" s="679" t="s">
        <v>5894</v>
      </c>
      <c r="J1061" s="687">
        <v>45689</v>
      </c>
      <c r="K1061" s="687" t="s">
        <v>2427</v>
      </c>
      <c r="L1061" s="689"/>
      <c r="M1061" s="689" t="s">
        <v>2501</v>
      </c>
      <c r="N1061" s="679"/>
      <c r="O1061" s="694"/>
      <c r="P1061" s="679" t="s">
        <v>2494</v>
      </c>
      <c r="Q1061" s="694" t="s">
        <v>2494</v>
      </c>
      <c r="R1061" s="694" t="s">
        <v>5895</v>
      </c>
      <c r="S1061" s="696"/>
      <c r="T1061" s="696">
        <v>45692</v>
      </c>
      <c r="U1061" s="696">
        <v>45700</v>
      </c>
      <c r="V1061" s="698">
        <v>45714</v>
      </c>
      <c r="W1061" s="698" t="s">
        <v>2427</v>
      </c>
      <c r="X1061" s="700" t="s">
        <v>8044</v>
      </c>
      <c r="Y1061" s="420"/>
      <c r="Z1061" s="224" t="str">
        <f t="shared" si="96"/>
        <v>CANCELADO</v>
      </c>
      <c r="AA1061" s="207" t="str">
        <f t="shared" si="97"/>
        <v>CANCELADO</v>
      </c>
      <c r="AB1061" s="207" t="str">
        <f t="shared" si="98"/>
        <v>CANCELADO</v>
      </c>
      <c r="AC1061" s="156" t="str">
        <f t="shared" ca="1" si="99"/>
        <v>CANCELADO</v>
      </c>
      <c r="AD1061" s="156" t="str">
        <f t="shared" ca="1" si="100"/>
        <v>ATRASADO</v>
      </c>
      <c r="AE1061" s="156" t="str">
        <f t="shared" ca="1" si="101"/>
        <v>CANCELADO</v>
      </c>
    </row>
    <row r="1062" spans="1:31" ht="27" hidden="1" customHeight="1">
      <c r="A1062" s="414"/>
      <c r="B1062" s="600" t="s">
        <v>5896</v>
      </c>
      <c r="C1062" s="600" t="s">
        <v>2531</v>
      </c>
      <c r="D1062" s="600"/>
      <c r="E1062" s="600" t="s">
        <v>5897</v>
      </c>
      <c r="F1062" s="600" t="s">
        <v>5898</v>
      </c>
      <c r="G1062" s="679" t="s">
        <v>4654</v>
      </c>
      <c r="H1062" s="600" t="s">
        <v>5899</v>
      </c>
      <c r="I1062" s="679" t="s">
        <v>5900</v>
      </c>
      <c r="J1062" s="687">
        <v>45689</v>
      </c>
      <c r="K1062" s="687" t="s">
        <v>2427</v>
      </c>
      <c r="L1062" s="689"/>
      <c r="M1062" s="689" t="s">
        <v>827</v>
      </c>
      <c r="N1062" s="679"/>
      <c r="O1062" s="694"/>
      <c r="P1062" s="679" t="s">
        <v>2494</v>
      </c>
      <c r="Q1062" s="694" t="s">
        <v>2494</v>
      </c>
      <c r="R1062" s="694" t="s">
        <v>5895</v>
      </c>
      <c r="S1062" s="696"/>
      <c r="T1062" s="696">
        <v>45694</v>
      </c>
      <c r="U1062" s="696">
        <v>45707</v>
      </c>
      <c r="V1062" s="698"/>
      <c r="W1062" s="698" t="s">
        <v>2427</v>
      </c>
      <c r="X1062" s="700" t="s">
        <v>8044</v>
      </c>
      <c r="Y1062" s="420"/>
      <c r="Z1062" s="224" t="str">
        <f t="shared" si="96"/>
        <v>CANCELADO</v>
      </c>
      <c r="AA1062" s="207" t="str">
        <f t="shared" si="97"/>
        <v>CANCELADO</v>
      </c>
      <c r="AB1062" s="207" t="str">
        <f t="shared" si="98"/>
        <v>CANCELADO</v>
      </c>
      <c r="AC1062" s="156" t="str">
        <f t="shared" ca="1" si="99"/>
        <v>CANCELADO</v>
      </c>
      <c r="AD1062" s="156" t="str">
        <f t="shared" ca="1" si="100"/>
        <v>ATRASADO</v>
      </c>
      <c r="AE1062" s="156" t="str">
        <f t="shared" ca="1" si="101"/>
        <v>CANCELADO</v>
      </c>
    </row>
    <row r="1063" spans="1:31" ht="27" hidden="1" customHeight="1">
      <c r="A1063" s="414"/>
      <c r="B1063" s="600" t="s">
        <v>5901</v>
      </c>
      <c r="C1063" s="600" t="s">
        <v>4873</v>
      </c>
      <c r="D1063" s="600"/>
      <c r="E1063" s="600" t="s">
        <v>4874</v>
      </c>
      <c r="F1063" s="600" t="s">
        <v>4875</v>
      </c>
      <c r="G1063" s="679" t="s">
        <v>4654</v>
      </c>
      <c r="H1063" s="600" t="s">
        <v>5902</v>
      </c>
      <c r="I1063" s="679" t="s">
        <v>5903</v>
      </c>
      <c r="J1063" s="687">
        <v>45689</v>
      </c>
      <c r="K1063" s="687" t="s">
        <v>2427</v>
      </c>
      <c r="L1063" s="689"/>
      <c r="M1063" s="689" t="s">
        <v>827</v>
      </c>
      <c r="N1063" s="679"/>
      <c r="O1063" s="694"/>
      <c r="P1063" s="679" t="s">
        <v>2494</v>
      </c>
      <c r="Q1063" s="694" t="s">
        <v>2494</v>
      </c>
      <c r="R1063" s="694"/>
      <c r="S1063" s="696"/>
      <c r="T1063" s="696">
        <v>45694</v>
      </c>
      <c r="U1063" s="696">
        <v>45707</v>
      </c>
      <c r="V1063" s="698"/>
      <c r="W1063" s="698" t="s">
        <v>2427</v>
      </c>
      <c r="X1063" s="700" t="s">
        <v>8044</v>
      </c>
      <c r="Y1063" s="420"/>
      <c r="Z1063" s="224" t="str">
        <f t="shared" si="96"/>
        <v>CANCELADO</v>
      </c>
      <c r="AA1063" s="207" t="str">
        <f t="shared" si="97"/>
        <v>CANCELADO</v>
      </c>
      <c r="AB1063" s="207" t="str">
        <f t="shared" si="98"/>
        <v>CANCELADO</v>
      </c>
      <c r="AC1063" s="156" t="str">
        <f t="shared" ca="1" si="99"/>
        <v>CANCELADO</v>
      </c>
      <c r="AD1063" s="156" t="str">
        <f t="shared" ca="1" si="100"/>
        <v>ATRASADO</v>
      </c>
      <c r="AE1063" s="156" t="str">
        <f t="shared" ca="1" si="101"/>
        <v>CANCELADO</v>
      </c>
    </row>
    <row r="1064" spans="1:31" ht="27" hidden="1" customHeight="1">
      <c r="A1064" s="414"/>
      <c r="B1064" s="600" t="s">
        <v>5904</v>
      </c>
      <c r="C1064" s="600" t="s">
        <v>248</v>
      </c>
      <c r="D1064" s="600" t="s">
        <v>440</v>
      </c>
      <c r="E1064" s="600" t="s">
        <v>249</v>
      </c>
      <c r="F1064" s="600" t="s">
        <v>42</v>
      </c>
      <c r="G1064" s="679" t="s">
        <v>5905</v>
      </c>
      <c r="H1064" s="600" t="s">
        <v>5906</v>
      </c>
      <c r="I1064" s="679" t="s">
        <v>5907</v>
      </c>
      <c r="J1064" s="687">
        <v>45717</v>
      </c>
      <c r="K1064" s="687" t="s">
        <v>2427</v>
      </c>
      <c r="L1064" s="689"/>
      <c r="M1064" s="689"/>
      <c r="N1064" s="679"/>
      <c r="O1064" s="694"/>
      <c r="P1064" s="679"/>
      <c r="Q1064" s="694"/>
      <c r="R1064" s="694" t="s">
        <v>5908</v>
      </c>
      <c r="S1064" s="696"/>
      <c r="T1064" s="696">
        <v>45737</v>
      </c>
      <c r="U1064" s="696"/>
      <c r="V1064" s="698"/>
      <c r="W1064" s="698" t="s">
        <v>2427</v>
      </c>
      <c r="X1064" s="700" t="s">
        <v>8044</v>
      </c>
      <c r="Y1064" s="420"/>
      <c r="Z1064" s="224" t="str">
        <f t="shared" si="96"/>
        <v>CANCELADO</v>
      </c>
      <c r="AA1064" s="207" t="str">
        <f t="shared" si="97"/>
        <v>CANCELADO</v>
      </c>
      <c r="AB1064" s="207" t="str">
        <f t="shared" si="98"/>
        <v>CANCELADO</v>
      </c>
      <c r="AC1064" s="156" t="str">
        <f t="shared" ca="1" si="99"/>
        <v>CANCELADO</v>
      </c>
      <c r="AD1064" s="156" t="str">
        <f t="shared" ca="1" si="100"/>
        <v>ATRASADO</v>
      </c>
      <c r="AE1064" s="156" t="str">
        <f t="shared" ca="1" si="101"/>
        <v>CANCELADO</v>
      </c>
    </row>
    <row r="1065" spans="1:31" ht="27" hidden="1" customHeight="1">
      <c r="A1065" s="414"/>
      <c r="B1065" s="600" t="s">
        <v>5909</v>
      </c>
      <c r="C1065" s="600" t="s">
        <v>705</v>
      </c>
      <c r="D1065" s="600" t="s">
        <v>5236</v>
      </c>
      <c r="E1065" s="600" t="s">
        <v>706</v>
      </c>
      <c r="F1065" s="600" t="s">
        <v>2559</v>
      </c>
      <c r="G1065" s="679" t="s">
        <v>5237</v>
      </c>
      <c r="H1065" s="600" t="s">
        <v>5910</v>
      </c>
      <c r="I1065" s="679" t="s">
        <v>5911</v>
      </c>
      <c r="J1065" s="687">
        <v>45778</v>
      </c>
      <c r="K1065" s="687" t="s">
        <v>2427</v>
      </c>
      <c r="L1065" s="689" t="s">
        <v>124</v>
      </c>
      <c r="M1065" s="689" t="s">
        <v>1122</v>
      </c>
      <c r="N1065" s="679"/>
      <c r="O1065" s="694"/>
      <c r="P1065" s="679">
        <v>360</v>
      </c>
      <c r="Q1065" s="694"/>
      <c r="R1065" s="694" t="s">
        <v>5912</v>
      </c>
      <c r="S1065" s="696"/>
      <c r="T1065" s="696">
        <v>45806</v>
      </c>
      <c r="U1065" s="696"/>
      <c r="V1065" s="698"/>
      <c r="W1065" s="698" t="s">
        <v>2427</v>
      </c>
      <c r="X1065" s="700" t="s">
        <v>8044</v>
      </c>
      <c r="Y1065" s="420"/>
      <c r="Z1065" s="224" t="str">
        <f t="shared" si="96"/>
        <v>CANCELADO</v>
      </c>
      <c r="AA1065" s="207" t="str">
        <f t="shared" si="97"/>
        <v>CANCELADO</v>
      </c>
      <c r="AB1065" s="207" t="str">
        <f t="shared" si="98"/>
        <v>CANCELADO</v>
      </c>
      <c r="AC1065" s="156" t="str">
        <f t="shared" ca="1" si="99"/>
        <v>CANCELADO</v>
      </c>
      <c r="AD1065" s="156" t="str">
        <f t="shared" ca="1" si="100"/>
        <v>ATRASADO</v>
      </c>
      <c r="AE1065" s="156" t="str">
        <f t="shared" ca="1" si="101"/>
        <v>CANCELADO</v>
      </c>
    </row>
    <row r="1066" spans="1:31" ht="27" hidden="1" customHeight="1">
      <c r="A1066" s="414"/>
      <c r="B1066" s="600" t="s">
        <v>5913</v>
      </c>
      <c r="C1066" s="600" t="s">
        <v>70</v>
      </c>
      <c r="D1066" s="600"/>
      <c r="E1066" s="600"/>
      <c r="F1066" s="600" t="s">
        <v>42</v>
      </c>
      <c r="G1066" s="679" t="s">
        <v>5914</v>
      </c>
      <c r="H1066" s="600"/>
      <c r="I1066" s="679" t="s">
        <v>5915</v>
      </c>
      <c r="J1066" s="687">
        <v>45870</v>
      </c>
      <c r="K1066" s="687" t="s">
        <v>2427</v>
      </c>
      <c r="L1066" s="689"/>
      <c r="M1066" s="689"/>
      <c r="N1066" s="679"/>
      <c r="O1066" s="694"/>
      <c r="P1066" s="679"/>
      <c r="Q1066" s="694"/>
      <c r="R1066" s="694"/>
      <c r="S1066" s="696"/>
      <c r="T1066" s="696">
        <v>45870</v>
      </c>
      <c r="U1066" s="696"/>
      <c r="V1066" s="698"/>
      <c r="W1066" s="698" t="s">
        <v>2427</v>
      </c>
      <c r="X1066" s="698" t="s">
        <v>8044</v>
      </c>
      <c r="Y1066" s="420"/>
      <c r="Z1066" s="224" t="str">
        <f t="shared" si="96"/>
        <v>CANCELADO</v>
      </c>
      <c r="AA1066" s="207" t="str">
        <f t="shared" si="97"/>
        <v>CANCELADO</v>
      </c>
      <c r="AB1066" s="207" t="str">
        <f t="shared" si="98"/>
        <v>CANCELADO</v>
      </c>
      <c r="AC1066" s="156" t="str">
        <f t="shared" ca="1" si="99"/>
        <v>CANCELADO</v>
      </c>
      <c r="AD1066" s="156" t="str">
        <f t="shared" ca="1" si="100"/>
        <v>ATRASADO</v>
      </c>
      <c r="AE1066" s="156" t="str">
        <f t="shared" ca="1" si="101"/>
        <v>CANCELADO</v>
      </c>
    </row>
    <row r="1067" spans="1:31" ht="27" hidden="1" customHeight="1">
      <c r="A1067" s="414"/>
      <c r="B1067" s="600" t="s">
        <v>5916</v>
      </c>
      <c r="C1067" s="600" t="s">
        <v>641</v>
      </c>
      <c r="D1067" s="600" t="s">
        <v>643</v>
      </c>
      <c r="E1067" s="600" t="s">
        <v>642</v>
      </c>
      <c r="F1067" s="600" t="s">
        <v>42</v>
      </c>
      <c r="G1067" s="679" t="s">
        <v>5917</v>
      </c>
      <c r="H1067" s="600" t="s">
        <v>5918</v>
      </c>
      <c r="I1067" s="679" t="s">
        <v>5919</v>
      </c>
      <c r="J1067" s="687">
        <v>45870</v>
      </c>
      <c r="K1067" s="687" t="s">
        <v>2427</v>
      </c>
      <c r="L1067" s="689" t="s">
        <v>200</v>
      </c>
      <c r="M1067" s="689" t="s">
        <v>200</v>
      </c>
      <c r="N1067" s="679"/>
      <c r="O1067" s="694"/>
      <c r="P1067" s="679"/>
      <c r="Q1067" s="694"/>
      <c r="R1067" s="694" t="s">
        <v>5920</v>
      </c>
      <c r="S1067" s="696"/>
      <c r="T1067" s="696">
        <v>45891</v>
      </c>
      <c r="U1067" s="696"/>
      <c r="V1067" s="698"/>
      <c r="W1067" s="698" t="s">
        <v>2427</v>
      </c>
      <c r="X1067" s="698" t="s">
        <v>8044</v>
      </c>
      <c r="Y1067" s="420"/>
      <c r="Z1067" s="224" t="str">
        <f t="shared" si="96"/>
        <v>CANCELADO</v>
      </c>
      <c r="AA1067" s="207" t="str">
        <f t="shared" si="97"/>
        <v>CANCELADO</v>
      </c>
      <c r="AB1067" s="207" t="str">
        <f t="shared" si="98"/>
        <v>CANCELADO</v>
      </c>
      <c r="AC1067" s="156" t="str">
        <f t="shared" ca="1" si="99"/>
        <v>CANCELADO</v>
      </c>
      <c r="AD1067" s="156" t="str">
        <f t="shared" ca="1" si="100"/>
        <v>ATRASADO</v>
      </c>
      <c r="AE1067" s="156" t="str">
        <f t="shared" ca="1" si="101"/>
        <v>CANCELADO</v>
      </c>
    </row>
    <row r="1068" spans="1:31" ht="27" hidden="1" customHeight="1">
      <c r="A1068" s="414"/>
      <c r="B1068" s="675" t="s">
        <v>7014</v>
      </c>
      <c r="C1068" s="676" t="s">
        <v>2531</v>
      </c>
      <c r="D1068" s="677"/>
      <c r="E1068" s="678" t="s">
        <v>7080</v>
      </c>
      <c r="F1068" s="675" t="s">
        <v>7031</v>
      </c>
      <c r="G1068" s="680"/>
      <c r="H1068" s="683" t="s">
        <v>7030</v>
      </c>
      <c r="I1068" s="685" t="s">
        <v>7032</v>
      </c>
      <c r="J1068" s="678">
        <v>46054</v>
      </c>
      <c r="K1068" s="687" t="s">
        <v>2427</v>
      </c>
      <c r="L1068" s="691"/>
      <c r="M1068" s="692"/>
      <c r="N1068" s="685"/>
      <c r="O1068" s="693"/>
      <c r="P1068" s="675"/>
      <c r="Q1068" s="692"/>
      <c r="R1068" s="693"/>
      <c r="S1068" s="697"/>
      <c r="T1068" s="697">
        <v>46073</v>
      </c>
      <c r="U1068" s="697"/>
      <c r="V1068" s="699"/>
      <c r="W1068" s="698" t="s">
        <v>2427</v>
      </c>
      <c r="X1068" s="699" t="s">
        <v>8044</v>
      </c>
      <c r="Y1068" s="420"/>
      <c r="Z1068" s="224" t="str">
        <f t="shared" si="96"/>
        <v>CANCELADO</v>
      </c>
      <c r="AA1068" s="207" t="str">
        <f t="shared" si="97"/>
        <v>CANCELADO</v>
      </c>
      <c r="AB1068" s="207" t="str">
        <f t="shared" si="98"/>
        <v>CANCELADO</v>
      </c>
      <c r="AC1068" s="156" t="str">
        <f t="shared" ca="1" si="99"/>
        <v>CANCELADO</v>
      </c>
      <c r="AD1068" s="156" t="str">
        <f t="shared" ca="1" si="100"/>
        <v>ATRASADO</v>
      </c>
      <c r="AE1068" s="156" t="str">
        <f t="shared" ca="1" si="101"/>
        <v>CANCELADO</v>
      </c>
    </row>
    <row r="1069" spans="1:31" ht="27" hidden="1" customHeight="1">
      <c r="A1069" s="414"/>
      <c r="B1069" s="675" t="s">
        <v>8249</v>
      </c>
      <c r="C1069" s="675" t="s">
        <v>160</v>
      </c>
      <c r="D1069" s="675" t="s">
        <v>160</v>
      </c>
      <c r="E1069" s="675" t="s">
        <v>161</v>
      </c>
      <c r="F1069" s="675" t="s">
        <v>42</v>
      </c>
      <c r="G1069" s="681" t="s">
        <v>8246</v>
      </c>
      <c r="H1069" s="681" t="s">
        <v>8247</v>
      </c>
      <c r="I1069" s="681" t="s">
        <v>8248</v>
      </c>
      <c r="J1069" s="678">
        <v>46235</v>
      </c>
      <c r="K1069" s="675" t="s">
        <v>2427</v>
      </c>
      <c r="L1069" s="692" t="s">
        <v>124</v>
      </c>
      <c r="M1069" s="692"/>
      <c r="N1069" s="693"/>
      <c r="O1069" s="693"/>
      <c r="P1069" s="692"/>
      <c r="Q1069" s="692">
        <v>1631</v>
      </c>
      <c r="R1069" s="695" t="s">
        <v>8488</v>
      </c>
      <c r="S1069" s="697"/>
      <c r="T1069" s="697">
        <v>46231</v>
      </c>
      <c r="U1069" s="697"/>
      <c r="V1069" s="697">
        <v>46233</v>
      </c>
      <c r="W1069" s="698" t="s">
        <v>2427</v>
      </c>
      <c r="X1069" s="699" t="s">
        <v>8044</v>
      </c>
      <c r="Y1069" s="605"/>
      <c r="Z1069" s="224" t="str">
        <f t="shared" si="96"/>
        <v>CANCELADO</v>
      </c>
      <c r="AA1069" s="207" t="str">
        <f t="shared" si="97"/>
        <v>CANCELADO</v>
      </c>
      <c r="AB1069" s="207" t="str">
        <f t="shared" si="98"/>
        <v>CANCELADO</v>
      </c>
      <c r="AC1069" s="156" t="str">
        <f t="shared" ca="1" si="99"/>
        <v>CANCELADO</v>
      </c>
      <c r="AD1069" s="156" t="str">
        <f t="shared" ca="1" si="100"/>
        <v>ATRASADO</v>
      </c>
      <c r="AE1069" s="156" t="str">
        <f t="shared" ca="1" si="101"/>
        <v>CANCELADO</v>
      </c>
    </row>
    <row r="1070" spans="1:31" ht="27" hidden="1" customHeight="1">
      <c r="A1070" s="414"/>
      <c r="B1070" s="675" t="s">
        <v>8392</v>
      </c>
      <c r="C1070" s="512" t="s">
        <v>1412</v>
      </c>
      <c r="D1070" s="512"/>
      <c r="E1070" s="512"/>
      <c r="F1070" s="512" t="s">
        <v>1415</v>
      </c>
      <c r="G1070" s="513" t="s">
        <v>8399</v>
      </c>
      <c r="H1070" s="512" t="s">
        <v>8400</v>
      </c>
      <c r="I1070" s="513" t="s">
        <v>8401</v>
      </c>
      <c r="J1070" s="613">
        <v>46235</v>
      </c>
      <c r="K1070" s="512" t="s">
        <v>5879</v>
      </c>
      <c r="L1070" s="514" t="s">
        <v>94</v>
      </c>
      <c r="M1070" s="514"/>
      <c r="N1070" s="513"/>
      <c r="O1070" s="513"/>
      <c r="P1070" s="512">
        <v>4000</v>
      </c>
      <c r="Q1070" s="512"/>
      <c r="R1070" s="515"/>
      <c r="S1070" s="516"/>
      <c r="T1070" s="516">
        <v>46252</v>
      </c>
      <c r="U1070" s="516"/>
      <c r="V1070" s="516"/>
      <c r="W1070" s="517" t="s">
        <v>5879</v>
      </c>
      <c r="X1070" s="517"/>
      <c r="Y1070" s="420"/>
      <c r="Z1070" s="224" t="str">
        <f t="shared" si="96"/>
        <v>AG. RELATÓRIO</v>
      </c>
      <c r="AA1070" s="207" t="str">
        <f t="shared" si="97"/>
        <v>PENDENTE</v>
      </c>
      <c r="AB1070" s="207" t="str">
        <f t="shared" si="98"/>
        <v>PARALISADO</v>
      </c>
      <c r="AC1070" s="156" t="str">
        <f t="shared" ca="1" si="99"/>
        <v>CHECAR DATA</v>
      </c>
      <c r="AD1070" s="156" t="str">
        <f t="shared" ca="1" si="100"/>
        <v>ATRASADO</v>
      </c>
      <c r="AE1070" s="156" t="str">
        <f t="shared" ca="1" si="101"/>
        <v>CHECAR DATA</v>
      </c>
    </row>
    <row r="1071" spans="1:31" ht="27" customHeight="1">
      <c r="A1071" s="414"/>
      <c r="B1071" s="414"/>
      <c r="C1071" s="415"/>
      <c r="D1071" s="415"/>
      <c r="E1071" s="415"/>
      <c r="F1071" s="415"/>
      <c r="G1071" s="416"/>
      <c r="H1071" s="415"/>
      <c r="I1071" s="416"/>
      <c r="J1071" s="414"/>
      <c r="K1071" s="414"/>
      <c r="L1071" s="414"/>
      <c r="M1071" s="414"/>
      <c r="N1071" s="416"/>
      <c r="O1071" s="416"/>
      <c r="P1071" s="415"/>
      <c r="Q1071" s="415"/>
      <c r="R1071" s="417"/>
      <c r="S1071" s="419"/>
      <c r="T1071" s="418"/>
      <c r="U1071" s="419"/>
      <c r="V1071" s="419"/>
      <c r="W1071" s="420"/>
      <c r="X1071" s="420"/>
      <c r="Y1071" s="420"/>
      <c r="Z1071" s="3"/>
      <c r="AA1071" s="7"/>
      <c r="AB1071" s="7"/>
      <c r="AC1071" s="7"/>
      <c r="AD1071" s="7"/>
      <c r="AE1071" s="7"/>
    </row>
    <row r="1072" spans="1:31" ht="27" customHeight="1">
      <c r="A1072" s="414"/>
      <c r="B1072" s="414"/>
      <c r="C1072" s="415"/>
      <c r="D1072" s="415"/>
      <c r="E1072" s="415"/>
      <c r="F1072" s="415"/>
      <c r="G1072" s="416"/>
      <c r="H1072" s="415"/>
      <c r="I1072" s="416"/>
      <c r="J1072" s="414"/>
      <c r="K1072" s="414"/>
      <c r="L1072" s="414"/>
      <c r="M1072" s="414"/>
      <c r="N1072" s="416"/>
      <c r="O1072" s="416"/>
      <c r="P1072" s="415"/>
      <c r="Q1072" s="415"/>
      <c r="R1072" s="417"/>
      <c r="S1072" s="419"/>
      <c r="T1072" s="418"/>
      <c r="U1072" s="419"/>
      <c r="V1072" s="419"/>
      <c r="W1072" s="420"/>
      <c r="X1072" s="420"/>
      <c r="Y1072" s="420"/>
      <c r="Z1072" s="3"/>
      <c r="AA1072" s="7"/>
      <c r="AB1072" s="7"/>
      <c r="AC1072" s="7"/>
      <c r="AD1072" s="7"/>
      <c r="AE1072" s="7"/>
    </row>
    <row r="1073" spans="1:31" ht="27" customHeight="1">
      <c r="A1073" s="414"/>
      <c r="B1073" s="414"/>
      <c r="C1073" s="415"/>
      <c r="D1073" s="415"/>
      <c r="E1073" s="415"/>
      <c r="F1073" s="415"/>
      <c r="G1073" s="416"/>
      <c r="H1073" s="415"/>
      <c r="I1073" s="416"/>
      <c r="J1073" s="414"/>
      <c r="K1073" s="414"/>
      <c r="L1073" s="414"/>
      <c r="M1073" s="414"/>
      <c r="N1073" s="416"/>
      <c r="O1073" s="416"/>
      <c r="P1073" s="415"/>
      <c r="Q1073" s="415"/>
      <c r="R1073" s="417"/>
      <c r="S1073" s="419"/>
      <c r="T1073" s="418"/>
      <c r="U1073" s="419"/>
      <c r="V1073" s="419"/>
      <c r="W1073" s="420"/>
      <c r="X1073" s="420"/>
      <c r="Y1073" s="420"/>
      <c r="Z1073" s="3"/>
      <c r="AA1073" s="7"/>
      <c r="AB1073" s="7"/>
      <c r="AC1073" s="7"/>
      <c r="AD1073" s="7"/>
      <c r="AE1073" s="7"/>
    </row>
    <row r="1074" spans="1:31" ht="27" customHeight="1">
      <c r="A1074" s="414"/>
      <c r="B1074" s="414"/>
      <c r="C1074" s="415"/>
      <c r="D1074" s="415"/>
      <c r="E1074" s="415"/>
      <c r="F1074" s="415"/>
      <c r="G1074" s="416"/>
      <c r="H1074" s="415"/>
      <c r="I1074" s="416"/>
      <c r="J1074" s="414"/>
      <c r="K1074" s="414"/>
      <c r="L1074" s="414"/>
      <c r="M1074" s="414"/>
      <c r="N1074" s="416"/>
      <c r="O1074" s="416"/>
      <c r="P1074" s="415"/>
      <c r="Q1074" s="415"/>
      <c r="R1074" s="417"/>
      <c r="S1074" s="419"/>
      <c r="T1074" s="418"/>
      <c r="U1074" s="419"/>
      <c r="V1074" s="419"/>
      <c r="W1074" s="420"/>
      <c r="X1074" s="420"/>
      <c r="Y1074" s="420"/>
      <c r="Z1074" s="3"/>
      <c r="AA1074" s="7"/>
      <c r="AB1074" s="7"/>
      <c r="AC1074" s="7"/>
      <c r="AD1074" s="7"/>
      <c r="AE1074" s="7"/>
    </row>
    <row r="1075" spans="1:31" ht="27" customHeight="1">
      <c r="A1075" s="414"/>
      <c r="B1075" s="414"/>
      <c r="C1075" s="415"/>
      <c r="D1075" s="415"/>
      <c r="E1075" s="415"/>
      <c r="F1075" s="415"/>
      <c r="G1075" s="416"/>
      <c r="H1075" s="415"/>
      <c r="I1075" s="416"/>
      <c r="J1075" s="414"/>
      <c r="K1075" s="414"/>
      <c r="L1075" s="414"/>
      <c r="M1075" s="414"/>
      <c r="N1075" s="416"/>
      <c r="O1075" s="416"/>
      <c r="P1075" s="415"/>
      <c r="Q1075" s="415"/>
      <c r="R1075" s="417"/>
      <c r="S1075" s="419"/>
      <c r="T1075" s="418"/>
      <c r="U1075" s="419"/>
      <c r="V1075" s="419"/>
      <c r="W1075" s="420"/>
      <c r="X1075" s="420"/>
      <c r="Y1075" s="420"/>
      <c r="Z1075" s="3"/>
      <c r="AA1075" s="7"/>
      <c r="AB1075" s="7"/>
      <c r="AC1075" s="7"/>
      <c r="AD1075" s="7"/>
      <c r="AE1075" s="7"/>
    </row>
    <row r="1076" spans="1:31" ht="27" customHeight="1">
      <c r="A1076" s="414"/>
      <c r="B1076" s="414"/>
      <c r="C1076" s="415"/>
      <c r="D1076" s="415"/>
      <c r="E1076" s="415"/>
      <c r="F1076" s="415"/>
      <c r="G1076" s="416"/>
      <c r="H1076" s="415"/>
      <c r="I1076" s="416"/>
      <c r="J1076" s="414"/>
      <c r="K1076" s="414"/>
      <c r="L1076" s="414"/>
      <c r="M1076" s="414"/>
      <c r="N1076" s="416"/>
      <c r="O1076" s="416"/>
      <c r="P1076" s="415"/>
      <c r="Q1076" s="415"/>
      <c r="R1076" s="417"/>
      <c r="S1076" s="419"/>
      <c r="T1076" s="418"/>
      <c r="U1076" s="419"/>
      <c r="V1076" s="419"/>
      <c r="W1076" s="420"/>
      <c r="X1076" s="420"/>
      <c r="Y1076" s="420"/>
      <c r="Z1076" s="3"/>
      <c r="AA1076" s="7"/>
      <c r="AB1076" s="7"/>
      <c r="AC1076" s="7"/>
      <c r="AD1076" s="7"/>
      <c r="AE1076" s="7"/>
    </row>
    <row r="1077" spans="1:31" ht="27" customHeight="1">
      <c r="A1077" s="414"/>
      <c r="B1077" s="414"/>
      <c r="C1077" s="415"/>
      <c r="D1077" s="415"/>
      <c r="E1077" s="415"/>
      <c r="F1077" s="415"/>
      <c r="G1077" s="416"/>
      <c r="H1077" s="654"/>
      <c r="I1077" s="598"/>
      <c r="J1077" s="414"/>
      <c r="K1077" s="414"/>
      <c r="L1077" s="414"/>
      <c r="M1077" s="414"/>
      <c r="N1077" s="416"/>
      <c r="O1077" s="416"/>
      <c r="P1077" s="415"/>
      <c r="Q1077" s="415"/>
      <c r="R1077" s="417"/>
      <c r="S1077" s="419"/>
      <c r="T1077" s="418"/>
      <c r="U1077" s="419"/>
      <c r="V1077" s="419"/>
      <c r="W1077" s="420"/>
      <c r="X1077" s="420"/>
      <c r="Y1077" s="420"/>
      <c r="Z1077" s="3"/>
      <c r="AA1077" s="7"/>
      <c r="AB1077" s="7"/>
      <c r="AC1077" s="7"/>
      <c r="AD1077" s="7"/>
      <c r="AE1077" s="7"/>
    </row>
    <row r="1078" spans="1:31" ht="27" customHeight="1">
      <c r="A1078" s="414"/>
      <c r="B1078" s="414"/>
      <c r="C1078" s="415"/>
      <c r="D1078" s="415"/>
      <c r="E1078" s="415"/>
      <c r="F1078" s="415"/>
      <c r="G1078" s="416"/>
      <c r="H1078" s="654"/>
      <c r="I1078" s="598"/>
      <c r="J1078" s="414"/>
      <c r="K1078" s="414"/>
      <c r="L1078" s="414"/>
      <c r="M1078" s="414"/>
      <c r="N1078" s="416"/>
      <c r="O1078" s="416"/>
      <c r="P1078" s="415"/>
      <c r="Q1078" s="415"/>
      <c r="R1078" s="417"/>
      <c r="S1078" s="419"/>
      <c r="T1078" s="418"/>
      <c r="U1078" s="419"/>
      <c r="V1078" s="419"/>
      <c r="W1078" s="420"/>
      <c r="X1078" s="420"/>
      <c r="Y1078" s="420"/>
      <c r="Z1078" s="3"/>
      <c r="AA1078" s="7"/>
      <c r="AB1078" s="7"/>
      <c r="AC1078" s="7"/>
      <c r="AD1078" s="7"/>
      <c r="AE1078" s="7"/>
    </row>
    <row r="1079" spans="1:31" ht="27" customHeight="1">
      <c r="A1079" s="414"/>
      <c r="B1079" s="414"/>
      <c r="C1079" s="415"/>
      <c r="D1079" s="415"/>
      <c r="E1079" s="415"/>
      <c r="F1079" s="415"/>
      <c r="G1079" s="416"/>
      <c r="H1079" s="654"/>
      <c r="I1079" s="598"/>
      <c r="J1079" s="414"/>
      <c r="K1079" s="414"/>
      <c r="L1079" s="414"/>
      <c r="M1079" s="414"/>
      <c r="N1079" s="416"/>
      <c r="O1079" s="416"/>
      <c r="P1079" s="415"/>
      <c r="Q1079" s="415"/>
      <c r="R1079" s="417"/>
      <c r="S1079" s="419"/>
      <c r="T1079" s="418"/>
      <c r="U1079" s="419"/>
      <c r="V1079" s="419"/>
      <c r="W1079" s="420"/>
      <c r="X1079" s="420"/>
      <c r="Y1079" s="420"/>
      <c r="Z1079" s="3"/>
      <c r="AA1079" s="7"/>
      <c r="AB1079" s="7"/>
      <c r="AC1079" s="7"/>
      <c r="AD1079" s="7"/>
      <c r="AE1079" s="7"/>
    </row>
    <row r="1080" spans="1:31" ht="27" customHeight="1">
      <c r="A1080" s="414"/>
      <c r="B1080" s="414"/>
      <c r="C1080" s="415"/>
      <c r="D1080" s="415"/>
      <c r="E1080" s="415"/>
      <c r="F1080" s="415"/>
      <c r="G1080" s="416"/>
      <c r="H1080" s="654"/>
      <c r="I1080" s="598"/>
      <c r="J1080" s="414"/>
      <c r="K1080" s="414"/>
      <c r="L1080" s="414"/>
      <c r="M1080" s="414"/>
      <c r="N1080" s="416"/>
      <c r="O1080" s="416"/>
      <c r="P1080" s="415"/>
      <c r="Q1080" s="415"/>
      <c r="R1080" s="417"/>
      <c r="S1080" s="419"/>
      <c r="T1080" s="418"/>
      <c r="U1080" s="419"/>
      <c r="V1080" s="419"/>
      <c r="W1080" s="420"/>
      <c r="X1080" s="420"/>
      <c r="Y1080" s="420"/>
      <c r="Z1080" s="3"/>
      <c r="AA1080" s="7"/>
      <c r="AB1080" s="7"/>
      <c r="AC1080" s="7"/>
      <c r="AD1080" s="7"/>
      <c r="AE1080" s="7"/>
    </row>
    <row r="1081" spans="1:31" ht="27" customHeight="1">
      <c r="A1081" s="414"/>
      <c r="B1081" s="414"/>
      <c r="C1081" s="415"/>
      <c r="D1081" s="415"/>
      <c r="E1081" s="415"/>
      <c r="F1081" s="415"/>
      <c r="G1081" s="416"/>
      <c r="H1081" s="654"/>
      <c r="I1081" s="598"/>
      <c r="J1081" s="414"/>
      <c r="K1081" s="414"/>
      <c r="L1081" s="414"/>
      <c r="M1081" s="414"/>
      <c r="N1081" s="416"/>
      <c r="O1081" s="416"/>
      <c r="P1081" s="415"/>
      <c r="Q1081" s="415"/>
      <c r="R1081" s="417"/>
      <c r="S1081" s="419"/>
      <c r="T1081" s="418"/>
      <c r="U1081" s="419"/>
      <c r="V1081" s="419"/>
      <c r="W1081" s="420"/>
      <c r="X1081" s="420"/>
      <c r="Y1081" s="420"/>
      <c r="Z1081" s="3"/>
      <c r="AA1081" s="7"/>
      <c r="AB1081" s="7"/>
      <c r="AC1081" s="7"/>
      <c r="AD1081" s="7"/>
      <c r="AE1081" s="7"/>
    </row>
    <row r="1082" spans="1:31" ht="27" customHeight="1">
      <c r="A1082" s="414"/>
      <c r="B1082" s="414"/>
      <c r="C1082" s="415"/>
      <c r="D1082" s="415"/>
      <c r="E1082" s="415"/>
      <c r="F1082" s="415"/>
      <c r="G1082" s="416"/>
      <c r="H1082" s="654"/>
      <c r="I1082" s="598"/>
      <c r="J1082" s="414"/>
      <c r="K1082" s="414"/>
      <c r="L1082" s="414"/>
      <c r="M1082" s="414"/>
      <c r="N1082" s="416"/>
      <c r="O1082" s="416"/>
      <c r="P1082" s="415"/>
      <c r="Q1082" s="415"/>
      <c r="R1082" s="417"/>
      <c r="S1082" s="419"/>
      <c r="T1082" s="418"/>
      <c r="U1082" s="419"/>
      <c r="V1082" s="419"/>
      <c r="W1082" s="420"/>
      <c r="X1082" s="420"/>
      <c r="Y1082" s="420"/>
      <c r="Z1082" s="3"/>
      <c r="AA1082" s="7"/>
      <c r="AB1082" s="7"/>
      <c r="AC1082" s="7"/>
      <c r="AD1082" s="7"/>
      <c r="AE1082" s="7"/>
    </row>
    <row r="1083" spans="1:31" ht="27" customHeight="1">
      <c r="A1083" s="414"/>
      <c r="B1083" s="414"/>
      <c r="C1083" s="415"/>
      <c r="D1083" s="415"/>
      <c r="E1083" s="415"/>
      <c r="F1083" s="415"/>
      <c r="G1083" s="416"/>
      <c r="H1083" s="654"/>
      <c r="I1083" s="598"/>
      <c r="J1083" s="414"/>
      <c r="K1083" s="414"/>
      <c r="L1083" s="414"/>
      <c r="M1083" s="414"/>
      <c r="N1083" s="416"/>
      <c r="O1083" s="416"/>
      <c r="P1083" s="415"/>
      <c r="Q1083" s="415"/>
      <c r="R1083" s="417"/>
      <c r="S1083" s="419"/>
      <c r="T1083" s="418"/>
      <c r="U1083" s="419"/>
      <c r="V1083" s="419"/>
      <c r="W1083" s="420"/>
      <c r="X1083" s="420"/>
      <c r="Y1083" s="420"/>
      <c r="Z1083" s="3"/>
      <c r="AA1083" s="7"/>
      <c r="AB1083" s="7"/>
      <c r="AC1083" s="7"/>
      <c r="AD1083" s="7"/>
      <c r="AE1083" s="7"/>
    </row>
    <row r="1084" spans="1:31" ht="27" customHeight="1">
      <c r="A1084" s="414"/>
      <c r="B1084" s="414"/>
      <c r="C1084" s="415"/>
      <c r="D1084" s="415"/>
      <c r="E1084" s="415"/>
      <c r="F1084" s="415"/>
      <c r="G1084" s="416"/>
      <c r="H1084" s="654"/>
      <c r="I1084" s="598"/>
      <c r="J1084" s="414"/>
      <c r="K1084" s="414"/>
      <c r="L1084" s="414"/>
      <c r="M1084" s="414"/>
      <c r="N1084" s="416"/>
      <c r="O1084" s="416"/>
      <c r="P1084" s="415"/>
      <c r="Q1084" s="415"/>
      <c r="R1084" s="417"/>
      <c r="S1084" s="419"/>
      <c r="T1084" s="418"/>
      <c r="U1084" s="419"/>
      <c r="V1084" s="419"/>
      <c r="W1084" s="420"/>
      <c r="X1084" s="420"/>
      <c r="Y1084" s="420"/>
      <c r="Z1084" s="3"/>
      <c r="AA1084" s="7"/>
      <c r="AB1084" s="7"/>
      <c r="AC1084" s="7"/>
      <c r="AD1084" s="7"/>
      <c r="AE1084" s="7"/>
    </row>
    <row r="1085" spans="1:31" ht="27" customHeight="1">
      <c r="A1085" s="414"/>
      <c r="B1085" s="414"/>
      <c r="C1085" s="415"/>
      <c r="D1085" s="415"/>
      <c r="E1085" s="415"/>
      <c r="F1085" s="415"/>
      <c r="G1085" s="416"/>
      <c r="H1085" s="654"/>
      <c r="I1085" s="598"/>
      <c r="J1085" s="414"/>
      <c r="K1085" s="414"/>
      <c r="L1085" s="414"/>
      <c r="M1085" s="414"/>
      <c r="N1085" s="416"/>
      <c r="O1085" s="416"/>
      <c r="P1085" s="415"/>
      <c r="Q1085" s="415"/>
      <c r="R1085" s="417"/>
      <c r="S1085" s="419"/>
      <c r="T1085" s="418"/>
      <c r="U1085" s="419"/>
      <c r="V1085" s="419"/>
      <c r="W1085" s="420"/>
      <c r="X1085" s="420"/>
      <c r="Y1085" s="420"/>
      <c r="Z1085" s="3"/>
      <c r="AA1085" s="7"/>
      <c r="AB1085" s="7"/>
      <c r="AC1085" s="7"/>
      <c r="AD1085" s="7"/>
      <c r="AE1085" s="7"/>
    </row>
    <row r="1086" spans="1:31" ht="27" customHeight="1">
      <c r="A1086" s="414"/>
      <c r="B1086" s="414"/>
      <c r="C1086" s="415"/>
      <c r="D1086" s="415"/>
      <c r="E1086" s="415"/>
      <c r="F1086" s="415"/>
      <c r="G1086" s="416"/>
      <c r="H1086" s="654"/>
      <c r="I1086" s="598"/>
      <c r="J1086" s="414"/>
      <c r="K1086" s="414"/>
      <c r="L1086" s="414"/>
      <c r="M1086" s="414"/>
      <c r="N1086" s="416"/>
      <c r="O1086" s="416"/>
      <c r="P1086" s="415"/>
      <c r="Q1086" s="415"/>
      <c r="R1086" s="417"/>
      <c r="S1086" s="419"/>
      <c r="T1086" s="418"/>
      <c r="U1086" s="419"/>
      <c r="V1086" s="419"/>
      <c r="W1086" s="420"/>
      <c r="X1086" s="420"/>
      <c r="Y1086" s="420"/>
      <c r="Z1086" s="3"/>
      <c r="AA1086" s="7"/>
      <c r="AB1086" s="7"/>
      <c r="AC1086" s="7"/>
      <c r="AD1086" s="7"/>
      <c r="AE1086" s="7"/>
    </row>
    <row r="1087" spans="1:31" ht="27" customHeight="1">
      <c r="A1087" s="414"/>
      <c r="B1087" s="414"/>
      <c r="C1087" s="415"/>
      <c r="D1087" s="415"/>
      <c r="E1087" s="415"/>
      <c r="F1087" s="415"/>
      <c r="G1087" s="416"/>
      <c r="H1087" s="654"/>
      <c r="I1087" s="598"/>
      <c r="J1087" s="414"/>
      <c r="K1087" s="414"/>
      <c r="L1087" s="414"/>
      <c r="M1087" s="414"/>
      <c r="N1087" s="416"/>
      <c r="O1087" s="416"/>
      <c r="P1087" s="415"/>
      <c r="Q1087" s="415"/>
      <c r="R1087" s="417"/>
      <c r="S1087" s="419"/>
      <c r="T1087" s="418"/>
      <c r="U1087" s="419"/>
      <c r="V1087" s="419"/>
      <c r="W1087" s="420"/>
      <c r="X1087" s="420"/>
      <c r="Y1087" s="420"/>
      <c r="Z1087" s="3"/>
      <c r="AA1087" s="7"/>
      <c r="AB1087" s="7"/>
      <c r="AC1087" s="7"/>
      <c r="AD1087" s="7"/>
      <c r="AE1087" s="7"/>
    </row>
    <row r="1088" spans="1:31" ht="27" customHeight="1">
      <c r="A1088" s="414"/>
      <c r="B1088" s="414"/>
      <c r="C1088" s="415"/>
      <c r="D1088" s="415"/>
      <c r="E1088" s="415"/>
      <c r="F1088" s="415"/>
      <c r="G1088" s="416"/>
      <c r="H1088" s="654"/>
      <c r="I1088" s="598"/>
      <c r="J1088" s="414"/>
      <c r="K1088" s="414"/>
      <c r="L1088" s="414"/>
      <c r="M1088" s="414"/>
      <c r="N1088" s="416"/>
      <c r="O1088" s="416"/>
      <c r="P1088" s="415"/>
      <c r="Q1088" s="415"/>
      <c r="R1088" s="417"/>
      <c r="S1088" s="419"/>
      <c r="T1088" s="418"/>
      <c r="U1088" s="419"/>
      <c r="V1088" s="419"/>
      <c r="W1088" s="420"/>
      <c r="X1088" s="420"/>
      <c r="Y1088" s="420"/>
      <c r="Z1088" s="3"/>
      <c r="AA1088" s="7"/>
      <c r="AB1088" s="7"/>
      <c r="AC1088" s="7"/>
      <c r="AD1088" s="7"/>
      <c r="AE1088" s="7"/>
    </row>
    <row r="1089" spans="1:31" ht="27" customHeight="1">
      <c r="A1089" s="414"/>
      <c r="B1089" s="414"/>
      <c r="C1089" s="415"/>
      <c r="D1089" s="415"/>
      <c r="E1089" s="415"/>
      <c r="F1089" s="415"/>
      <c r="G1089" s="416"/>
      <c r="H1089" s="415"/>
      <c r="I1089" s="416"/>
      <c r="J1089" s="414"/>
      <c r="K1089" s="414"/>
      <c r="L1089" s="414"/>
      <c r="M1089" s="414"/>
      <c r="N1089" s="416"/>
      <c r="O1089" s="416"/>
      <c r="P1089" s="415"/>
      <c r="Q1089" s="415"/>
      <c r="R1089" s="417"/>
      <c r="S1089" s="419"/>
      <c r="T1089" s="418"/>
      <c r="U1089" s="419"/>
      <c r="V1089" s="419"/>
      <c r="W1089" s="420"/>
      <c r="X1089" s="420"/>
      <c r="Y1089" s="420"/>
      <c r="Z1089" s="3"/>
      <c r="AA1089" s="7"/>
      <c r="AB1089" s="7"/>
      <c r="AC1089" s="7"/>
      <c r="AD1089" s="7"/>
      <c r="AE1089" s="7"/>
    </row>
    <row r="1090" spans="1:31" ht="27" customHeight="1">
      <c r="A1090" s="414"/>
      <c r="B1090" s="414"/>
      <c r="C1090" s="415"/>
      <c r="D1090" s="415"/>
      <c r="E1090" s="415"/>
      <c r="F1090" s="415"/>
      <c r="G1090" s="416"/>
      <c r="H1090" s="415"/>
      <c r="I1090" s="416"/>
      <c r="J1090" s="414"/>
      <c r="K1090" s="414"/>
      <c r="L1090" s="414"/>
      <c r="M1090" s="414"/>
      <c r="N1090" s="416"/>
      <c r="O1090" s="416"/>
      <c r="P1090" s="415"/>
      <c r="Q1090" s="415"/>
      <c r="R1090" s="417"/>
      <c r="S1090" s="419"/>
      <c r="T1090" s="418"/>
      <c r="U1090" s="419"/>
      <c r="V1090" s="419"/>
      <c r="W1090" s="420"/>
      <c r="X1090" s="420"/>
      <c r="Y1090" s="420"/>
      <c r="Z1090" s="3"/>
      <c r="AA1090" s="7"/>
      <c r="AB1090" s="7"/>
      <c r="AC1090" s="7"/>
      <c r="AD1090" s="7"/>
      <c r="AE1090" s="7"/>
    </row>
    <row r="1091" spans="1:31" ht="27" customHeight="1">
      <c r="A1091" s="414"/>
      <c r="B1091" s="414"/>
      <c r="C1091" s="415"/>
      <c r="D1091" s="415"/>
      <c r="E1091" s="415"/>
      <c r="F1091" s="415"/>
      <c r="G1091" s="416"/>
      <c r="H1091" s="415"/>
      <c r="I1091" s="416"/>
      <c r="J1091" s="414"/>
      <c r="K1091" s="414"/>
      <c r="L1091" s="414"/>
      <c r="M1091" s="414"/>
      <c r="N1091" s="416"/>
      <c r="O1091" s="416"/>
      <c r="P1091" s="415"/>
      <c r="Q1091" s="415"/>
      <c r="R1091" s="417"/>
      <c r="S1091" s="419"/>
      <c r="T1091" s="418"/>
      <c r="U1091" s="419"/>
      <c r="V1091" s="419"/>
      <c r="W1091" s="420"/>
      <c r="X1091" s="420"/>
      <c r="Y1091" s="420"/>
      <c r="Z1091" s="3"/>
      <c r="AA1091" s="7"/>
      <c r="AB1091" s="7"/>
      <c r="AC1091" s="7"/>
      <c r="AD1091" s="7"/>
      <c r="AE1091" s="7"/>
    </row>
    <row r="1092" spans="1:31" ht="27" customHeight="1">
      <c r="A1092" s="414"/>
      <c r="B1092" s="414"/>
      <c r="C1092" s="415"/>
      <c r="D1092" s="415"/>
      <c r="E1092" s="415"/>
      <c r="F1092" s="415"/>
      <c r="G1092" s="416"/>
      <c r="H1092" s="415"/>
      <c r="I1092" s="416"/>
      <c r="J1092" s="414"/>
      <c r="K1092" s="414"/>
      <c r="L1092" s="414"/>
      <c r="M1092" s="414"/>
      <c r="N1092" s="416"/>
      <c r="O1092" s="416"/>
      <c r="P1092" s="415"/>
      <c r="Q1092" s="415"/>
      <c r="R1092" s="417"/>
      <c r="S1092" s="419"/>
      <c r="T1092" s="418"/>
      <c r="U1092" s="419"/>
      <c r="V1092" s="419"/>
      <c r="W1092" s="420"/>
      <c r="X1092" s="420"/>
      <c r="Y1092" s="420"/>
      <c r="Z1092" s="3"/>
      <c r="AA1092" s="7"/>
      <c r="AB1092" s="7"/>
      <c r="AC1092" s="7"/>
      <c r="AD1092" s="7"/>
      <c r="AE1092" s="7"/>
    </row>
    <row r="1093" spans="1:31" ht="27" customHeight="1">
      <c r="A1093" s="414"/>
      <c r="B1093" s="414"/>
      <c r="C1093" s="415"/>
      <c r="D1093" s="415"/>
      <c r="E1093" s="415"/>
      <c r="F1093" s="415"/>
      <c r="G1093" s="416"/>
      <c r="H1093" s="415"/>
      <c r="I1093" s="416"/>
      <c r="J1093" s="414"/>
      <c r="K1093" s="414"/>
      <c r="L1093" s="414"/>
      <c r="M1093" s="414"/>
      <c r="N1093" s="416"/>
      <c r="O1093" s="416"/>
      <c r="P1093" s="415"/>
      <c r="Q1093" s="415"/>
      <c r="R1093" s="417"/>
      <c r="S1093" s="419"/>
      <c r="T1093" s="418"/>
      <c r="U1093" s="419"/>
      <c r="V1093" s="419"/>
      <c r="W1093" s="420"/>
      <c r="X1093" s="420"/>
      <c r="Y1093" s="420"/>
      <c r="Z1093" s="3"/>
      <c r="AA1093" s="7"/>
      <c r="AB1093" s="7"/>
      <c r="AC1093" s="7"/>
      <c r="AD1093" s="7"/>
      <c r="AE1093" s="7"/>
    </row>
    <row r="1094" spans="1:31" ht="27" customHeight="1">
      <c r="A1094" s="414"/>
      <c r="B1094" s="414"/>
      <c r="C1094" s="415"/>
      <c r="D1094" s="415"/>
      <c r="E1094" s="415"/>
      <c r="F1094" s="415"/>
      <c r="G1094" s="416"/>
      <c r="H1094" s="415"/>
      <c r="I1094" s="416"/>
      <c r="J1094" s="414"/>
      <c r="K1094" s="414"/>
      <c r="L1094" s="414"/>
      <c r="M1094" s="414"/>
      <c r="N1094" s="416"/>
      <c r="O1094" s="416"/>
      <c r="P1094" s="415"/>
      <c r="Q1094" s="415"/>
      <c r="R1094" s="417"/>
      <c r="S1094" s="419"/>
      <c r="T1094" s="418"/>
      <c r="U1094" s="419"/>
      <c r="V1094" s="419"/>
      <c r="W1094" s="420"/>
      <c r="X1094" s="420"/>
      <c r="Y1094" s="420"/>
      <c r="Z1094" s="3"/>
      <c r="AA1094" s="7"/>
      <c r="AB1094" s="7"/>
      <c r="AC1094" s="7"/>
      <c r="AD1094" s="7"/>
      <c r="AE1094" s="7"/>
    </row>
    <row r="1095" spans="1:31" ht="27" customHeight="1">
      <c r="A1095" s="414"/>
      <c r="B1095" s="414"/>
      <c r="C1095" s="415"/>
      <c r="D1095" s="415"/>
      <c r="E1095" s="415"/>
      <c r="F1095" s="415"/>
      <c r="G1095" s="416"/>
      <c r="H1095" s="415"/>
      <c r="I1095" s="416"/>
      <c r="J1095" s="414"/>
      <c r="K1095" s="414"/>
      <c r="L1095" s="414"/>
      <c r="M1095" s="414"/>
      <c r="N1095" s="416"/>
      <c r="O1095" s="416"/>
      <c r="P1095" s="415"/>
      <c r="Q1095" s="415"/>
      <c r="R1095" s="417"/>
      <c r="S1095" s="419"/>
      <c r="T1095" s="418"/>
      <c r="U1095" s="419"/>
      <c r="V1095" s="419"/>
      <c r="W1095" s="420"/>
      <c r="X1095" s="420"/>
      <c r="Y1095" s="420"/>
      <c r="Z1095" s="3"/>
      <c r="AA1095" s="7"/>
      <c r="AB1095" s="7"/>
      <c r="AC1095" s="7"/>
      <c r="AD1095" s="7"/>
      <c r="AE1095" s="7"/>
    </row>
    <row r="1096" spans="1:31" ht="27" customHeight="1">
      <c r="A1096" s="414"/>
      <c r="B1096" s="414"/>
      <c r="C1096" s="415"/>
      <c r="D1096" s="415"/>
      <c r="E1096" s="415"/>
      <c r="F1096" s="415"/>
      <c r="G1096" s="416"/>
      <c r="H1096" s="415"/>
      <c r="I1096" s="416"/>
      <c r="J1096" s="414"/>
      <c r="K1096" s="414"/>
      <c r="L1096" s="414"/>
      <c r="M1096" s="414"/>
      <c r="N1096" s="416"/>
      <c r="O1096" s="416"/>
      <c r="P1096" s="415"/>
      <c r="Q1096" s="415"/>
      <c r="R1096" s="417"/>
      <c r="S1096" s="419"/>
      <c r="T1096" s="418"/>
      <c r="U1096" s="419"/>
      <c r="V1096" s="419"/>
      <c r="W1096" s="420"/>
      <c r="X1096" s="420"/>
      <c r="Y1096" s="420"/>
      <c r="Z1096" s="3"/>
      <c r="AA1096" s="7"/>
      <c r="AB1096" s="7"/>
      <c r="AC1096" s="7"/>
      <c r="AD1096" s="7"/>
      <c r="AE1096" s="7"/>
    </row>
    <row r="1097" spans="1:31" ht="27" customHeight="1">
      <c r="A1097" s="414"/>
      <c r="B1097" s="414"/>
      <c r="C1097" s="415"/>
      <c r="D1097" s="415"/>
      <c r="E1097" s="415"/>
      <c r="F1097" s="415"/>
      <c r="G1097" s="416"/>
      <c r="H1097" s="415"/>
      <c r="I1097" s="416"/>
      <c r="J1097" s="414"/>
      <c r="K1097" s="414"/>
      <c r="L1097" s="414"/>
      <c r="M1097" s="414"/>
      <c r="N1097" s="416"/>
      <c r="O1097" s="416"/>
      <c r="P1097" s="415"/>
      <c r="Q1097" s="415"/>
      <c r="R1097" s="417"/>
      <c r="S1097" s="419"/>
      <c r="T1097" s="418"/>
      <c r="U1097" s="419"/>
      <c r="V1097" s="419"/>
      <c r="W1097" s="420"/>
      <c r="X1097" s="420"/>
      <c r="Y1097" s="420"/>
      <c r="Z1097" s="3"/>
      <c r="AA1097" s="7"/>
      <c r="AB1097" s="7"/>
      <c r="AC1097" s="7"/>
      <c r="AD1097" s="7"/>
      <c r="AE1097" s="7"/>
    </row>
    <row r="1098" spans="1:31" ht="27" customHeight="1">
      <c r="A1098" s="414"/>
      <c r="B1098" s="414"/>
      <c r="C1098" s="415"/>
      <c r="D1098" s="415"/>
      <c r="E1098" s="415"/>
      <c r="F1098" s="415"/>
      <c r="G1098" s="416"/>
      <c r="H1098" s="415"/>
      <c r="I1098" s="416"/>
      <c r="J1098" s="414"/>
      <c r="K1098" s="414"/>
      <c r="L1098" s="414"/>
      <c r="M1098" s="414"/>
      <c r="N1098" s="416"/>
      <c r="O1098" s="416"/>
      <c r="P1098" s="415"/>
      <c r="Q1098" s="415"/>
      <c r="R1098" s="417"/>
      <c r="S1098" s="419"/>
      <c r="T1098" s="418"/>
      <c r="U1098" s="419"/>
      <c r="V1098" s="419"/>
      <c r="W1098" s="420"/>
      <c r="X1098" s="420"/>
      <c r="Y1098" s="420"/>
      <c r="Z1098" s="3"/>
      <c r="AA1098" s="7"/>
      <c r="AB1098" s="7"/>
      <c r="AC1098" s="7"/>
      <c r="AD1098" s="7"/>
      <c r="AE1098" s="7"/>
    </row>
    <row r="1099" spans="1:31" ht="27" customHeight="1">
      <c r="A1099" s="414"/>
      <c r="B1099" s="414"/>
      <c r="C1099" s="415"/>
      <c r="D1099" s="415"/>
      <c r="E1099" s="415"/>
      <c r="F1099" s="415"/>
      <c r="G1099" s="416"/>
      <c r="H1099" s="415"/>
      <c r="I1099" s="416"/>
      <c r="J1099" s="414"/>
      <c r="K1099" s="414"/>
      <c r="L1099" s="414"/>
      <c r="M1099" s="414"/>
      <c r="N1099" s="416"/>
      <c r="O1099" s="416"/>
      <c r="P1099" s="415"/>
      <c r="Q1099" s="415"/>
      <c r="R1099" s="417"/>
      <c r="S1099" s="419"/>
      <c r="T1099" s="418"/>
      <c r="U1099" s="419"/>
      <c r="V1099" s="419"/>
      <c r="W1099" s="420"/>
      <c r="X1099" s="420"/>
      <c r="Y1099" s="420"/>
      <c r="Z1099" s="3"/>
      <c r="AA1099" s="7"/>
      <c r="AB1099" s="7"/>
      <c r="AC1099" s="7"/>
      <c r="AD1099" s="7"/>
      <c r="AE1099" s="7"/>
    </row>
    <row r="1100" spans="1:31" ht="27" customHeight="1">
      <c r="A1100" s="414"/>
      <c r="B1100" s="414"/>
      <c r="C1100" s="415"/>
      <c r="D1100" s="415"/>
      <c r="E1100" s="415"/>
      <c r="F1100" s="415"/>
      <c r="G1100" s="416"/>
      <c r="H1100" s="415"/>
      <c r="I1100" s="416"/>
      <c r="J1100" s="414"/>
      <c r="K1100" s="414"/>
      <c r="L1100" s="414"/>
      <c r="M1100" s="414"/>
      <c r="N1100" s="416"/>
      <c r="O1100" s="416"/>
      <c r="P1100" s="415"/>
      <c r="Q1100" s="415"/>
      <c r="R1100" s="417"/>
      <c r="S1100" s="419"/>
      <c r="T1100" s="418"/>
      <c r="U1100" s="419"/>
      <c r="V1100" s="419"/>
      <c r="W1100" s="420"/>
      <c r="X1100" s="420"/>
      <c r="Y1100" s="420"/>
      <c r="Z1100" s="3"/>
      <c r="AA1100" s="7"/>
      <c r="AB1100" s="7"/>
      <c r="AC1100" s="7"/>
      <c r="AD1100" s="7"/>
      <c r="AE1100" s="7"/>
    </row>
    <row r="1101" spans="1:31" ht="27" customHeight="1">
      <c r="A1101" s="414"/>
      <c r="B1101" s="414"/>
      <c r="C1101" s="415"/>
      <c r="D1101" s="415"/>
      <c r="E1101" s="415"/>
      <c r="F1101" s="415"/>
      <c r="G1101" s="416"/>
      <c r="H1101" s="415"/>
      <c r="I1101" s="416"/>
      <c r="J1101" s="414"/>
      <c r="K1101" s="414"/>
      <c r="L1101" s="414"/>
      <c r="M1101" s="414"/>
      <c r="N1101" s="416"/>
      <c r="O1101" s="416"/>
      <c r="P1101" s="415"/>
      <c r="Q1101" s="415"/>
      <c r="R1101" s="417"/>
      <c r="S1101" s="419"/>
      <c r="T1101" s="418"/>
      <c r="U1101" s="419"/>
      <c r="V1101" s="419"/>
      <c r="W1101" s="420"/>
      <c r="X1101" s="420"/>
      <c r="Y1101" s="420"/>
      <c r="Z1101" s="3"/>
      <c r="AA1101" s="7"/>
      <c r="AB1101" s="7"/>
      <c r="AC1101" s="7"/>
      <c r="AD1101" s="7"/>
      <c r="AE1101" s="7"/>
    </row>
    <row r="1102" spans="1:31" ht="27" customHeight="1">
      <c r="A1102" s="414"/>
      <c r="B1102" s="414"/>
      <c r="C1102" s="415"/>
      <c r="D1102" s="415"/>
      <c r="E1102" s="415"/>
      <c r="F1102" s="415"/>
      <c r="G1102" s="416"/>
      <c r="H1102" s="415"/>
      <c r="I1102" s="416"/>
      <c r="J1102" s="414"/>
      <c r="K1102" s="414"/>
      <c r="L1102" s="414"/>
      <c r="M1102" s="414"/>
      <c r="N1102" s="416"/>
      <c r="O1102" s="416"/>
      <c r="P1102" s="415"/>
      <c r="Q1102" s="415"/>
      <c r="R1102" s="417"/>
      <c r="S1102" s="419"/>
      <c r="T1102" s="418"/>
      <c r="U1102" s="419"/>
      <c r="V1102" s="419"/>
      <c r="W1102" s="420"/>
      <c r="X1102" s="420"/>
      <c r="Y1102" s="420"/>
      <c r="Z1102" s="3"/>
      <c r="AA1102" s="7"/>
      <c r="AB1102" s="7"/>
      <c r="AC1102" s="7"/>
      <c r="AD1102" s="7"/>
      <c r="AE1102" s="7"/>
    </row>
    <row r="1103" spans="1:31" ht="27" customHeight="1">
      <c r="A1103" s="414"/>
      <c r="B1103" s="414"/>
      <c r="C1103" s="415"/>
      <c r="D1103" s="415"/>
      <c r="E1103" s="415"/>
      <c r="F1103" s="415"/>
      <c r="G1103" s="416"/>
      <c r="H1103" s="415"/>
      <c r="I1103" s="416"/>
      <c r="J1103" s="414"/>
      <c r="K1103" s="414"/>
      <c r="L1103" s="414"/>
      <c r="M1103" s="414"/>
      <c r="N1103" s="416"/>
      <c r="O1103" s="416"/>
      <c r="P1103" s="415"/>
      <c r="Q1103" s="415"/>
      <c r="R1103" s="417"/>
      <c r="S1103" s="419"/>
      <c r="T1103" s="418"/>
      <c r="U1103" s="419"/>
      <c r="V1103" s="419"/>
      <c r="W1103" s="420"/>
      <c r="X1103" s="420"/>
      <c r="Y1103" s="420"/>
      <c r="Z1103" s="3"/>
      <c r="AA1103" s="7"/>
      <c r="AB1103" s="7"/>
      <c r="AC1103" s="7"/>
      <c r="AD1103" s="7"/>
      <c r="AE1103" s="7"/>
    </row>
    <row r="1104" spans="1:31" ht="27" customHeight="1">
      <c r="A1104" s="414"/>
      <c r="B1104" s="414"/>
      <c r="C1104" s="415"/>
      <c r="D1104" s="415"/>
      <c r="E1104" s="415"/>
      <c r="F1104" s="415"/>
      <c r="G1104" s="416"/>
      <c r="H1104" s="415"/>
      <c r="I1104" s="416"/>
      <c r="J1104" s="414"/>
      <c r="K1104" s="414"/>
      <c r="L1104" s="414"/>
      <c r="M1104" s="414"/>
      <c r="N1104" s="416"/>
      <c r="O1104" s="416"/>
      <c r="P1104" s="415"/>
      <c r="Q1104" s="415"/>
      <c r="R1104" s="417"/>
      <c r="S1104" s="419"/>
      <c r="T1104" s="418"/>
      <c r="U1104" s="419"/>
      <c r="V1104" s="419"/>
      <c r="W1104" s="420"/>
      <c r="X1104" s="420"/>
      <c r="Y1104" s="420"/>
      <c r="Z1104" s="3"/>
      <c r="AA1104" s="7"/>
      <c r="AB1104" s="7"/>
      <c r="AC1104" s="7"/>
      <c r="AD1104" s="7"/>
      <c r="AE1104" s="7"/>
    </row>
    <row r="1105" spans="1:31" ht="27" customHeight="1">
      <c r="A1105" s="414"/>
      <c r="B1105" s="414"/>
      <c r="C1105" s="415"/>
      <c r="D1105" s="415"/>
      <c r="E1105" s="415"/>
      <c r="F1105" s="415"/>
      <c r="G1105" s="416"/>
      <c r="H1105" s="415"/>
      <c r="I1105" s="416"/>
      <c r="J1105" s="414"/>
      <c r="K1105" s="414"/>
      <c r="L1105" s="414"/>
      <c r="M1105" s="414"/>
      <c r="N1105" s="416"/>
      <c r="O1105" s="416"/>
      <c r="P1105" s="415"/>
      <c r="Q1105" s="415"/>
      <c r="R1105" s="417"/>
      <c r="S1105" s="419"/>
      <c r="T1105" s="418"/>
      <c r="U1105" s="419"/>
      <c r="V1105" s="419"/>
      <c r="W1105" s="420"/>
      <c r="X1105" s="420"/>
      <c r="Y1105" s="420"/>
      <c r="Z1105" s="3"/>
      <c r="AA1105" s="7"/>
      <c r="AB1105" s="7"/>
      <c r="AC1105" s="7"/>
      <c r="AD1105" s="7"/>
      <c r="AE1105" s="7"/>
    </row>
    <row r="1106" spans="1:31" ht="27" customHeight="1">
      <c r="A1106" s="414"/>
      <c r="B1106" s="414"/>
      <c r="C1106" s="415"/>
      <c r="D1106" s="415"/>
      <c r="E1106" s="415"/>
      <c r="F1106" s="415"/>
      <c r="G1106" s="416"/>
      <c r="H1106" s="415"/>
      <c r="I1106" s="416"/>
      <c r="J1106" s="414"/>
      <c r="K1106" s="414"/>
      <c r="L1106" s="414"/>
      <c r="M1106" s="414"/>
      <c r="N1106" s="416"/>
      <c r="O1106" s="416"/>
      <c r="P1106" s="415"/>
      <c r="Q1106" s="415"/>
      <c r="R1106" s="417"/>
      <c r="S1106" s="419"/>
      <c r="T1106" s="418"/>
      <c r="U1106" s="419"/>
      <c r="V1106" s="419"/>
      <c r="W1106" s="420"/>
      <c r="X1106" s="420"/>
      <c r="Y1106" s="420"/>
      <c r="Z1106" s="3"/>
      <c r="AA1106" s="7"/>
      <c r="AB1106" s="7"/>
      <c r="AC1106" s="7"/>
      <c r="AD1106" s="7"/>
      <c r="AE1106" s="7"/>
    </row>
    <row r="1107" spans="1:31" ht="27" customHeight="1">
      <c r="A1107" s="414"/>
      <c r="B1107" s="414"/>
      <c r="C1107" s="415"/>
      <c r="D1107" s="415"/>
      <c r="E1107" s="415"/>
      <c r="F1107" s="415"/>
      <c r="G1107" s="416"/>
      <c r="H1107" s="415"/>
      <c r="I1107" s="416"/>
      <c r="J1107" s="414"/>
      <c r="K1107" s="414"/>
      <c r="L1107" s="414"/>
      <c r="M1107" s="414"/>
      <c r="N1107" s="416"/>
      <c r="O1107" s="416"/>
      <c r="P1107" s="415"/>
      <c r="Q1107" s="415"/>
      <c r="R1107" s="417"/>
      <c r="S1107" s="419"/>
      <c r="T1107" s="418"/>
      <c r="U1107" s="419"/>
      <c r="V1107" s="419"/>
      <c r="W1107" s="420"/>
      <c r="X1107" s="420"/>
      <c r="Y1107" s="420"/>
      <c r="Z1107" s="3"/>
      <c r="AA1107" s="7"/>
      <c r="AB1107" s="7"/>
      <c r="AC1107" s="7"/>
      <c r="AD1107" s="7"/>
      <c r="AE1107" s="7"/>
    </row>
    <row r="1108" spans="1:31" ht="27" customHeight="1">
      <c r="A1108" s="414"/>
      <c r="B1108" s="414"/>
      <c r="C1108" s="415"/>
      <c r="D1108" s="415"/>
      <c r="E1108" s="415"/>
      <c r="F1108" s="415"/>
      <c r="G1108" s="416"/>
      <c r="H1108" s="415"/>
      <c r="I1108" s="416"/>
      <c r="J1108" s="414"/>
      <c r="K1108" s="414"/>
      <c r="L1108" s="414"/>
      <c r="M1108" s="414"/>
      <c r="N1108" s="416"/>
      <c r="O1108" s="416"/>
      <c r="P1108" s="415"/>
      <c r="Q1108" s="415"/>
      <c r="R1108" s="417"/>
      <c r="S1108" s="419"/>
      <c r="T1108" s="418"/>
      <c r="U1108" s="419"/>
      <c r="V1108" s="419"/>
      <c r="W1108" s="420"/>
      <c r="X1108" s="420"/>
      <c r="Y1108" s="420"/>
      <c r="Z1108" s="3"/>
      <c r="AA1108" s="7"/>
      <c r="AB1108" s="7"/>
      <c r="AC1108" s="7"/>
      <c r="AD1108" s="7"/>
      <c r="AE1108" s="7"/>
    </row>
    <row r="1109" spans="1:31" ht="27" customHeight="1">
      <c r="A1109" s="414"/>
      <c r="B1109" s="414"/>
      <c r="C1109" s="415"/>
      <c r="D1109" s="415"/>
      <c r="E1109" s="415"/>
      <c r="F1109" s="415"/>
      <c r="G1109" s="416"/>
      <c r="H1109" s="415"/>
      <c r="I1109" s="416"/>
      <c r="J1109" s="414"/>
      <c r="K1109" s="414"/>
      <c r="L1109" s="414"/>
      <c r="M1109" s="414"/>
      <c r="N1109" s="416"/>
      <c r="O1109" s="416"/>
      <c r="P1109" s="415"/>
      <c r="Q1109" s="415"/>
      <c r="R1109" s="417"/>
      <c r="S1109" s="419"/>
      <c r="T1109" s="418"/>
      <c r="U1109" s="419"/>
      <c r="V1109" s="419"/>
      <c r="W1109" s="420"/>
      <c r="X1109" s="420"/>
      <c r="Y1109" s="420"/>
      <c r="Z1109" s="3"/>
      <c r="AA1109" s="7"/>
      <c r="AB1109" s="7"/>
      <c r="AC1109" s="7"/>
      <c r="AD1109" s="7"/>
      <c r="AE1109" s="7"/>
    </row>
    <row r="1110" spans="1:31" ht="27" customHeight="1">
      <c r="A1110" s="414"/>
      <c r="B1110" s="414"/>
      <c r="C1110" s="415"/>
      <c r="D1110" s="415"/>
      <c r="E1110" s="415"/>
      <c r="F1110" s="415"/>
      <c r="G1110" s="416"/>
      <c r="H1110" s="415"/>
      <c r="I1110" s="416"/>
      <c r="J1110" s="414"/>
      <c r="K1110" s="414"/>
      <c r="L1110" s="414"/>
      <c r="M1110" s="414"/>
      <c r="N1110" s="416"/>
      <c r="O1110" s="416"/>
      <c r="P1110" s="415"/>
      <c r="Q1110" s="415"/>
      <c r="R1110" s="417"/>
      <c r="S1110" s="419"/>
      <c r="T1110" s="418"/>
      <c r="U1110" s="419"/>
      <c r="V1110" s="419"/>
      <c r="W1110" s="420"/>
      <c r="X1110" s="420"/>
      <c r="Y1110" s="420"/>
      <c r="Z1110" s="3"/>
      <c r="AA1110" s="7"/>
      <c r="AB1110" s="7"/>
      <c r="AC1110" s="7"/>
      <c r="AD1110" s="7"/>
      <c r="AE1110" s="7"/>
    </row>
    <row r="1111" spans="1:31" ht="27" customHeight="1">
      <c r="A1111" s="414"/>
      <c r="B1111" s="414"/>
      <c r="C1111" s="415"/>
      <c r="D1111" s="415"/>
      <c r="E1111" s="415"/>
      <c r="F1111" s="415"/>
      <c r="G1111" s="416"/>
      <c r="H1111" s="415"/>
      <c r="I1111" s="416"/>
      <c r="J1111" s="414"/>
      <c r="K1111" s="414"/>
      <c r="L1111" s="414"/>
      <c r="M1111" s="414"/>
      <c r="N1111" s="416"/>
      <c r="O1111" s="416"/>
      <c r="P1111" s="415"/>
      <c r="Q1111" s="415"/>
      <c r="R1111" s="417"/>
      <c r="S1111" s="419"/>
      <c r="T1111" s="418"/>
      <c r="U1111" s="419"/>
      <c r="V1111" s="419"/>
      <c r="W1111" s="420"/>
      <c r="X1111" s="420"/>
      <c r="Y1111" s="420"/>
      <c r="Z1111" s="3"/>
      <c r="AA1111" s="7"/>
      <c r="AB1111" s="7"/>
      <c r="AC1111" s="7"/>
      <c r="AD1111" s="7"/>
      <c r="AE1111" s="7"/>
    </row>
    <row r="1112" spans="1:31" ht="27" customHeight="1">
      <c r="A1112" s="414"/>
      <c r="B1112" s="414"/>
      <c r="C1112" s="415"/>
      <c r="D1112" s="415"/>
      <c r="E1112" s="415"/>
      <c r="F1112" s="415"/>
      <c r="G1112" s="416"/>
      <c r="H1112" s="415"/>
      <c r="I1112" s="416"/>
      <c r="J1112" s="414"/>
      <c r="K1112" s="414"/>
      <c r="L1112" s="414"/>
      <c r="M1112" s="414"/>
      <c r="N1112" s="416"/>
      <c r="O1112" s="416"/>
      <c r="P1112" s="415"/>
      <c r="Q1112" s="415"/>
      <c r="R1112" s="417"/>
      <c r="S1112" s="419"/>
      <c r="T1112" s="418"/>
      <c r="U1112" s="419"/>
      <c r="V1112" s="419"/>
      <c r="W1112" s="420"/>
      <c r="X1112" s="420"/>
      <c r="Y1112" s="420"/>
      <c r="Z1112" s="3"/>
      <c r="AA1112" s="7"/>
      <c r="AB1112" s="7"/>
      <c r="AC1112" s="7"/>
      <c r="AD1112" s="7"/>
      <c r="AE1112" s="7"/>
    </row>
    <row r="1113" spans="1:31" ht="27" customHeight="1">
      <c r="A1113" s="414"/>
      <c r="B1113" s="414"/>
      <c r="C1113" s="415"/>
      <c r="D1113" s="415"/>
      <c r="E1113" s="415"/>
      <c r="F1113" s="415"/>
      <c r="G1113" s="416"/>
      <c r="H1113" s="415"/>
      <c r="I1113" s="416"/>
      <c r="J1113" s="414"/>
      <c r="K1113" s="414"/>
      <c r="L1113" s="414"/>
      <c r="M1113" s="414"/>
      <c r="N1113" s="416"/>
      <c r="O1113" s="416"/>
      <c r="P1113" s="415"/>
      <c r="Q1113" s="415"/>
      <c r="R1113" s="417"/>
      <c r="S1113" s="419"/>
      <c r="T1113" s="418"/>
      <c r="U1113" s="419"/>
      <c r="V1113" s="419"/>
      <c r="W1113" s="420"/>
      <c r="X1113" s="420"/>
      <c r="Y1113" s="420"/>
      <c r="Z1113" s="3"/>
      <c r="AA1113" s="7"/>
      <c r="AB1113" s="7"/>
      <c r="AC1113" s="7"/>
      <c r="AD1113" s="7"/>
      <c r="AE1113" s="7"/>
    </row>
    <row r="1114" spans="1:31" ht="27" customHeight="1">
      <c r="A1114" s="414"/>
      <c r="B1114" s="414"/>
      <c r="C1114" s="415"/>
      <c r="D1114" s="415"/>
      <c r="E1114" s="415"/>
      <c r="F1114" s="415"/>
      <c r="G1114" s="416"/>
      <c r="H1114" s="415"/>
      <c r="I1114" s="416"/>
      <c r="J1114" s="414"/>
      <c r="K1114" s="414"/>
      <c r="L1114" s="414"/>
      <c r="M1114" s="414"/>
      <c r="N1114" s="416"/>
      <c r="O1114" s="416"/>
      <c r="P1114" s="415"/>
      <c r="Q1114" s="415"/>
      <c r="R1114" s="417"/>
      <c r="S1114" s="419"/>
      <c r="T1114" s="418"/>
      <c r="U1114" s="419"/>
      <c r="V1114" s="419"/>
      <c r="W1114" s="420"/>
      <c r="X1114" s="420"/>
      <c r="Y1114" s="420"/>
      <c r="Z1114" s="3"/>
      <c r="AA1114" s="7"/>
      <c r="AB1114" s="7"/>
      <c r="AC1114" s="7"/>
      <c r="AD1114" s="7"/>
      <c r="AE1114" s="7"/>
    </row>
    <row r="1115" spans="1:31" ht="27" customHeight="1">
      <c r="A1115" s="414"/>
      <c r="B1115" s="414"/>
      <c r="C1115" s="415"/>
      <c r="D1115" s="415"/>
      <c r="E1115" s="415"/>
      <c r="F1115" s="415"/>
      <c r="G1115" s="416"/>
      <c r="H1115" s="415"/>
      <c r="I1115" s="416"/>
      <c r="J1115" s="414"/>
      <c r="K1115" s="414"/>
      <c r="L1115" s="414"/>
      <c r="M1115" s="414"/>
      <c r="N1115" s="416"/>
      <c r="O1115" s="416"/>
      <c r="P1115" s="415"/>
      <c r="Q1115" s="415"/>
      <c r="R1115" s="417"/>
      <c r="S1115" s="419"/>
      <c r="T1115" s="418"/>
      <c r="U1115" s="419"/>
      <c r="V1115" s="419"/>
      <c r="W1115" s="420"/>
      <c r="X1115" s="420"/>
      <c r="Y1115" s="420"/>
      <c r="Z1115" s="3"/>
      <c r="AA1115" s="7"/>
      <c r="AB1115" s="7"/>
      <c r="AC1115" s="7"/>
      <c r="AD1115" s="7"/>
      <c r="AE1115" s="7"/>
    </row>
    <row r="1116" spans="1:31" ht="27" customHeight="1">
      <c r="A1116" s="414"/>
      <c r="B1116" s="414"/>
      <c r="C1116" s="415"/>
      <c r="D1116" s="415"/>
      <c r="E1116" s="415"/>
      <c r="F1116" s="415"/>
      <c r="G1116" s="416"/>
      <c r="H1116" s="415"/>
      <c r="I1116" s="416"/>
      <c r="J1116" s="414"/>
      <c r="K1116" s="414"/>
      <c r="L1116" s="414"/>
      <c r="M1116" s="414"/>
      <c r="N1116" s="416"/>
      <c r="O1116" s="416"/>
      <c r="P1116" s="415"/>
      <c r="Q1116" s="415"/>
      <c r="R1116" s="417"/>
      <c r="S1116" s="419"/>
      <c r="T1116" s="418"/>
      <c r="U1116" s="419"/>
      <c r="V1116" s="419"/>
      <c r="W1116" s="420"/>
      <c r="X1116" s="420"/>
      <c r="Y1116" s="420"/>
      <c r="Z1116" s="3"/>
      <c r="AA1116" s="7"/>
      <c r="AB1116" s="7"/>
      <c r="AC1116" s="7"/>
      <c r="AD1116" s="7"/>
      <c r="AE1116" s="7"/>
    </row>
    <row r="1117" spans="1:31" ht="27" customHeight="1">
      <c r="A1117" s="414"/>
      <c r="B1117" s="414"/>
      <c r="C1117" s="415"/>
      <c r="D1117" s="415"/>
      <c r="E1117" s="415"/>
      <c r="F1117" s="415"/>
      <c r="G1117" s="416"/>
      <c r="H1117" s="415"/>
      <c r="I1117" s="416"/>
      <c r="J1117" s="414"/>
      <c r="K1117" s="414"/>
      <c r="L1117" s="414"/>
      <c r="M1117" s="414"/>
      <c r="N1117" s="416"/>
      <c r="O1117" s="416"/>
      <c r="P1117" s="415"/>
      <c r="Q1117" s="415"/>
      <c r="R1117" s="417"/>
      <c r="S1117" s="419"/>
      <c r="T1117" s="418"/>
      <c r="U1117" s="419"/>
      <c r="V1117" s="419"/>
      <c r="W1117" s="420"/>
      <c r="X1117" s="420"/>
      <c r="Y1117" s="420"/>
      <c r="Z1117" s="3"/>
      <c r="AA1117" s="7"/>
      <c r="AB1117" s="7"/>
      <c r="AC1117" s="7"/>
      <c r="AD1117" s="7"/>
      <c r="AE1117" s="7"/>
    </row>
    <row r="1118" spans="1:31" ht="27" customHeight="1">
      <c r="A1118" s="414"/>
      <c r="B1118" s="414"/>
      <c r="C1118" s="415"/>
      <c r="D1118" s="415"/>
      <c r="E1118" s="415"/>
      <c r="F1118" s="415"/>
      <c r="G1118" s="416"/>
      <c r="H1118" s="415"/>
      <c r="I1118" s="416"/>
      <c r="J1118" s="414"/>
      <c r="K1118" s="414"/>
      <c r="L1118" s="414"/>
      <c r="M1118" s="414"/>
      <c r="N1118" s="416"/>
      <c r="O1118" s="416"/>
      <c r="P1118" s="415"/>
      <c r="Q1118" s="415"/>
      <c r="R1118" s="417"/>
      <c r="S1118" s="419"/>
      <c r="T1118" s="418"/>
      <c r="U1118" s="419"/>
      <c r="V1118" s="419"/>
      <c r="W1118" s="420"/>
      <c r="X1118" s="420"/>
      <c r="Y1118" s="420"/>
      <c r="Z1118" s="3"/>
      <c r="AA1118" s="7"/>
      <c r="AB1118" s="7"/>
      <c r="AC1118" s="7"/>
      <c r="AD1118" s="7"/>
      <c r="AE1118" s="7"/>
    </row>
    <row r="1119" spans="1:31" ht="27" customHeight="1">
      <c r="A1119" s="414"/>
      <c r="B1119" s="414"/>
      <c r="C1119" s="415"/>
      <c r="D1119" s="415"/>
      <c r="E1119" s="415"/>
      <c r="F1119" s="415"/>
      <c r="G1119" s="416"/>
      <c r="H1119" s="415"/>
      <c r="I1119" s="416"/>
      <c r="J1119" s="414"/>
      <c r="K1119" s="414"/>
      <c r="L1119" s="414"/>
      <c r="M1119" s="414"/>
      <c r="N1119" s="416"/>
      <c r="O1119" s="416"/>
      <c r="P1119" s="415"/>
      <c r="Q1119" s="415"/>
      <c r="R1119" s="417"/>
      <c r="S1119" s="419"/>
      <c r="T1119" s="418"/>
      <c r="U1119" s="419"/>
      <c r="V1119" s="419"/>
      <c r="W1119" s="420"/>
      <c r="X1119" s="420"/>
      <c r="Y1119" s="420"/>
      <c r="Z1119" s="3"/>
      <c r="AA1119" s="7"/>
      <c r="AB1119" s="7"/>
      <c r="AC1119" s="7"/>
      <c r="AD1119" s="7"/>
      <c r="AE1119" s="7"/>
    </row>
    <row r="1120" spans="1:31" ht="27" customHeight="1">
      <c r="A1120" s="414"/>
      <c r="B1120" s="414"/>
      <c r="C1120" s="415"/>
      <c r="D1120" s="415"/>
      <c r="E1120" s="415"/>
      <c r="F1120" s="415"/>
      <c r="G1120" s="416"/>
      <c r="H1120" s="415"/>
      <c r="I1120" s="416"/>
      <c r="J1120" s="414"/>
      <c r="K1120" s="414"/>
      <c r="L1120" s="414"/>
      <c r="M1120" s="414"/>
      <c r="N1120" s="416"/>
      <c r="O1120" s="416"/>
      <c r="P1120" s="415"/>
      <c r="Q1120" s="415"/>
      <c r="R1120" s="417"/>
      <c r="S1120" s="419"/>
      <c r="T1120" s="418"/>
      <c r="U1120" s="419"/>
      <c r="V1120" s="419"/>
      <c r="W1120" s="420"/>
      <c r="X1120" s="420"/>
      <c r="Y1120" s="420"/>
      <c r="Z1120" s="3"/>
      <c r="AA1120" s="7"/>
      <c r="AB1120" s="7"/>
      <c r="AC1120" s="7"/>
      <c r="AD1120" s="7"/>
      <c r="AE1120" s="7"/>
    </row>
    <row r="1121" spans="1:31" ht="27" customHeight="1">
      <c r="A1121" s="414"/>
      <c r="B1121" s="414"/>
      <c r="C1121" s="415"/>
      <c r="D1121" s="415"/>
      <c r="E1121" s="415"/>
      <c r="F1121" s="415"/>
      <c r="G1121" s="416"/>
      <c r="H1121" s="415"/>
      <c r="I1121" s="416"/>
      <c r="J1121" s="414"/>
      <c r="K1121" s="414"/>
      <c r="L1121" s="414"/>
      <c r="M1121" s="414"/>
      <c r="N1121" s="416"/>
      <c r="O1121" s="416"/>
      <c r="P1121" s="415"/>
      <c r="Q1121" s="415"/>
      <c r="R1121" s="417"/>
      <c r="S1121" s="419"/>
      <c r="T1121" s="418"/>
      <c r="U1121" s="419"/>
      <c r="V1121" s="419"/>
      <c r="W1121" s="420"/>
      <c r="X1121" s="420"/>
      <c r="Y1121" s="420"/>
      <c r="Z1121" s="3"/>
      <c r="AA1121" s="7"/>
      <c r="AB1121" s="7"/>
      <c r="AC1121" s="7"/>
      <c r="AD1121" s="7"/>
      <c r="AE1121" s="7"/>
    </row>
    <row r="1122" spans="1:31" ht="27" customHeight="1">
      <c r="A1122" s="414"/>
      <c r="B1122" s="414"/>
      <c r="C1122" s="415"/>
      <c r="D1122" s="415"/>
      <c r="E1122" s="415"/>
      <c r="F1122" s="415"/>
      <c r="G1122" s="416"/>
      <c r="H1122" s="415"/>
      <c r="I1122" s="416"/>
      <c r="J1122" s="414"/>
      <c r="K1122" s="414"/>
      <c r="L1122" s="414"/>
      <c r="M1122" s="414"/>
      <c r="N1122" s="416"/>
      <c r="O1122" s="416"/>
      <c r="P1122" s="415"/>
      <c r="Q1122" s="415"/>
      <c r="R1122" s="417"/>
      <c r="S1122" s="419"/>
      <c r="T1122" s="418"/>
      <c r="U1122" s="419"/>
      <c r="V1122" s="419"/>
      <c r="W1122" s="420"/>
      <c r="X1122" s="420"/>
      <c r="Y1122" s="420"/>
      <c r="Z1122" s="3"/>
      <c r="AA1122" s="7"/>
      <c r="AB1122" s="7"/>
      <c r="AC1122" s="7"/>
      <c r="AD1122" s="7"/>
      <c r="AE1122" s="7"/>
    </row>
    <row r="1123" spans="1:31" ht="27" customHeight="1">
      <c r="A1123" s="414"/>
      <c r="B1123" s="414"/>
      <c r="C1123" s="415"/>
      <c r="D1123" s="415"/>
      <c r="E1123" s="415"/>
      <c r="F1123" s="415"/>
      <c r="G1123" s="416"/>
      <c r="H1123" s="415"/>
      <c r="I1123" s="416"/>
      <c r="J1123" s="414"/>
      <c r="K1123" s="414"/>
      <c r="L1123" s="414"/>
      <c r="M1123" s="414"/>
      <c r="N1123" s="416"/>
      <c r="O1123" s="416"/>
      <c r="P1123" s="415"/>
      <c r="Q1123" s="415"/>
      <c r="R1123" s="417"/>
      <c r="S1123" s="419"/>
      <c r="T1123" s="418"/>
      <c r="U1123" s="419"/>
      <c r="V1123" s="419"/>
      <c r="W1123" s="420"/>
      <c r="X1123" s="420"/>
      <c r="Y1123" s="420"/>
      <c r="Z1123" s="3"/>
      <c r="AA1123" s="7"/>
      <c r="AB1123" s="7"/>
      <c r="AC1123" s="7"/>
      <c r="AD1123" s="7"/>
      <c r="AE1123" s="7"/>
    </row>
    <row r="1124" spans="1:31" ht="27" customHeight="1">
      <c r="A1124" s="414"/>
      <c r="B1124" s="414"/>
      <c r="C1124" s="415"/>
      <c r="D1124" s="415"/>
      <c r="E1124" s="415"/>
      <c r="F1124" s="415"/>
      <c r="G1124" s="416"/>
      <c r="H1124" s="415"/>
      <c r="I1124" s="416"/>
      <c r="J1124" s="414"/>
      <c r="K1124" s="414"/>
      <c r="L1124" s="414"/>
      <c r="M1124" s="414"/>
      <c r="N1124" s="416"/>
      <c r="O1124" s="416"/>
      <c r="P1124" s="415"/>
      <c r="Q1124" s="415"/>
      <c r="R1124" s="417"/>
      <c r="S1124" s="419"/>
      <c r="T1124" s="418"/>
      <c r="U1124" s="419"/>
      <c r="V1124" s="419"/>
      <c r="W1124" s="420"/>
      <c r="X1124" s="420"/>
      <c r="Y1124" s="420"/>
      <c r="Z1124" s="3"/>
      <c r="AA1124" s="7"/>
      <c r="AB1124" s="7"/>
      <c r="AC1124" s="7"/>
      <c r="AD1124" s="7"/>
      <c r="AE1124" s="7"/>
    </row>
    <row r="1125" spans="1:31" ht="27" customHeight="1">
      <c r="A1125" s="414"/>
      <c r="B1125" s="414"/>
      <c r="C1125" s="415"/>
      <c r="D1125" s="415"/>
      <c r="E1125" s="415"/>
      <c r="F1125" s="415"/>
      <c r="G1125" s="416"/>
      <c r="H1125" s="415"/>
      <c r="I1125" s="416"/>
      <c r="J1125" s="414"/>
      <c r="K1125" s="414"/>
      <c r="L1125" s="414"/>
      <c r="M1125" s="414"/>
      <c r="N1125" s="416"/>
      <c r="O1125" s="416"/>
      <c r="P1125" s="415"/>
      <c r="Q1125" s="415"/>
      <c r="R1125" s="417"/>
      <c r="S1125" s="419"/>
      <c r="T1125" s="418"/>
      <c r="U1125" s="419"/>
      <c r="V1125" s="419"/>
      <c r="W1125" s="420"/>
      <c r="X1125" s="420"/>
      <c r="Y1125" s="420"/>
      <c r="Z1125" s="3"/>
      <c r="AA1125" s="7"/>
      <c r="AB1125" s="7"/>
      <c r="AC1125" s="7"/>
      <c r="AD1125" s="7"/>
      <c r="AE1125" s="7"/>
    </row>
    <row r="1126" spans="1:31" ht="27" customHeight="1">
      <c r="A1126" s="414"/>
      <c r="B1126" s="414"/>
      <c r="C1126" s="415"/>
      <c r="D1126" s="415"/>
      <c r="E1126" s="415"/>
      <c r="F1126" s="415"/>
      <c r="G1126" s="416"/>
      <c r="H1126" s="415"/>
      <c r="I1126" s="416"/>
      <c r="J1126" s="414"/>
      <c r="K1126" s="414"/>
      <c r="L1126" s="414"/>
      <c r="M1126" s="414"/>
      <c r="N1126" s="416"/>
      <c r="O1126" s="416"/>
      <c r="P1126" s="415"/>
      <c r="Q1126" s="415"/>
      <c r="R1126" s="417"/>
      <c r="S1126" s="419"/>
      <c r="T1126" s="418"/>
      <c r="U1126" s="419"/>
      <c r="V1126" s="419"/>
      <c r="W1126" s="420"/>
      <c r="X1126" s="420"/>
      <c r="Y1126" s="420"/>
      <c r="Z1126" s="3"/>
      <c r="AA1126" s="7"/>
      <c r="AB1126" s="7"/>
      <c r="AC1126" s="7"/>
      <c r="AD1126" s="7"/>
      <c r="AE1126" s="7"/>
    </row>
    <row r="1127" spans="1:31" ht="27" customHeight="1">
      <c r="A1127" s="414"/>
      <c r="B1127" s="414"/>
      <c r="C1127" s="415"/>
      <c r="D1127" s="415"/>
      <c r="E1127" s="415"/>
      <c r="F1127" s="415"/>
      <c r="G1127" s="416"/>
      <c r="H1127" s="415"/>
      <c r="I1127" s="416"/>
      <c r="J1127" s="414"/>
      <c r="K1127" s="414"/>
      <c r="L1127" s="414"/>
      <c r="M1127" s="414"/>
      <c r="N1127" s="416"/>
      <c r="O1127" s="416"/>
      <c r="P1127" s="415"/>
      <c r="Q1127" s="415"/>
      <c r="R1127" s="417"/>
      <c r="S1127" s="419"/>
      <c r="T1127" s="418"/>
      <c r="U1127" s="419"/>
      <c r="V1127" s="419"/>
      <c r="W1127" s="420"/>
      <c r="X1127" s="420"/>
      <c r="Y1127" s="420"/>
      <c r="Z1127" s="3"/>
      <c r="AA1127" s="7"/>
      <c r="AB1127" s="7"/>
      <c r="AC1127" s="7"/>
      <c r="AD1127" s="7"/>
      <c r="AE1127" s="7"/>
    </row>
    <row r="1128" spans="1:31" ht="27" customHeight="1">
      <c r="A1128" s="414"/>
      <c r="B1128" s="414"/>
      <c r="C1128" s="415"/>
      <c r="D1128" s="415"/>
      <c r="E1128" s="415"/>
      <c r="F1128" s="415"/>
      <c r="G1128" s="416"/>
      <c r="H1128" s="415"/>
      <c r="I1128" s="416"/>
      <c r="J1128" s="414"/>
      <c r="K1128" s="414"/>
      <c r="L1128" s="414"/>
      <c r="M1128" s="414"/>
      <c r="N1128" s="416"/>
      <c r="O1128" s="416"/>
      <c r="P1128" s="415"/>
      <c r="Q1128" s="415"/>
      <c r="R1128" s="417"/>
      <c r="S1128" s="419"/>
      <c r="T1128" s="418"/>
      <c r="U1128" s="419"/>
      <c r="V1128" s="419"/>
      <c r="W1128" s="420"/>
      <c r="X1128" s="420"/>
      <c r="Y1128" s="420"/>
      <c r="Z1128" s="3"/>
      <c r="AA1128" s="7"/>
      <c r="AB1128" s="7"/>
      <c r="AC1128" s="7"/>
      <c r="AD1128" s="7"/>
      <c r="AE1128" s="7"/>
    </row>
    <row r="1129" spans="1:31" ht="27" customHeight="1">
      <c r="A1129" s="414"/>
      <c r="B1129" s="414"/>
      <c r="C1129" s="415"/>
      <c r="D1129" s="415"/>
      <c r="E1129" s="415"/>
      <c r="F1129" s="415"/>
      <c r="G1129" s="416"/>
      <c r="H1129" s="415"/>
      <c r="I1129" s="416"/>
      <c r="J1129" s="414"/>
      <c r="K1129" s="414"/>
      <c r="L1129" s="414"/>
      <c r="M1129" s="414"/>
      <c r="N1129" s="416"/>
      <c r="O1129" s="416"/>
      <c r="P1129" s="415"/>
      <c r="Q1129" s="415"/>
      <c r="R1129" s="417"/>
      <c r="S1129" s="419"/>
      <c r="T1129" s="418"/>
      <c r="U1129" s="419"/>
      <c r="V1129" s="419"/>
      <c r="W1129" s="420"/>
      <c r="X1129" s="420"/>
      <c r="Y1129" s="420"/>
      <c r="Z1129" s="3"/>
      <c r="AA1129" s="7"/>
      <c r="AB1129" s="7"/>
      <c r="AC1129" s="7"/>
      <c r="AD1129" s="7"/>
      <c r="AE1129" s="7"/>
    </row>
    <row r="1130" spans="1:31" ht="27" customHeight="1">
      <c r="A1130" s="414"/>
      <c r="B1130" s="414"/>
      <c r="C1130" s="415"/>
      <c r="D1130" s="415"/>
      <c r="E1130" s="415"/>
      <c r="F1130" s="415"/>
      <c r="G1130" s="416"/>
      <c r="H1130" s="415"/>
      <c r="I1130" s="416"/>
      <c r="J1130" s="414"/>
      <c r="K1130" s="414"/>
      <c r="L1130" s="414"/>
      <c r="M1130" s="414"/>
      <c r="N1130" s="416"/>
      <c r="O1130" s="416"/>
      <c r="P1130" s="415"/>
      <c r="Q1130" s="415"/>
      <c r="R1130" s="417"/>
      <c r="S1130" s="419"/>
      <c r="T1130" s="418"/>
      <c r="U1130" s="419"/>
      <c r="V1130" s="419"/>
      <c r="W1130" s="420"/>
      <c r="X1130" s="420"/>
      <c r="Y1130" s="420"/>
      <c r="Z1130" s="3"/>
      <c r="AA1130" s="7"/>
      <c r="AB1130" s="7"/>
      <c r="AC1130" s="7"/>
      <c r="AD1130" s="7"/>
      <c r="AE1130" s="7"/>
    </row>
    <row r="1131" spans="1:31" ht="27" customHeight="1">
      <c r="A1131" s="414"/>
      <c r="B1131" s="414"/>
      <c r="C1131" s="415"/>
      <c r="D1131" s="415"/>
      <c r="E1131" s="415"/>
      <c r="F1131" s="415"/>
      <c r="G1131" s="416"/>
      <c r="H1131" s="415"/>
      <c r="I1131" s="416"/>
      <c r="J1131" s="414"/>
      <c r="K1131" s="414"/>
      <c r="L1131" s="414"/>
      <c r="M1131" s="414"/>
      <c r="N1131" s="416"/>
      <c r="O1131" s="416"/>
      <c r="P1131" s="415"/>
      <c r="Q1131" s="415"/>
      <c r="R1131" s="417"/>
      <c r="S1131" s="419"/>
      <c r="T1131" s="418"/>
      <c r="U1131" s="419"/>
      <c r="V1131" s="419"/>
      <c r="W1131" s="420"/>
      <c r="X1131" s="420"/>
      <c r="Y1131" s="420"/>
      <c r="Z1131" s="3"/>
      <c r="AA1131" s="7"/>
      <c r="AB1131" s="7"/>
      <c r="AC1131" s="7"/>
      <c r="AD1131" s="7"/>
      <c r="AE1131" s="7"/>
    </row>
    <row r="1132" spans="1:31" ht="27" customHeight="1">
      <c r="A1132" s="414"/>
      <c r="B1132" s="414"/>
      <c r="C1132" s="415"/>
      <c r="D1132" s="415"/>
      <c r="E1132" s="415"/>
      <c r="F1132" s="415"/>
      <c r="G1132" s="416"/>
      <c r="H1132" s="415"/>
      <c r="I1132" s="416"/>
      <c r="J1132" s="414"/>
      <c r="K1132" s="414"/>
      <c r="L1132" s="414"/>
      <c r="M1132" s="414"/>
      <c r="N1132" s="416"/>
      <c r="O1132" s="416"/>
      <c r="P1132" s="415"/>
      <c r="Q1132" s="415"/>
      <c r="R1132" s="417"/>
      <c r="S1132" s="419"/>
      <c r="T1132" s="418"/>
      <c r="U1132" s="419"/>
      <c r="V1132" s="419"/>
      <c r="W1132" s="420"/>
      <c r="X1132" s="420"/>
      <c r="Y1132" s="420"/>
      <c r="Z1132" s="3"/>
      <c r="AA1132" s="7"/>
      <c r="AB1132" s="7"/>
      <c r="AC1132" s="7"/>
      <c r="AD1132" s="7"/>
      <c r="AE1132" s="7"/>
    </row>
    <row r="1133" spans="1:31" ht="27" customHeight="1">
      <c r="A1133" s="414"/>
      <c r="B1133" s="414"/>
      <c r="C1133" s="415"/>
      <c r="D1133" s="415"/>
      <c r="E1133" s="415"/>
      <c r="F1133" s="415"/>
      <c r="G1133" s="416"/>
      <c r="H1133" s="415"/>
      <c r="I1133" s="416"/>
      <c r="J1133" s="414"/>
      <c r="K1133" s="414"/>
      <c r="L1133" s="414"/>
      <c r="M1133" s="414"/>
      <c r="N1133" s="416"/>
      <c r="O1133" s="416"/>
      <c r="P1133" s="415"/>
      <c r="Q1133" s="415"/>
      <c r="R1133" s="417"/>
      <c r="S1133" s="419"/>
      <c r="T1133" s="418"/>
      <c r="U1133" s="419"/>
      <c r="V1133" s="419"/>
      <c r="W1133" s="420"/>
      <c r="X1133" s="420"/>
      <c r="Y1133" s="420"/>
      <c r="Z1133" s="3"/>
      <c r="AA1133" s="7"/>
      <c r="AB1133" s="7"/>
      <c r="AC1133" s="7"/>
      <c r="AD1133" s="7"/>
      <c r="AE1133" s="7"/>
    </row>
    <row r="1134" spans="1:31" ht="27" customHeight="1">
      <c r="A1134" s="414"/>
      <c r="B1134" s="414"/>
      <c r="C1134" s="415"/>
      <c r="D1134" s="415"/>
      <c r="E1134" s="415"/>
      <c r="F1134" s="415"/>
      <c r="G1134" s="416"/>
      <c r="H1134" s="415"/>
      <c r="I1134" s="416"/>
      <c r="J1134" s="414"/>
      <c r="K1134" s="414"/>
      <c r="L1134" s="414"/>
      <c r="M1134" s="414"/>
      <c r="N1134" s="416"/>
      <c r="O1134" s="416"/>
      <c r="P1134" s="415"/>
      <c r="Q1134" s="415"/>
      <c r="R1134" s="417"/>
      <c r="S1134" s="419"/>
      <c r="T1134" s="418"/>
      <c r="U1134" s="419"/>
      <c r="V1134" s="419"/>
      <c r="W1134" s="420"/>
      <c r="X1134" s="420"/>
      <c r="Y1134" s="420"/>
      <c r="Z1134" s="3"/>
      <c r="AA1134" s="7"/>
      <c r="AB1134" s="7"/>
      <c r="AC1134" s="7"/>
      <c r="AD1134" s="7"/>
      <c r="AE1134" s="7"/>
    </row>
    <row r="1135" spans="1:31" ht="27" customHeight="1">
      <c r="A1135" s="414"/>
      <c r="B1135" s="414"/>
      <c r="C1135" s="415"/>
      <c r="D1135" s="415"/>
      <c r="E1135" s="415"/>
      <c r="F1135" s="415"/>
      <c r="G1135" s="416"/>
      <c r="H1135" s="415"/>
      <c r="I1135" s="416"/>
      <c r="J1135" s="414"/>
      <c r="K1135" s="414"/>
      <c r="L1135" s="414"/>
      <c r="M1135" s="414"/>
      <c r="N1135" s="416"/>
      <c r="O1135" s="416"/>
      <c r="P1135" s="415"/>
      <c r="Q1135" s="415"/>
      <c r="R1135" s="417"/>
      <c r="S1135" s="419"/>
      <c r="T1135" s="418"/>
      <c r="U1135" s="419"/>
      <c r="V1135" s="419"/>
      <c r="W1135" s="420"/>
      <c r="X1135" s="420"/>
      <c r="Y1135" s="420"/>
      <c r="Z1135" s="3"/>
      <c r="AA1135" s="7"/>
      <c r="AB1135" s="7"/>
      <c r="AC1135" s="7"/>
      <c r="AD1135" s="7"/>
      <c r="AE1135" s="7"/>
    </row>
    <row r="1136" spans="1:31" ht="27" customHeight="1">
      <c r="A1136" s="414"/>
      <c r="B1136" s="414"/>
      <c r="C1136" s="415"/>
      <c r="D1136" s="415"/>
      <c r="E1136" s="415"/>
      <c r="F1136" s="415"/>
      <c r="G1136" s="416"/>
      <c r="H1136" s="415"/>
      <c r="I1136" s="416"/>
      <c r="J1136" s="414"/>
      <c r="K1136" s="414"/>
      <c r="L1136" s="414"/>
      <c r="M1136" s="414"/>
      <c r="N1136" s="416"/>
      <c r="O1136" s="416"/>
      <c r="P1136" s="415"/>
      <c r="Q1136" s="415"/>
      <c r="R1136" s="417"/>
      <c r="S1136" s="419"/>
      <c r="T1136" s="418"/>
      <c r="U1136" s="419"/>
      <c r="V1136" s="419"/>
      <c r="W1136" s="420"/>
      <c r="X1136" s="420"/>
      <c r="Y1136" s="420"/>
      <c r="Z1136" s="3"/>
      <c r="AA1136" s="7"/>
      <c r="AB1136" s="7"/>
      <c r="AC1136" s="7"/>
      <c r="AD1136" s="7"/>
      <c r="AE1136" s="7"/>
    </row>
    <row r="1137" spans="1:31" ht="27" customHeight="1">
      <c r="A1137" s="414"/>
      <c r="B1137" s="414"/>
      <c r="C1137" s="415"/>
      <c r="D1137" s="415"/>
      <c r="E1137" s="415"/>
      <c r="F1137" s="415"/>
      <c r="G1137" s="416"/>
      <c r="H1137" s="415"/>
      <c r="I1137" s="416"/>
      <c r="J1137" s="414"/>
      <c r="K1137" s="414"/>
      <c r="L1137" s="414"/>
      <c r="M1137" s="414"/>
      <c r="N1137" s="416"/>
      <c r="O1137" s="416"/>
      <c r="P1137" s="415"/>
      <c r="Q1137" s="415"/>
      <c r="R1137" s="417"/>
      <c r="S1137" s="419"/>
      <c r="T1137" s="418"/>
      <c r="U1137" s="419"/>
      <c r="V1137" s="419"/>
      <c r="W1137" s="420"/>
      <c r="X1137" s="420"/>
      <c r="Y1137" s="420"/>
      <c r="Z1137" s="3"/>
      <c r="AA1137" s="7"/>
      <c r="AB1137" s="7"/>
      <c r="AC1137" s="7"/>
      <c r="AD1137" s="7"/>
      <c r="AE1137" s="7"/>
    </row>
    <row r="1138" spans="1:31" ht="27" customHeight="1">
      <c r="A1138" s="414"/>
      <c r="B1138" s="414"/>
      <c r="C1138" s="415"/>
      <c r="D1138" s="415"/>
      <c r="E1138" s="415"/>
      <c r="F1138" s="415"/>
      <c r="G1138" s="416"/>
      <c r="H1138" s="415"/>
      <c r="I1138" s="416"/>
      <c r="J1138" s="414"/>
      <c r="K1138" s="414"/>
      <c r="L1138" s="414"/>
      <c r="M1138" s="414"/>
      <c r="N1138" s="416"/>
      <c r="O1138" s="416"/>
      <c r="P1138" s="415"/>
      <c r="Q1138" s="415"/>
      <c r="R1138" s="417"/>
      <c r="S1138" s="419"/>
      <c r="T1138" s="418"/>
      <c r="U1138" s="419"/>
      <c r="V1138" s="419"/>
      <c r="W1138" s="420"/>
      <c r="X1138" s="420"/>
      <c r="Y1138" s="420"/>
      <c r="Z1138" s="3"/>
      <c r="AA1138" s="7"/>
      <c r="AB1138" s="7"/>
      <c r="AC1138" s="7"/>
      <c r="AD1138" s="7"/>
      <c r="AE1138" s="7"/>
    </row>
    <row r="1139" spans="1:31" ht="27" customHeight="1">
      <c r="A1139" s="414"/>
      <c r="B1139" s="414"/>
      <c r="C1139" s="415"/>
      <c r="D1139" s="415"/>
      <c r="E1139" s="415"/>
      <c r="F1139" s="415"/>
      <c r="G1139" s="416"/>
      <c r="H1139" s="415"/>
      <c r="I1139" s="416"/>
      <c r="J1139" s="414"/>
      <c r="K1139" s="414"/>
      <c r="L1139" s="414"/>
      <c r="M1139" s="414"/>
      <c r="N1139" s="416"/>
      <c r="O1139" s="416"/>
      <c r="P1139" s="415"/>
      <c r="Q1139" s="415"/>
      <c r="R1139" s="417"/>
      <c r="S1139" s="419"/>
      <c r="T1139" s="418"/>
      <c r="U1139" s="419"/>
      <c r="V1139" s="419"/>
      <c r="W1139" s="420"/>
      <c r="X1139" s="420"/>
      <c r="Y1139" s="420"/>
      <c r="Z1139" s="3"/>
      <c r="AA1139" s="7"/>
      <c r="AB1139" s="7"/>
      <c r="AC1139" s="7"/>
      <c r="AD1139" s="7"/>
      <c r="AE1139" s="7"/>
    </row>
    <row r="1140" spans="1:31" ht="27" customHeight="1">
      <c r="A1140" s="414"/>
      <c r="B1140" s="414"/>
      <c r="C1140" s="415"/>
      <c r="D1140" s="415"/>
      <c r="E1140" s="415"/>
      <c r="F1140" s="415"/>
      <c r="G1140" s="416"/>
      <c r="H1140" s="415"/>
      <c r="I1140" s="416"/>
      <c r="J1140" s="414"/>
      <c r="K1140" s="414"/>
      <c r="L1140" s="414"/>
      <c r="M1140" s="414"/>
      <c r="N1140" s="416"/>
      <c r="O1140" s="416"/>
      <c r="P1140" s="415"/>
      <c r="Q1140" s="415"/>
      <c r="R1140" s="417"/>
      <c r="S1140" s="419"/>
      <c r="T1140" s="418"/>
      <c r="U1140" s="419"/>
      <c r="V1140" s="419"/>
      <c r="W1140" s="420"/>
      <c r="X1140" s="420"/>
      <c r="Y1140" s="420"/>
      <c r="Z1140" s="3"/>
      <c r="AA1140" s="7"/>
      <c r="AB1140" s="7"/>
      <c r="AC1140" s="7"/>
      <c r="AD1140" s="7"/>
      <c r="AE1140" s="7"/>
    </row>
    <row r="1141" spans="1:31" ht="27" customHeight="1">
      <c r="A1141" s="414"/>
      <c r="B1141" s="414"/>
      <c r="C1141" s="415"/>
      <c r="D1141" s="415"/>
      <c r="E1141" s="415"/>
      <c r="F1141" s="415"/>
      <c r="G1141" s="416"/>
      <c r="H1141" s="415"/>
      <c r="I1141" s="416"/>
      <c r="J1141" s="414"/>
      <c r="K1141" s="414"/>
      <c r="L1141" s="414"/>
      <c r="M1141" s="414"/>
      <c r="N1141" s="416"/>
      <c r="O1141" s="416"/>
      <c r="P1141" s="415"/>
      <c r="Q1141" s="415"/>
      <c r="R1141" s="417"/>
      <c r="S1141" s="419"/>
      <c r="T1141" s="418"/>
      <c r="U1141" s="419"/>
      <c r="V1141" s="419"/>
      <c r="W1141" s="420"/>
      <c r="X1141" s="420"/>
      <c r="Y1141" s="420"/>
      <c r="Z1141" s="3"/>
      <c r="AA1141" s="7"/>
      <c r="AB1141" s="7"/>
      <c r="AC1141" s="7"/>
      <c r="AD1141" s="7"/>
      <c r="AE1141" s="7"/>
    </row>
    <row r="1142" spans="1:31" ht="27" customHeight="1">
      <c r="A1142" s="414"/>
      <c r="B1142" s="414"/>
      <c r="C1142" s="415"/>
      <c r="D1142" s="415"/>
      <c r="E1142" s="415"/>
      <c r="F1142" s="415"/>
      <c r="G1142" s="416"/>
      <c r="H1142" s="415"/>
      <c r="I1142" s="416"/>
      <c r="J1142" s="414"/>
      <c r="K1142" s="414"/>
      <c r="L1142" s="414"/>
      <c r="M1142" s="414"/>
      <c r="N1142" s="416"/>
      <c r="O1142" s="416"/>
      <c r="P1142" s="415"/>
      <c r="Q1142" s="415"/>
      <c r="R1142" s="417"/>
      <c r="S1142" s="419"/>
      <c r="T1142" s="418"/>
      <c r="U1142" s="419"/>
      <c r="V1142" s="419"/>
      <c r="W1142" s="420"/>
      <c r="X1142" s="420"/>
      <c r="Y1142" s="420"/>
      <c r="Z1142" s="3"/>
      <c r="AA1142" s="7"/>
      <c r="AB1142" s="7"/>
      <c r="AC1142" s="7"/>
      <c r="AD1142" s="7"/>
      <c r="AE1142" s="7"/>
    </row>
    <row r="1143" spans="1:31" ht="27" customHeight="1">
      <c r="A1143" s="414"/>
      <c r="B1143" s="414"/>
      <c r="C1143" s="415"/>
      <c r="D1143" s="415"/>
      <c r="E1143" s="415"/>
      <c r="F1143" s="415"/>
      <c r="G1143" s="416"/>
      <c r="H1143" s="415"/>
      <c r="I1143" s="416"/>
      <c r="J1143" s="414"/>
      <c r="K1143" s="414"/>
      <c r="L1143" s="414"/>
      <c r="M1143" s="414"/>
      <c r="N1143" s="416"/>
      <c r="O1143" s="416"/>
      <c r="P1143" s="415"/>
      <c r="Q1143" s="415"/>
      <c r="R1143" s="417"/>
      <c r="S1143" s="419"/>
      <c r="T1143" s="418"/>
      <c r="U1143" s="419"/>
      <c r="V1143" s="419"/>
      <c r="W1143" s="420"/>
      <c r="X1143" s="420"/>
      <c r="Y1143" s="420"/>
      <c r="Z1143" s="3"/>
      <c r="AA1143" s="7"/>
      <c r="AB1143" s="7"/>
      <c r="AC1143" s="7"/>
      <c r="AD1143" s="7"/>
      <c r="AE1143" s="7"/>
    </row>
    <row r="1144" spans="1:31" ht="27" customHeight="1">
      <c r="A1144" s="414"/>
      <c r="B1144" s="414"/>
      <c r="C1144" s="415"/>
      <c r="D1144" s="415"/>
      <c r="E1144" s="415"/>
      <c r="F1144" s="415"/>
      <c r="G1144" s="416"/>
      <c r="H1144" s="415"/>
      <c r="I1144" s="416"/>
      <c r="J1144" s="414"/>
      <c r="K1144" s="414"/>
      <c r="L1144" s="414"/>
      <c r="M1144" s="414"/>
      <c r="N1144" s="416"/>
      <c r="O1144" s="416"/>
      <c r="P1144" s="415"/>
      <c r="Q1144" s="415"/>
      <c r="R1144" s="417"/>
      <c r="S1144" s="419"/>
      <c r="T1144" s="418"/>
      <c r="U1144" s="419"/>
      <c r="V1144" s="419"/>
      <c r="W1144" s="420"/>
      <c r="X1144" s="420"/>
      <c r="Y1144" s="420"/>
      <c r="Z1144" s="3"/>
      <c r="AA1144" s="7"/>
      <c r="AB1144" s="7"/>
      <c r="AC1144" s="7"/>
      <c r="AD1144" s="7"/>
      <c r="AE1144" s="7"/>
    </row>
    <row r="1145" spans="1:31" ht="27" customHeight="1">
      <c r="A1145" s="414"/>
      <c r="B1145" s="414"/>
      <c r="C1145" s="415"/>
      <c r="D1145" s="415"/>
      <c r="E1145" s="415"/>
      <c r="F1145" s="415"/>
      <c r="G1145" s="416"/>
      <c r="H1145" s="415"/>
      <c r="I1145" s="416"/>
      <c r="J1145" s="414"/>
      <c r="K1145" s="414"/>
      <c r="L1145" s="414"/>
      <c r="M1145" s="414"/>
      <c r="N1145" s="416"/>
      <c r="O1145" s="416"/>
      <c r="P1145" s="415"/>
      <c r="Q1145" s="415"/>
      <c r="R1145" s="417"/>
      <c r="S1145" s="419"/>
      <c r="T1145" s="418"/>
      <c r="U1145" s="419"/>
      <c r="V1145" s="419"/>
      <c r="W1145" s="420"/>
      <c r="X1145" s="420"/>
      <c r="Y1145" s="420"/>
      <c r="Z1145" s="3"/>
      <c r="AA1145" s="7"/>
      <c r="AB1145" s="7"/>
      <c r="AC1145" s="7"/>
      <c r="AD1145" s="7"/>
      <c r="AE1145" s="7"/>
    </row>
    <row r="1146" spans="1:31" ht="27" customHeight="1">
      <c r="A1146" s="414"/>
      <c r="B1146" s="414"/>
      <c r="C1146" s="415"/>
      <c r="D1146" s="415"/>
      <c r="E1146" s="415"/>
      <c r="F1146" s="415"/>
      <c r="G1146" s="416"/>
      <c r="H1146" s="415"/>
      <c r="I1146" s="416"/>
      <c r="J1146" s="414"/>
      <c r="K1146" s="414"/>
      <c r="L1146" s="414"/>
      <c r="M1146" s="414"/>
      <c r="N1146" s="416"/>
      <c r="O1146" s="416"/>
      <c r="P1146" s="415"/>
      <c r="Q1146" s="415"/>
      <c r="R1146" s="417"/>
      <c r="S1146" s="419"/>
      <c r="T1146" s="418"/>
      <c r="U1146" s="419"/>
      <c r="V1146" s="419"/>
      <c r="W1146" s="420"/>
      <c r="X1146" s="420"/>
      <c r="Y1146" s="420"/>
      <c r="Z1146" s="3"/>
      <c r="AA1146" s="7"/>
      <c r="AB1146" s="7"/>
      <c r="AC1146" s="7"/>
      <c r="AD1146" s="7"/>
      <c r="AE1146" s="7"/>
    </row>
    <row r="1147" spans="1:31" ht="27" customHeight="1">
      <c r="A1147" s="414"/>
      <c r="B1147" s="414"/>
      <c r="C1147" s="415"/>
      <c r="D1147" s="415"/>
      <c r="E1147" s="415"/>
      <c r="F1147" s="415"/>
      <c r="G1147" s="416"/>
      <c r="H1147" s="415"/>
      <c r="I1147" s="416"/>
      <c r="J1147" s="414"/>
      <c r="K1147" s="414"/>
      <c r="L1147" s="414"/>
      <c r="M1147" s="414"/>
      <c r="N1147" s="416"/>
      <c r="O1147" s="416"/>
      <c r="P1147" s="415"/>
      <c r="Q1147" s="415"/>
      <c r="R1147" s="417"/>
      <c r="S1147" s="419"/>
      <c r="T1147" s="418"/>
      <c r="U1147" s="419"/>
      <c r="V1147" s="419"/>
      <c r="W1147" s="420"/>
      <c r="X1147" s="420"/>
      <c r="Y1147" s="420"/>
      <c r="Z1147" s="3"/>
      <c r="AA1147" s="7"/>
      <c r="AB1147" s="7"/>
      <c r="AC1147" s="7"/>
      <c r="AD1147" s="7"/>
      <c r="AE1147" s="7"/>
    </row>
    <row r="1148" spans="1:31" ht="27" customHeight="1">
      <c r="A1148" s="414"/>
      <c r="B1148" s="414"/>
      <c r="C1148" s="415"/>
      <c r="D1148" s="415"/>
      <c r="E1148" s="415"/>
      <c r="F1148" s="415"/>
      <c r="G1148" s="416"/>
      <c r="H1148" s="415"/>
      <c r="I1148" s="416"/>
      <c r="J1148" s="414"/>
      <c r="K1148" s="414"/>
      <c r="L1148" s="414"/>
      <c r="M1148" s="414"/>
      <c r="N1148" s="416"/>
      <c r="O1148" s="416"/>
      <c r="P1148" s="415"/>
      <c r="Q1148" s="415"/>
      <c r="R1148" s="417"/>
      <c r="S1148" s="419"/>
      <c r="T1148" s="418"/>
      <c r="U1148" s="419"/>
      <c r="V1148" s="419"/>
      <c r="W1148" s="420"/>
      <c r="X1148" s="420"/>
      <c r="Y1148" s="420"/>
      <c r="Z1148" s="3"/>
      <c r="AA1148" s="7"/>
      <c r="AB1148" s="7"/>
      <c r="AC1148" s="7"/>
      <c r="AD1148" s="7"/>
      <c r="AE1148" s="7"/>
    </row>
    <row r="1149" spans="1:31" ht="27" customHeight="1">
      <c r="A1149" s="414"/>
      <c r="B1149" s="414"/>
      <c r="C1149" s="415"/>
      <c r="D1149" s="415"/>
      <c r="E1149" s="415"/>
      <c r="F1149" s="415"/>
      <c r="G1149" s="416"/>
      <c r="H1149" s="415"/>
      <c r="I1149" s="416"/>
      <c r="J1149" s="414"/>
      <c r="K1149" s="414"/>
      <c r="L1149" s="414"/>
      <c r="M1149" s="414"/>
      <c r="N1149" s="416"/>
      <c r="O1149" s="416"/>
      <c r="P1149" s="415"/>
      <c r="Q1149" s="415"/>
      <c r="R1149" s="417"/>
      <c r="S1149" s="419"/>
      <c r="T1149" s="418"/>
      <c r="U1149" s="419"/>
      <c r="V1149" s="419"/>
      <c r="W1149" s="420"/>
      <c r="X1149" s="420"/>
      <c r="Y1149" s="420"/>
      <c r="Z1149" s="3"/>
      <c r="AA1149" s="7"/>
      <c r="AB1149" s="7"/>
      <c r="AC1149" s="7"/>
      <c r="AD1149" s="7"/>
      <c r="AE1149" s="7"/>
    </row>
    <row r="1150" spans="1:31" ht="27" customHeight="1">
      <c r="A1150" s="414"/>
      <c r="B1150" s="414"/>
      <c r="C1150" s="415"/>
      <c r="D1150" s="415"/>
      <c r="E1150" s="415"/>
      <c r="F1150" s="415"/>
      <c r="G1150" s="416"/>
      <c r="H1150" s="415"/>
      <c r="I1150" s="416"/>
      <c r="J1150" s="414"/>
      <c r="K1150" s="414"/>
      <c r="L1150" s="414"/>
      <c r="M1150" s="414"/>
      <c r="N1150" s="416"/>
      <c r="O1150" s="416"/>
      <c r="P1150" s="415"/>
      <c r="Q1150" s="415"/>
      <c r="R1150" s="417"/>
      <c r="S1150" s="419"/>
      <c r="T1150" s="418"/>
      <c r="U1150" s="419"/>
      <c r="V1150" s="419"/>
      <c r="W1150" s="420"/>
      <c r="X1150" s="420"/>
      <c r="Y1150" s="420"/>
      <c r="Z1150" s="3"/>
      <c r="AA1150" s="7"/>
      <c r="AB1150" s="7"/>
      <c r="AC1150" s="7"/>
      <c r="AD1150" s="7"/>
      <c r="AE1150" s="7"/>
    </row>
    <row r="1151" spans="1:31" ht="27" customHeight="1">
      <c r="A1151" s="414"/>
      <c r="B1151" s="414"/>
      <c r="C1151" s="415"/>
      <c r="D1151" s="415"/>
      <c r="E1151" s="415"/>
      <c r="F1151" s="415"/>
      <c r="G1151" s="416"/>
      <c r="H1151" s="415"/>
      <c r="I1151" s="416"/>
      <c r="J1151" s="414"/>
      <c r="K1151" s="414"/>
      <c r="L1151" s="414"/>
      <c r="M1151" s="414"/>
      <c r="N1151" s="416"/>
      <c r="O1151" s="416"/>
      <c r="P1151" s="415"/>
      <c r="Q1151" s="415"/>
      <c r="R1151" s="417"/>
      <c r="S1151" s="419"/>
      <c r="T1151" s="418"/>
      <c r="U1151" s="419"/>
      <c r="V1151" s="419"/>
      <c r="W1151" s="420"/>
      <c r="X1151" s="420"/>
      <c r="Y1151" s="420"/>
      <c r="Z1151" s="3"/>
      <c r="AA1151" s="7"/>
      <c r="AB1151" s="7"/>
      <c r="AC1151" s="7"/>
      <c r="AD1151" s="7"/>
      <c r="AE1151" s="7"/>
    </row>
    <row r="1152" spans="1:31" ht="27" customHeight="1">
      <c r="A1152" s="414"/>
      <c r="B1152" s="414"/>
      <c r="C1152" s="415"/>
      <c r="D1152" s="415"/>
      <c r="E1152" s="415"/>
      <c r="F1152" s="415"/>
      <c r="G1152" s="416"/>
      <c r="H1152" s="415"/>
      <c r="I1152" s="416"/>
      <c r="J1152" s="414"/>
      <c r="K1152" s="414"/>
      <c r="L1152" s="414"/>
      <c r="M1152" s="414"/>
      <c r="N1152" s="416"/>
      <c r="O1152" s="416"/>
      <c r="P1152" s="415"/>
      <c r="Q1152" s="415"/>
      <c r="R1152" s="417"/>
      <c r="S1152" s="419"/>
      <c r="T1152" s="418"/>
      <c r="U1152" s="419"/>
      <c r="V1152" s="419"/>
      <c r="W1152" s="420"/>
      <c r="X1152" s="420"/>
      <c r="Y1152" s="420"/>
      <c r="Z1152" s="3"/>
      <c r="AA1152" s="7"/>
      <c r="AB1152" s="7"/>
      <c r="AC1152" s="7"/>
      <c r="AD1152" s="7"/>
      <c r="AE1152" s="7"/>
    </row>
    <row r="1153" spans="1:31" ht="27" customHeight="1">
      <c r="A1153" s="414"/>
      <c r="B1153" s="414"/>
      <c r="C1153" s="415"/>
      <c r="D1153" s="415"/>
      <c r="E1153" s="415"/>
      <c r="F1153" s="415"/>
      <c r="G1153" s="416"/>
      <c r="H1153" s="415"/>
      <c r="I1153" s="416"/>
      <c r="J1153" s="414"/>
      <c r="K1153" s="414"/>
      <c r="L1153" s="414"/>
      <c r="M1153" s="414"/>
      <c r="N1153" s="416"/>
      <c r="O1153" s="416"/>
      <c r="P1153" s="415"/>
      <c r="Q1153" s="415"/>
      <c r="R1153" s="417"/>
      <c r="S1153" s="419"/>
      <c r="T1153" s="418"/>
      <c r="U1153" s="419"/>
      <c r="V1153" s="419"/>
      <c r="W1153" s="420"/>
      <c r="X1153" s="420"/>
      <c r="Y1153" s="420"/>
      <c r="Z1153" s="3"/>
      <c r="AA1153" s="7"/>
      <c r="AB1153" s="7"/>
      <c r="AC1153" s="7"/>
      <c r="AD1153" s="7"/>
      <c r="AE1153" s="7"/>
    </row>
    <row r="1154" spans="1:31" ht="27" customHeight="1">
      <c r="A1154" s="414"/>
      <c r="B1154" s="414"/>
      <c r="C1154" s="415"/>
      <c r="D1154" s="415"/>
      <c r="E1154" s="415"/>
      <c r="F1154" s="415"/>
      <c r="G1154" s="416"/>
      <c r="H1154" s="415"/>
      <c r="I1154" s="416"/>
      <c r="J1154" s="414"/>
      <c r="K1154" s="414"/>
      <c r="L1154" s="414"/>
      <c r="M1154" s="414"/>
      <c r="N1154" s="416"/>
      <c r="O1154" s="416"/>
      <c r="P1154" s="415"/>
      <c r="Q1154" s="415"/>
      <c r="R1154" s="417"/>
      <c r="S1154" s="419"/>
      <c r="T1154" s="418"/>
      <c r="U1154" s="419"/>
      <c r="V1154" s="419"/>
      <c r="W1154" s="420"/>
      <c r="X1154" s="420"/>
      <c r="Y1154" s="420"/>
      <c r="Z1154" s="3"/>
      <c r="AA1154" s="7"/>
      <c r="AB1154" s="7"/>
      <c r="AC1154" s="7"/>
      <c r="AD1154" s="7"/>
      <c r="AE1154" s="7"/>
    </row>
    <row r="1155" spans="1:31" ht="27" customHeight="1">
      <c r="A1155" s="414"/>
      <c r="B1155" s="414"/>
      <c r="C1155" s="415"/>
      <c r="D1155" s="415"/>
      <c r="E1155" s="415"/>
      <c r="F1155" s="415"/>
      <c r="G1155" s="416"/>
      <c r="H1155" s="415"/>
      <c r="I1155" s="416"/>
      <c r="J1155" s="414"/>
      <c r="K1155" s="414"/>
      <c r="L1155" s="414"/>
      <c r="M1155" s="414"/>
      <c r="N1155" s="416"/>
      <c r="O1155" s="416"/>
      <c r="P1155" s="415"/>
      <c r="Q1155" s="415"/>
      <c r="R1155" s="417"/>
      <c r="S1155" s="419"/>
      <c r="T1155" s="418"/>
      <c r="U1155" s="419"/>
      <c r="V1155" s="419"/>
      <c r="W1155" s="420"/>
      <c r="X1155" s="420"/>
      <c r="Y1155" s="420"/>
      <c r="Z1155" s="3"/>
      <c r="AA1155" s="7"/>
      <c r="AB1155" s="7"/>
      <c r="AC1155" s="7"/>
      <c r="AD1155" s="7"/>
      <c r="AE1155" s="7"/>
    </row>
    <row r="1156" spans="1:31" ht="27" customHeight="1">
      <c r="A1156" s="414"/>
      <c r="B1156" s="414"/>
      <c r="C1156" s="415"/>
      <c r="D1156" s="415"/>
      <c r="E1156" s="415"/>
      <c r="F1156" s="415"/>
      <c r="G1156" s="416"/>
      <c r="H1156" s="415"/>
      <c r="I1156" s="416"/>
      <c r="J1156" s="414"/>
      <c r="K1156" s="414"/>
      <c r="L1156" s="414"/>
      <c r="M1156" s="414"/>
      <c r="N1156" s="416"/>
      <c r="O1156" s="416"/>
      <c r="P1156" s="415"/>
      <c r="Q1156" s="415"/>
      <c r="R1156" s="417"/>
      <c r="S1156" s="419"/>
      <c r="T1156" s="418"/>
      <c r="U1156" s="419"/>
      <c r="V1156" s="419"/>
      <c r="W1156" s="420"/>
      <c r="X1156" s="420"/>
      <c r="Y1156" s="420"/>
      <c r="Z1156" s="3"/>
      <c r="AA1156" s="7"/>
      <c r="AB1156" s="7"/>
      <c r="AC1156" s="7"/>
      <c r="AD1156" s="7"/>
      <c r="AE1156" s="7"/>
    </row>
    <row r="1157" spans="1:31" ht="27" customHeight="1">
      <c r="A1157" s="414"/>
      <c r="B1157" s="414"/>
      <c r="C1157" s="415"/>
      <c r="D1157" s="415"/>
      <c r="E1157" s="415"/>
      <c r="F1157" s="415"/>
      <c r="G1157" s="416"/>
      <c r="H1157" s="415"/>
      <c r="I1157" s="416"/>
      <c r="J1157" s="414"/>
      <c r="K1157" s="414"/>
      <c r="L1157" s="414"/>
      <c r="M1157" s="414"/>
      <c r="N1157" s="416"/>
      <c r="O1157" s="416"/>
      <c r="P1157" s="415"/>
      <c r="Q1157" s="415"/>
      <c r="R1157" s="417"/>
      <c r="S1157" s="419"/>
      <c r="T1157" s="418"/>
      <c r="U1157" s="419"/>
      <c r="V1157" s="419"/>
      <c r="W1157" s="420"/>
      <c r="X1157" s="420"/>
      <c r="Y1157" s="420"/>
      <c r="Z1157" s="3"/>
      <c r="AA1157" s="7"/>
      <c r="AB1157" s="7"/>
      <c r="AC1157" s="7"/>
      <c r="AD1157" s="7"/>
      <c r="AE1157" s="7"/>
    </row>
    <row r="1158" spans="1:31" ht="27" customHeight="1">
      <c r="A1158" s="414"/>
      <c r="B1158" s="414"/>
      <c r="C1158" s="415"/>
      <c r="D1158" s="415"/>
      <c r="E1158" s="415"/>
      <c r="F1158" s="415"/>
      <c r="G1158" s="416"/>
      <c r="H1158" s="415"/>
      <c r="I1158" s="416"/>
      <c r="J1158" s="414"/>
      <c r="K1158" s="414"/>
      <c r="L1158" s="414"/>
      <c r="M1158" s="414"/>
      <c r="N1158" s="416"/>
      <c r="O1158" s="416"/>
      <c r="P1158" s="415"/>
      <c r="Q1158" s="415"/>
      <c r="R1158" s="417"/>
      <c r="S1158" s="419"/>
      <c r="T1158" s="418"/>
      <c r="U1158" s="419"/>
      <c r="V1158" s="419"/>
      <c r="W1158" s="420"/>
      <c r="X1158" s="420"/>
      <c r="Y1158" s="420"/>
      <c r="Z1158" s="3"/>
      <c r="AA1158" s="7"/>
      <c r="AB1158" s="7"/>
      <c r="AC1158" s="7"/>
      <c r="AD1158" s="7"/>
      <c r="AE1158" s="7"/>
    </row>
    <row r="1159" spans="1:31" ht="27" customHeight="1">
      <c r="A1159" s="414"/>
      <c r="B1159" s="414"/>
      <c r="C1159" s="415"/>
      <c r="D1159" s="415"/>
      <c r="E1159" s="415"/>
      <c r="F1159" s="415"/>
      <c r="G1159" s="416"/>
      <c r="H1159" s="415"/>
      <c r="I1159" s="416"/>
      <c r="J1159" s="414"/>
      <c r="K1159" s="414"/>
      <c r="L1159" s="414"/>
      <c r="M1159" s="414"/>
      <c r="N1159" s="416"/>
      <c r="O1159" s="416"/>
      <c r="P1159" s="415"/>
      <c r="Q1159" s="415"/>
      <c r="R1159" s="417"/>
      <c r="S1159" s="419"/>
      <c r="T1159" s="418"/>
      <c r="U1159" s="419"/>
      <c r="V1159" s="419"/>
      <c r="W1159" s="420"/>
      <c r="X1159" s="420"/>
      <c r="Y1159" s="420"/>
      <c r="Z1159" s="3"/>
      <c r="AA1159" s="7"/>
      <c r="AB1159" s="7"/>
      <c r="AC1159" s="7"/>
      <c r="AD1159" s="7"/>
      <c r="AE1159" s="7"/>
    </row>
    <row r="1160" spans="1:31" ht="27" customHeight="1">
      <c r="A1160" s="414"/>
      <c r="B1160" s="414"/>
      <c r="C1160" s="415"/>
      <c r="D1160" s="415"/>
      <c r="E1160" s="415"/>
      <c r="F1160" s="415"/>
      <c r="G1160" s="416"/>
      <c r="H1160" s="415"/>
      <c r="I1160" s="416"/>
      <c r="J1160" s="414"/>
      <c r="K1160" s="414"/>
      <c r="L1160" s="414"/>
      <c r="M1160" s="414"/>
      <c r="N1160" s="416"/>
      <c r="O1160" s="416"/>
      <c r="P1160" s="415"/>
      <c r="Q1160" s="415"/>
      <c r="R1160" s="417"/>
      <c r="S1160" s="419"/>
      <c r="T1160" s="418"/>
      <c r="U1160" s="419"/>
      <c r="V1160" s="419"/>
      <c r="W1160" s="420"/>
      <c r="X1160" s="420"/>
      <c r="Y1160" s="420"/>
      <c r="Z1160" s="3"/>
      <c r="AA1160" s="7"/>
      <c r="AB1160" s="7"/>
      <c r="AC1160" s="7"/>
      <c r="AD1160" s="7"/>
      <c r="AE1160" s="7"/>
    </row>
    <row r="1161" spans="1:31" ht="27" customHeight="1">
      <c r="A1161" s="414"/>
      <c r="B1161" s="414"/>
      <c r="C1161" s="415"/>
      <c r="D1161" s="415"/>
      <c r="E1161" s="415"/>
      <c r="F1161" s="415"/>
      <c r="G1161" s="416"/>
      <c r="H1161" s="415"/>
      <c r="I1161" s="416"/>
      <c r="J1161" s="414"/>
      <c r="K1161" s="414"/>
      <c r="L1161" s="414"/>
      <c r="M1161" s="414"/>
      <c r="N1161" s="416"/>
      <c r="O1161" s="416"/>
      <c r="P1161" s="415"/>
      <c r="Q1161" s="415"/>
      <c r="R1161" s="417"/>
      <c r="S1161" s="419"/>
      <c r="T1161" s="418"/>
      <c r="U1161" s="419"/>
      <c r="V1161" s="419"/>
      <c r="W1161" s="420"/>
      <c r="X1161" s="420"/>
      <c r="Y1161" s="420"/>
      <c r="Z1161" s="3"/>
      <c r="AA1161" s="7"/>
      <c r="AB1161" s="7"/>
      <c r="AC1161" s="7"/>
      <c r="AD1161" s="7"/>
      <c r="AE1161" s="7"/>
    </row>
    <row r="1162" spans="1:31" ht="27" customHeight="1">
      <c r="A1162" s="414"/>
      <c r="B1162" s="414"/>
      <c r="C1162" s="415"/>
      <c r="D1162" s="415"/>
      <c r="E1162" s="415"/>
      <c r="F1162" s="415"/>
      <c r="G1162" s="416"/>
      <c r="H1162" s="415"/>
      <c r="I1162" s="416"/>
      <c r="J1162" s="414"/>
      <c r="K1162" s="414"/>
      <c r="L1162" s="414"/>
      <c r="M1162" s="414"/>
      <c r="N1162" s="416"/>
      <c r="O1162" s="416"/>
      <c r="P1162" s="415"/>
      <c r="Q1162" s="415"/>
      <c r="R1162" s="417"/>
      <c r="S1162" s="419"/>
      <c r="T1162" s="418"/>
      <c r="U1162" s="419"/>
      <c r="V1162" s="419"/>
      <c r="W1162" s="420"/>
      <c r="X1162" s="420"/>
      <c r="Y1162" s="420"/>
      <c r="Z1162" s="3"/>
      <c r="AA1162" s="7"/>
      <c r="AB1162" s="7"/>
      <c r="AC1162" s="7"/>
      <c r="AD1162" s="7"/>
      <c r="AE1162" s="7"/>
    </row>
    <row r="1163" spans="1:31" ht="27" customHeight="1">
      <c r="A1163" s="414"/>
      <c r="B1163" s="414"/>
      <c r="C1163" s="415"/>
      <c r="D1163" s="415"/>
      <c r="E1163" s="415"/>
      <c r="F1163" s="415"/>
      <c r="G1163" s="416"/>
      <c r="H1163" s="415"/>
      <c r="I1163" s="416"/>
      <c r="J1163" s="414"/>
      <c r="K1163" s="414"/>
      <c r="L1163" s="414"/>
      <c r="M1163" s="414"/>
      <c r="N1163" s="416"/>
      <c r="O1163" s="416"/>
      <c r="P1163" s="415"/>
      <c r="Q1163" s="415"/>
      <c r="R1163" s="417"/>
      <c r="S1163" s="419"/>
      <c r="T1163" s="418"/>
      <c r="U1163" s="419"/>
      <c r="V1163" s="419"/>
      <c r="W1163" s="420"/>
      <c r="X1163" s="420"/>
      <c r="Y1163" s="420"/>
      <c r="Z1163" s="3"/>
      <c r="AA1163" s="7"/>
      <c r="AB1163" s="7"/>
      <c r="AC1163" s="7"/>
      <c r="AD1163" s="7"/>
      <c r="AE1163" s="7"/>
    </row>
    <row r="1164" spans="1:31" ht="27" customHeight="1">
      <c r="A1164" s="414"/>
      <c r="B1164" s="414"/>
      <c r="C1164" s="415"/>
      <c r="D1164" s="415"/>
      <c r="E1164" s="415"/>
      <c r="F1164" s="415"/>
      <c r="G1164" s="416"/>
      <c r="H1164" s="415"/>
      <c r="I1164" s="416"/>
      <c r="J1164" s="414"/>
      <c r="K1164" s="414"/>
      <c r="L1164" s="414"/>
      <c r="M1164" s="414"/>
      <c r="N1164" s="416"/>
      <c r="O1164" s="416"/>
      <c r="P1164" s="415"/>
      <c r="Q1164" s="415"/>
      <c r="R1164" s="417"/>
      <c r="S1164" s="419"/>
      <c r="T1164" s="418"/>
      <c r="U1164" s="419"/>
      <c r="V1164" s="419"/>
      <c r="W1164" s="420"/>
      <c r="X1164" s="420"/>
      <c r="Y1164" s="420"/>
      <c r="Z1164" s="3"/>
      <c r="AA1164" s="7"/>
      <c r="AB1164" s="7"/>
      <c r="AC1164" s="7"/>
      <c r="AD1164" s="7"/>
      <c r="AE1164" s="7"/>
    </row>
    <row r="1165" spans="1:31" ht="27" customHeight="1">
      <c r="A1165" s="414"/>
      <c r="B1165" s="414"/>
      <c r="C1165" s="415"/>
      <c r="D1165" s="415"/>
      <c r="E1165" s="415"/>
      <c r="F1165" s="415"/>
      <c r="G1165" s="416"/>
      <c r="H1165" s="415"/>
      <c r="I1165" s="416"/>
      <c r="J1165" s="414"/>
      <c r="K1165" s="414"/>
      <c r="L1165" s="414"/>
      <c r="M1165" s="414"/>
      <c r="N1165" s="416"/>
      <c r="O1165" s="416"/>
      <c r="P1165" s="415"/>
      <c r="Q1165" s="415"/>
      <c r="R1165" s="417"/>
      <c r="S1165" s="419"/>
      <c r="T1165" s="418"/>
      <c r="U1165" s="419"/>
      <c r="V1165" s="419"/>
      <c r="W1165" s="420"/>
      <c r="X1165" s="420"/>
      <c r="Y1165" s="420"/>
      <c r="Z1165" s="3"/>
      <c r="AA1165" s="7"/>
      <c r="AB1165" s="7"/>
      <c r="AC1165" s="7"/>
      <c r="AD1165" s="7"/>
      <c r="AE1165" s="7"/>
    </row>
    <row r="1166" spans="1:31" ht="27" customHeight="1">
      <c r="A1166" s="414"/>
      <c r="B1166" s="414"/>
      <c r="C1166" s="415"/>
      <c r="D1166" s="415"/>
      <c r="E1166" s="415"/>
      <c r="F1166" s="415"/>
      <c r="G1166" s="416"/>
      <c r="H1166" s="415"/>
      <c r="I1166" s="416"/>
      <c r="J1166" s="414"/>
      <c r="K1166" s="414"/>
      <c r="L1166" s="414"/>
      <c r="M1166" s="414"/>
      <c r="N1166" s="416"/>
      <c r="O1166" s="416"/>
      <c r="P1166" s="415"/>
      <c r="Q1166" s="415"/>
      <c r="R1166" s="417"/>
      <c r="S1166" s="419"/>
      <c r="T1166" s="418"/>
      <c r="U1166" s="419"/>
      <c r="V1166" s="419"/>
      <c r="W1166" s="420"/>
      <c r="X1166" s="420"/>
      <c r="Y1166" s="420"/>
      <c r="Z1166" s="3"/>
      <c r="AA1166" s="7"/>
      <c r="AB1166" s="7"/>
      <c r="AC1166" s="7"/>
      <c r="AD1166" s="7"/>
      <c r="AE1166" s="7"/>
    </row>
    <row r="1167" spans="1:31" ht="27" customHeight="1">
      <c r="A1167" s="414"/>
      <c r="B1167" s="414"/>
      <c r="C1167" s="415"/>
      <c r="D1167" s="415"/>
      <c r="E1167" s="415"/>
      <c r="F1167" s="415"/>
      <c r="G1167" s="416"/>
      <c r="H1167" s="415"/>
      <c r="I1167" s="416"/>
      <c r="J1167" s="414"/>
      <c r="K1167" s="414"/>
      <c r="L1167" s="414"/>
      <c r="M1167" s="414"/>
      <c r="N1167" s="416"/>
      <c r="O1167" s="416"/>
      <c r="P1167" s="415"/>
      <c r="Q1167" s="415"/>
      <c r="R1167" s="417"/>
      <c r="S1167" s="419"/>
      <c r="T1167" s="418"/>
      <c r="U1167" s="419"/>
      <c r="V1167" s="419"/>
      <c r="W1167" s="420"/>
      <c r="X1167" s="420"/>
      <c r="Y1167" s="420"/>
      <c r="Z1167" s="3"/>
      <c r="AA1167" s="7"/>
      <c r="AB1167" s="7"/>
      <c r="AC1167" s="7"/>
      <c r="AD1167" s="7"/>
      <c r="AE1167" s="7"/>
    </row>
    <row r="1168" spans="1:31" ht="27" customHeight="1">
      <c r="A1168" s="414"/>
      <c r="B1168" s="414"/>
      <c r="C1168" s="415"/>
      <c r="D1168" s="415"/>
      <c r="E1168" s="415"/>
      <c r="F1168" s="415"/>
      <c r="G1168" s="416"/>
      <c r="H1168" s="415"/>
      <c r="I1168" s="416"/>
      <c r="J1168" s="414"/>
      <c r="K1168" s="414"/>
      <c r="L1168" s="414"/>
      <c r="M1168" s="414"/>
      <c r="N1168" s="416"/>
      <c r="O1168" s="416"/>
      <c r="P1168" s="415"/>
      <c r="Q1168" s="415"/>
      <c r="R1168" s="417"/>
      <c r="S1168" s="419"/>
      <c r="T1168" s="418"/>
      <c r="U1168" s="419"/>
      <c r="V1168" s="419"/>
      <c r="W1168" s="420"/>
      <c r="X1168" s="420"/>
      <c r="Y1168" s="420"/>
      <c r="Z1168" s="3"/>
      <c r="AA1168" s="7"/>
      <c r="AB1168" s="7"/>
      <c r="AC1168" s="7"/>
      <c r="AD1168" s="7"/>
      <c r="AE1168" s="7"/>
    </row>
    <row r="1169" spans="1:31" ht="27" customHeight="1">
      <c r="A1169" s="414"/>
      <c r="B1169" s="414"/>
      <c r="C1169" s="415"/>
      <c r="D1169" s="415"/>
      <c r="E1169" s="415"/>
      <c r="F1169" s="415"/>
      <c r="G1169" s="416"/>
      <c r="H1169" s="415"/>
      <c r="I1169" s="416"/>
      <c r="J1169" s="414"/>
      <c r="K1169" s="414"/>
      <c r="L1169" s="414"/>
      <c r="M1169" s="414"/>
      <c r="N1169" s="416"/>
      <c r="O1169" s="416"/>
      <c r="P1169" s="415"/>
      <c r="Q1169" s="415"/>
      <c r="R1169" s="417"/>
      <c r="S1169" s="419"/>
      <c r="T1169" s="418"/>
      <c r="U1169" s="419"/>
      <c r="V1169" s="419"/>
      <c r="W1169" s="420"/>
      <c r="X1169" s="420"/>
      <c r="Y1169" s="420"/>
      <c r="Z1169" s="3"/>
      <c r="AA1169" s="7"/>
      <c r="AB1169" s="7"/>
      <c r="AC1169" s="7"/>
      <c r="AD1169" s="7"/>
      <c r="AE1169" s="7"/>
    </row>
    <row r="1170" spans="1:31" ht="27" customHeight="1">
      <c r="A1170" s="414"/>
      <c r="B1170" s="414"/>
      <c r="C1170" s="415"/>
      <c r="D1170" s="415"/>
      <c r="E1170" s="415"/>
      <c r="F1170" s="415"/>
      <c r="G1170" s="416"/>
      <c r="H1170" s="415"/>
      <c r="I1170" s="416"/>
      <c r="J1170" s="414"/>
      <c r="K1170" s="414"/>
      <c r="L1170" s="414"/>
      <c r="M1170" s="414"/>
      <c r="N1170" s="416"/>
      <c r="O1170" s="416"/>
      <c r="P1170" s="415"/>
      <c r="Q1170" s="415"/>
      <c r="R1170" s="417"/>
      <c r="S1170" s="419"/>
      <c r="T1170" s="418"/>
      <c r="U1170" s="419"/>
      <c r="V1170" s="419"/>
      <c r="W1170" s="420"/>
      <c r="X1170" s="420"/>
      <c r="Y1170" s="420"/>
      <c r="Z1170" s="3"/>
      <c r="AA1170" s="7"/>
      <c r="AB1170" s="7"/>
      <c r="AC1170" s="7"/>
      <c r="AD1170" s="7"/>
      <c r="AE1170" s="7"/>
    </row>
    <row r="1171" spans="1:31" ht="27" customHeight="1">
      <c r="A1171" s="414"/>
      <c r="B1171" s="414"/>
      <c r="C1171" s="415"/>
      <c r="D1171" s="415"/>
      <c r="E1171" s="415"/>
      <c r="F1171" s="415"/>
      <c r="G1171" s="416"/>
      <c r="H1171" s="415"/>
      <c r="I1171" s="416"/>
      <c r="J1171" s="414"/>
      <c r="K1171" s="414"/>
      <c r="L1171" s="414"/>
      <c r="M1171" s="414"/>
      <c r="N1171" s="416"/>
      <c r="O1171" s="416"/>
      <c r="P1171" s="415"/>
      <c r="Q1171" s="415"/>
      <c r="R1171" s="417"/>
      <c r="S1171" s="419"/>
      <c r="T1171" s="418"/>
      <c r="U1171" s="419"/>
      <c r="V1171" s="419"/>
      <c r="W1171" s="420"/>
      <c r="X1171" s="420"/>
      <c r="Y1171" s="420"/>
      <c r="Z1171" s="3"/>
      <c r="AA1171" s="7"/>
      <c r="AB1171" s="7"/>
      <c r="AC1171" s="7"/>
      <c r="AD1171" s="7"/>
      <c r="AE1171" s="7"/>
    </row>
    <row r="1172" spans="1:31" ht="27" customHeight="1">
      <c r="A1172" s="414"/>
      <c r="B1172" s="414"/>
      <c r="C1172" s="415"/>
      <c r="D1172" s="415"/>
      <c r="E1172" s="415"/>
      <c r="F1172" s="415"/>
      <c r="G1172" s="416"/>
      <c r="H1172" s="415"/>
      <c r="I1172" s="416"/>
      <c r="J1172" s="414"/>
      <c r="K1172" s="414"/>
      <c r="L1172" s="414"/>
      <c r="M1172" s="414"/>
      <c r="N1172" s="416"/>
      <c r="O1172" s="416"/>
      <c r="P1172" s="415"/>
      <c r="Q1172" s="415"/>
      <c r="R1172" s="417"/>
      <c r="S1172" s="419"/>
      <c r="T1172" s="418"/>
      <c r="U1172" s="419"/>
      <c r="V1172" s="419"/>
      <c r="W1172" s="420"/>
      <c r="X1172" s="420"/>
      <c r="Y1172" s="420"/>
      <c r="Z1172" s="3"/>
      <c r="AA1172" s="7"/>
      <c r="AB1172" s="7"/>
      <c r="AC1172" s="7"/>
      <c r="AD1172" s="7"/>
      <c r="AE1172" s="7"/>
    </row>
    <row r="1173" spans="1:31" ht="27" customHeight="1">
      <c r="A1173" s="414"/>
      <c r="B1173" s="414"/>
      <c r="C1173" s="415"/>
      <c r="D1173" s="415"/>
      <c r="E1173" s="415"/>
      <c r="F1173" s="415"/>
      <c r="G1173" s="416"/>
      <c r="H1173" s="415"/>
      <c r="I1173" s="416"/>
      <c r="J1173" s="414"/>
      <c r="K1173" s="414"/>
      <c r="L1173" s="414"/>
      <c r="M1173" s="414"/>
      <c r="N1173" s="416"/>
      <c r="O1173" s="416"/>
      <c r="P1173" s="415"/>
      <c r="Q1173" s="415"/>
      <c r="R1173" s="417"/>
      <c r="S1173" s="419"/>
      <c r="T1173" s="418"/>
      <c r="U1173" s="419"/>
      <c r="V1173" s="419"/>
      <c r="W1173" s="420"/>
      <c r="X1173" s="420"/>
      <c r="Y1173" s="420"/>
      <c r="Z1173" s="3"/>
      <c r="AA1173" s="7"/>
      <c r="AB1173" s="7"/>
      <c r="AC1173" s="7"/>
      <c r="AD1173" s="7"/>
      <c r="AE1173" s="7"/>
    </row>
    <row r="1174" spans="1:31" ht="27" customHeight="1">
      <c r="A1174" s="414"/>
      <c r="B1174" s="414"/>
      <c r="C1174" s="415"/>
      <c r="D1174" s="415"/>
      <c r="E1174" s="415"/>
      <c r="F1174" s="415"/>
      <c r="G1174" s="416"/>
      <c r="H1174" s="415"/>
      <c r="I1174" s="416"/>
      <c r="J1174" s="414"/>
      <c r="K1174" s="414"/>
      <c r="L1174" s="414"/>
      <c r="M1174" s="414"/>
      <c r="N1174" s="416"/>
      <c r="O1174" s="416"/>
      <c r="P1174" s="415"/>
      <c r="Q1174" s="415"/>
      <c r="R1174" s="417"/>
      <c r="S1174" s="419"/>
      <c r="T1174" s="418"/>
      <c r="U1174" s="419"/>
      <c r="V1174" s="419"/>
      <c r="W1174" s="420"/>
      <c r="X1174" s="420"/>
      <c r="Y1174" s="420"/>
      <c r="Z1174" s="3"/>
      <c r="AA1174" s="7"/>
      <c r="AB1174" s="7"/>
      <c r="AC1174" s="7"/>
      <c r="AD1174" s="7"/>
      <c r="AE1174" s="7"/>
    </row>
    <row r="1175" spans="1:31" ht="27" customHeight="1">
      <c r="A1175" s="414"/>
      <c r="B1175" s="414"/>
      <c r="C1175" s="415"/>
      <c r="D1175" s="415"/>
      <c r="E1175" s="415"/>
      <c r="F1175" s="415"/>
      <c r="G1175" s="416"/>
      <c r="H1175" s="415"/>
      <c r="I1175" s="416"/>
      <c r="J1175" s="414"/>
      <c r="K1175" s="414"/>
      <c r="L1175" s="414"/>
      <c r="M1175" s="414"/>
      <c r="N1175" s="416"/>
      <c r="O1175" s="416"/>
      <c r="P1175" s="415"/>
      <c r="Q1175" s="415"/>
      <c r="R1175" s="417"/>
      <c r="S1175" s="419"/>
      <c r="T1175" s="418"/>
      <c r="U1175" s="419"/>
      <c r="V1175" s="419"/>
      <c r="W1175" s="420"/>
      <c r="X1175" s="420"/>
      <c r="Y1175" s="420"/>
      <c r="Z1175" s="3"/>
      <c r="AA1175" s="7"/>
      <c r="AB1175" s="7"/>
      <c r="AC1175" s="7"/>
      <c r="AD1175" s="7"/>
      <c r="AE1175" s="7"/>
    </row>
    <row r="1176" spans="1:31" ht="27" customHeight="1">
      <c r="A1176" s="414"/>
      <c r="B1176" s="414"/>
      <c r="C1176" s="415"/>
      <c r="D1176" s="415"/>
      <c r="E1176" s="415"/>
      <c r="F1176" s="415"/>
      <c r="G1176" s="416"/>
      <c r="H1176" s="415"/>
      <c r="I1176" s="416"/>
      <c r="J1176" s="414"/>
      <c r="K1176" s="414"/>
      <c r="L1176" s="414"/>
      <c r="M1176" s="414"/>
      <c r="N1176" s="416"/>
      <c r="O1176" s="416"/>
      <c r="P1176" s="415"/>
      <c r="Q1176" s="415"/>
      <c r="R1176" s="417"/>
      <c r="S1176" s="419"/>
      <c r="T1176" s="418"/>
      <c r="U1176" s="419"/>
      <c r="V1176" s="419"/>
      <c r="W1176" s="420"/>
      <c r="X1176" s="420"/>
      <c r="Y1176" s="420"/>
      <c r="Z1176" s="3"/>
      <c r="AA1176" s="7"/>
      <c r="AB1176" s="7"/>
      <c r="AC1176" s="7"/>
      <c r="AD1176" s="7"/>
      <c r="AE1176" s="7"/>
    </row>
    <row r="1177" spans="1:31" ht="27" customHeight="1">
      <c r="A1177" s="414"/>
      <c r="B1177" s="414"/>
      <c r="C1177" s="415"/>
      <c r="D1177" s="415"/>
      <c r="E1177" s="415"/>
      <c r="F1177" s="415"/>
      <c r="G1177" s="416"/>
      <c r="H1177" s="415"/>
      <c r="I1177" s="416"/>
      <c r="J1177" s="414"/>
      <c r="K1177" s="414"/>
      <c r="L1177" s="414"/>
      <c r="M1177" s="414"/>
      <c r="N1177" s="416"/>
      <c r="O1177" s="416"/>
      <c r="P1177" s="415"/>
      <c r="Q1177" s="415"/>
      <c r="R1177" s="417"/>
      <c r="S1177" s="419"/>
      <c r="T1177" s="418"/>
      <c r="U1177" s="419"/>
      <c r="V1177" s="419"/>
      <c r="W1177" s="420"/>
      <c r="X1177" s="420"/>
      <c r="Y1177" s="420"/>
      <c r="Z1177" s="3"/>
      <c r="AA1177" s="7"/>
      <c r="AB1177" s="7"/>
      <c r="AC1177" s="7"/>
      <c r="AD1177" s="7"/>
      <c r="AE1177" s="7"/>
    </row>
    <row r="1178" spans="1:31" ht="27" customHeight="1">
      <c r="A1178" s="414"/>
      <c r="B1178" s="414"/>
      <c r="C1178" s="415"/>
      <c r="D1178" s="415"/>
      <c r="E1178" s="415"/>
      <c r="F1178" s="415"/>
      <c r="G1178" s="416"/>
      <c r="H1178" s="415"/>
      <c r="I1178" s="416"/>
      <c r="J1178" s="414"/>
      <c r="K1178" s="414"/>
      <c r="L1178" s="414"/>
      <c r="M1178" s="414"/>
      <c r="N1178" s="416"/>
      <c r="O1178" s="416"/>
      <c r="P1178" s="415"/>
      <c r="Q1178" s="415"/>
      <c r="R1178" s="417"/>
      <c r="S1178" s="419"/>
      <c r="T1178" s="418"/>
      <c r="U1178" s="419"/>
      <c r="V1178" s="419"/>
      <c r="W1178" s="420"/>
      <c r="X1178" s="420"/>
      <c r="Y1178" s="420"/>
      <c r="Z1178" s="3"/>
      <c r="AA1178" s="7"/>
      <c r="AB1178" s="7"/>
      <c r="AC1178" s="7"/>
      <c r="AD1178" s="7"/>
      <c r="AE1178" s="7"/>
    </row>
    <row r="1179" spans="1:31" ht="27" customHeight="1">
      <c r="A1179" s="414"/>
      <c r="B1179" s="414"/>
      <c r="C1179" s="415"/>
      <c r="D1179" s="415"/>
      <c r="E1179" s="415"/>
      <c r="F1179" s="415"/>
      <c r="G1179" s="416"/>
      <c r="H1179" s="415"/>
      <c r="I1179" s="416"/>
      <c r="J1179" s="414"/>
      <c r="K1179" s="414"/>
      <c r="L1179" s="414"/>
      <c r="M1179" s="414"/>
      <c r="N1179" s="416"/>
      <c r="O1179" s="416"/>
      <c r="P1179" s="415"/>
      <c r="Q1179" s="415"/>
      <c r="R1179" s="417"/>
      <c r="S1179" s="419"/>
      <c r="T1179" s="418"/>
      <c r="U1179" s="419"/>
      <c r="V1179" s="419"/>
      <c r="W1179" s="420"/>
      <c r="X1179" s="420"/>
      <c r="Y1179" s="420"/>
      <c r="Z1179" s="3"/>
      <c r="AA1179" s="7"/>
      <c r="AB1179" s="7"/>
      <c r="AC1179" s="7"/>
      <c r="AD1179" s="7"/>
      <c r="AE1179" s="7"/>
    </row>
    <row r="1180" spans="1:31" ht="27" customHeight="1">
      <c r="A1180" s="414"/>
      <c r="B1180" s="414"/>
      <c r="C1180" s="415"/>
      <c r="D1180" s="415"/>
      <c r="E1180" s="415"/>
      <c r="F1180" s="415"/>
      <c r="G1180" s="416"/>
      <c r="H1180" s="415"/>
      <c r="I1180" s="416"/>
      <c r="J1180" s="414"/>
      <c r="K1180" s="414"/>
      <c r="L1180" s="414"/>
      <c r="M1180" s="414"/>
      <c r="N1180" s="416"/>
      <c r="O1180" s="416"/>
      <c r="P1180" s="415"/>
      <c r="Q1180" s="415"/>
      <c r="R1180" s="417"/>
      <c r="S1180" s="419"/>
      <c r="T1180" s="418"/>
      <c r="U1180" s="419"/>
      <c r="V1180" s="419"/>
      <c r="W1180" s="420"/>
      <c r="X1180" s="420"/>
      <c r="Y1180" s="420"/>
      <c r="Z1180" s="3"/>
      <c r="AA1180" s="7"/>
      <c r="AB1180" s="7"/>
      <c r="AC1180" s="7"/>
      <c r="AD1180" s="7"/>
      <c r="AE1180" s="7"/>
    </row>
    <row r="1181" spans="1:31" ht="27" customHeight="1">
      <c r="A1181" s="414"/>
      <c r="B1181" s="414"/>
      <c r="C1181" s="415"/>
      <c r="D1181" s="415"/>
      <c r="E1181" s="415"/>
      <c r="F1181" s="415"/>
      <c r="G1181" s="416"/>
      <c r="H1181" s="415"/>
      <c r="I1181" s="416"/>
      <c r="J1181" s="414"/>
      <c r="K1181" s="414"/>
      <c r="L1181" s="414"/>
      <c r="M1181" s="414"/>
      <c r="N1181" s="416"/>
      <c r="O1181" s="416"/>
      <c r="P1181" s="415"/>
      <c r="Q1181" s="415"/>
      <c r="R1181" s="417"/>
      <c r="S1181" s="419"/>
      <c r="T1181" s="418"/>
      <c r="U1181" s="419"/>
      <c r="V1181" s="419"/>
      <c r="W1181" s="420"/>
      <c r="X1181" s="420"/>
      <c r="Y1181" s="420"/>
      <c r="Z1181" s="3"/>
      <c r="AA1181" s="7"/>
      <c r="AB1181" s="7"/>
      <c r="AC1181" s="7"/>
      <c r="AD1181" s="7"/>
      <c r="AE1181" s="7"/>
    </row>
    <row r="1182" spans="1:31" ht="27" customHeight="1">
      <c r="A1182" s="414"/>
      <c r="B1182" s="414"/>
      <c r="C1182" s="415"/>
      <c r="D1182" s="415"/>
      <c r="E1182" s="415"/>
      <c r="F1182" s="415"/>
      <c r="G1182" s="416"/>
      <c r="H1182" s="415"/>
      <c r="I1182" s="416"/>
      <c r="J1182" s="414"/>
      <c r="K1182" s="414"/>
      <c r="L1182" s="414"/>
      <c r="M1182" s="414"/>
      <c r="N1182" s="416"/>
      <c r="O1182" s="416"/>
      <c r="P1182" s="415"/>
      <c r="Q1182" s="415"/>
      <c r="R1182" s="417"/>
      <c r="S1182" s="419"/>
      <c r="T1182" s="418"/>
      <c r="U1182" s="419"/>
      <c r="V1182" s="419"/>
      <c r="W1182" s="420"/>
      <c r="X1182" s="420"/>
      <c r="Y1182" s="420"/>
      <c r="Z1182" s="3"/>
      <c r="AA1182" s="7"/>
      <c r="AB1182" s="7"/>
      <c r="AC1182" s="7"/>
      <c r="AD1182" s="7"/>
      <c r="AE1182" s="7"/>
    </row>
    <row r="1183" spans="1:31" ht="27" customHeight="1">
      <c r="A1183" s="414"/>
      <c r="B1183" s="414"/>
      <c r="C1183" s="415"/>
      <c r="D1183" s="415"/>
      <c r="E1183" s="415"/>
      <c r="F1183" s="415"/>
      <c r="G1183" s="416"/>
      <c r="H1183" s="415"/>
      <c r="I1183" s="416"/>
      <c r="J1183" s="414"/>
      <c r="K1183" s="414"/>
      <c r="L1183" s="414"/>
      <c r="M1183" s="414"/>
      <c r="N1183" s="416"/>
      <c r="O1183" s="416"/>
      <c r="P1183" s="415"/>
      <c r="Q1183" s="415"/>
      <c r="R1183" s="417"/>
      <c r="S1183" s="419"/>
      <c r="T1183" s="418"/>
      <c r="U1183" s="419"/>
      <c r="V1183" s="419"/>
      <c r="W1183" s="420"/>
      <c r="X1183" s="420"/>
      <c r="Y1183" s="420"/>
      <c r="Z1183" s="3"/>
      <c r="AA1183" s="7"/>
      <c r="AB1183" s="7"/>
      <c r="AC1183" s="7"/>
      <c r="AD1183" s="7"/>
      <c r="AE1183" s="7"/>
    </row>
    <row r="1184" spans="1:31" ht="27" customHeight="1">
      <c r="A1184" s="414"/>
      <c r="B1184" s="414"/>
      <c r="C1184" s="415"/>
      <c r="D1184" s="415"/>
      <c r="E1184" s="415"/>
      <c r="F1184" s="415"/>
      <c r="G1184" s="416"/>
      <c r="H1184" s="415"/>
      <c r="I1184" s="416"/>
      <c r="J1184" s="414"/>
      <c r="K1184" s="414"/>
      <c r="L1184" s="414"/>
      <c r="M1184" s="414"/>
      <c r="N1184" s="416"/>
      <c r="O1184" s="416"/>
      <c r="P1184" s="415"/>
      <c r="Q1184" s="415"/>
      <c r="R1184" s="417"/>
      <c r="S1184" s="419"/>
      <c r="T1184" s="418"/>
      <c r="U1184" s="419"/>
      <c r="V1184" s="419"/>
      <c r="W1184" s="420"/>
      <c r="X1184" s="420"/>
      <c r="Y1184" s="420"/>
      <c r="Z1184" s="3"/>
      <c r="AA1184" s="7"/>
      <c r="AB1184" s="7"/>
      <c r="AC1184" s="7"/>
      <c r="AD1184" s="7"/>
      <c r="AE1184" s="7"/>
    </row>
    <row r="1185" spans="1:31" ht="27" customHeight="1">
      <c r="A1185" s="414"/>
      <c r="B1185" s="414"/>
      <c r="C1185" s="415"/>
      <c r="D1185" s="415"/>
      <c r="E1185" s="415"/>
      <c r="F1185" s="415"/>
      <c r="G1185" s="416"/>
      <c r="H1185" s="415"/>
      <c r="I1185" s="416"/>
      <c r="J1185" s="414"/>
      <c r="K1185" s="414"/>
      <c r="L1185" s="414"/>
      <c r="M1185" s="414"/>
      <c r="N1185" s="416"/>
      <c r="O1185" s="416"/>
      <c r="P1185" s="415"/>
      <c r="Q1185" s="415"/>
      <c r="R1185" s="417"/>
      <c r="S1185" s="419"/>
      <c r="T1185" s="418"/>
      <c r="U1185" s="419"/>
      <c r="V1185" s="419"/>
      <c r="W1185" s="420"/>
      <c r="X1185" s="420"/>
      <c r="Y1185" s="420"/>
      <c r="Z1185" s="3"/>
      <c r="AA1185" s="7"/>
      <c r="AB1185" s="7"/>
      <c r="AC1185" s="7"/>
      <c r="AD1185" s="7"/>
      <c r="AE1185" s="7"/>
    </row>
    <row r="1186" spans="1:31" ht="27" customHeight="1">
      <c r="A1186" s="414"/>
      <c r="B1186" s="414"/>
      <c r="C1186" s="415"/>
      <c r="D1186" s="415"/>
      <c r="E1186" s="415"/>
      <c r="F1186" s="415"/>
      <c r="G1186" s="416"/>
      <c r="H1186" s="415"/>
      <c r="I1186" s="416"/>
      <c r="J1186" s="414"/>
      <c r="K1186" s="414"/>
      <c r="L1186" s="414"/>
      <c r="M1186" s="414"/>
      <c r="N1186" s="416"/>
      <c r="O1186" s="416"/>
      <c r="P1186" s="415"/>
      <c r="Q1186" s="415"/>
      <c r="R1186" s="417"/>
      <c r="S1186" s="419"/>
      <c r="T1186" s="418"/>
      <c r="U1186" s="419"/>
      <c r="V1186" s="419"/>
      <c r="W1186" s="420"/>
      <c r="X1186" s="420"/>
      <c r="Y1186" s="420"/>
      <c r="Z1186" s="3"/>
      <c r="AA1186" s="7"/>
      <c r="AB1186" s="7"/>
      <c r="AC1186" s="7"/>
      <c r="AD1186" s="7"/>
      <c r="AE1186" s="7"/>
    </row>
    <row r="1187" spans="1:31" ht="27" customHeight="1">
      <c r="A1187" s="414"/>
      <c r="B1187" s="414"/>
      <c r="C1187" s="415"/>
      <c r="D1187" s="415"/>
      <c r="E1187" s="415"/>
      <c r="F1187" s="415"/>
      <c r="G1187" s="416"/>
      <c r="H1187" s="415"/>
      <c r="I1187" s="416"/>
      <c r="J1187" s="414"/>
      <c r="K1187" s="414"/>
      <c r="L1187" s="414"/>
      <c r="M1187" s="414"/>
      <c r="N1187" s="416"/>
      <c r="O1187" s="416"/>
      <c r="P1187" s="415"/>
      <c r="Q1187" s="415"/>
      <c r="R1187" s="417"/>
      <c r="S1187" s="419"/>
      <c r="T1187" s="418"/>
      <c r="U1187" s="419"/>
      <c r="V1187" s="419"/>
      <c r="W1187" s="420"/>
      <c r="X1187" s="420"/>
      <c r="Y1187" s="420"/>
      <c r="Z1187" s="3"/>
      <c r="AA1187" s="7"/>
      <c r="AB1187" s="7"/>
      <c r="AC1187" s="7"/>
      <c r="AD1187" s="7"/>
      <c r="AE1187" s="7"/>
    </row>
    <row r="1188" spans="1:31" ht="27" customHeight="1">
      <c r="A1188" s="414"/>
      <c r="B1188" s="414"/>
      <c r="C1188" s="415"/>
      <c r="D1188" s="415"/>
      <c r="E1188" s="415"/>
      <c r="F1188" s="415"/>
      <c r="G1188" s="416"/>
      <c r="H1188" s="415"/>
      <c r="I1188" s="416"/>
      <c r="J1188" s="414"/>
      <c r="K1188" s="414"/>
      <c r="L1188" s="414"/>
      <c r="M1188" s="414"/>
      <c r="N1188" s="416"/>
      <c r="O1188" s="416"/>
      <c r="P1188" s="415"/>
      <c r="Q1188" s="415"/>
      <c r="R1188" s="417"/>
      <c r="S1188" s="419"/>
      <c r="T1188" s="418"/>
      <c r="U1188" s="419"/>
      <c r="V1188" s="419"/>
      <c r="W1188" s="420"/>
      <c r="X1188" s="420"/>
      <c r="Y1188" s="420"/>
      <c r="Z1188" s="3"/>
      <c r="AA1188" s="7"/>
      <c r="AB1188" s="7"/>
      <c r="AC1188" s="7"/>
      <c r="AD1188" s="7"/>
      <c r="AE1188" s="7"/>
    </row>
    <row r="1189" spans="1:31" ht="27" customHeight="1">
      <c r="A1189" s="414"/>
      <c r="B1189" s="414"/>
      <c r="C1189" s="415"/>
      <c r="D1189" s="415"/>
      <c r="E1189" s="415"/>
      <c r="F1189" s="415"/>
      <c r="G1189" s="416"/>
      <c r="H1189" s="415"/>
      <c r="I1189" s="416"/>
      <c r="J1189" s="414"/>
      <c r="K1189" s="414"/>
      <c r="L1189" s="414"/>
      <c r="M1189" s="414"/>
      <c r="N1189" s="416"/>
      <c r="O1189" s="416"/>
      <c r="P1189" s="415"/>
      <c r="Q1189" s="415"/>
      <c r="R1189" s="417"/>
      <c r="S1189" s="419"/>
      <c r="T1189" s="418"/>
      <c r="U1189" s="419"/>
      <c r="V1189" s="419"/>
      <c r="W1189" s="420"/>
      <c r="X1189" s="420"/>
      <c r="Y1189" s="420"/>
      <c r="Z1189" s="3"/>
      <c r="AA1189" s="7"/>
      <c r="AB1189" s="7"/>
      <c r="AC1189" s="7"/>
      <c r="AD1189" s="7"/>
      <c r="AE1189" s="7"/>
    </row>
    <row r="1190" spans="1:31" ht="27" customHeight="1">
      <c r="A1190" s="414"/>
      <c r="B1190" s="414"/>
      <c r="C1190" s="415"/>
      <c r="D1190" s="415"/>
      <c r="E1190" s="415"/>
      <c r="F1190" s="415"/>
      <c r="G1190" s="416"/>
      <c r="H1190" s="415"/>
      <c r="I1190" s="416"/>
      <c r="J1190" s="414"/>
      <c r="K1190" s="414"/>
      <c r="L1190" s="414"/>
      <c r="M1190" s="414"/>
      <c r="N1190" s="416"/>
      <c r="O1190" s="416"/>
      <c r="P1190" s="415"/>
      <c r="Q1190" s="415"/>
      <c r="R1190" s="417"/>
      <c r="S1190" s="419"/>
      <c r="T1190" s="418"/>
      <c r="U1190" s="419"/>
      <c r="V1190" s="419"/>
      <c r="W1190" s="420"/>
      <c r="X1190" s="420"/>
      <c r="Y1190" s="420"/>
      <c r="Z1190" s="3"/>
      <c r="AA1190" s="7"/>
      <c r="AB1190" s="7"/>
      <c r="AC1190" s="7"/>
      <c r="AD1190" s="7"/>
      <c r="AE1190" s="7"/>
    </row>
    <row r="1191" spans="1:31" ht="27" customHeight="1">
      <c r="A1191" s="414"/>
      <c r="B1191" s="414"/>
      <c r="C1191" s="415"/>
      <c r="D1191" s="415"/>
      <c r="E1191" s="415"/>
      <c r="F1191" s="415"/>
      <c r="G1191" s="416"/>
      <c r="H1191" s="415"/>
      <c r="I1191" s="416"/>
      <c r="J1191" s="414"/>
      <c r="K1191" s="414"/>
      <c r="L1191" s="414"/>
      <c r="M1191" s="414"/>
      <c r="N1191" s="416"/>
      <c r="O1191" s="416"/>
      <c r="P1191" s="415"/>
      <c r="Q1191" s="415"/>
      <c r="R1191" s="417"/>
      <c r="S1191" s="419"/>
      <c r="T1191" s="418"/>
      <c r="U1191" s="419"/>
      <c r="V1191" s="419"/>
      <c r="W1191" s="420"/>
      <c r="X1191" s="420"/>
      <c r="Y1191" s="420"/>
      <c r="Z1191" s="3"/>
      <c r="AA1191" s="7"/>
      <c r="AB1191" s="7"/>
      <c r="AC1191" s="7"/>
      <c r="AD1191" s="7"/>
      <c r="AE1191" s="7"/>
    </row>
    <row r="1192" spans="1:31" ht="27" customHeight="1">
      <c r="A1192" s="414"/>
      <c r="B1192" s="414"/>
      <c r="C1192" s="415"/>
      <c r="D1192" s="415"/>
      <c r="E1192" s="415"/>
      <c r="F1192" s="415"/>
      <c r="G1192" s="416"/>
      <c r="H1192" s="415"/>
      <c r="I1192" s="416"/>
      <c r="J1192" s="414"/>
      <c r="K1192" s="414"/>
      <c r="L1192" s="414"/>
      <c r="M1192" s="414"/>
      <c r="N1192" s="416"/>
      <c r="O1192" s="416"/>
      <c r="P1192" s="415"/>
      <c r="Q1192" s="415"/>
      <c r="R1192" s="417"/>
      <c r="S1192" s="419"/>
      <c r="T1192" s="418"/>
      <c r="U1192" s="419"/>
      <c r="V1192" s="419"/>
      <c r="W1192" s="420"/>
      <c r="X1192" s="420"/>
      <c r="Y1192" s="420"/>
      <c r="Z1192" s="3"/>
      <c r="AA1192" s="7"/>
      <c r="AB1192" s="7"/>
      <c r="AC1192" s="7"/>
      <c r="AD1192" s="7"/>
      <c r="AE1192" s="7"/>
    </row>
    <row r="1193" spans="1:31" ht="27" customHeight="1">
      <c r="A1193" s="414"/>
      <c r="B1193" s="414"/>
      <c r="C1193" s="415"/>
      <c r="D1193" s="415"/>
      <c r="E1193" s="415"/>
      <c r="F1193" s="415"/>
      <c r="G1193" s="416"/>
      <c r="H1193" s="415"/>
      <c r="I1193" s="416"/>
      <c r="J1193" s="414"/>
      <c r="K1193" s="414"/>
      <c r="L1193" s="414"/>
      <c r="M1193" s="414"/>
      <c r="N1193" s="416"/>
      <c r="O1193" s="416"/>
      <c r="P1193" s="415"/>
      <c r="Q1193" s="415"/>
      <c r="R1193" s="417"/>
      <c r="S1193" s="419"/>
      <c r="T1193" s="418"/>
      <c r="U1193" s="419"/>
      <c r="V1193" s="419"/>
      <c r="W1193" s="420"/>
      <c r="X1193" s="420"/>
      <c r="Y1193" s="420"/>
      <c r="Z1193" s="3"/>
      <c r="AA1193" s="7"/>
      <c r="AB1193" s="7"/>
      <c r="AC1193" s="7"/>
      <c r="AD1193" s="7"/>
      <c r="AE1193" s="7"/>
    </row>
    <row r="1194" spans="1:31" ht="27" customHeight="1">
      <c r="A1194" s="414"/>
      <c r="B1194" s="414"/>
      <c r="C1194" s="415"/>
      <c r="D1194" s="415"/>
      <c r="E1194" s="415"/>
      <c r="F1194" s="415"/>
      <c r="G1194" s="416"/>
      <c r="H1194" s="415"/>
      <c r="I1194" s="416"/>
      <c r="J1194" s="414"/>
      <c r="K1194" s="414"/>
      <c r="L1194" s="414"/>
      <c r="M1194" s="414"/>
      <c r="N1194" s="416"/>
      <c r="O1194" s="416"/>
      <c r="P1194" s="415"/>
      <c r="Q1194" s="415"/>
      <c r="R1194" s="417"/>
      <c r="S1194" s="419"/>
      <c r="T1194" s="418"/>
      <c r="U1194" s="419"/>
      <c r="V1194" s="419"/>
      <c r="W1194" s="420"/>
      <c r="X1194" s="420"/>
      <c r="Y1194" s="420"/>
      <c r="Z1194" s="3"/>
      <c r="AA1194" s="7"/>
      <c r="AB1194" s="7"/>
      <c r="AC1194" s="7"/>
      <c r="AD1194" s="7"/>
      <c r="AE1194" s="7"/>
    </row>
    <row r="1195" spans="1:31" ht="27" customHeight="1">
      <c r="A1195" s="414"/>
      <c r="B1195" s="414"/>
      <c r="C1195" s="415"/>
      <c r="D1195" s="415"/>
      <c r="E1195" s="415"/>
      <c r="F1195" s="415"/>
      <c r="G1195" s="416"/>
      <c r="H1195" s="415"/>
      <c r="I1195" s="416"/>
      <c r="J1195" s="414"/>
      <c r="K1195" s="414"/>
      <c r="L1195" s="414"/>
      <c r="M1195" s="414"/>
      <c r="N1195" s="416"/>
      <c r="O1195" s="416"/>
      <c r="P1195" s="415"/>
      <c r="Q1195" s="415"/>
      <c r="R1195" s="417"/>
      <c r="S1195" s="419"/>
      <c r="T1195" s="418"/>
      <c r="U1195" s="419"/>
      <c r="V1195" s="419"/>
      <c r="W1195" s="420"/>
      <c r="X1195" s="420"/>
      <c r="Y1195" s="420"/>
      <c r="Z1195" s="3"/>
      <c r="AA1195" s="7"/>
      <c r="AB1195" s="7"/>
      <c r="AC1195" s="7"/>
      <c r="AD1195" s="7"/>
      <c r="AE1195" s="7"/>
    </row>
    <row r="1196" spans="1:31" ht="27" customHeight="1">
      <c r="A1196" s="414"/>
      <c r="B1196" s="414"/>
      <c r="C1196" s="415"/>
      <c r="D1196" s="415"/>
      <c r="E1196" s="415"/>
      <c r="F1196" s="415"/>
      <c r="G1196" s="416"/>
      <c r="H1196" s="415"/>
      <c r="I1196" s="416"/>
      <c r="J1196" s="414"/>
      <c r="K1196" s="414"/>
      <c r="L1196" s="414"/>
      <c r="M1196" s="414"/>
      <c r="N1196" s="416"/>
      <c r="O1196" s="416"/>
      <c r="P1196" s="415"/>
      <c r="Q1196" s="415"/>
      <c r="R1196" s="417"/>
      <c r="S1196" s="419"/>
      <c r="T1196" s="418"/>
      <c r="U1196" s="419"/>
      <c r="V1196" s="419"/>
      <c r="W1196" s="420"/>
      <c r="X1196" s="420"/>
      <c r="Y1196" s="420"/>
      <c r="Z1196" s="3"/>
      <c r="AA1196" s="7"/>
      <c r="AB1196" s="7"/>
      <c r="AC1196" s="7"/>
      <c r="AD1196" s="7"/>
      <c r="AE1196" s="7"/>
    </row>
    <row r="1197" spans="1:31" ht="27" customHeight="1">
      <c r="A1197" s="414"/>
      <c r="B1197" s="414"/>
      <c r="C1197" s="415"/>
      <c r="D1197" s="415"/>
      <c r="E1197" s="415"/>
      <c r="F1197" s="415"/>
      <c r="G1197" s="416"/>
      <c r="H1197" s="415"/>
      <c r="I1197" s="416"/>
      <c r="J1197" s="414"/>
      <c r="K1197" s="414"/>
      <c r="L1197" s="414"/>
      <c r="M1197" s="414"/>
      <c r="N1197" s="416"/>
      <c r="O1197" s="416"/>
      <c r="P1197" s="415"/>
      <c r="Q1197" s="415"/>
      <c r="R1197" s="417"/>
      <c r="S1197" s="419"/>
      <c r="T1197" s="418"/>
      <c r="U1197" s="419"/>
      <c r="V1197" s="419"/>
      <c r="W1197" s="420"/>
      <c r="X1197" s="420"/>
      <c r="Y1197" s="420"/>
      <c r="Z1197" s="3"/>
      <c r="AA1197" s="7"/>
      <c r="AB1197" s="7"/>
      <c r="AC1197" s="7"/>
      <c r="AD1197" s="7"/>
      <c r="AE1197" s="7"/>
    </row>
    <row r="1198" spans="1:31" ht="27" customHeight="1">
      <c r="A1198" s="414"/>
      <c r="B1198" s="414"/>
      <c r="C1198" s="415"/>
      <c r="D1198" s="415"/>
      <c r="E1198" s="415"/>
      <c r="F1198" s="415"/>
      <c r="G1198" s="416"/>
      <c r="H1198" s="415"/>
      <c r="I1198" s="416"/>
      <c r="J1198" s="414"/>
      <c r="K1198" s="414"/>
      <c r="L1198" s="414"/>
      <c r="M1198" s="414"/>
      <c r="N1198" s="416"/>
      <c r="O1198" s="416"/>
      <c r="P1198" s="415"/>
      <c r="Q1198" s="415"/>
      <c r="R1198" s="417"/>
      <c r="S1198" s="419"/>
      <c r="T1198" s="418"/>
      <c r="U1198" s="419"/>
      <c r="V1198" s="419"/>
      <c r="W1198" s="420"/>
      <c r="X1198" s="420"/>
      <c r="Y1198" s="420"/>
      <c r="Z1198" s="3"/>
      <c r="AA1198" s="7"/>
      <c r="AB1198" s="7"/>
      <c r="AC1198" s="7"/>
      <c r="AD1198" s="7"/>
      <c r="AE1198" s="7"/>
    </row>
    <row r="1199" spans="1:31" ht="27" customHeight="1">
      <c r="A1199" s="414"/>
      <c r="B1199" s="414"/>
      <c r="C1199" s="415"/>
      <c r="D1199" s="415"/>
      <c r="E1199" s="415"/>
      <c r="F1199" s="415"/>
      <c r="G1199" s="416"/>
      <c r="H1199" s="415"/>
      <c r="I1199" s="416"/>
      <c r="J1199" s="414"/>
      <c r="K1199" s="414"/>
      <c r="L1199" s="414"/>
      <c r="M1199" s="414"/>
      <c r="N1199" s="416"/>
      <c r="O1199" s="416"/>
      <c r="P1199" s="415"/>
      <c r="Q1199" s="415"/>
      <c r="R1199" s="417"/>
      <c r="S1199" s="419"/>
      <c r="T1199" s="418"/>
      <c r="U1199" s="419"/>
      <c r="V1199" s="419"/>
      <c r="W1199" s="420"/>
      <c r="X1199" s="420"/>
      <c r="Y1199" s="420"/>
      <c r="Z1199" s="3"/>
      <c r="AA1199" s="7"/>
      <c r="AB1199" s="7"/>
      <c r="AC1199" s="7"/>
      <c r="AD1199" s="7"/>
      <c r="AE1199" s="7"/>
    </row>
    <row r="1200" spans="1:31" ht="27" customHeight="1">
      <c r="A1200" s="414"/>
      <c r="B1200" s="414"/>
      <c r="C1200" s="415"/>
      <c r="D1200" s="415"/>
      <c r="E1200" s="415"/>
      <c r="F1200" s="415"/>
      <c r="G1200" s="416"/>
      <c r="H1200" s="415"/>
      <c r="I1200" s="416"/>
      <c r="J1200" s="414"/>
      <c r="K1200" s="414"/>
      <c r="L1200" s="414"/>
      <c r="M1200" s="414"/>
      <c r="N1200" s="416"/>
      <c r="O1200" s="416"/>
      <c r="P1200" s="415"/>
      <c r="Q1200" s="415"/>
      <c r="R1200" s="417"/>
      <c r="S1200" s="419"/>
      <c r="T1200" s="418"/>
      <c r="U1200" s="419"/>
      <c r="V1200" s="419"/>
      <c r="W1200" s="420"/>
      <c r="X1200" s="420"/>
      <c r="Y1200" s="420"/>
      <c r="Z1200" s="3"/>
      <c r="AA1200" s="7"/>
      <c r="AB1200" s="7"/>
      <c r="AC1200" s="7"/>
      <c r="AD1200" s="7"/>
      <c r="AE1200" s="7"/>
    </row>
    <row r="1201" spans="1:31" ht="27" customHeight="1">
      <c r="A1201" s="414"/>
      <c r="B1201" s="414"/>
      <c r="C1201" s="415"/>
      <c r="D1201" s="415"/>
      <c r="E1201" s="415"/>
      <c r="F1201" s="415"/>
      <c r="G1201" s="416"/>
      <c r="H1201" s="415"/>
      <c r="I1201" s="416"/>
      <c r="J1201" s="414"/>
      <c r="K1201" s="414"/>
      <c r="L1201" s="414"/>
      <c r="M1201" s="414"/>
      <c r="N1201" s="416"/>
      <c r="O1201" s="416"/>
      <c r="P1201" s="415"/>
      <c r="Q1201" s="415"/>
      <c r="R1201" s="417"/>
      <c r="S1201" s="419"/>
      <c r="T1201" s="418"/>
      <c r="U1201" s="419"/>
      <c r="V1201" s="419"/>
      <c r="W1201" s="420"/>
      <c r="X1201" s="420"/>
      <c r="Y1201" s="420"/>
      <c r="Z1201" s="3"/>
      <c r="AA1201" s="7"/>
      <c r="AB1201" s="7"/>
      <c r="AC1201" s="7"/>
      <c r="AD1201" s="7"/>
      <c r="AE1201" s="7"/>
    </row>
    <row r="1202" spans="1:31" ht="27" customHeight="1">
      <c r="A1202" s="414"/>
      <c r="B1202" s="414"/>
      <c r="C1202" s="415"/>
      <c r="D1202" s="415"/>
      <c r="E1202" s="415"/>
      <c r="F1202" s="415"/>
      <c r="G1202" s="416"/>
      <c r="H1202" s="415"/>
      <c r="I1202" s="416"/>
      <c r="J1202" s="414"/>
      <c r="K1202" s="414"/>
      <c r="L1202" s="414"/>
      <c r="M1202" s="414"/>
      <c r="N1202" s="416"/>
      <c r="O1202" s="416"/>
      <c r="P1202" s="415"/>
      <c r="Q1202" s="415"/>
      <c r="R1202" s="417"/>
      <c r="S1202" s="419"/>
      <c r="T1202" s="418"/>
      <c r="U1202" s="419"/>
      <c r="V1202" s="419"/>
      <c r="W1202" s="420"/>
      <c r="X1202" s="420"/>
      <c r="Y1202" s="420"/>
      <c r="Z1202" s="3"/>
      <c r="AA1202" s="7"/>
      <c r="AB1202" s="7"/>
      <c r="AC1202" s="7"/>
      <c r="AD1202" s="7"/>
      <c r="AE1202" s="7"/>
    </row>
    <row r="1203" spans="1:31" ht="27" customHeight="1">
      <c r="A1203" s="414"/>
      <c r="B1203" s="414"/>
      <c r="C1203" s="415"/>
      <c r="D1203" s="415"/>
      <c r="E1203" s="415"/>
      <c r="F1203" s="415"/>
      <c r="G1203" s="416"/>
      <c r="H1203" s="415"/>
      <c r="I1203" s="416"/>
      <c r="J1203" s="414"/>
      <c r="K1203" s="414"/>
      <c r="L1203" s="414"/>
      <c r="M1203" s="414"/>
      <c r="N1203" s="416"/>
      <c r="O1203" s="416"/>
      <c r="P1203" s="415"/>
      <c r="Q1203" s="415"/>
      <c r="R1203" s="417"/>
      <c r="S1203" s="419"/>
      <c r="T1203" s="418"/>
      <c r="U1203" s="419"/>
      <c r="V1203" s="419"/>
      <c r="W1203" s="420"/>
      <c r="X1203" s="420"/>
      <c r="Y1203" s="420"/>
      <c r="Z1203" s="3"/>
      <c r="AA1203" s="7"/>
      <c r="AB1203" s="7"/>
      <c r="AC1203" s="7"/>
      <c r="AD1203" s="7"/>
      <c r="AE1203" s="7"/>
    </row>
    <row r="1204" spans="1:31" ht="27" customHeight="1">
      <c r="A1204" s="414"/>
      <c r="B1204" s="414"/>
      <c r="C1204" s="415"/>
      <c r="D1204" s="415"/>
      <c r="E1204" s="415"/>
      <c r="F1204" s="415"/>
      <c r="G1204" s="416"/>
      <c r="H1204" s="415"/>
      <c r="I1204" s="416"/>
      <c r="J1204" s="414"/>
      <c r="K1204" s="414"/>
      <c r="L1204" s="414"/>
      <c r="M1204" s="414"/>
      <c r="N1204" s="416"/>
      <c r="O1204" s="416"/>
      <c r="P1204" s="415"/>
      <c r="Q1204" s="415"/>
      <c r="R1204" s="417"/>
      <c r="S1204" s="419"/>
      <c r="T1204" s="418"/>
      <c r="U1204" s="419"/>
      <c r="V1204" s="419"/>
      <c r="W1204" s="420"/>
      <c r="X1204" s="420"/>
      <c r="Y1204" s="420"/>
      <c r="Z1204" s="3"/>
      <c r="AA1204" s="7"/>
      <c r="AB1204" s="7"/>
      <c r="AC1204" s="7"/>
      <c r="AD1204" s="7"/>
      <c r="AE1204" s="7"/>
    </row>
    <row r="1205" spans="1:31" ht="27" customHeight="1">
      <c r="A1205" s="414"/>
      <c r="B1205" s="414"/>
      <c r="C1205" s="415"/>
      <c r="D1205" s="415"/>
      <c r="E1205" s="415"/>
      <c r="F1205" s="415"/>
      <c r="G1205" s="416"/>
      <c r="H1205" s="415"/>
      <c r="I1205" s="416"/>
      <c r="J1205" s="414"/>
      <c r="K1205" s="414"/>
      <c r="L1205" s="414"/>
      <c r="M1205" s="414"/>
      <c r="N1205" s="416"/>
      <c r="O1205" s="416"/>
      <c r="P1205" s="415"/>
      <c r="Q1205" s="415"/>
      <c r="R1205" s="417"/>
      <c r="S1205" s="419"/>
      <c r="T1205" s="418"/>
      <c r="U1205" s="419"/>
      <c r="V1205" s="419"/>
      <c r="W1205" s="420"/>
      <c r="X1205" s="420"/>
      <c r="Y1205" s="420"/>
      <c r="Z1205" s="3"/>
      <c r="AA1205" s="7"/>
      <c r="AB1205" s="7"/>
      <c r="AC1205" s="7"/>
      <c r="AD1205" s="7"/>
      <c r="AE1205" s="7"/>
    </row>
    <row r="1206" spans="1:31" ht="27" customHeight="1">
      <c r="A1206" s="414"/>
      <c r="B1206" s="414"/>
      <c r="C1206" s="415"/>
      <c r="D1206" s="415"/>
      <c r="E1206" s="415"/>
      <c r="F1206" s="415"/>
      <c r="G1206" s="416"/>
      <c r="H1206" s="415"/>
      <c r="I1206" s="416"/>
      <c r="J1206" s="414"/>
      <c r="K1206" s="414"/>
      <c r="L1206" s="414"/>
      <c r="M1206" s="414"/>
      <c r="N1206" s="416"/>
      <c r="O1206" s="416"/>
      <c r="P1206" s="415"/>
      <c r="Q1206" s="415"/>
      <c r="R1206" s="417"/>
      <c r="S1206" s="419"/>
      <c r="T1206" s="418"/>
      <c r="U1206" s="419"/>
      <c r="V1206" s="419"/>
      <c r="W1206" s="420"/>
      <c r="X1206" s="420"/>
      <c r="Y1206" s="420"/>
      <c r="Z1206" s="3"/>
      <c r="AA1206" s="7"/>
      <c r="AB1206" s="7"/>
      <c r="AC1206" s="7"/>
      <c r="AD1206" s="7"/>
      <c r="AE1206" s="7"/>
    </row>
    <row r="1207" spans="1:31" ht="27" customHeight="1">
      <c r="A1207" s="414"/>
      <c r="B1207" s="414"/>
      <c r="C1207" s="415"/>
      <c r="D1207" s="415"/>
      <c r="E1207" s="415"/>
      <c r="F1207" s="415"/>
      <c r="G1207" s="416"/>
      <c r="H1207" s="415"/>
      <c r="I1207" s="416"/>
      <c r="J1207" s="414"/>
      <c r="K1207" s="414"/>
      <c r="L1207" s="414"/>
      <c r="M1207" s="414"/>
      <c r="N1207" s="416"/>
      <c r="O1207" s="416"/>
      <c r="P1207" s="415"/>
      <c r="Q1207" s="415"/>
      <c r="R1207" s="417"/>
      <c r="S1207" s="419"/>
      <c r="T1207" s="418"/>
      <c r="U1207" s="419"/>
      <c r="V1207" s="419"/>
      <c r="W1207" s="420"/>
      <c r="X1207" s="420"/>
      <c r="Y1207" s="420"/>
      <c r="Z1207" s="3"/>
      <c r="AA1207" s="7"/>
      <c r="AB1207" s="7"/>
      <c r="AC1207" s="7"/>
      <c r="AD1207" s="7"/>
      <c r="AE1207" s="7"/>
    </row>
    <row r="1208" spans="1:31" ht="27" customHeight="1">
      <c r="A1208" s="414"/>
      <c r="B1208" s="414"/>
      <c r="C1208" s="415"/>
      <c r="D1208" s="415"/>
      <c r="E1208" s="415"/>
      <c r="F1208" s="415"/>
      <c r="G1208" s="416"/>
      <c r="H1208" s="415"/>
      <c r="I1208" s="416"/>
      <c r="J1208" s="414"/>
      <c r="K1208" s="414"/>
      <c r="L1208" s="414"/>
      <c r="M1208" s="414"/>
      <c r="N1208" s="416"/>
      <c r="O1208" s="416"/>
      <c r="P1208" s="415"/>
      <c r="Q1208" s="415"/>
      <c r="R1208" s="417"/>
      <c r="S1208" s="419"/>
      <c r="T1208" s="418"/>
      <c r="U1208" s="419"/>
      <c r="V1208" s="419"/>
      <c r="W1208" s="420"/>
      <c r="X1208" s="420"/>
      <c r="Y1208" s="420"/>
      <c r="Z1208" s="3"/>
      <c r="AA1208" s="7"/>
      <c r="AB1208" s="7"/>
      <c r="AC1208" s="7"/>
      <c r="AD1208" s="7"/>
      <c r="AE1208" s="7"/>
    </row>
    <row r="1209" spans="1:31" ht="27" customHeight="1">
      <c r="A1209" s="414"/>
      <c r="B1209" s="414"/>
      <c r="C1209" s="415"/>
      <c r="D1209" s="415"/>
      <c r="E1209" s="415"/>
      <c r="F1209" s="415"/>
      <c r="G1209" s="416"/>
      <c r="H1209" s="415"/>
      <c r="I1209" s="416"/>
      <c r="J1209" s="414"/>
      <c r="K1209" s="414"/>
      <c r="L1209" s="414"/>
      <c r="M1209" s="414"/>
      <c r="N1209" s="416"/>
      <c r="O1209" s="416"/>
      <c r="P1209" s="415"/>
      <c r="Q1209" s="415"/>
      <c r="R1209" s="417"/>
      <c r="S1209" s="419"/>
      <c r="T1209" s="418"/>
      <c r="U1209" s="419"/>
      <c r="V1209" s="419"/>
      <c r="W1209" s="420"/>
      <c r="X1209" s="420"/>
      <c r="Y1209" s="420"/>
      <c r="Z1209" s="3"/>
      <c r="AA1209" s="7"/>
      <c r="AB1209" s="7"/>
      <c r="AC1209" s="7"/>
      <c r="AD1209" s="7"/>
      <c r="AE1209" s="7"/>
    </row>
    <row r="1210" spans="1:31" ht="27" customHeight="1">
      <c r="A1210" s="414"/>
      <c r="B1210" s="414"/>
      <c r="C1210" s="415"/>
      <c r="D1210" s="415"/>
      <c r="E1210" s="415"/>
      <c r="F1210" s="415"/>
      <c r="G1210" s="416"/>
      <c r="H1210" s="415"/>
      <c r="I1210" s="416"/>
      <c r="J1210" s="414"/>
      <c r="K1210" s="414"/>
      <c r="L1210" s="414"/>
      <c r="M1210" s="414"/>
      <c r="N1210" s="416"/>
      <c r="O1210" s="416"/>
      <c r="P1210" s="415"/>
      <c r="Q1210" s="415"/>
      <c r="R1210" s="417"/>
      <c r="S1210" s="419"/>
      <c r="T1210" s="418"/>
      <c r="U1210" s="419"/>
      <c r="V1210" s="419"/>
      <c r="W1210" s="420"/>
      <c r="X1210" s="420"/>
      <c r="Y1210" s="420"/>
      <c r="Z1210" s="3"/>
      <c r="AA1210" s="7"/>
      <c r="AB1210" s="7"/>
      <c r="AC1210" s="7"/>
      <c r="AD1210" s="7"/>
      <c r="AE1210" s="7"/>
    </row>
    <row r="1211" spans="1:31" ht="27" customHeight="1">
      <c r="A1211" s="414"/>
      <c r="B1211" s="414"/>
      <c r="C1211" s="415"/>
      <c r="D1211" s="415"/>
      <c r="E1211" s="415"/>
      <c r="F1211" s="415"/>
      <c r="G1211" s="416"/>
      <c r="H1211" s="415"/>
      <c r="I1211" s="416"/>
      <c r="J1211" s="414"/>
      <c r="K1211" s="414"/>
      <c r="L1211" s="414"/>
      <c r="M1211" s="414"/>
      <c r="N1211" s="416"/>
      <c r="O1211" s="416"/>
      <c r="P1211" s="415"/>
      <c r="Q1211" s="415"/>
      <c r="R1211" s="417"/>
      <c r="S1211" s="419"/>
      <c r="T1211" s="418"/>
      <c r="U1211" s="419"/>
      <c r="V1211" s="419"/>
      <c r="W1211" s="420"/>
      <c r="X1211" s="420"/>
      <c r="Y1211" s="420"/>
      <c r="Z1211" s="3"/>
      <c r="AA1211" s="7"/>
      <c r="AB1211" s="7"/>
      <c r="AC1211" s="7"/>
      <c r="AD1211" s="7"/>
      <c r="AE1211" s="7"/>
    </row>
    <row r="1212" spans="1:31" ht="27" customHeight="1">
      <c r="A1212" s="414"/>
      <c r="B1212" s="414"/>
      <c r="C1212" s="415"/>
      <c r="D1212" s="415"/>
      <c r="E1212" s="415"/>
      <c r="F1212" s="415"/>
      <c r="G1212" s="416"/>
      <c r="H1212" s="415"/>
      <c r="I1212" s="416"/>
      <c r="J1212" s="414"/>
      <c r="K1212" s="414"/>
      <c r="L1212" s="414"/>
      <c r="M1212" s="414"/>
      <c r="N1212" s="416"/>
      <c r="O1212" s="416"/>
      <c r="P1212" s="415"/>
      <c r="Q1212" s="415"/>
      <c r="R1212" s="417"/>
      <c r="S1212" s="419"/>
      <c r="T1212" s="418"/>
      <c r="U1212" s="419"/>
      <c r="V1212" s="419"/>
      <c r="W1212" s="420"/>
      <c r="X1212" s="420"/>
      <c r="Y1212" s="420"/>
      <c r="Z1212" s="3"/>
      <c r="AA1212" s="7"/>
      <c r="AB1212" s="7"/>
      <c r="AC1212" s="7"/>
      <c r="AD1212" s="7"/>
      <c r="AE1212" s="7"/>
    </row>
    <row r="1213" spans="1:31" ht="27" customHeight="1">
      <c r="A1213" s="414"/>
      <c r="B1213" s="414"/>
      <c r="C1213" s="415"/>
      <c r="D1213" s="415"/>
      <c r="E1213" s="415"/>
      <c r="F1213" s="415"/>
      <c r="G1213" s="416"/>
      <c r="H1213" s="415"/>
      <c r="I1213" s="416"/>
      <c r="J1213" s="414"/>
      <c r="K1213" s="414"/>
      <c r="L1213" s="414"/>
      <c r="M1213" s="414"/>
      <c r="N1213" s="416"/>
      <c r="O1213" s="416"/>
      <c r="P1213" s="415"/>
      <c r="Q1213" s="415"/>
      <c r="R1213" s="417"/>
      <c r="S1213" s="419"/>
      <c r="T1213" s="418"/>
      <c r="U1213" s="419"/>
      <c r="V1213" s="419"/>
      <c r="W1213" s="420"/>
      <c r="X1213" s="420"/>
      <c r="Y1213" s="420"/>
      <c r="Z1213" s="3"/>
      <c r="AA1213" s="7"/>
      <c r="AB1213" s="7"/>
      <c r="AC1213" s="7"/>
      <c r="AD1213" s="7"/>
      <c r="AE1213" s="7"/>
    </row>
    <row r="1214" spans="1:31" ht="27" customHeight="1">
      <c r="A1214" s="414"/>
      <c r="B1214" s="414"/>
      <c r="C1214" s="415"/>
      <c r="D1214" s="415"/>
      <c r="E1214" s="415"/>
      <c r="F1214" s="415"/>
      <c r="G1214" s="416"/>
      <c r="H1214" s="415"/>
      <c r="I1214" s="416"/>
      <c r="J1214" s="414"/>
      <c r="K1214" s="414"/>
      <c r="L1214" s="414"/>
      <c r="M1214" s="414"/>
      <c r="N1214" s="416"/>
      <c r="O1214" s="416"/>
      <c r="P1214" s="415"/>
      <c r="Q1214" s="415"/>
      <c r="R1214" s="417"/>
      <c r="S1214" s="419"/>
      <c r="T1214" s="418"/>
      <c r="U1214" s="419"/>
      <c r="V1214" s="419"/>
      <c r="W1214" s="420"/>
      <c r="X1214" s="420"/>
      <c r="Y1214" s="420"/>
      <c r="Z1214" s="3"/>
      <c r="AA1214" s="7"/>
      <c r="AB1214" s="7"/>
      <c r="AC1214" s="7"/>
      <c r="AD1214" s="7"/>
      <c r="AE1214" s="7"/>
    </row>
    <row r="1215" spans="1:31" ht="27" customHeight="1">
      <c r="A1215" s="414"/>
      <c r="B1215" s="414"/>
      <c r="C1215" s="415"/>
      <c r="D1215" s="415"/>
      <c r="E1215" s="415"/>
      <c r="F1215" s="415"/>
      <c r="G1215" s="416"/>
      <c r="H1215" s="415"/>
      <c r="I1215" s="416"/>
      <c r="J1215" s="414"/>
      <c r="K1215" s="414"/>
      <c r="L1215" s="414"/>
      <c r="M1215" s="414"/>
      <c r="N1215" s="416"/>
      <c r="O1215" s="416"/>
      <c r="P1215" s="415"/>
      <c r="Q1215" s="415"/>
      <c r="R1215" s="417"/>
      <c r="S1215" s="419"/>
      <c r="T1215" s="418"/>
      <c r="U1215" s="419"/>
      <c r="V1215" s="419"/>
      <c r="W1215" s="420"/>
      <c r="X1215" s="420"/>
      <c r="Y1215" s="420"/>
      <c r="Z1215" s="3"/>
      <c r="AA1215" s="7"/>
      <c r="AB1215" s="7"/>
      <c r="AC1215" s="7"/>
      <c r="AD1215" s="7"/>
      <c r="AE1215" s="7"/>
    </row>
    <row r="1216" spans="1:31" ht="27" customHeight="1">
      <c r="A1216" s="414"/>
      <c r="B1216" s="414"/>
      <c r="C1216" s="415"/>
      <c r="D1216" s="415"/>
      <c r="E1216" s="415"/>
      <c r="F1216" s="415"/>
      <c r="G1216" s="416"/>
      <c r="H1216" s="415"/>
      <c r="I1216" s="416"/>
      <c r="J1216" s="414"/>
      <c r="K1216" s="414"/>
      <c r="L1216" s="414"/>
      <c r="M1216" s="414"/>
      <c r="N1216" s="416"/>
      <c r="O1216" s="416"/>
      <c r="P1216" s="415"/>
      <c r="Q1216" s="415"/>
      <c r="R1216" s="417"/>
      <c r="S1216" s="419"/>
      <c r="T1216" s="418"/>
      <c r="U1216" s="419"/>
      <c r="V1216" s="419"/>
      <c r="W1216" s="420"/>
      <c r="X1216" s="420"/>
      <c r="Y1216" s="420"/>
      <c r="Z1216" s="3"/>
      <c r="AA1216" s="7"/>
      <c r="AB1216" s="7"/>
      <c r="AC1216" s="7"/>
      <c r="AD1216" s="7"/>
      <c r="AE1216" s="7"/>
    </row>
    <row r="1217" spans="1:31" ht="27" customHeight="1">
      <c r="A1217" s="414"/>
      <c r="B1217" s="414"/>
      <c r="C1217" s="415"/>
      <c r="D1217" s="415"/>
      <c r="E1217" s="415"/>
      <c r="F1217" s="415"/>
      <c r="G1217" s="416"/>
      <c r="H1217" s="415"/>
      <c r="I1217" s="416"/>
      <c r="J1217" s="414"/>
      <c r="K1217" s="414"/>
      <c r="L1217" s="414"/>
      <c r="M1217" s="414"/>
      <c r="N1217" s="416"/>
      <c r="O1217" s="416"/>
      <c r="P1217" s="415"/>
      <c r="Q1217" s="415"/>
      <c r="R1217" s="417"/>
      <c r="S1217" s="419"/>
      <c r="T1217" s="418"/>
      <c r="U1217" s="419"/>
      <c r="V1217" s="419"/>
      <c r="W1217" s="420"/>
      <c r="X1217" s="420"/>
      <c r="Y1217" s="420"/>
      <c r="Z1217" s="3"/>
      <c r="AA1217" s="7"/>
      <c r="AB1217" s="7"/>
      <c r="AC1217" s="7"/>
      <c r="AD1217" s="7"/>
      <c r="AE1217" s="7"/>
    </row>
    <row r="1218" spans="1:31" ht="27" customHeight="1">
      <c r="A1218" s="414"/>
      <c r="B1218" s="414"/>
      <c r="C1218" s="415"/>
      <c r="D1218" s="415"/>
      <c r="E1218" s="415"/>
      <c r="F1218" s="415"/>
      <c r="G1218" s="416"/>
      <c r="H1218" s="415"/>
      <c r="I1218" s="416"/>
      <c r="J1218" s="414"/>
      <c r="K1218" s="414"/>
      <c r="L1218" s="414"/>
      <c r="M1218" s="414"/>
      <c r="N1218" s="416"/>
      <c r="O1218" s="416"/>
      <c r="P1218" s="415"/>
      <c r="Q1218" s="415"/>
      <c r="R1218" s="417"/>
      <c r="S1218" s="419"/>
      <c r="T1218" s="418"/>
      <c r="U1218" s="419"/>
      <c r="V1218" s="419"/>
      <c r="W1218" s="420"/>
      <c r="X1218" s="420"/>
      <c r="Y1218" s="420"/>
      <c r="Z1218" s="3"/>
      <c r="AA1218" s="7"/>
      <c r="AB1218" s="7"/>
      <c r="AC1218" s="7"/>
      <c r="AD1218" s="7"/>
      <c r="AE1218" s="7"/>
    </row>
    <row r="1219" spans="1:31" ht="27" customHeight="1">
      <c r="A1219" s="414"/>
      <c r="B1219" s="414"/>
      <c r="C1219" s="415"/>
      <c r="D1219" s="415"/>
      <c r="E1219" s="415"/>
      <c r="F1219" s="415"/>
      <c r="G1219" s="416"/>
      <c r="H1219" s="415"/>
      <c r="I1219" s="416"/>
      <c r="J1219" s="414"/>
      <c r="K1219" s="414"/>
      <c r="L1219" s="414"/>
      <c r="M1219" s="414"/>
      <c r="N1219" s="416"/>
      <c r="O1219" s="416"/>
      <c r="P1219" s="415"/>
      <c r="Q1219" s="415"/>
      <c r="R1219" s="417"/>
      <c r="S1219" s="419"/>
      <c r="T1219" s="418"/>
      <c r="U1219" s="419"/>
      <c r="V1219" s="419"/>
      <c r="W1219" s="420"/>
      <c r="X1219" s="420"/>
      <c r="Y1219" s="420"/>
      <c r="Z1219" s="3"/>
      <c r="AA1219" s="7"/>
      <c r="AB1219" s="7"/>
      <c r="AC1219" s="7"/>
      <c r="AD1219" s="7"/>
      <c r="AE1219" s="7"/>
    </row>
    <row r="1220" spans="1:31" ht="27" customHeight="1">
      <c r="A1220" s="414"/>
      <c r="B1220" s="414"/>
      <c r="C1220" s="415"/>
      <c r="D1220" s="415"/>
      <c r="E1220" s="415"/>
      <c r="F1220" s="415"/>
      <c r="G1220" s="416"/>
      <c r="H1220" s="415"/>
      <c r="I1220" s="416"/>
      <c r="J1220" s="414"/>
      <c r="K1220" s="414"/>
      <c r="L1220" s="414"/>
      <c r="M1220" s="414"/>
      <c r="N1220" s="416"/>
      <c r="O1220" s="416"/>
      <c r="P1220" s="415"/>
      <c r="Q1220" s="415"/>
      <c r="R1220" s="417"/>
      <c r="S1220" s="419"/>
      <c r="T1220" s="418"/>
      <c r="U1220" s="419"/>
      <c r="V1220" s="419"/>
      <c r="W1220" s="420"/>
      <c r="X1220" s="420"/>
      <c r="Y1220" s="420"/>
      <c r="Z1220" s="3"/>
      <c r="AA1220" s="7"/>
      <c r="AB1220" s="7"/>
      <c r="AC1220" s="7"/>
      <c r="AD1220" s="7"/>
      <c r="AE1220" s="7"/>
    </row>
    <row r="1221" spans="1:31" ht="27" customHeight="1">
      <c r="A1221" s="414"/>
      <c r="B1221" s="414"/>
      <c r="C1221" s="415"/>
      <c r="D1221" s="415"/>
      <c r="E1221" s="415"/>
      <c r="F1221" s="415"/>
      <c r="G1221" s="416"/>
      <c r="H1221" s="415"/>
      <c r="I1221" s="416"/>
      <c r="J1221" s="414"/>
      <c r="K1221" s="414"/>
      <c r="L1221" s="414"/>
      <c r="M1221" s="414"/>
      <c r="N1221" s="416"/>
      <c r="O1221" s="416"/>
      <c r="P1221" s="415"/>
      <c r="Q1221" s="415"/>
      <c r="R1221" s="417"/>
      <c r="S1221" s="419"/>
      <c r="T1221" s="418"/>
      <c r="U1221" s="419"/>
      <c r="V1221" s="419"/>
      <c r="W1221" s="420"/>
      <c r="X1221" s="420"/>
      <c r="Y1221" s="420"/>
      <c r="Z1221" s="3"/>
      <c r="AA1221" s="7"/>
      <c r="AB1221" s="7"/>
      <c r="AC1221" s="7"/>
      <c r="AD1221" s="7"/>
      <c r="AE1221" s="7"/>
    </row>
    <row r="1222" spans="1:31" ht="27" customHeight="1">
      <c r="A1222" s="414"/>
      <c r="B1222" s="414"/>
      <c r="C1222" s="415"/>
      <c r="D1222" s="415"/>
      <c r="E1222" s="415"/>
      <c r="F1222" s="415"/>
      <c r="G1222" s="416"/>
      <c r="H1222" s="415"/>
      <c r="I1222" s="416"/>
      <c r="J1222" s="414"/>
      <c r="K1222" s="414"/>
      <c r="L1222" s="414"/>
      <c r="M1222" s="414"/>
      <c r="N1222" s="416"/>
      <c r="O1222" s="416"/>
      <c r="P1222" s="415"/>
      <c r="Q1222" s="415"/>
      <c r="R1222" s="417"/>
      <c r="S1222" s="419"/>
      <c r="T1222" s="418"/>
      <c r="U1222" s="419"/>
      <c r="V1222" s="419"/>
      <c r="W1222" s="420"/>
      <c r="X1222" s="420"/>
      <c r="Y1222" s="420"/>
      <c r="Z1222" s="3"/>
      <c r="AA1222" s="7"/>
      <c r="AB1222" s="7"/>
      <c r="AC1222" s="7"/>
      <c r="AD1222" s="7"/>
      <c r="AE1222" s="7"/>
    </row>
    <row r="1223" spans="1:31" ht="27" customHeight="1">
      <c r="A1223" s="414"/>
      <c r="B1223" s="414"/>
      <c r="C1223" s="415"/>
      <c r="D1223" s="415"/>
      <c r="E1223" s="415"/>
      <c r="F1223" s="415"/>
      <c r="G1223" s="416"/>
      <c r="H1223" s="415"/>
      <c r="I1223" s="416"/>
      <c r="J1223" s="414"/>
      <c r="K1223" s="414"/>
      <c r="L1223" s="414"/>
      <c r="M1223" s="414"/>
      <c r="N1223" s="416"/>
      <c r="O1223" s="416"/>
      <c r="P1223" s="415"/>
      <c r="Q1223" s="415"/>
      <c r="R1223" s="417"/>
      <c r="S1223" s="419"/>
      <c r="T1223" s="418"/>
      <c r="U1223" s="419"/>
      <c r="V1223" s="419"/>
      <c r="W1223" s="420"/>
      <c r="X1223" s="420"/>
      <c r="Y1223" s="420"/>
      <c r="Z1223" s="3"/>
      <c r="AA1223" s="7"/>
      <c r="AB1223" s="7"/>
      <c r="AC1223" s="7"/>
      <c r="AD1223" s="7"/>
      <c r="AE1223" s="7"/>
    </row>
    <row r="1224" spans="1:31" ht="27" customHeight="1">
      <c r="A1224" s="414"/>
      <c r="B1224" s="414"/>
      <c r="C1224" s="415"/>
      <c r="D1224" s="415"/>
      <c r="E1224" s="415"/>
      <c r="F1224" s="415"/>
      <c r="G1224" s="416"/>
      <c r="H1224" s="415"/>
      <c r="I1224" s="416"/>
      <c r="J1224" s="414"/>
      <c r="K1224" s="414"/>
      <c r="L1224" s="414"/>
      <c r="M1224" s="414"/>
      <c r="N1224" s="416"/>
      <c r="O1224" s="416"/>
      <c r="P1224" s="415"/>
      <c r="Q1224" s="415"/>
      <c r="R1224" s="417"/>
      <c r="S1224" s="419"/>
      <c r="T1224" s="418"/>
      <c r="U1224" s="419"/>
      <c r="V1224" s="419"/>
      <c r="W1224" s="420"/>
      <c r="X1224" s="420"/>
      <c r="Y1224" s="420"/>
      <c r="Z1224" s="3"/>
      <c r="AA1224" s="7"/>
      <c r="AB1224" s="7"/>
      <c r="AC1224" s="7"/>
      <c r="AD1224" s="7"/>
      <c r="AE1224" s="7"/>
    </row>
    <row r="1225" spans="1:31" ht="27" customHeight="1">
      <c r="A1225" s="414"/>
      <c r="B1225" s="414"/>
      <c r="C1225" s="415"/>
      <c r="D1225" s="415"/>
      <c r="E1225" s="415"/>
      <c r="F1225" s="415"/>
      <c r="G1225" s="416"/>
      <c r="H1225" s="415"/>
      <c r="I1225" s="416"/>
      <c r="J1225" s="414"/>
      <c r="K1225" s="414"/>
      <c r="L1225" s="414"/>
      <c r="M1225" s="414"/>
      <c r="N1225" s="416"/>
      <c r="O1225" s="416"/>
      <c r="P1225" s="415"/>
      <c r="Q1225" s="415"/>
      <c r="R1225" s="417"/>
      <c r="S1225" s="419"/>
      <c r="T1225" s="418"/>
      <c r="U1225" s="419"/>
      <c r="V1225" s="419"/>
      <c r="W1225" s="420"/>
      <c r="X1225" s="420"/>
      <c r="Y1225" s="420"/>
      <c r="Z1225" s="3"/>
      <c r="AA1225" s="7"/>
      <c r="AB1225" s="7"/>
      <c r="AC1225" s="7"/>
      <c r="AD1225" s="7"/>
      <c r="AE1225" s="7"/>
    </row>
    <row r="1226" spans="1:31" ht="27" customHeight="1">
      <c r="A1226" s="414"/>
      <c r="B1226" s="414"/>
      <c r="C1226" s="415"/>
      <c r="D1226" s="415"/>
      <c r="E1226" s="415"/>
      <c r="F1226" s="415"/>
      <c r="G1226" s="416"/>
      <c r="H1226" s="415"/>
      <c r="I1226" s="416"/>
      <c r="J1226" s="414"/>
      <c r="K1226" s="414"/>
      <c r="L1226" s="414"/>
      <c r="M1226" s="414"/>
      <c r="N1226" s="416"/>
      <c r="O1226" s="416"/>
      <c r="P1226" s="415"/>
      <c r="Q1226" s="415"/>
      <c r="R1226" s="417"/>
      <c r="S1226" s="419"/>
      <c r="T1226" s="418"/>
      <c r="U1226" s="419"/>
      <c r="V1226" s="419"/>
      <c r="W1226" s="420"/>
      <c r="X1226" s="420"/>
      <c r="Y1226" s="420"/>
      <c r="Z1226" s="3"/>
      <c r="AA1226" s="7"/>
      <c r="AB1226" s="7"/>
      <c r="AC1226" s="7"/>
      <c r="AD1226" s="7"/>
      <c r="AE1226" s="7"/>
    </row>
    <row r="1227" spans="1:31" ht="27" customHeight="1">
      <c r="A1227" s="414"/>
      <c r="B1227" s="414"/>
      <c r="C1227" s="415"/>
      <c r="D1227" s="415"/>
      <c r="E1227" s="415"/>
      <c r="F1227" s="415"/>
      <c r="G1227" s="416"/>
      <c r="H1227" s="415"/>
      <c r="I1227" s="416"/>
      <c r="J1227" s="414"/>
      <c r="K1227" s="414"/>
      <c r="L1227" s="414"/>
      <c r="M1227" s="414"/>
      <c r="N1227" s="416"/>
      <c r="O1227" s="416"/>
      <c r="P1227" s="415"/>
      <c r="Q1227" s="415"/>
      <c r="R1227" s="417"/>
      <c r="S1227" s="419"/>
      <c r="T1227" s="418"/>
      <c r="U1227" s="419"/>
      <c r="V1227" s="419"/>
      <c r="W1227" s="420"/>
      <c r="X1227" s="420"/>
      <c r="Y1227" s="420"/>
      <c r="Z1227" s="3"/>
      <c r="AA1227" s="7"/>
      <c r="AB1227" s="7"/>
      <c r="AC1227" s="7"/>
      <c r="AD1227" s="7"/>
      <c r="AE1227" s="7"/>
    </row>
    <row r="1228" spans="1:31" ht="27" customHeight="1">
      <c r="A1228" s="414"/>
      <c r="B1228" s="414"/>
      <c r="C1228" s="415"/>
      <c r="D1228" s="415"/>
      <c r="E1228" s="415"/>
      <c r="F1228" s="415"/>
      <c r="G1228" s="416"/>
      <c r="H1228" s="415"/>
      <c r="I1228" s="416"/>
      <c r="J1228" s="414"/>
      <c r="K1228" s="414"/>
      <c r="L1228" s="414"/>
      <c r="M1228" s="414"/>
      <c r="N1228" s="416"/>
      <c r="O1228" s="416"/>
      <c r="P1228" s="415"/>
      <c r="Q1228" s="415"/>
      <c r="R1228" s="417"/>
      <c r="S1228" s="419"/>
      <c r="T1228" s="418"/>
      <c r="U1228" s="419"/>
      <c r="V1228" s="419"/>
      <c r="W1228" s="420"/>
      <c r="X1228" s="420"/>
      <c r="Y1228" s="420"/>
      <c r="Z1228" s="3"/>
      <c r="AA1228" s="7"/>
      <c r="AB1228" s="7"/>
      <c r="AC1228" s="7"/>
      <c r="AD1228" s="7"/>
      <c r="AE1228" s="7"/>
    </row>
    <row r="1229" spans="1:31" ht="27" customHeight="1">
      <c r="A1229" s="414"/>
      <c r="B1229" s="414"/>
      <c r="C1229" s="415"/>
      <c r="D1229" s="415"/>
      <c r="E1229" s="415"/>
      <c r="F1229" s="415"/>
      <c r="G1229" s="416"/>
      <c r="H1229" s="415"/>
      <c r="I1229" s="416"/>
      <c r="J1229" s="414"/>
      <c r="K1229" s="414"/>
      <c r="L1229" s="414"/>
      <c r="M1229" s="414"/>
      <c r="N1229" s="416"/>
      <c r="O1229" s="416"/>
      <c r="P1229" s="415"/>
      <c r="Q1229" s="415"/>
      <c r="R1229" s="417"/>
      <c r="S1229" s="419"/>
      <c r="T1229" s="418"/>
      <c r="U1229" s="419"/>
      <c r="V1229" s="419"/>
      <c r="W1229" s="420"/>
      <c r="X1229" s="420"/>
      <c r="Y1229" s="420"/>
      <c r="Z1229" s="3"/>
      <c r="AA1229" s="7"/>
      <c r="AB1229" s="7"/>
      <c r="AC1229" s="7"/>
      <c r="AD1229" s="7"/>
      <c r="AE1229" s="7"/>
    </row>
    <row r="1230" spans="1:31" ht="27" customHeight="1">
      <c r="A1230" s="414"/>
      <c r="B1230" s="414"/>
      <c r="C1230" s="415"/>
      <c r="D1230" s="415"/>
      <c r="E1230" s="415"/>
      <c r="F1230" s="415"/>
      <c r="G1230" s="416"/>
      <c r="H1230" s="415"/>
      <c r="I1230" s="416"/>
      <c r="J1230" s="414"/>
      <c r="K1230" s="414"/>
      <c r="L1230" s="414"/>
      <c r="M1230" s="414"/>
      <c r="N1230" s="416"/>
      <c r="O1230" s="416"/>
      <c r="P1230" s="415"/>
      <c r="Q1230" s="415"/>
      <c r="R1230" s="417"/>
      <c r="S1230" s="419"/>
      <c r="T1230" s="418"/>
      <c r="U1230" s="419"/>
      <c r="V1230" s="419"/>
      <c r="W1230" s="420"/>
      <c r="X1230" s="420"/>
      <c r="Y1230" s="420"/>
      <c r="Z1230" s="3"/>
      <c r="AA1230" s="7"/>
      <c r="AB1230" s="7"/>
      <c r="AC1230" s="7"/>
      <c r="AD1230" s="7"/>
      <c r="AE1230" s="7"/>
    </row>
    <row r="1231" spans="1:31" ht="27" customHeight="1">
      <c r="A1231" s="414"/>
      <c r="B1231" s="414"/>
      <c r="C1231" s="415"/>
      <c r="D1231" s="415"/>
      <c r="E1231" s="415"/>
      <c r="F1231" s="415"/>
      <c r="G1231" s="416"/>
      <c r="H1231" s="415"/>
      <c r="I1231" s="416"/>
      <c r="J1231" s="414"/>
      <c r="K1231" s="414"/>
      <c r="L1231" s="414"/>
      <c r="M1231" s="414"/>
      <c r="N1231" s="416"/>
      <c r="O1231" s="416"/>
      <c r="P1231" s="415"/>
      <c r="Q1231" s="415"/>
      <c r="R1231" s="417"/>
      <c r="S1231" s="419"/>
      <c r="T1231" s="418"/>
      <c r="U1231" s="419"/>
      <c r="V1231" s="419"/>
      <c r="W1231" s="420"/>
      <c r="X1231" s="420"/>
      <c r="Y1231" s="420"/>
      <c r="Z1231" s="3"/>
      <c r="AA1231" s="7"/>
      <c r="AB1231" s="7"/>
      <c r="AC1231" s="7"/>
      <c r="AD1231" s="7"/>
      <c r="AE1231" s="7"/>
    </row>
    <row r="1232" spans="1:31" ht="27" customHeight="1">
      <c r="A1232" s="414"/>
      <c r="B1232" s="414"/>
      <c r="C1232" s="415"/>
      <c r="D1232" s="415"/>
      <c r="E1232" s="415"/>
      <c r="F1232" s="415"/>
      <c r="G1232" s="416"/>
      <c r="H1232" s="415"/>
      <c r="I1232" s="416"/>
      <c r="J1232" s="414"/>
      <c r="K1232" s="414"/>
      <c r="L1232" s="414"/>
      <c r="M1232" s="414"/>
      <c r="N1232" s="416"/>
      <c r="O1232" s="416"/>
      <c r="P1232" s="415"/>
      <c r="Q1232" s="415"/>
      <c r="R1232" s="417"/>
      <c r="S1232" s="419"/>
      <c r="T1232" s="418"/>
      <c r="U1232" s="419"/>
      <c r="V1232" s="419"/>
      <c r="W1232" s="420"/>
      <c r="X1232" s="420"/>
      <c r="Y1232" s="420"/>
      <c r="Z1232" s="3"/>
      <c r="AA1232" s="7"/>
      <c r="AB1232" s="7"/>
      <c r="AC1232" s="7"/>
      <c r="AD1232" s="7"/>
      <c r="AE1232" s="7"/>
    </row>
    <row r="1233" spans="1:31" ht="27" customHeight="1">
      <c r="A1233" s="414"/>
      <c r="B1233" s="414"/>
      <c r="C1233" s="415"/>
      <c r="D1233" s="415"/>
      <c r="E1233" s="415"/>
      <c r="F1233" s="415"/>
      <c r="G1233" s="416"/>
      <c r="H1233" s="415"/>
      <c r="I1233" s="416"/>
      <c r="J1233" s="414"/>
      <c r="K1233" s="414"/>
      <c r="L1233" s="414"/>
      <c r="M1233" s="414"/>
      <c r="N1233" s="416"/>
      <c r="O1233" s="416"/>
      <c r="P1233" s="415"/>
      <c r="Q1233" s="415"/>
      <c r="R1233" s="417"/>
      <c r="S1233" s="419"/>
      <c r="T1233" s="418"/>
      <c r="U1233" s="419"/>
      <c r="V1233" s="419"/>
      <c r="W1233" s="420"/>
      <c r="X1233" s="420"/>
      <c r="Y1233" s="420"/>
      <c r="Z1233" s="3"/>
      <c r="AA1233" s="7"/>
      <c r="AB1233" s="7"/>
      <c r="AC1233" s="7"/>
      <c r="AD1233" s="7"/>
      <c r="AE1233" s="7"/>
    </row>
    <row r="1234" spans="1:31" ht="27" customHeight="1">
      <c r="A1234" s="414"/>
      <c r="B1234" s="414"/>
      <c r="C1234" s="415"/>
      <c r="D1234" s="415"/>
      <c r="E1234" s="415"/>
      <c r="F1234" s="415"/>
      <c r="G1234" s="416"/>
      <c r="H1234" s="415"/>
      <c r="I1234" s="416"/>
      <c r="J1234" s="414"/>
      <c r="K1234" s="414"/>
      <c r="L1234" s="414"/>
      <c r="M1234" s="414"/>
      <c r="N1234" s="416"/>
      <c r="O1234" s="416"/>
      <c r="P1234" s="415"/>
      <c r="Q1234" s="415"/>
      <c r="R1234" s="417"/>
      <c r="S1234" s="419"/>
      <c r="T1234" s="418"/>
      <c r="U1234" s="419"/>
      <c r="V1234" s="419"/>
      <c r="W1234" s="420"/>
      <c r="X1234" s="420"/>
      <c r="Y1234" s="420"/>
      <c r="Z1234" s="3"/>
      <c r="AA1234" s="7"/>
      <c r="AB1234" s="7"/>
      <c r="AC1234" s="7"/>
      <c r="AD1234" s="7"/>
      <c r="AE1234" s="7"/>
    </row>
    <row r="1235" spans="1:31" ht="27" customHeight="1">
      <c r="A1235" s="414"/>
      <c r="B1235" s="414"/>
      <c r="C1235" s="415"/>
      <c r="D1235" s="415"/>
      <c r="E1235" s="415"/>
      <c r="F1235" s="415"/>
      <c r="G1235" s="416"/>
      <c r="H1235" s="415"/>
      <c r="I1235" s="416"/>
      <c r="J1235" s="414"/>
      <c r="K1235" s="414"/>
      <c r="L1235" s="414"/>
      <c r="M1235" s="414"/>
      <c r="N1235" s="416"/>
      <c r="O1235" s="416"/>
      <c r="P1235" s="415"/>
      <c r="Q1235" s="415"/>
      <c r="R1235" s="417"/>
      <c r="S1235" s="419"/>
      <c r="T1235" s="418"/>
      <c r="U1235" s="419"/>
      <c r="V1235" s="419"/>
      <c r="W1235" s="420"/>
      <c r="X1235" s="420"/>
      <c r="Y1235" s="420"/>
      <c r="Z1235" s="3"/>
      <c r="AA1235" s="7"/>
      <c r="AB1235" s="7"/>
      <c r="AC1235" s="7"/>
      <c r="AD1235" s="7"/>
      <c r="AE1235" s="7"/>
    </row>
    <row r="1236" spans="1:31" ht="27" customHeight="1">
      <c r="A1236" s="414"/>
      <c r="B1236" s="414"/>
      <c r="C1236" s="415"/>
      <c r="D1236" s="415"/>
      <c r="E1236" s="415"/>
      <c r="F1236" s="415"/>
      <c r="G1236" s="416"/>
      <c r="H1236" s="415"/>
      <c r="I1236" s="416"/>
      <c r="J1236" s="414"/>
      <c r="K1236" s="414"/>
      <c r="L1236" s="414"/>
      <c r="M1236" s="414"/>
      <c r="N1236" s="416"/>
      <c r="O1236" s="416"/>
      <c r="P1236" s="415"/>
      <c r="Q1236" s="415"/>
      <c r="R1236" s="417"/>
      <c r="S1236" s="419"/>
      <c r="T1236" s="418"/>
      <c r="U1236" s="419"/>
      <c r="V1236" s="419"/>
      <c r="W1236" s="420"/>
      <c r="X1236" s="420"/>
      <c r="Y1236" s="420"/>
      <c r="Z1236" s="3"/>
      <c r="AA1236" s="7"/>
      <c r="AB1236" s="7"/>
      <c r="AC1236" s="7"/>
      <c r="AD1236" s="7"/>
      <c r="AE1236" s="7"/>
    </row>
    <row r="1237" spans="1:31" ht="27" customHeight="1">
      <c r="A1237" s="414"/>
      <c r="B1237" s="414"/>
      <c r="C1237" s="415"/>
      <c r="D1237" s="415"/>
      <c r="E1237" s="415"/>
      <c r="F1237" s="415"/>
      <c r="G1237" s="416"/>
      <c r="H1237" s="415"/>
      <c r="I1237" s="416"/>
      <c r="J1237" s="414"/>
      <c r="K1237" s="414"/>
      <c r="L1237" s="414"/>
      <c r="M1237" s="414"/>
      <c r="N1237" s="416"/>
      <c r="O1237" s="416"/>
      <c r="P1237" s="415"/>
      <c r="Q1237" s="415"/>
      <c r="R1237" s="417"/>
      <c r="S1237" s="419"/>
      <c r="T1237" s="418"/>
      <c r="U1237" s="419"/>
      <c r="V1237" s="419"/>
      <c r="W1237" s="420"/>
      <c r="X1237" s="420"/>
      <c r="Y1237" s="420"/>
      <c r="Z1237" s="3"/>
      <c r="AA1237" s="7"/>
      <c r="AB1237" s="7"/>
      <c r="AC1237" s="7"/>
      <c r="AD1237" s="7"/>
      <c r="AE1237" s="7"/>
    </row>
    <row r="1238" spans="1:31" ht="27" customHeight="1">
      <c r="A1238" s="414"/>
      <c r="B1238" s="414"/>
      <c r="C1238" s="415"/>
      <c r="D1238" s="415"/>
      <c r="E1238" s="415"/>
      <c r="F1238" s="415"/>
      <c r="G1238" s="416"/>
      <c r="H1238" s="415"/>
      <c r="I1238" s="416"/>
      <c r="J1238" s="414"/>
      <c r="K1238" s="414"/>
      <c r="L1238" s="414"/>
      <c r="M1238" s="414"/>
      <c r="N1238" s="416"/>
      <c r="O1238" s="416"/>
      <c r="P1238" s="415"/>
      <c r="Q1238" s="415"/>
      <c r="R1238" s="417"/>
      <c r="S1238" s="419"/>
      <c r="T1238" s="418"/>
      <c r="U1238" s="419"/>
      <c r="V1238" s="419"/>
      <c r="W1238" s="420"/>
      <c r="X1238" s="420"/>
      <c r="Y1238" s="420"/>
      <c r="Z1238" s="3"/>
      <c r="AA1238" s="7"/>
      <c r="AB1238" s="7"/>
      <c r="AC1238" s="7"/>
      <c r="AD1238" s="7"/>
      <c r="AE1238" s="7"/>
    </row>
    <row r="1239" spans="1:31" ht="27" customHeight="1">
      <c r="A1239" s="414"/>
      <c r="B1239" s="414"/>
      <c r="C1239" s="415"/>
      <c r="D1239" s="415"/>
      <c r="E1239" s="415"/>
      <c r="F1239" s="415"/>
      <c r="G1239" s="416"/>
      <c r="H1239" s="415"/>
      <c r="I1239" s="416"/>
      <c r="J1239" s="414"/>
      <c r="K1239" s="414"/>
      <c r="L1239" s="414"/>
      <c r="M1239" s="414"/>
      <c r="N1239" s="416"/>
      <c r="O1239" s="416"/>
      <c r="P1239" s="415"/>
      <c r="Q1239" s="415"/>
      <c r="R1239" s="417"/>
      <c r="S1239" s="419"/>
      <c r="T1239" s="418"/>
      <c r="U1239" s="419"/>
      <c r="V1239" s="419"/>
      <c r="W1239" s="420"/>
      <c r="X1239" s="420"/>
      <c r="Y1239" s="420"/>
      <c r="Z1239" s="3"/>
      <c r="AA1239" s="7"/>
      <c r="AB1239" s="7"/>
      <c r="AC1239" s="7"/>
      <c r="AD1239" s="7"/>
      <c r="AE1239" s="7"/>
    </row>
    <row r="1240" spans="1:31" ht="27" customHeight="1">
      <c r="A1240" s="414"/>
      <c r="B1240" s="414"/>
      <c r="C1240" s="415"/>
      <c r="D1240" s="415"/>
      <c r="E1240" s="415"/>
      <c r="F1240" s="415"/>
      <c r="G1240" s="416"/>
      <c r="H1240" s="415"/>
      <c r="I1240" s="416"/>
      <c r="J1240" s="414"/>
      <c r="K1240" s="414"/>
      <c r="L1240" s="414"/>
      <c r="M1240" s="414"/>
      <c r="N1240" s="416"/>
      <c r="O1240" s="416"/>
      <c r="P1240" s="415"/>
      <c r="Q1240" s="415"/>
      <c r="R1240" s="417"/>
      <c r="S1240" s="419"/>
      <c r="T1240" s="418"/>
      <c r="U1240" s="419"/>
      <c r="V1240" s="419"/>
      <c r="W1240" s="420"/>
      <c r="X1240" s="420"/>
      <c r="Y1240" s="420"/>
      <c r="Z1240" s="3"/>
      <c r="AA1240" s="7"/>
      <c r="AB1240" s="7"/>
      <c r="AC1240" s="7"/>
      <c r="AD1240" s="7"/>
      <c r="AE1240" s="7"/>
    </row>
    <row r="1241" spans="1:31" ht="27" customHeight="1">
      <c r="A1241" s="414"/>
      <c r="B1241" s="414"/>
      <c r="C1241" s="415"/>
      <c r="D1241" s="415"/>
      <c r="E1241" s="415"/>
      <c r="F1241" s="415"/>
      <c r="G1241" s="416"/>
      <c r="H1241" s="415"/>
      <c r="I1241" s="416"/>
      <c r="J1241" s="414"/>
      <c r="K1241" s="414"/>
      <c r="L1241" s="414"/>
      <c r="M1241" s="414"/>
      <c r="N1241" s="416"/>
      <c r="O1241" s="416"/>
      <c r="P1241" s="415"/>
      <c r="Q1241" s="415"/>
      <c r="R1241" s="417"/>
      <c r="S1241" s="419"/>
      <c r="T1241" s="418"/>
      <c r="U1241" s="419"/>
      <c r="V1241" s="419"/>
      <c r="W1241" s="420"/>
      <c r="X1241" s="420"/>
      <c r="Y1241" s="420"/>
      <c r="Z1241" s="3"/>
      <c r="AA1241" s="7"/>
      <c r="AB1241" s="7"/>
      <c r="AC1241" s="7"/>
      <c r="AD1241" s="7"/>
      <c r="AE1241" s="7"/>
    </row>
    <row r="1242" spans="1:31" ht="27" customHeight="1">
      <c r="A1242" s="414"/>
      <c r="B1242" s="414"/>
      <c r="C1242" s="415"/>
      <c r="D1242" s="415"/>
      <c r="E1242" s="415"/>
      <c r="F1242" s="415"/>
      <c r="G1242" s="416"/>
      <c r="H1242" s="415"/>
      <c r="I1242" s="416"/>
      <c r="J1242" s="414"/>
      <c r="K1242" s="414"/>
      <c r="L1242" s="414"/>
      <c r="M1242" s="414"/>
      <c r="N1242" s="416"/>
      <c r="O1242" s="416"/>
      <c r="P1242" s="415"/>
      <c r="Q1242" s="415"/>
      <c r="R1242" s="417"/>
      <c r="S1242" s="419"/>
      <c r="T1242" s="418"/>
      <c r="U1242" s="419"/>
      <c r="V1242" s="419"/>
      <c r="W1242" s="420"/>
      <c r="X1242" s="420"/>
      <c r="Y1242" s="420"/>
      <c r="Z1242" s="3"/>
      <c r="AA1242" s="7"/>
      <c r="AB1242" s="7"/>
      <c r="AC1242" s="7"/>
      <c r="AD1242" s="7"/>
      <c r="AE1242" s="7"/>
    </row>
    <row r="1243" spans="1:31" ht="27" customHeight="1">
      <c r="A1243" s="414"/>
      <c r="B1243" s="414"/>
      <c r="C1243" s="415"/>
      <c r="D1243" s="415"/>
      <c r="E1243" s="415"/>
      <c r="F1243" s="415"/>
      <c r="G1243" s="416"/>
      <c r="H1243" s="415"/>
      <c r="I1243" s="416"/>
      <c r="J1243" s="414"/>
      <c r="K1243" s="414"/>
      <c r="L1243" s="414"/>
      <c r="M1243" s="414"/>
      <c r="N1243" s="416"/>
      <c r="O1243" s="416"/>
      <c r="P1243" s="415"/>
      <c r="Q1243" s="415"/>
      <c r="R1243" s="417"/>
      <c r="S1243" s="419"/>
      <c r="T1243" s="418"/>
      <c r="U1243" s="419"/>
      <c r="V1243" s="419"/>
      <c r="W1243" s="420"/>
      <c r="X1243" s="420"/>
      <c r="Y1243" s="420"/>
      <c r="Z1243" s="3"/>
      <c r="AA1243" s="7"/>
      <c r="AB1243" s="7"/>
      <c r="AC1243" s="7"/>
      <c r="AD1243" s="7"/>
      <c r="AE1243" s="7"/>
    </row>
    <row r="1244" spans="1:31" ht="27" customHeight="1">
      <c r="A1244" s="414"/>
      <c r="B1244" s="414"/>
      <c r="C1244" s="415"/>
      <c r="D1244" s="415"/>
      <c r="E1244" s="415"/>
      <c r="F1244" s="415"/>
      <c r="G1244" s="416"/>
      <c r="H1244" s="415"/>
      <c r="I1244" s="416"/>
      <c r="J1244" s="414"/>
      <c r="K1244" s="414"/>
      <c r="L1244" s="414"/>
      <c r="M1244" s="414"/>
      <c r="N1244" s="416"/>
      <c r="O1244" s="416"/>
      <c r="P1244" s="415"/>
      <c r="Q1244" s="415"/>
      <c r="R1244" s="417"/>
      <c r="S1244" s="419"/>
      <c r="T1244" s="418"/>
      <c r="U1244" s="419"/>
      <c r="V1244" s="419"/>
      <c r="W1244" s="420"/>
      <c r="X1244" s="420"/>
      <c r="Y1244" s="420"/>
      <c r="Z1244" s="3"/>
      <c r="AA1244" s="7"/>
      <c r="AB1244" s="7"/>
      <c r="AC1244" s="7"/>
      <c r="AD1244" s="7"/>
      <c r="AE1244" s="7"/>
    </row>
    <row r="1245" spans="1:31" ht="27" customHeight="1">
      <c r="A1245" s="414"/>
      <c r="B1245" s="414"/>
      <c r="C1245" s="415"/>
      <c r="D1245" s="415"/>
      <c r="E1245" s="415"/>
      <c r="F1245" s="415"/>
      <c r="G1245" s="416"/>
      <c r="H1245" s="415"/>
      <c r="I1245" s="416"/>
      <c r="J1245" s="414"/>
      <c r="K1245" s="414"/>
      <c r="L1245" s="414"/>
      <c r="M1245" s="414"/>
      <c r="N1245" s="416"/>
      <c r="O1245" s="416"/>
      <c r="P1245" s="415"/>
      <c r="Q1245" s="415"/>
      <c r="R1245" s="417"/>
      <c r="S1245" s="419"/>
      <c r="T1245" s="418"/>
      <c r="U1245" s="419"/>
      <c r="V1245" s="419"/>
      <c r="W1245" s="420"/>
      <c r="X1245" s="420"/>
      <c r="Y1245" s="420"/>
      <c r="Z1245" s="3"/>
      <c r="AA1245" s="7"/>
      <c r="AB1245" s="7"/>
      <c r="AC1245" s="7"/>
      <c r="AD1245" s="7"/>
      <c r="AE1245" s="7"/>
    </row>
    <row r="1246" spans="1:31" ht="27" customHeight="1">
      <c r="A1246" s="414"/>
      <c r="B1246" s="414"/>
      <c r="C1246" s="415"/>
      <c r="D1246" s="415"/>
      <c r="E1246" s="415"/>
      <c r="F1246" s="415"/>
      <c r="G1246" s="416"/>
      <c r="H1246" s="415"/>
      <c r="I1246" s="416"/>
      <c r="J1246" s="414"/>
      <c r="K1246" s="414"/>
      <c r="L1246" s="414"/>
      <c r="M1246" s="414"/>
      <c r="N1246" s="416"/>
      <c r="O1246" s="416"/>
      <c r="P1246" s="415"/>
      <c r="Q1246" s="415"/>
      <c r="R1246" s="417"/>
      <c r="S1246" s="419"/>
      <c r="T1246" s="418"/>
      <c r="U1246" s="419"/>
      <c r="V1246" s="419"/>
      <c r="W1246" s="420"/>
      <c r="X1246" s="420"/>
      <c r="Y1246" s="420"/>
      <c r="Z1246" s="3"/>
      <c r="AA1246" s="7"/>
      <c r="AB1246" s="7"/>
      <c r="AC1246" s="7"/>
      <c r="AD1246" s="7"/>
      <c r="AE1246" s="7"/>
    </row>
    <row r="1247" spans="1:31" ht="27" customHeight="1">
      <c r="A1247" s="414"/>
      <c r="B1247" s="414"/>
      <c r="C1247" s="415"/>
      <c r="D1247" s="415"/>
      <c r="E1247" s="415"/>
      <c r="F1247" s="415"/>
      <c r="G1247" s="416"/>
      <c r="H1247" s="415"/>
      <c r="I1247" s="416"/>
      <c r="J1247" s="414"/>
      <c r="K1247" s="414"/>
      <c r="L1247" s="414"/>
      <c r="M1247" s="414"/>
      <c r="N1247" s="416"/>
      <c r="O1247" s="416"/>
      <c r="P1247" s="415"/>
      <c r="Q1247" s="415"/>
      <c r="R1247" s="417"/>
      <c r="S1247" s="419"/>
      <c r="T1247" s="418"/>
      <c r="U1247" s="419"/>
      <c r="V1247" s="419"/>
      <c r="W1247" s="420"/>
      <c r="X1247" s="420"/>
      <c r="Y1247" s="420"/>
      <c r="Z1247" s="3"/>
      <c r="AA1247" s="7"/>
      <c r="AB1247" s="7"/>
      <c r="AC1247" s="7"/>
      <c r="AD1247" s="7"/>
      <c r="AE1247" s="7"/>
    </row>
    <row r="1248" spans="1:31" ht="27" customHeight="1">
      <c r="A1248" s="414"/>
      <c r="B1248" s="414"/>
      <c r="C1248" s="415"/>
      <c r="D1248" s="415"/>
      <c r="E1248" s="415"/>
      <c r="F1248" s="415"/>
      <c r="G1248" s="416"/>
      <c r="H1248" s="415"/>
      <c r="I1248" s="416"/>
      <c r="J1248" s="414"/>
      <c r="K1248" s="414"/>
      <c r="L1248" s="414"/>
      <c r="M1248" s="414"/>
      <c r="N1248" s="416"/>
      <c r="O1248" s="416"/>
      <c r="P1248" s="415"/>
      <c r="Q1248" s="415"/>
      <c r="R1248" s="417"/>
      <c r="S1248" s="419"/>
      <c r="T1248" s="418"/>
      <c r="U1248" s="419"/>
      <c r="V1248" s="419"/>
      <c r="W1248" s="420"/>
      <c r="X1248" s="420"/>
      <c r="Y1248" s="420"/>
      <c r="Z1248" s="3"/>
      <c r="AA1248" s="7"/>
      <c r="AB1248" s="7"/>
      <c r="AC1248" s="7"/>
      <c r="AD1248" s="7"/>
      <c r="AE1248" s="7"/>
    </row>
    <row r="1249" spans="1:31" ht="27" customHeight="1">
      <c r="A1249" s="414"/>
      <c r="B1249" s="414"/>
      <c r="C1249" s="415"/>
      <c r="D1249" s="415"/>
      <c r="E1249" s="415"/>
      <c r="F1249" s="415"/>
      <c r="G1249" s="416"/>
      <c r="H1249" s="415"/>
      <c r="I1249" s="416"/>
      <c r="J1249" s="414"/>
      <c r="K1249" s="414"/>
      <c r="L1249" s="414"/>
      <c r="M1249" s="414"/>
      <c r="N1249" s="416"/>
      <c r="O1249" s="416"/>
      <c r="P1249" s="415"/>
      <c r="Q1249" s="415"/>
      <c r="R1249" s="417"/>
      <c r="S1249" s="419"/>
      <c r="T1249" s="418"/>
      <c r="U1249" s="419"/>
      <c r="V1249" s="419"/>
      <c r="W1249" s="420"/>
      <c r="X1249" s="420"/>
      <c r="Y1249" s="420"/>
      <c r="Z1249" s="3"/>
      <c r="AA1249" s="7"/>
      <c r="AB1249" s="7"/>
      <c r="AC1249" s="7"/>
      <c r="AD1249" s="7"/>
      <c r="AE1249" s="7"/>
    </row>
    <row r="1250" spans="1:31" ht="27" customHeight="1">
      <c r="A1250" s="414"/>
      <c r="B1250" s="414"/>
      <c r="C1250" s="415"/>
      <c r="D1250" s="415"/>
      <c r="E1250" s="415"/>
      <c r="F1250" s="415"/>
      <c r="G1250" s="416"/>
      <c r="H1250" s="415"/>
      <c r="I1250" s="416"/>
      <c r="J1250" s="414"/>
      <c r="K1250" s="414"/>
      <c r="L1250" s="414"/>
      <c r="M1250" s="414"/>
      <c r="N1250" s="416"/>
      <c r="O1250" s="416"/>
      <c r="P1250" s="415"/>
      <c r="Q1250" s="415"/>
      <c r="R1250" s="417"/>
      <c r="S1250" s="419"/>
      <c r="T1250" s="418"/>
      <c r="U1250" s="419"/>
      <c r="V1250" s="419"/>
      <c r="W1250" s="420"/>
      <c r="X1250" s="420"/>
      <c r="Y1250" s="420"/>
      <c r="Z1250" s="3"/>
      <c r="AA1250" s="7"/>
      <c r="AB1250" s="7"/>
      <c r="AC1250" s="7"/>
      <c r="AD1250" s="7"/>
      <c r="AE1250" s="7"/>
    </row>
    <row r="1251" spans="1:31" ht="27" customHeight="1">
      <c r="A1251" s="414"/>
      <c r="B1251" s="414"/>
      <c r="C1251" s="415"/>
      <c r="D1251" s="415"/>
      <c r="E1251" s="415"/>
      <c r="F1251" s="415"/>
      <c r="G1251" s="416"/>
      <c r="H1251" s="415"/>
      <c r="I1251" s="416"/>
      <c r="J1251" s="414"/>
      <c r="K1251" s="414"/>
      <c r="L1251" s="414"/>
      <c r="M1251" s="414"/>
      <c r="N1251" s="416"/>
      <c r="O1251" s="416"/>
      <c r="P1251" s="415"/>
      <c r="Q1251" s="415"/>
      <c r="R1251" s="417"/>
      <c r="S1251" s="419"/>
      <c r="T1251" s="418"/>
      <c r="U1251" s="419"/>
      <c r="V1251" s="419"/>
      <c r="W1251" s="420"/>
      <c r="X1251" s="420"/>
      <c r="Y1251" s="420"/>
      <c r="Z1251" s="3"/>
      <c r="AA1251" s="7"/>
      <c r="AB1251" s="7"/>
      <c r="AC1251" s="7"/>
      <c r="AD1251" s="7"/>
      <c r="AE1251" s="7"/>
    </row>
    <row r="1252" spans="1:31" ht="27" customHeight="1">
      <c r="A1252" s="414"/>
      <c r="B1252" s="414"/>
      <c r="C1252" s="415"/>
      <c r="D1252" s="415"/>
      <c r="E1252" s="415"/>
      <c r="F1252" s="415"/>
      <c r="G1252" s="416"/>
      <c r="H1252" s="415"/>
      <c r="I1252" s="416"/>
      <c r="J1252" s="414"/>
      <c r="K1252" s="414"/>
      <c r="L1252" s="414"/>
      <c r="M1252" s="414"/>
      <c r="N1252" s="416"/>
      <c r="O1252" s="416"/>
      <c r="P1252" s="415"/>
      <c r="Q1252" s="415"/>
      <c r="R1252" s="417"/>
      <c r="S1252" s="419"/>
      <c r="T1252" s="418"/>
      <c r="U1252" s="419"/>
      <c r="V1252" s="419"/>
      <c r="W1252" s="420"/>
      <c r="X1252" s="420"/>
      <c r="Y1252" s="420"/>
      <c r="Z1252" s="3"/>
      <c r="AA1252" s="7"/>
      <c r="AB1252" s="7"/>
      <c r="AC1252" s="7"/>
      <c r="AD1252" s="7"/>
      <c r="AE1252" s="7"/>
    </row>
    <row r="1253" spans="1:31" ht="27" customHeight="1">
      <c r="A1253" s="414"/>
      <c r="B1253" s="414"/>
      <c r="C1253" s="415"/>
      <c r="D1253" s="415"/>
      <c r="E1253" s="415"/>
      <c r="F1253" s="415"/>
      <c r="G1253" s="416"/>
      <c r="H1253" s="415"/>
      <c r="I1253" s="416"/>
      <c r="J1253" s="414"/>
      <c r="K1253" s="414"/>
      <c r="L1253" s="414"/>
      <c r="M1253" s="414"/>
      <c r="N1253" s="416"/>
      <c r="O1253" s="416"/>
      <c r="P1253" s="415"/>
      <c r="Q1253" s="415"/>
      <c r="R1253" s="417"/>
      <c r="S1253" s="419"/>
      <c r="T1253" s="418"/>
      <c r="U1253" s="419"/>
      <c r="V1253" s="419"/>
      <c r="W1253" s="420"/>
      <c r="X1253" s="420"/>
      <c r="Y1253" s="420"/>
      <c r="Z1253" s="3"/>
      <c r="AA1253" s="7"/>
      <c r="AB1253" s="7"/>
      <c r="AC1253" s="7"/>
      <c r="AD1253" s="7"/>
      <c r="AE1253" s="7"/>
    </row>
    <row r="1254" spans="1:31" ht="27" customHeight="1">
      <c r="A1254" s="414"/>
      <c r="B1254" s="414"/>
      <c r="C1254" s="415"/>
      <c r="D1254" s="415"/>
      <c r="E1254" s="415"/>
      <c r="F1254" s="415"/>
      <c r="G1254" s="416"/>
      <c r="H1254" s="415"/>
      <c r="I1254" s="416"/>
      <c r="J1254" s="414"/>
      <c r="K1254" s="414"/>
      <c r="L1254" s="414"/>
      <c r="M1254" s="414"/>
      <c r="N1254" s="416"/>
      <c r="O1254" s="416"/>
      <c r="P1254" s="415"/>
      <c r="Q1254" s="415"/>
      <c r="R1254" s="417"/>
      <c r="S1254" s="419"/>
      <c r="T1254" s="418"/>
      <c r="U1254" s="419"/>
      <c r="V1254" s="419"/>
      <c r="W1254" s="420"/>
      <c r="X1254" s="420"/>
      <c r="Y1254" s="420"/>
      <c r="Z1254" s="3"/>
      <c r="AA1254" s="7"/>
      <c r="AB1254" s="7"/>
      <c r="AC1254" s="7"/>
      <c r="AD1254" s="7"/>
      <c r="AE1254" s="7"/>
    </row>
    <row r="1255" spans="1:31" ht="27" customHeight="1">
      <c r="A1255" s="414"/>
      <c r="B1255" s="414"/>
      <c r="C1255" s="415"/>
      <c r="D1255" s="415"/>
      <c r="E1255" s="415"/>
      <c r="F1255" s="415"/>
      <c r="G1255" s="416"/>
      <c r="H1255" s="415"/>
      <c r="I1255" s="416"/>
      <c r="J1255" s="414"/>
      <c r="K1255" s="414"/>
      <c r="L1255" s="414"/>
      <c r="M1255" s="414"/>
      <c r="N1255" s="416"/>
      <c r="O1255" s="416"/>
      <c r="P1255" s="415"/>
      <c r="Q1255" s="415"/>
      <c r="R1255" s="417"/>
      <c r="S1255" s="419"/>
      <c r="T1255" s="418"/>
      <c r="U1255" s="419"/>
      <c r="V1255" s="419"/>
      <c r="W1255" s="420"/>
      <c r="X1255" s="420"/>
      <c r="Y1255" s="420"/>
      <c r="Z1255" s="3"/>
      <c r="AA1255" s="7"/>
      <c r="AB1255" s="7"/>
      <c r="AC1255" s="7"/>
      <c r="AD1255" s="7"/>
      <c r="AE1255" s="7"/>
    </row>
    <row r="1256" spans="1:31" ht="27" customHeight="1">
      <c r="A1256" s="414"/>
      <c r="B1256" s="414"/>
      <c r="C1256" s="415"/>
      <c r="D1256" s="415"/>
      <c r="E1256" s="415"/>
      <c r="F1256" s="415"/>
      <c r="G1256" s="416"/>
      <c r="H1256" s="415"/>
      <c r="I1256" s="416"/>
      <c r="J1256" s="414"/>
      <c r="K1256" s="414"/>
      <c r="L1256" s="414"/>
      <c r="M1256" s="414"/>
      <c r="N1256" s="416"/>
      <c r="O1256" s="416"/>
      <c r="P1256" s="415"/>
      <c r="Q1256" s="415"/>
      <c r="R1256" s="417"/>
      <c r="S1256" s="419"/>
      <c r="T1256" s="418"/>
      <c r="U1256" s="419"/>
      <c r="V1256" s="419"/>
      <c r="W1256" s="420"/>
      <c r="X1256" s="420"/>
      <c r="Y1256" s="420"/>
      <c r="Z1256" s="3"/>
      <c r="AA1256" s="7"/>
      <c r="AB1256" s="7"/>
      <c r="AC1256" s="7"/>
      <c r="AD1256" s="7"/>
      <c r="AE1256" s="7"/>
    </row>
    <row r="1257" spans="1:31" ht="27" customHeight="1">
      <c r="A1257" s="414"/>
      <c r="B1257" s="414"/>
      <c r="C1257" s="415"/>
      <c r="D1257" s="415"/>
      <c r="E1257" s="415"/>
      <c r="F1257" s="415"/>
      <c r="G1257" s="416"/>
      <c r="H1257" s="415"/>
      <c r="I1257" s="416"/>
      <c r="J1257" s="414"/>
      <c r="K1257" s="414"/>
      <c r="L1257" s="414"/>
      <c r="M1257" s="414"/>
      <c r="N1257" s="416"/>
      <c r="O1257" s="416"/>
      <c r="P1257" s="415"/>
      <c r="Q1257" s="415"/>
      <c r="R1257" s="417"/>
      <c r="S1257" s="419"/>
      <c r="T1257" s="418"/>
      <c r="U1257" s="419"/>
      <c r="V1257" s="419"/>
      <c r="W1257" s="420"/>
      <c r="X1257" s="420"/>
      <c r="Y1257" s="420"/>
      <c r="Z1257" s="3"/>
      <c r="AA1257" s="7"/>
      <c r="AB1257" s="7"/>
      <c r="AC1257" s="7"/>
      <c r="AD1257" s="7"/>
      <c r="AE1257" s="7"/>
    </row>
    <row r="1258" spans="1:31" ht="27" customHeight="1">
      <c r="A1258" s="414"/>
      <c r="B1258" s="414"/>
      <c r="C1258" s="415"/>
      <c r="D1258" s="415"/>
      <c r="E1258" s="415"/>
      <c r="F1258" s="415"/>
      <c r="G1258" s="416"/>
      <c r="H1258" s="415"/>
      <c r="I1258" s="416"/>
      <c r="J1258" s="414"/>
      <c r="K1258" s="414"/>
      <c r="L1258" s="414"/>
      <c r="M1258" s="414"/>
      <c r="N1258" s="416"/>
      <c r="O1258" s="416"/>
      <c r="P1258" s="415"/>
      <c r="Q1258" s="415"/>
      <c r="R1258" s="417"/>
      <c r="S1258" s="419"/>
      <c r="T1258" s="418"/>
      <c r="U1258" s="419"/>
      <c r="V1258" s="419"/>
      <c r="W1258" s="420"/>
      <c r="X1258" s="420"/>
      <c r="Y1258" s="420"/>
      <c r="Z1258" s="3"/>
      <c r="AA1258" s="7"/>
      <c r="AB1258" s="7"/>
      <c r="AC1258" s="7"/>
      <c r="AD1258" s="7"/>
      <c r="AE1258" s="7"/>
    </row>
    <row r="1259" spans="1:31" ht="27" customHeight="1">
      <c r="A1259" s="414"/>
      <c r="B1259" s="414"/>
      <c r="C1259" s="415"/>
      <c r="D1259" s="415"/>
      <c r="E1259" s="415"/>
      <c r="F1259" s="415"/>
      <c r="G1259" s="416"/>
      <c r="H1259" s="415"/>
      <c r="I1259" s="416"/>
      <c r="J1259" s="414"/>
      <c r="K1259" s="414"/>
      <c r="L1259" s="414"/>
      <c r="M1259" s="414"/>
      <c r="N1259" s="416"/>
      <c r="O1259" s="416"/>
      <c r="P1259" s="415"/>
      <c r="Q1259" s="415"/>
      <c r="R1259" s="417"/>
      <c r="S1259" s="419"/>
      <c r="T1259" s="418"/>
      <c r="U1259" s="419"/>
      <c r="V1259" s="419"/>
      <c r="W1259" s="420"/>
      <c r="X1259" s="420"/>
      <c r="Y1259" s="420"/>
      <c r="Z1259" s="3"/>
      <c r="AA1259" s="7"/>
      <c r="AB1259" s="7"/>
      <c r="AC1259" s="7"/>
      <c r="AD1259" s="7"/>
      <c r="AE1259" s="7"/>
    </row>
    <row r="1260" spans="1:31" ht="27" customHeight="1">
      <c r="A1260" s="414"/>
      <c r="B1260" s="414"/>
      <c r="C1260" s="415"/>
      <c r="D1260" s="415"/>
      <c r="E1260" s="415"/>
      <c r="F1260" s="415"/>
      <c r="G1260" s="416"/>
      <c r="H1260" s="415"/>
      <c r="I1260" s="416"/>
      <c r="J1260" s="414"/>
      <c r="K1260" s="414"/>
      <c r="L1260" s="414"/>
      <c r="M1260" s="414"/>
      <c r="N1260" s="416"/>
      <c r="O1260" s="416"/>
      <c r="P1260" s="415"/>
      <c r="Q1260" s="415"/>
      <c r="R1260" s="417"/>
      <c r="S1260" s="419"/>
      <c r="T1260" s="418"/>
      <c r="U1260" s="419"/>
      <c r="V1260" s="419"/>
      <c r="W1260" s="420"/>
      <c r="X1260" s="420"/>
      <c r="Y1260" s="420"/>
      <c r="Z1260" s="3"/>
      <c r="AA1260" s="7"/>
      <c r="AB1260" s="7"/>
      <c r="AC1260" s="7"/>
      <c r="AD1260" s="7"/>
      <c r="AE1260" s="7"/>
    </row>
    <row r="1261" spans="1:31" ht="27" customHeight="1">
      <c r="A1261" s="414"/>
      <c r="B1261" s="414"/>
      <c r="C1261" s="415"/>
      <c r="D1261" s="415"/>
      <c r="E1261" s="415"/>
      <c r="F1261" s="415"/>
      <c r="G1261" s="416"/>
      <c r="H1261" s="415"/>
      <c r="I1261" s="416"/>
      <c r="J1261" s="414"/>
      <c r="K1261" s="414"/>
      <c r="L1261" s="414"/>
      <c r="M1261" s="414"/>
      <c r="N1261" s="416"/>
      <c r="O1261" s="416"/>
      <c r="P1261" s="415"/>
      <c r="Q1261" s="415"/>
      <c r="R1261" s="417"/>
      <c r="S1261" s="419"/>
      <c r="T1261" s="418"/>
      <c r="U1261" s="419"/>
      <c r="V1261" s="419"/>
      <c r="W1261" s="420"/>
      <c r="X1261" s="420"/>
      <c r="Y1261" s="420"/>
      <c r="Z1261" s="3"/>
      <c r="AA1261" s="7"/>
      <c r="AB1261" s="7"/>
      <c r="AC1261" s="7"/>
      <c r="AD1261" s="7"/>
      <c r="AE1261" s="7"/>
    </row>
    <row r="1262" spans="1:31" ht="27" customHeight="1">
      <c r="A1262" s="414"/>
      <c r="B1262" s="414"/>
      <c r="C1262" s="415"/>
      <c r="D1262" s="415"/>
      <c r="E1262" s="415"/>
      <c r="F1262" s="415"/>
      <c r="G1262" s="416"/>
      <c r="H1262" s="415"/>
      <c r="I1262" s="416"/>
      <c r="J1262" s="414"/>
      <c r="K1262" s="414"/>
      <c r="L1262" s="414"/>
      <c r="M1262" s="414"/>
      <c r="N1262" s="416"/>
      <c r="O1262" s="416"/>
      <c r="P1262" s="415"/>
      <c r="Q1262" s="415"/>
      <c r="R1262" s="417"/>
      <c r="S1262" s="419"/>
      <c r="T1262" s="418"/>
      <c r="U1262" s="419"/>
      <c r="V1262" s="419"/>
      <c r="W1262" s="420"/>
      <c r="X1262" s="420"/>
      <c r="Y1262" s="420"/>
      <c r="Z1262" s="3"/>
      <c r="AA1262" s="7"/>
      <c r="AB1262" s="7"/>
      <c r="AC1262" s="7"/>
      <c r="AD1262" s="7"/>
      <c r="AE1262" s="7"/>
    </row>
    <row r="1263" spans="1:31" ht="27" customHeight="1">
      <c r="A1263" s="414"/>
      <c r="B1263" s="414"/>
      <c r="C1263" s="415"/>
      <c r="D1263" s="415"/>
      <c r="E1263" s="415"/>
      <c r="F1263" s="415"/>
      <c r="G1263" s="416"/>
      <c r="H1263" s="415"/>
      <c r="I1263" s="416"/>
      <c r="J1263" s="414"/>
      <c r="K1263" s="414"/>
      <c r="L1263" s="414"/>
      <c r="M1263" s="414"/>
      <c r="N1263" s="416"/>
      <c r="O1263" s="416"/>
      <c r="P1263" s="415"/>
      <c r="Q1263" s="415"/>
      <c r="R1263" s="417"/>
      <c r="S1263" s="419"/>
      <c r="T1263" s="418"/>
      <c r="U1263" s="419"/>
      <c r="V1263" s="419"/>
      <c r="W1263" s="420"/>
      <c r="X1263" s="420"/>
      <c r="Y1263" s="420"/>
      <c r="Z1263" s="3"/>
      <c r="AA1263" s="7"/>
      <c r="AB1263" s="7"/>
      <c r="AC1263" s="7"/>
      <c r="AD1263" s="7"/>
      <c r="AE1263" s="7"/>
    </row>
    <row r="1264" spans="1:31" ht="27" customHeight="1">
      <c r="A1264" s="414"/>
      <c r="B1264" s="414"/>
      <c r="C1264" s="415"/>
      <c r="D1264" s="415"/>
      <c r="E1264" s="415"/>
      <c r="F1264" s="415"/>
      <c r="G1264" s="416"/>
      <c r="H1264" s="415"/>
      <c r="I1264" s="416"/>
      <c r="J1264" s="414"/>
      <c r="K1264" s="414"/>
      <c r="L1264" s="414"/>
      <c r="M1264" s="414"/>
      <c r="N1264" s="416"/>
      <c r="O1264" s="416"/>
      <c r="P1264" s="415"/>
      <c r="Q1264" s="415"/>
      <c r="R1264" s="417"/>
      <c r="S1264" s="419"/>
      <c r="T1264" s="418"/>
      <c r="U1264" s="419"/>
      <c r="V1264" s="419"/>
      <c r="W1264" s="420"/>
      <c r="X1264" s="420"/>
      <c r="Y1264" s="420"/>
      <c r="Z1264" s="3"/>
      <c r="AA1264" s="7"/>
      <c r="AB1264" s="7"/>
      <c r="AC1264" s="7"/>
      <c r="AD1264" s="7"/>
      <c r="AE1264" s="7"/>
    </row>
    <row r="1265" spans="1:31" ht="27" customHeight="1">
      <c r="A1265" s="414"/>
      <c r="B1265" s="414"/>
      <c r="C1265" s="415"/>
      <c r="D1265" s="415"/>
      <c r="E1265" s="415"/>
      <c r="F1265" s="415"/>
      <c r="G1265" s="416"/>
      <c r="H1265" s="415"/>
      <c r="I1265" s="416"/>
      <c r="J1265" s="414"/>
      <c r="K1265" s="414"/>
      <c r="L1265" s="414"/>
      <c r="M1265" s="414"/>
      <c r="N1265" s="416"/>
      <c r="O1265" s="416"/>
      <c r="P1265" s="415"/>
      <c r="Q1265" s="415"/>
      <c r="R1265" s="417"/>
      <c r="S1265" s="419"/>
      <c r="T1265" s="418"/>
      <c r="U1265" s="419"/>
      <c r="V1265" s="419"/>
      <c r="W1265" s="420"/>
      <c r="X1265" s="420"/>
      <c r="Y1265" s="420"/>
      <c r="Z1265" s="3"/>
      <c r="AA1265" s="7"/>
      <c r="AB1265" s="7"/>
      <c r="AC1265" s="7"/>
      <c r="AD1265" s="7"/>
      <c r="AE1265" s="7"/>
    </row>
    <row r="1266" spans="1:31" ht="27" customHeight="1">
      <c r="A1266" s="414"/>
      <c r="B1266" s="414"/>
      <c r="C1266" s="415"/>
      <c r="D1266" s="415"/>
      <c r="E1266" s="415"/>
      <c r="F1266" s="415"/>
      <c r="G1266" s="416"/>
      <c r="H1266" s="415"/>
      <c r="I1266" s="416"/>
      <c r="J1266" s="414"/>
      <c r="K1266" s="414"/>
      <c r="L1266" s="414"/>
      <c r="M1266" s="414"/>
      <c r="N1266" s="416"/>
      <c r="O1266" s="416"/>
      <c r="P1266" s="415"/>
      <c r="Q1266" s="415"/>
      <c r="R1266" s="417"/>
      <c r="S1266" s="419"/>
      <c r="T1266" s="418"/>
      <c r="U1266" s="419"/>
      <c r="V1266" s="419"/>
      <c r="W1266" s="420"/>
      <c r="X1266" s="420"/>
      <c r="Y1266" s="420"/>
      <c r="Z1266" s="3"/>
      <c r="AA1266" s="7"/>
      <c r="AB1266" s="7"/>
      <c r="AC1266" s="7"/>
      <c r="AD1266" s="7"/>
      <c r="AE1266" s="7"/>
    </row>
    <row r="1267" spans="1:31" ht="27" customHeight="1">
      <c r="A1267" s="414"/>
      <c r="B1267" s="414"/>
      <c r="C1267" s="415"/>
      <c r="D1267" s="415"/>
      <c r="E1267" s="415"/>
      <c r="F1267" s="415"/>
      <c r="G1267" s="416"/>
      <c r="H1267" s="415"/>
      <c r="I1267" s="416"/>
      <c r="J1267" s="414"/>
      <c r="K1267" s="414"/>
      <c r="L1267" s="414"/>
      <c r="M1267" s="414"/>
      <c r="N1267" s="416"/>
      <c r="O1267" s="416"/>
      <c r="P1267" s="415"/>
      <c r="Q1267" s="415"/>
      <c r="R1267" s="417"/>
      <c r="S1267" s="419"/>
      <c r="T1267" s="418"/>
      <c r="U1267" s="419"/>
      <c r="V1267" s="419"/>
      <c r="W1267" s="420"/>
      <c r="X1267" s="420"/>
      <c r="Y1267" s="420"/>
      <c r="Z1267" s="3"/>
      <c r="AA1267" s="7"/>
      <c r="AB1267" s="7"/>
      <c r="AC1267" s="7"/>
      <c r="AD1267" s="7"/>
      <c r="AE1267" s="7"/>
    </row>
    <row r="1268" spans="1:31" ht="27" customHeight="1">
      <c r="A1268" s="414"/>
      <c r="B1268" s="414"/>
      <c r="C1268" s="415"/>
      <c r="D1268" s="415"/>
      <c r="E1268" s="415"/>
      <c r="F1268" s="415"/>
      <c r="G1268" s="416"/>
      <c r="H1268" s="415"/>
      <c r="I1268" s="416"/>
      <c r="J1268" s="414"/>
      <c r="K1268" s="414"/>
      <c r="L1268" s="414"/>
      <c r="M1268" s="414"/>
      <c r="N1268" s="416"/>
      <c r="O1268" s="416"/>
      <c r="P1268" s="415"/>
      <c r="Q1268" s="415"/>
      <c r="R1268" s="417"/>
      <c r="S1268" s="419"/>
      <c r="T1268" s="418"/>
      <c r="U1268" s="419"/>
      <c r="V1268" s="419"/>
      <c r="W1268" s="420"/>
      <c r="X1268" s="420"/>
      <c r="Y1268" s="420"/>
      <c r="Z1268" s="3"/>
      <c r="AA1268" s="7"/>
      <c r="AB1268" s="7"/>
      <c r="AC1268" s="7"/>
      <c r="AD1268" s="7"/>
      <c r="AE1268" s="7"/>
    </row>
    <row r="1269" spans="1:31" ht="27" customHeight="1">
      <c r="A1269" s="414"/>
      <c r="B1269" s="414"/>
      <c r="C1269" s="415"/>
      <c r="D1269" s="415"/>
      <c r="E1269" s="415"/>
      <c r="F1269" s="415"/>
      <c r="G1269" s="416"/>
      <c r="H1269" s="415"/>
      <c r="I1269" s="416"/>
      <c r="J1269" s="414"/>
      <c r="K1269" s="414"/>
      <c r="L1269" s="414"/>
      <c r="M1269" s="414"/>
      <c r="N1269" s="416"/>
      <c r="O1269" s="416"/>
      <c r="P1269" s="415"/>
      <c r="Q1269" s="415"/>
      <c r="R1269" s="417"/>
      <c r="S1269" s="419"/>
      <c r="T1269" s="418"/>
      <c r="U1269" s="419"/>
      <c r="V1269" s="419"/>
      <c r="W1269" s="420"/>
      <c r="X1269" s="420"/>
      <c r="Y1269" s="420"/>
      <c r="Z1269" s="3"/>
      <c r="AA1269" s="7"/>
      <c r="AB1269" s="7"/>
      <c r="AC1269" s="7"/>
      <c r="AD1269" s="7"/>
      <c r="AE1269" s="7"/>
    </row>
    <row r="1270" spans="1:31" ht="27" customHeight="1">
      <c r="A1270" s="414"/>
      <c r="B1270" s="414"/>
      <c r="C1270" s="415"/>
      <c r="D1270" s="415"/>
      <c r="E1270" s="415"/>
      <c r="F1270" s="415"/>
      <c r="G1270" s="416"/>
      <c r="H1270" s="415"/>
      <c r="I1270" s="416"/>
      <c r="J1270" s="414"/>
      <c r="K1270" s="414"/>
      <c r="L1270" s="414"/>
      <c r="M1270" s="414"/>
      <c r="N1270" s="416"/>
      <c r="O1270" s="416"/>
      <c r="P1270" s="415"/>
      <c r="Q1270" s="415"/>
      <c r="R1270" s="417"/>
      <c r="S1270" s="419"/>
      <c r="T1270" s="418"/>
      <c r="U1270" s="419"/>
      <c r="V1270" s="419"/>
      <c r="W1270" s="420"/>
      <c r="X1270" s="420"/>
      <c r="Y1270" s="420"/>
      <c r="Z1270" s="3"/>
      <c r="AA1270" s="7"/>
      <c r="AB1270" s="7"/>
      <c r="AC1270" s="7"/>
      <c r="AD1270" s="7"/>
      <c r="AE1270" s="7"/>
    </row>
    <row r="1271" spans="1:31" ht="27" customHeight="1">
      <c r="A1271" s="414"/>
      <c r="B1271" s="414"/>
      <c r="C1271" s="415"/>
      <c r="D1271" s="415"/>
      <c r="E1271" s="415"/>
      <c r="F1271" s="415"/>
      <c r="G1271" s="416"/>
      <c r="H1271" s="415"/>
      <c r="I1271" s="416"/>
      <c r="J1271" s="414"/>
      <c r="K1271" s="414"/>
      <c r="L1271" s="414"/>
      <c r="M1271" s="414"/>
      <c r="N1271" s="416"/>
      <c r="O1271" s="416"/>
      <c r="P1271" s="415"/>
      <c r="Q1271" s="415"/>
      <c r="R1271" s="417"/>
      <c r="S1271" s="419"/>
      <c r="T1271" s="418"/>
      <c r="U1271" s="419"/>
      <c r="V1271" s="419"/>
      <c r="W1271" s="420"/>
      <c r="X1271" s="420"/>
      <c r="Y1271" s="420"/>
      <c r="Z1271" s="3"/>
      <c r="AA1271" s="7"/>
      <c r="AB1271" s="7"/>
      <c r="AC1271" s="7"/>
      <c r="AD1271" s="7"/>
      <c r="AE1271" s="7"/>
    </row>
    <row r="1272" spans="1:31" ht="27" customHeight="1">
      <c r="A1272" s="414"/>
      <c r="B1272" s="414"/>
      <c r="C1272" s="415"/>
      <c r="D1272" s="415"/>
      <c r="E1272" s="415"/>
      <c r="F1272" s="415"/>
      <c r="G1272" s="416"/>
      <c r="H1272" s="415"/>
      <c r="I1272" s="416"/>
      <c r="J1272" s="414"/>
      <c r="K1272" s="414"/>
      <c r="L1272" s="414"/>
      <c r="M1272" s="414"/>
      <c r="N1272" s="416"/>
      <c r="O1272" s="416"/>
      <c r="P1272" s="415"/>
      <c r="Q1272" s="415"/>
      <c r="R1272" s="417"/>
      <c r="S1272" s="419"/>
      <c r="T1272" s="418"/>
      <c r="U1272" s="419"/>
      <c r="V1272" s="419"/>
      <c r="W1272" s="420"/>
      <c r="X1272" s="420"/>
      <c r="Y1272" s="420"/>
      <c r="Z1272" s="3"/>
      <c r="AA1272" s="7"/>
      <c r="AB1272" s="7"/>
      <c r="AC1272" s="7"/>
      <c r="AD1272" s="7"/>
      <c r="AE1272" s="7"/>
    </row>
    <row r="1273" spans="1:31" ht="27" customHeight="1">
      <c r="A1273" s="414"/>
      <c r="B1273" s="414"/>
      <c r="C1273" s="415"/>
      <c r="D1273" s="415"/>
      <c r="E1273" s="415"/>
      <c r="F1273" s="415"/>
      <c r="G1273" s="416"/>
      <c r="H1273" s="415"/>
      <c r="I1273" s="416"/>
      <c r="J1273" s="414"/>
      <c r="K1273" s="414"/>
      <c r="L1273" s="414"/>
      <c r="M1273" s="414"/>
      <c r="N1273" s="416"/>
      <c r="O1273" s="416"/>
      <c r="P1273" s="415"/>
      <c r="Q1273" s="415"/>
      <c r="R1273" s="417"/>
      <c r="S1273" s="419"/>
      <c r="T1273" s="418"/>
      <c r="U1273" s="419"/>
      <c r="V1273" s="419"/>
      <c r="W1273" s="420"/>
      <c r="X1273" s="420"/>
      <c r="Y1273" s="420"/>
      <c r="Z1273" s="3"/>
      <c r="AA1273" s="7"/>
      <c r="AB1273" s="7"/>
      <c r="AC1273" s="7"/>
      <c r="AD1273" s="7"/>
      <c r="AE1273" s="7"/>
    </row>
    <row r="1274" spans="1:31" ht="27" customHeight="1">
      <c r="A1274" s="414"/>
      <c r="B1274" s="414"/>
      <c r="C1274" s="415"/>
      <c r="D1274" s="415"/>
      <c r="E1274" s="415"/>
      <c r="F1274" s="415"/>
      <c r="G1274" s="416"/>
      <c r="H1274" s="415"/>
      <c r="I1274" s="416"/>
      <c r="J1274" s="414"/>
      <c r="K1274" s="414"/>
      <c r="L1274" s="414"/>
      <c r="M1274" s="414"/>
      <c r="N1274" s="416"/>
      <c r="O1274" s="416"/>
      <c r="P1274" s="415"/>
      <c r="Q1274" s="415"/>
      <c r="R1274" s="417"/>
      <c r="S1274" s="419"/>
      <c r="T1274" s="418"/>
      <c r="U1274" s="419"/>
      <c r="V1274" s="419"/>
      <c r="W1274" s="420"/>
      <c r="X1274" s="420"/>
      <c r="Y1274" s="420"/>
      <c r="Z1274" s="3"/>
      <c r="AA1274" s="7"/>
      <c r="AB1274" s="7"/>
      <c r="AC1274" s="7"/>
      <c r="AD1274" s="7"/>
      <c r="AE1274" s="7"/>
    </row>
    <row r="1275" spans="1:31" ht="27" customHeight="1">
      <c r="A1275" s="414"/>
      <c r="B1275" s="414"/>
      <c r="C1275" s="415"/>
      <c r="D1275" s="415"/>
      <c r="E1275" s="415"/>
      <c r="F1275" s="415"/>
      <c r="G1275" s="416"/>
      <c r="H1275" s="415"/>
      <c r="I1275" s="416"/>
      <c r="J1275" s="414"/>
      <c r="K1275" s="414"/>
      <c r="L1275" s="414"/>
      <c r="M1275" s="414"/>
      <c r="N1275" s="416"/>
      <c r="O1275" s="416"/>
      <c r="P1275" s="415"/>
      <c r="Q1275" s="415"/>
      <c r="R1275" s="417"/>
      <c r="S1275" s="419"/>
      <c r="T1275" s="418"/>
      <c r="U1275" s="419"/>
      <c r="V1275" s="419"/>
      <c r="W1275" s="420"/>
      <c r="X1275" s="420"/>
      <c r="Y1275" s="420"/>
      <c r="Z1275" s="3"/>
      <c r="AA1275" s="7"/>
      <c r="AB1275" s="7"/>
      <c r="AC1275" s="7"/>
      <c r="AD1275" s="7"/>
      <c r="AE1275" s="7"/>
    </row>
    <row r="1276" spans="1:31" ht="27" customHeight="1">
      <c r="A1276" s="414"/>
      <c r="B1276" s="414"/>
      <c r="C1276" s="415"/>
      <c r="D1276" s="415"/>
      <c r="E1276" s="415"/>
      <c r="F1276" s="415"/>
      <c r="G1276" s="416"/>
      <c r="H1276" s="415"/>
      <c r="I1276" s="416"/>
      <c r="J1276" s="414"/>
      <c r="K1276" s="414"/>
      <c r="L1276" s="414"/>
      <c r="M1276" s="414"/>
      <c r="N1276" s="416"/>
      <c r="O1276" s="416"/>
      <c r="P1276" s="415"/>
      <c r="Q1276" s="415"/>
      <c r="R1276" s="417"/>
      <c r="S1276" s="419"/>
      <c r="T1276" s="418"/>
      <c r="U1276" s="419"/>
      <c r="V1276" s="419"/>
      <c r="W1276" s="420"/>
      <c r="X1276" s="420"/>
      <c r="Y1276" s="420"/>
      <c r="Z1276" s="3"/>
      <c r="AA1276" s="7"/>
      <c r="AB1276" s="7"/>
      <c r="AC1276" s="7"/>
      <c r="AD1276" s="7"/>
      <c r="AE1276" s="7"/>
    </row>
    <row r="1277" spans="1:31" ht="27" customHeight="1">
      <c r="A1277" s="414"/>
      <c r="B1277" s="414"/>
      <c r="C1277" s="415"/>
      <c r="D1277" s="415"/>
      <c r="E1277" s="415"/>
      <c r="F1277" s="415"/>
      <c r="G1277" s="416"/>
      <c r="H1277" s="415"/>
      <c r="I1277" s="416"/>
      <c r="J1277" s="414"/>
      <c r="K1277" s="414"/>
      <c r="L1277" s="414"/>
      <c r="M1277" s="414"/>
      <c r="N1277" s="416"/>
      <c r="O1277" s="416"/>
      <c r="P1277" s="415"/>
      <c r="Q1277" s="415"/>
      <c r="R1277" s="417"/>
      <c r="S1277" s="419"/>
      <c r="T1277" s="418"/>
      <c r="U1277" s="419"/>
      <c r="V1277" s="419"/>
      <c r="W1277" s="420"/>
      <c r="X1277" s="420"/>
      <c r="Y1277" s="420"/>
      <c r="Z1277" s="3"/>
      <c r="AA1277" s="7"/>
      <c r="AB1277" s="7"/>
      <c r="AC1277" s="7"/>
      <c r="AD1277" s="7"/>
      <c r="AE1277" s="7"/>
    </row>
    <row r="1278" spans="1:31" ht="27" customHeight="1">
      <c r="A1278" s="414"/>
      <c r="B1278" s="414"/>
      <c r="C1278" s="415"/>
      <c r="D1278" s="415"/>
      <c r="E1278" s="415"/>
      <c r="F1278" s="415"/>
      <c r="G1278" s="416"/>
      <c r="H1278" s="415"/>
      <c r="I1278" s="416"/>
      <c r="J1278" s="414"/>
      <c r="K1278" s="414"/>
      <c r="L1278" s="414"/>
      <c r="M1278" s="414"/>
      <c r="N1278" s="416"/>
      <c r="O1278" s="416"/>
      <c r="P1278" s="415"/>
      <c r="Q1278" s="415"/>
      <c r="R1278" s="417"/>
      <c r="S1278" s="419"/>
      <c r="T1278" s="418"/>
      <c r="U1278" s="419"/>
      <c r="V1278" s="419"/>
      <c r="W1278" s="420"/>
      <c r="X1278" s="420"/>
      <c r="Y1278" s="420"/>
      <c r="Z1278" s="3"/>
      <c r="AA1278" s="7"/>
      <c r="AB1278" s="7"/>
      <c r="AC1278" s="7"/>
      <c r="AD1278" s="7"/>
      <c r="AE1278" s="7"/>
    </row>
    <row r="1279" spans="1:31" ht="27" customHeight="1">
      <c r="A1279" s="414"/>
      <c r="B1279" s="414"/>
      <c r="C1279" s="415"/>
      <c r="D1279" s="415"/>
      <c r="E1279" s="415"/>
      <c r="F1279" s="415"/>
      <c r="G1279" s="416"/>
      <c r="H1279" s="415"/>
      <c r="I1279" s="416"/>
      <c r="J1279" s="414"/>
      <c r="K1279" s="414"/>
      <c r="L1279" s="414"/>
      <c r="M1279" s="414"/>
      <c r="N1279" s="416"/>
      <c r="O1279" s="416"/>
      <c r="P1279" s="415"/>
      <c r="Q1279" s="415"/>
      <c r="R1279" s="417"/>
      <c r="S1279" s="419"/>
      <c r="T1279" s="418"/>
      <c r="U1279" s="419"/>
      <c r="V1279" s="419"/>
      <c r="W1279" s="420"/>
      <c r="X1279" s="420"/>
      <c r="Y1279" s="420"/>
      <c r="Z1279" s="3"/>
      <c r="AA1279" s="7"/>
      <c r="AB1279" s="7"/>
      <c r="AC1279" s="7"/>
      <c r="AD1279" s="7"/>
      <c r="AE1279" s="7"/>
    </row>
    <row r="1280" spans="1:31" ht="27" customHeight="1">
      <c r="A1280" s="414"/>
      <c r="B1280" s="414"/>
      <c r="C1280" s="415"/>
      <c r="D1280" s="415"/>
      <c r="E1280" s="415"/>
      <c r="F1280" s="415"/>
      <c r="G1280" s="416"/>
      <c r="H1280" s="415"/>
      <c r="I1280" s="416"/>
      <c r="J1280" s="414"/>
      <c r="K1280" s="414"/>
      <c r="L1280" s="414"/>
      <c r="M1280" s="414"/>
      <c r="N1280" s="416"/>
      <c r="O1280" s="416"/>
      <c r="P1280" s="415"/>
      <c r="Q1280" s="415"/>
      <c r="R1280" s="417"/>
      <c r="S1280" s="419"/>
      <c r="T1280" s="418"/>
      <c r="U1280" s="419"/>
      <c r="V1280" s="419"/>
      <c r="W1280" s="420"/>
      <c r="X1280" s="420"/>
      <c r="Y1280" s="420"/>
      <c r="Z1280" s="3"/>
      <c r="AA1280" s="7"/>
      <c r="AB1280" s="7"/>
      <c r="AC1280" s="7"/>
      <c r="AD1280" s="7"/>
      <c r="AE1280" s="7"/>
    </row>
    <row r="1281" spans="1:31" ht="27" customHeight="1">
      <c r="A1281" s="414"/>
      <c r="B1281" s="414"/>
      <c r="C1281" s="415"/>
      <c r="D1281" s="415"/>
      <c r="E1281" s="415"/>
      <c r="F1281" s="415"/>
      <c r="G1281" s="416"/>
      <c r="H1281" s="415"/>
      <c r="I1281" s="416"/>
      <c r="J1281" s="414"/>
      <c r="K1281" s="414"/>
      <c r="L1281" s="414"/>
      <c r="M1281" s="414"/>
      <c r="N1281" s="416"/>
      <c r="O1281" s="416"/>
      <c r="P1281" s="415"/>
      <c r="Q1281" s="415"/>
      <c r="R1281" s="417"/>
      <c r="S1281" s="419"/>
      <c r="T1281" s="418"/>
      <c r="U1281" s="419"/>
      <c r="V1281" s="419"/>
      <c r="W1281" s="420"/>
      <c r="X1281" s="420"/>
      <c r="Y1281" s="420"/>
      <c r="Z1281" s="3"/>
      <c r="AA1281" s="7"/>
      <c r="AB1281" s="7"/>
      <c r="AC1281" s="7"/>
      <c r="AD1281" s="7"/>
      <c r="AE1281" s="7"/>
    </row>
    <row r="1282" spans="1:31" ht="27" customHeight="1">
      <c r="A1282" s="414"/>
      <c r="B1282" s="414"/>
      <c r="C1282" s="415"/>
      <c r="D1282" s="415"/>
      <c r="E1282" s="415"/>
      <c r="F1282" s="415"/>
      <c r="G1282" s="416"/>
      <c r="H1282" s="415"/>
      <c r="I1282" s="416"/>
      <c r="J1282" s="414"/>
      <c r="K1282" s="414"/>
      <c r="L1282" s="414"/>
      <c r="M1282" s="414"/>
      <c r="N1282" s="416"/>
      <c r="O1282" s="416"/>
      <c r="P1282" s="415"/>
      <c r="Q1282" s="415"/>
      <c r="R1282" s="417"/>
      <c r="S1282" s="419"/>
      <c r="T1282" s="418"/>
      <c r="U1282" s="419"/>
      <c r="V1282" s="419"/>
      <c r="W1282" s="420"/>
      <c r="X1282" s="420"/>
      <c r="Y1282" s="420"/>
      <c r="Z1282" s="3"/>
      <c r="AA1282" s="7"/>
      <c r="AB1282" s="7"/>
      <c r="AC1282" s="7"/>
      <c r="AD1282" s="7"/>
      <c r="AE1282" s="7"/>
    </row>
    <row r="1283" spans="1:31" ht="27" customHeight="1">
      <c r="A1283" s="414"/>
      <c r="B1283" s="414"/>
      <c r="C1283" s="415"/>
      <c r="D1283" s="415"/>
      <c r="E1283" s="415"/>
      <c r="F1283" s="415"/>
      <c r="G1283" s="416"/>
      <c r="H1283" s="415"/>
      <c r="I1283" s="416"/>
      <c r="J1283" s="414"/>
      <c r="K1283" s="414"/>
      <c r="L1283" s="414"/>
      <c r="M1283" s="414"/>
      <c r="N1283" s="416"/>
      <c r="O1283" s="416"/>
      <c r="P1283" s="415"/>
      <c r="Q1283" s="415"/>
      <c r="R1283" s="417"/>
      <c r="S1283" s="419"/>
      <c r="T1283" s="418"/>
      <c r="U1283" s="419"/>
      <c r="V1283" s="419"/>
      <c r="W1283" s="420"/>
      <c r="X1283" s="420"/>
      <c r="Y1283" s="420"/>
      <c r="Z1283" s="3"/>
      <c r="AA1283" s="7"/>
      <c r="AB1283" s="7"/>
      <c r="AC1283" s="7"/>
      <c r="AD1283" s="7"/>
      <c r="AE1283" s="7"/>
    </row>
    <row r="1284" spans="1:31" ht="27" customHeight="1">
      <c r="A1284" s="414"/>
      <c r="B1284" s="414"/>
      <c r="C1284" s="415"/>
      <c r="D1284" s="415"/>
      <c r="E1284" s="415"/>
      <c r="F1284" s="415"/>
      <c r="G1284" s="416"/>
      <c r="H1284" s="415"/>
      <c r="I1284" s="416"/>
      <c r="J1284" s="414"/>
      <c r="K1284" s="414"/>
      <c r="L1284" s="414"/>
      <c r="M1284" s="414"/>
      <c r="N1284" s="416"/>
      <c r="O1284" s="416"/>
      <c r="P1284" s="415"/>
      <c r="Q1284" s="415"/>
      <c r="R1284" s="417"/>
      <c r="S1284" s="419"/>
      <c r="T1284" s="418"/>
      <c r="U1284" s="419"/>
      <c r="V1284" s="419"/>
      <c r="W1284" s="420"/>
      <c r="X1284" s="420"/>
      <c r="Y1284" s="420"/>
      <c r="Z1284" s="3"/>
      <c r="AA1284" s="7"/>
      <c r="AB1284" s="7"/>
      <c r="AC1284" s="7"/>
      <c r="AD1284" s="7"/>
      <c r="AE1284" s="7"/>
    </row>
    <row r="1285" spans="1:31" ht="27" customHeight="1">
      <c r="A1285" s="414"/>
      <c r="B1285" s="414"/>
      <c r="C1285" s="415"/>
      <c r="D1285" s="415"/>
      <c r="E1285" s="415"/>
      <c r="F1285" s="415"/>
      <c r="G1285" s="416"/>
      <c r="H1285" s="415"/>
      <c r="I1285" s="416"/>
      <c r="J1285" s="414"/>
      <c r="K1285" s="414"/>
      <c r="L1285" s="414"/>
      <c r="M1285" s="414"/>
      <c r="N1285" s="416"/>
      <c r="O1285" s="416"/>
      <c r="P1285" s="415"/>
      <c r="Q1285" s="415"/>
      <c r="R1285" s="417"/>
      <c r="S1285" s="419"/>
      <c r="T1285" s="418"/>
      <c r="U1285" s="419"/>
      <c r="V1285" s="419"/>
      <c r="W1285" s="420"/>
      <c r="X1285" s="420"/>
      <c r="Y1285" s="420"/>
      <c r="Z1285" s="3"/>
      <c r="AA1285" s="7"/>
      <c r="AB1285" s="7"/>
      <c r="AC1285" s="7"/>
      <c r="AD1285" s="7"/>
      <c r="AE1285" s="7"/>
    </row>
    <row r="1286" spans="1:31" ht="27" customHeight="1">
      <c r="A1286" s="414"/>
      <c r="B1286" s="414"/>
      <c r="C1286" s="415"/>
      <c r="D1286" s="415"/>
      <c r="E1286" s="415"/>
      <c r="F1286" s="415"/>
      <c r="G1286" s="416"/>
      <c r="H1286" s="415"/>
      <c r="I1286" s="416"/>
      <c r="J1286" s="414"/>
      <c r="K1286" s="414"/>
      <c r="L1286" s="414"/>
      <c r="M1286" s="414"/>
      <c r="N1286" s="416"/>
      <c r="O1286" s="416"/>
      <c r="P1286" s="415"/>
      <c r="Q1286" s="415"/>
      <c r="R1286" s="417"/>
      <c r="S1286" s="419"/>
      <c r="T1286" s="418"/>
      <c r="U1286" s="419"/>
      <c r="V1286" s="419"/>
      <c r="W1286" s="420"/>
      <c r="X1286" s="420"/>
      <c r="Y1286" s="420"/>
      <c r="Z1286" s="3"/>
      <c r="AA1286" s="7"/>
      <c r="AB1286" s="7"/>
      <c r="AC1286" s="7"/>
      <c r="AD1286" s="7"/>
      <c r="AE1286" s="7"/>
    </row>
    <row r="1287" spans="1:31" ht="27" customHeight="1">
      <c r="A1287" s="414"/>
      <c r="B1287" s="414"/>
      <c r="C1287" s="415"/>
      <c r="D1287" s="415"/>
      <c r="E1287" s="415"/>
      <c r="F1287" s="415"/>
      <c r="G1287" s="416"/>
      <c r="H1287" s="415"/>
      <c r="I1287" s="416"/>
      <c r="J1287" s="414"/>
      <c r="K1287" s="414"/>
      <c r="L1287" s="414"/>
      <c r="M1287" s="414"/>
      <c r="N1287" s="416"/>
      <c r="O1287" s="416"/>
      <c r="P1287" s="415"/>
      <c r="Q1287" s="415"/>
      <c r="R1287" s="417"/>
      <c r="S1287" s="419"/>
      <c r="T1287" s="418"/>
      <c r="U1287" s="419"/>
      <c r="V1287" s="419"/>
      <c r="W1287" s="420"/>
      <c r="X1287" s="420"/>
      <c r="Y1287" s="420"/>
      <c r="Z1287" s="3"/>
      <c r="AA1287" s="7"/>
      <c r="AB1287" s="7"/>
      <c r="AC1287" s="7"/>
      <c r="AD1287" s="7"/>
      <c r="AE1287" s="7"/>
    </row>
    <row r="1288" spans="1:31" ht="27" customHeight="1">
      <c r="A1288" s="414"/>
      <c r="B1288" s="414"/>
      <c r="C1288" s="415"/>
      <c r="D1288" s="415"/>
      <c r="E1288" s="415"/>
      <c r="F1288" s="415"/>
      <c r="G1288" s="416"/>
      <c r="H1288" s="415"/>
      <c r="I1288" s="416"/>
      <c r="J1288" s="414"/>
      <c r="K1288" s="414"/>
      <c r="L1288" s="414"/>
      <c r="M1288" s="414"/>
      <c r="N1288" s="416"/>
      <c r="O1288" s="416"/>
      <c r="P1288" s="415"/>
      <c r="Q1288" s="415"/>
      <c r="R1288" s="417"/>
      <c r="S1288" s="419"/>
      <c r="T1288" s="418"/>
      <c r="U1288" s="419"/>
      <c r="V1288" s="419"/>
      <c r="W1288" s="420"/>
      <c r="X1288" s="420"/>
      <c r="Y1288" s="420"/>
      <c r="Z1288" s="3"/>
      <c r="AA1288" s="7"/>
      <c r="AB1288" s="7"/>
      <c r="AC1288" s="7"/>
      <c r="AD1288" s="7"/>
      <c r="AE1288" s="7"/>
    </row>
    <row r="1289" spans="1:31" ht="27" customHeight="1">
      <c r="A1289" s="414"/>
      <c r="B1289" s="414"/>
      <c r="C1289" s="415"/>
      <c r="D1289" s="415"/>
      <c r="E1289" s="415"/>
      <c r="F1289" s="415"/>
      <c r="G1289" s="416"/>
      <c r="H1289" s="415"/>
      <c r="I1289" s="416"/>
      <c r="J1289" s="414"/>
      <c r="K1289" s="414"/>
      <c r="L1289" s="414"/>
      <c r="M1289" s="414"/>
      <c r="N1289" s="416"/>
      <c r="O1289" s="416"/>
      <c r="P1289" s="415"/>
      <c r="Q1289" s="415"/>
      <c r="R1289" s="417"/>
      <c r="S1289" s="419"/>
      <c r="T1289" s="418"/>
      <c r="U1289" s="419"/>
      <c r="V1289" s="419"/>
      <c r="W1289" s="420"/>
      <c r="X1289" s="420"/>
      <c r="Y1289" s="420"/>
      <c r="Z1289" s="3"/>
      <c r="AA1289" s="7"/>
      <c r="AB1289" s="7"/>
      <c r="AC1289" s="7"/>
      <c r="AD1289" s="7"/>
      <c r="AE1289" s="7"/>
    </row>
    <row r="1290" spans="1:31" ht="27" customHeight="1">
      <c r="A1290" s="414"/>
      <c r="B1290" s="414"/>
      <c r="C1290" s="415"/>
      <c r="D1290" s="415"/>
      <c r="E1290" s="415"/>
      <c r="F1290" s="415"/>
      <c r="G1290" s="416"/>
      <c r="H1290" s="415"/>
      <c r="I1290" s="416"/>
      <c r="J1290" s="414"/>
      <c r="K1290" s="414"/>
      <c r="L1290" s="414"/>
      <c r="M1290" s="414"/>
      <c r="N1290" s="416"/>
      <c r="O1290" s="416"/>
      <c r="P1290" s="415"/>
      <c r="Q1290" s="415"/>
      <c r="R1290" s="417"/>
      <c r="S1290" s="419"/>
      <c r="T1290" s="418"/>
      <c r="U1290" s="419"/>
      <c r="V1290" s="419"/>
      <c r="W1290" s="420"/>
      <c r="X1290" s="420"/>
      <c r="Y1290" s="420"/>
      <c r="Z1290" s="3"/>
      <c r="AA1290" s="7"/>
      <c r="AB1290" s="7"/>
      <c r="AC1290" s="7"/>
      <c r="AD1290" s="7"/>
      <c r="AE1290" s="7"/>
    </row>
    <row r="1291" spans="1:31" ht="27" customHeight="1">
      <c r="A1291" s="414"/>
      <c r="B1291" s="414"/>
      <c r="C1291" s="415"/>
      <c r="D1291" s="415"/>
      <c r="E1291" s="415"/>
      <c r="F1291" s="415"/>
      <c r="G1291" s="416"/>
      <c r="H1291" s="415"/>
      <c r="I1291" s="416"/>
      <c r="J1291" s="414"/>
      <c r="K1291" s="414"/>
      <c r="L1291" s="414"/>
      <c r="M1291" s="414"/>
      <c r="N1291" s="416"/>
      <c r="O1291" s="416"/>
      <c r="P1291" s="415"/>
      <c r="Q1291" s="415"/>
      <c r="R1291" s="417"/>
      <c r="S1291" s="419"/>
      <c r="T1291" s="418"/>
      <c r="U1291" s="419"/>
      <c r="V1291" s="419"/>
      <c r="W1291" s="420"/>
      <c r="X1291" s="420"/>
      <c r="Y1291" s="420"/>
      <c r="Z1291" s="3"/>
      <c r="AA1291" s="7"/>
      <c r="AB1291" s="7"/>
      <c r="AC1291" s="7"/>
      <c r="AD1291" s="7"/>
      <c r="AE1291" s="7"/>
    </row>
    <row r="1292" spans="1:31" ht="27" customHeight="1">
      <c r="A1292" s="414"/>
      <c r="B1292" s="414"/>
      <c r="C1292" s="415"/>
      <c r="D1292" s="415"/>
      <c r="E1292" s="415"/>
      <c r="F1292" s="415"/>
      <c r="G1292" s="416"/>
      <c r="H1292" s="415"/>
      <c r="I1292" s="416"/>
      <c r="J1292" s="414"/>
      <c r="K1292" s="414"/>
      <c r="L1292" s="414"/>
      <c r="M1292" s="414"/>
      <c r="N1292" s="416"/>
      <c r="O1292" s="416"/>
      <c r="P1292" s="415"/>
      <c r="Q1292" s="415"/>
      <c r="R1292" s="417"/>
      <c r="S1292" s="419"/>
      <c r="T1292" s="418"/>
      <c r="U1292" s="419"/>
      <c r="V1292" s="419"/>
      <c r="W1292" s="420"/>
      <c r="X1292" s="420"/>
      <c r="Y1292" s="420"/>
      <c r="Z1292" s="3"/>
      <c r="AA1292" s="7"/>
      <c r="AB1292" s="7"/>
      <c r="AC1292" s="7"/>
      <c r="AD1292" s="7"/>
      <c r="AE1292" s="7"/>
    </row>
    <row r="1293" spans="1:31" ht="27" customHeight="1">
      <c r="A1293" s="414"/>
      <c r="B1293" s="414"/>
      <c r="C1293" s="415"/>
      <c r="D1293" s="415"/>
      <c r="E1293" s="415"/>
      <c r="F1293" s="415"/>
      <c r="G1293" s="416"/>
      <c r="H1293" s="415"/>
      <c r="I1293" s="416"/>
      <c r="J1293" s="414"/>
      <c r="K1293" s="414"/>
      <c r="L1293" s="414"/>
      <c r="M1293" s="414"/>
      <c r="N1293" s="416"/>
      <c r="O1293" s="416"/>
      <c r="P1293" s="415"/>
      <c r="Q1293" s="415"/>
      <c r="R1293" s="417"/>
      <c r="S1293" s="419"/>
      <c r="T1293" s="418"/>
      <c r="U1293" s="419"/>
      <c r="V1293" s="419"/>
      <c r="W1293" s="420"/>
      <c r="X1293" s="420"/>
      <c r="Y1293" s="420"/>
      <c r="Z1293" s="3"/>
      <c r="AA1293" s="7"/>
      <c r="AB1293" s="7"/>
      <c r="AC1293" s="7"/>
      <c r="AD1293" s="7"/>
      <c r="AE1293" s="7"/>
    </row>
    <row r="1294" spans="1:31" ht="27" customHeight="1">
      <c r="A1294" s="414"/>
      <c r="B1294" s="414"/>
      <c r="C1294" s="415"/>
      <c r="D1294" s="415"/>
      <c r="E1294" s="415"/>
      <c r="F1294" s="415"/>
      <c r="G1294" s="416"/>
      <c r="H1294" s="415"/>
      <c r="I1294" s="416"/>
      <c r="J1294" s="414"/>
      <c r="K1294" s="414"/>
      <c r="L1294" s="414"/>
      <c r="M1294" s="414"/>
      <c r="N1294" s="416"/>
      <c r="O1294" s="416"/>
      <c r="P1294" s="415"/>
      <c r="Q1294" s="415"/>
      <c r="R1294" s="417"/>
      <c r="S1294" s="419"/>
      <c r="T1294" s="418"/>
      <c r="U1294" s="419"/>
      <c r="V1294" s="419"/>
      <c r="W1294" s="420"/>
      <c r="X1294" s="420"/>
      <c r="Y1294" s="420"/>
      <c r="Z1294" s="3"/>
      <c r="AA1294" s="7"/>
      <c r="AB1294" s="7"/>
      <c r="AC1294" s="7"/>
      <c r="AD1294" s="7"/>
      <c r="AE1294" s="7"/>
    </row>
    <row r="1295" spans="1:31" ht="27" customHeight="1">
      <c r="A1295" s="414"/>
      <c r="B1295" s="414"/>
      <c r="C1295" s="415"/>
      <c r="D1295" s="415"/>
      <c r="E1295" s="415"/>
      <c r="F1295" s="415"/>
      <c r="G1295" s="416"/>
      <c r="H1295" s="415"/>
      <c r="I1295" s="416"/>
      <c r="J1295" s="414"/>
      <c r="K1295" s="414"/>
      <c r="L1295" s="414"/>
      <c r="M1295" s="414"/>
      <c r="N1295" s="416"/>
      <c r="O1295" s="416"/>
      <c r="P1295" s="415"/>
      <c r="Q1295" s="415"/>
      <c r="R1295" s="417"/>
      <c r="S1295" s="419"/>
      <c r="T1295" s="418"/>
      <c r="U1295" s="419"/>
      <c r="V1295" s="419"/>
      <c r="W1295" s="420"/>
      <c r="X1295" s="420"/>
      <c r="Y1295" s="420"/>
      <c r="Z1295" s="3"/>
      <c r="AA1295" s="7"/>
      <c r="AB1295" s="7"/>
      <c r="AC1295" s="7"/>
      <c r="AD1295" s="7"/>
      <c r="AE1295" s="7"/>
    </row>
    <row r="1296" spans="1:31" ht="27" customHeight="1">
      <c r="A1296" s="414"/>
      <c r="B1296" s="414"/>
      <c r="C1296" s="415"/>
      <c r="D1296" s="415"/>
      <c r="E1296" s="415"/>
      <c r="F1296" s="415"/>
      <c r="G1296" s="416"/>
      <c r="H1296" s="415"/>
      <c r="I1296" s="416"/>
      <c r="J1296" s="414"/>
      <c r="K1296" s="414"/>
      <c r="L1296" s="414"/>
      <c r="M1296" s="414"/>
      <c r="N1296" s="416"/>
      <c r="O1296" s="416"/>
      <c r="P1296" s="415"/>
      <c r="Q1296" s="415"/>
      <c r="R1296" s="417"/>
      <c r="S1296" s="419"/>
      <c r="T1296" s="418"/>
      <c r="U1296" s="419"/>
      <c r="V1296" s="419"/>
      <c r="W1296" s="420"/>
      <c r="X1296" s="420"/>
      <c r="Y1296" s="420"/>
      <c r="Z1296" s="3"/>
      <c r="AA1296" s="7"/>
      <c r="AB1296" s="7"/>
      <c r="AC1296" s="7"/>
      <c r="AD1296" s="7"/>
      <c r="AE1296" s="7"/>
    </row>
    <row r="1297" spans="1:31" ht="27" customHeight="1">
      <c r="A1297" s="414"/>
      <c r="B1297" s="414"/>
      <c r="C1297" s="415"/>
      <c r="D1297" s="415"/>
      <c r="E1297" s="415"/>
      <c r="F1297" s="415"/>
      <c r="G1297" s="416"/>
      <c r="H1297" s="415"/>
      <c r="I1297" s="416"/>
      <c r="J1297" s="414"/>
      <c r="K1297" s="414"/>
      <c r="L1297" s="414"/>
      <c r="M1297" s="414"/>
      <c r="N1297" s="416"/>
      <c r="O1297" s="416"/>
      <c r="P1297" s="415"/>
      <c r="Q1297" s="415"/>
      <c r="R1297" s="417"/>
      <c r="S1297" s="419"/>
      <c r="T1297" s="418"/>
      <c r="U1297" s="419"/>
      <c r="V1297" s="419"/>
      <c r="W1297" s="420"/>
      <c r="X1297" s="420"/>
      <c r="Y1297" s="420"/>
      <c r="Z1297" s="3"/>
      <c r="AA1297" s="7"/>
      <c r="AB1297" s="7"/>
      <c r="AC1297" s="7"/>
      <c r="AD1297" s="7"/>
      <c r="AE1297" s="7"/>
    </row>
    <row r="1298" spans="1:31" ht="27" customHeight="1">
      <c r="A1298" s="414"/>
      <c r="B1298" s="414"/>
      <c r="C1298" s="415"/>
      <c r="D1298" s="415"/>
      <c r="E1298" s="415"/>
      <c r="F1298" s="415"/>
      <c r="G1298" s="416"/>
      <c r="H1298" s="415"/>
      <c r="I1298" s="416"/>
      <c r="J1298" s="414"/>
      <c r="K1298" s="414"/>
      <c r="L1298" s="414"/>
      <c r="M1298" s="414"/>
      <c r="N1298" s="416"/>
      <c r="O1298" s="416"/>
      <c r="P1298" s="415"/>
      <c r="Q1298" s="415"/>
      <c r="R1298" s="417"/>
      <c r="S1298" s="419"/>
      <c r="T1298" s="418"/>
      <c r="U1298" s="419"/>
      <c r="V1298" s="419"/>
      <c r="W1298" s="420"/>
      <c r="X1298" s="420"/>
      <c r="Y1298" s="420"/>
      <c r="Z1298" s="3"/>
      <c r="AA1298" s="7"/>
      <c r="AB1298" s="7"/>
      <c r="AC1298" s="7"/>
      <c r="AD1298" s="7"/>
      <c r="AE1298" s="7"/>
    </row>
    <row r="1299" spans="1:31" ht="27" customHeight="1">
      <c r="A1299" s="414"/>
      <c r="B1299" s="414"/>
      <c r="C1299" s="415"/>
      <c r="D1299" s="415"/>
      <c r="E1299" s="415"/>
      <c r="F1299" s="415"/>
      <c r="G1299" s="416"/>
      <c r="H1299" s="415"/>
      <c r="I1299" s="416"/>
      <c r="J1299" s="414"/>
      <c r="K1299" s="414"/>
      <c r="L1299" s="414"/>
      <c r="M1299" s="414"/>
      <c r="N1299" s="416"/>
      <c r="O1299" s="416"/>
      <c r="P1299" s="415"/>
      <c r="Q1299" s="415"/>
      <c r="R1299" s="417"/>
      <c r="S1299" s="419"/>
      <c r="T1299" s="418"/>
      <c r="U1299" s="419"/>
      <c r="V1299" s="419"/>
      <c r="W1299" s="420"/>
      <c r="X1299" s="420"/>
      <c r="Y1299" s="420"/>
      <c r="Z1299" s="3"/>
      <c r="AA1299" s="7"/>
      <c r="AB1299" s="7"/>
      <c r="AC1299" s="7"/>
      <c r="AD1299" s="7"/>
      <c r="AE1299" s="7"/>
    </row>
    <row r="1300" spans="1:31" ht="27" customHeight="1">
      <c r="A1300" s="414"/>
      <c r="B1300" s="414"/>
      <c r="C1300" s="415"/>
      <c r="D1300" s="415"/>
      <c r="E1300" s="415"/>
      <c r="F1300" s="415"/>
      <c r="G1300" s="416"/>
      <c r="H1300" s="415"/>
      <c r="I1300" s="416"/>
      <c r="J1300" s="414"/>
      <c r="K1300" s="414"/>
      <c r="L1300" s="414"/>
      <c r="M1300" s="414"/>
      <c r="N1300" s="416"/>
      <c r="O1300" s="416"/>
      <c r="P1300" s="415"/>
      <c r="Q1300" s="415"/>
      <c r="R1300" s="417"/>
      <c r="S1300" s="419"/>
      <c r="T1300" s="418"/>
      <c r="U1300" s="419"/>
      <c r="V1300" s="419"/>
      <c r="W1300" s="420"/>
      <c r="X1300" s="420"/>
      <c r="Y1300" s="420"/>
      <c r="Z1300" s="3"/>
      <c r="AA1300" s="7"/>
      <c r="AB1300" s="7"/>
      <c r="AC1300" s="7"/>
      <c r="AD1300" s="7"/>
      <c r="AE1300" s="7"/>
    </row>
    <row r="1301" spans="1:31" ht="27" customHeight="1">
      <c r="A1301" s="414"/>
      <c r="B1301" s="414"/>
      <c r="C1301" s="415"/>
      <c r="D1301" s="415"/>
      <c r="E1301" s="415"/>
      <c r="F1301" s="415"/>
      <c r="G1301" s="416"/>
      <c r="H1301" s="415"/>
      <c r="I1301" s="416"/>
      <c r="J1301" s="414"/>
      <c r="K1301" s="414"/>
      <c r="L1301" s="414"/>
      <c r="M1301" s="414"/>
      <c r="N1301" s="416"/>
      <c r="O1301" s="416"/>
      <c r="P1301" s="415"/>
      <c r="Q1301" s="415"/>
      <c r="R1301" s="417"/>
      <c r="S1301" s="419"/>
      <c r="T1301" s="418"/>
      <c r="U1301" s="419"/>
      <c r="V1301" s="419"/>
      <c r="W1301" s="420"/>
      <c r="X1301" s="420"/>
      <c r="Y1301" s="420"/>
      <c r="Z1301" s="3"/>
      <c r="AA1301" s="7"/>
      <c r="AB1301" s="7"/>
      <c r="AC1301" s="7"/>
      <c r="AD1301" s="7"/>
      <c r="AE1301" s="7"/>
    </row>
    <row r="1302" spans="1:31" ht="27" customHeight="1">
      <c r="A1302" s="414"/>
      <c r="B1302" s="414"/>
      <c r="C1302" s="415"/>
      <c r="D1302" s="415"/>
      <c r="E1302" s="415"/>
      <c r="F1302" s="415"/>
      <c r="G1302" s="416"/>
      <c r="H1302" s="415"/>
      <c r="I1302" s="416"/>
      <c r="J1302" s="414"/>
      <c r="K1302" s="414"/>
      <c r="L1302" s="414"/>
      <c r="M1302" s="414"/>
      <c r="N1302" s="416"/>
      <c r="O1302" s="416"/>
      <c r="P1302" s="415"/>
      <c r="Q1302" s="415"/>
      <c r="R1302" s="417"/>
      <c r="S1302" s="419"/>
      <c r="T1302" s="418"/>
      <c r="U1302" s="419"/>
      <c r="V1302" s="419"/>
      <c r="W1302" s="420"/>
      <c r="X1302" s="420"/>
      <c r="Y1302" s="420"/>
      <c r="Z1302" s="3"/>
      <c r="AA1302" s="7"/>
      <c r="AB1302" s="7"/>
      <c r="AC1302" s="7"/>
      <c r="AD1302" s="7"/>
      <c r="AE1302" s="7"/>
    </row>
    <row r="1303" spans="1:31" ht="27" customHeight="1">
      <c r="A1303" s="414"/>
      <c r="B1303" s="414"/>
      <c r="C1303" s="415"/>
      <c r="D1303" s="415"/>
      <c r="E1303" s="415"/>
      <c r="F1303" s="415"/>
      <c r="G1303" s="416"/>
      <c r="H1303" s="415"/>
      <c r="I1303" s="416"/>
      <c r="J1303" s="414"/>
      <c r="K1303" s="414"/>
      <c r="L1303" s="414"/>
      <c r="M1303" s="414"/>
      <c r="N1303" s="416"/>
      <c r="O1303" s="416"/>
      <c r="P1303" s="415"/>
      <c r="Q1303" s="415"/>
      <c r="R1303" s="417"/>
      <c r="S1303" s="419"/>
      <c r="T1303" s="418"/>
      <c r="U1303" s="419"/>
      <c r="V1303" s="419"/>
      <c r="W1303" s="420"/>
      <c r="X1303" s="420"/>
      <c r="Y1303" s="420"/>
      <c r="Z1303" s="3"/>
      <c r="AA1303" s="7"/>
      <c r="AB1303" s="7"/>
      <c r="AC1303" s="7"/>
      <c r="AD1303" s="7"/>
      <c r="AE1303" s="7"/>
    </row>
    <row r="1304" spans="1:31" ht="27" customHeight="1">
      <c r="A1304" s="414"/>
      <c r="B1304" s="414"/>
      <c r="C1304" s="415"/>
      <c r="D1304" s="415"/>
      <c r="E1304" s="415"/>
      <c r="F1304" s="415"/>
      <c r="G1304" s="416"/>
      <c r="H1304" s="415"/>
      <c r="I1304" s="416"/>
      <c r="J1304" s="414"/>
      <c r="K1304" s="414"/>
      <c r="L1304" s="414"/>
      <c r="M1304" s="414"/>
      <c r="N1304" s="416"/>
      <c r="O1304" s="416"/>
      <c r="P1304" s="415"/>
      <c r="Q1304" s="415"/>
      <c r="R1304" s="417"/>
      <c r="S1304" s="419"/>
      <c r="T1304" s="418"/>
      <c r="U1304" s="419"/>
      <c r="V1304" s="419"/>
      <c r="W1304" s="420"/>
      <c r="X1304" s="420"/>
      <c r="Y1304" s="420"/>
      <c r="Z1304" s="3"/>
      <c r="AA1304" s="7"/>
      <c r="AB1304" s="7"/>
      <c r="AC1304" s="7"/>
      <c r="AD1304" s="7"/>
      <c r="AE1304" s="7"/>
    </row>
    <row r="1305" spans="1:31" ht="27" customHeight="1">
      <c r="A1305" s="414"/>
      <c r="B1305" s="414"/>
      <c r="C1305" s="415"/>
      <c r="D1305" s="415"/>
      <c r="E1305" s="415"/>
      <c r="F1305" s="415"/>
      <c r="G1305" s="416"/>
      <c r="H1305" s="415"/>
      <c r="I1305" s="416"/>
      <c r="J1305" s="414"/>
      <c r="K1305" s="414"/>
      <c r="L1305" s="414"/>
      <c r="M1305" s="414"/>
      <c r="N1305" s="416"/>
      <c r="O1305" s="416"/>
      <c r="P1305" s="415"/>
      <c r="Q1305" s="415"/>
      <c r="R1305" s="417"/>
      <c r="S1305" s="419"/>
      <c r="T1305" s="418"/>
      <c r="U1305" s="419"/>
      <c r="V1305" s="419"/>
      <c r="W1305" s="420"/>
      <c r="X1305" s="420"/>
      <c r="Y1305" s="420"/>
      <c r="Z1305" s="3"/>
      <c r="AA1305" s="7"/>
      <c r="AB1305" s="7"/>
      <c r="AC1305" s="7"/>
      <c r="AD1305" s="7"/>
      <c r="AE1305" s="7"/>
    </row>
    <row r="1306" spans="1:31" ht="27" customHeight="1">
      <c r="A1306" s="414"/>
      <c r="B1306" s="414"/>
      <c r="C1306" s="415"/>
      <c r="D1306" s="415"/>
      <c r="E1306" s="415"/>
      <c r="F1306" s="415"/>
      <c r="G1306" s="416"/>
      <c r="H1306" s="415"/>
      <c r="I1306" s="416"/>
      <c r="J1306" s="414"/>
      <c r="K1306" s="414"/>
      <c r="L1306" s="414"/>
      <c r="M1306" s="414"/>
      <c r="N1306" s="416"/>
      <c r="O1306" s="416"/>
      <c r="P1306" s="415"/>
      <c r="Q1306" s="415"/>
      <c r="R1306" s="417"/>
      <c r="S1306" s="419"/>
      <c r="T1306" s="418"/>
      <c r="U1306" s="419"/>
      <c r="V1306" s="419"/>
      <c r="W1306" s="420"/>
      <c r="X1306" s="420"/>
      <c r="Y1306" s="420"/>
      <c r="Z1306" s="3"/>
      <c r="AA1306" s="7"/>
      <c r="AB1306" s="7"/>
      <c r="AC1306" s="7"/>
      <c r="AD1306" s="7"/>
      <c r="AE1306" s="7"/>
    </row>
  </sheetData>
  <sheetProtection formatCells="0" formatColumns="0" formatRows="0" insertColumns="0" insertRows="0" insertHyperlinks="0" deleteColumns="0" deleteRows="0" sort="0" autoFilter="0" pivotTables="0"/>
  <autoFilter ref="A4:AE1070" xr:uid="{00000000-0001-0000-0100-000000000000}">
    <filterColumn colId="7">
      <filters>
        <filter val="AV TULIO DE ROSE 500"/>
      </filters>
    </filterColumn>
  </autoFilter>
  <mergeCells count="4">
    <mergeCell ref="F2:H3"/>
    <mergeCell ref="L2:M3"/>
    <mergeCell ref="T2:X3"/>
    <mergeCell ref="Z2:AE3"/>
  </mergeCells>
  <phoneticPr fontId="57" type="noConversion"/>
  <conditionalFormatting sqref="H1:H990 H1021:H1048576">
    <cfRule type="duplicateValues" dxfId="4" priority="6"/>
  </conditionalFormatting>
  <conditionalFormatting sqref="AC1:AE1 AC4:AE1048576">
    <cfRule type="containsText" dxfId="3" priority="3" operator="containsText" text="CANCELADO">
      <formula>NOT(ISERROR(SEARCH("CANCELADO",AC1)))</formula>
    </cfRule>
  </conditionalFormatting>
  <conditionalFormatting sqref="AD1 AD4:AD1048576">
    <cfRule type="containsText" dxfId="2" priority="1" operator="containsText" text="ATRASADO">
      <formula>NOT(ISERROR(SEARCH("ATRASADO",AD1)))</formula>
    </cfRule>
    <cfRule type="containsText" dxfId="1" priority="2" operator="containsText" text="NO PRAZO">
      <formula>NOT(ISERROR(SEARCH("NO PRAZO",AD1)))</formula>
    </cfRule>
  </conditionalFormatting>
  <printOptions gridLinesSet="0"/>
  <pageMargins left="0.51181102362204722" right="0.51181102362204722" top="0.78740157480314954" bottom="0.78740157480314954" header="0.5" footer="0.5"/>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3FE6-5623-478C-8086-B58EDB3F6B5D}">
  <dimension ref="A2:J16"/>
  <sheetViews>
    <sheetView showGridLines="0" workbookViewId="0">
      <selection activeCell="I19" sqref="I19"/>
    </sheetView>
  </sheetViews>
  <sheetFormatPr defaultRowHeight="14.4"/>
  <cols>
    <col min="1" max="1" width="17.44140625" bestFit="1" customWidth="1"/>
    <col min="2" max="2" width="19" style="253" bestFit="1" customWidth="1"/>
    <col min="3" max="3" width="10" style="253" bestFit="1" customWidth="1"/>
    <col min="4" max="5" width="10.44140625" bestFit="1" customWidth="1"/>
    <col min="6" max="6" width="17.44140625" bestFit="1" customWidth="1"/>
    <col min="7" max="7" width="16.21875" bestFit="1" customWidth="1"/>
    <col min="8" max="8" width="5.44140625" customWidth="1"/>
    <col min="9" max="9" width="17.44140625" bestFit="1" customWidth="1"/>
    <col min="10" max="10" width="16.21875" bestFit="1" customWidth="1"/>
  </cols>
  <sheetData>
    <row r="2" spans="1:10">
      <c r="F2" s="522" t="s">
        <v>8049</v>
      </c>
      <c r="I2" s="522" t="s">
        <v>8050</v>
      </c>
    </row>
    <row r="3" spans="1:10">
      <c r="A3" s="518" t="s">
        <v>8042</v>
      </c>
      <c r="B3" s="518" t="s">
        <v>8043</v>
      </c>
      <c r="C3"/>
      <c r="F3" s="518" t="s">
        <v>8038</v>
      </c>
      <c r="G3" t="s">
        <v>8042</v>
      </c>
      <c r="I3" s="518" t="s">
        <v>8038</v>
      </c>
      <c r="J3" t="s">
        <v>8042</v>
      </c>
    </row>
    <row r="4" spans="1:10">
      <c r="A4" s="518" t="s">
        <v>8038</v>
      </c>
      <c r="B4" t="s">
        <v>8040</v>
      </c>
      <c r="C4" t="s">
        <v>8041</v>
      </c>
      <c r="D4" t="s">
        <v>8039</v>
      </c>
      <c r="F4" s="519" t="s">
        <v>8046</v>
      </c>
      <c r="G4" s="253">
        <v>1000</v>
      </c>
      <c r="I4" s="519" t="s">
        <v>8047</v>
      </c>
      <c r="J4" s="253">
        <v>4</v>
      </c>
    </row>
    <row r="5" spans="1:10">
      <c r="A5" s="519" t="s">
        <v>2493</v>
      </c>
      <c r="B5" s="253">
        <v>526</v>
      </c>
      <c r="C5" s="253">
        <v>501</v>
      </c>
      <c r="D5" s="253">
        <v>1027</v>
      </c>
      <c r="F5" s="519" t="s">
        <v>8047</v>
      </c>
      <c r="G5" s="253">
        <v>29</v>
      </c>
      <c r="I5" s="519" t="s">
        <v>8051</v>
      </c>
      <c r="J5" s="253">
        <v>29</v>
      </c>
    </row>
    <row r="6" spans="1:10">
      <c r="A6" s="519" t="s">
        <v>2427</v>
      </c>
      <c r="B6" s="253">
        <v>16</v>
      </c>
      <c r="D6" s="253">
        <v>16</v>
      </c>
      <c r="F6" s="519" t="s">
        <v>2427</v>
      </c>
      <c r="G6" s="253">
        <v>16</v>
      </c>
      <c r="I6" s="519" t="s">
        <v>8522</v>
      </c>
      <c r="J6" s="253">
        <v>996</v>
      </c>
    </row>
    <row r="7" spans="1:10">
      <c r="A7" s="519" t="s">
        <v>5879</v>
      </c>
      <c r="B7" s="253">
        <v>1</v>
      </c>
      <c r="D7" s="253">
        <v>1</v>
      </c>
      <c r="F7" s="519" t="s">
        <v>8039</v>
      </c>
      <c r="G7" s="253">
        <v>1045</v>
      </c>
      <c r="I7" s="519" t="s">
        <v>2427</v>
      </c>
      <c r="J7" s="253">
        <v>16</v>
      </c>
    </row>
    <row r="8" spans="1:10">
      <c r="A8" s="519" t="s">
        <v>4742</v>
      </c>
      <c r="C8" s="253">
        <v>1</v>
      </c>
      <c r="D8" s="253">
        <v>1</v>
      </c>
      <c r="I8" s="519" t="s">
        <v>8039</v>
      </c>
      <c r="J8" s="253">
        <v>1045</v>
      </c>
    </row>
    <row r="9" spans="1:10">
      <c r="A9" s="519" t="s">
        <v>8039</v>
      </c>
      <c r="B9" s="253">
        <v>543</v>
      </c>
      <c r="C9" s="253">
        <v>502</v>
      </c>
      <c r="D9" s="253">
        <v>1045</v>
      </c>
    </row>
    <row r="10" spans="1:10">
      <c r="B10"/>
      <c r="C10"/>
    </row>
    <row r="11" spans="1:10">
      <c r="B11"/>
      <c r="C11"/>
    </row>
    <row r="12" spans="1:10">
      <c r="B12"/>
      <c r="C12"/>
    </row>
    <row r="13" spans="1:10">
      <c r="B13"/>
      <c r="C13"/>
    </row>
    <row r="14" spans="1:10">
      <c r="B14"/>
      <c r="C14"/>
    </row>
    <row r="15" spans="1:10">
      <c r="B15"/>
      <c r="C15"/>
    </row>
    <row r="16" spans="1:10">
      <c r="B16"/>
      <c r="C16"/>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zoomScale="80" zoomScaleNormal="80" workbookViewId="0">
      <selection activeCell="E16" sqref="E16"/>
    </sheetView>
  </sheetViews>
  <sheetFormatPr defaultColWidth="14.44140625" defaultRowHeight="15" customHeight="1"/>
  <cols>
    <col min="1" max="1" width="3.109375" customWidth="1"/>
    <col min="2" max="2" width="18" customWidth="1"/>
    <col min="3" max="3" width="21.6640625" customWidth="1"/>
    <col min="4" max="4" width="26.33203125" customWidth="1"/>
    <col min="5" max="5" width="56.5546875" customWidth="1"/>
    <col min="6" max="6" width="56.88671875" customWidth="1"/>
    <col min="7" max="7" width="14.88671875" customWidth="1"/>
    <col min="8" max="8" width="29.44140625" customWidth="1"/>
    <col min="9" max="9" width="21.109375" customWidth="1"/>
    <col min="10" max="11" width="25" customWidth="1"/>
    <col min="12" max="12" width="29.33203125" customWidth="1"/>
    <col min="13" max="13" width="20.6640625" customWidth="1"/>
    <col min="14" max="14" width="81.33203125" customWidth="1"/>
    <col min="15" max="15" width="18.6640625" customWidth="1"/>
    <col min="16" max="16" width="33.44140625" customWidth="1"/>
    <col min="17" max="17" width="18.33203125" customWidth="1"/>
    <col min="18" max="18" width="17.88671875" customWidth="1"/>
    <col min="19" max="19" width="27" customWidth="1"/>
    <col min="20" max="20" width="3" customWidth="1"/>
    <col min="21" max="26" width="9.109375" customWidth="1"/>
  </cols>
  <sheetData>
    <row r="1" spans="1:26" ht="27" customHeight="1">
      <c r="A1" s="1"/>
      <c r="B1" s="1"/>
      <c r="C1" s="2"/>
      <c r="D1" s="87"/>
      <c r="E1" s="87"/>
      <c r="F1" s="87"/>
      <c r="G1" s="1"/>
      <c r="H1" s="1"/>
      <c r="I1" s="1"/>
      <c r="J1" s="1"/>
      <c r="K1" s="1"/>
      <c r="L1" s="87"/>
      <c r="M1" s="87"/>
      <c r="N1" s="4"/>
      <c r="O1" s="1"/>
      <c r="P1" s="5"/>
      <c r="Q1" s="3"/>
      <c r="R1" s="3"/>
      <c r="S1" s="7"/>
      <c r="T1" s="1"/>
      <c r="U1" s="1"/>
      <c r="V1" s="1"/>
      <c r="W1" s="1"/>
      <c r="X1" s="1"/>
      <c r="Y1" s="1"/>
      <c r="Z1" s="1"/>
    </row>
    <row r="2" spans="1:26" ht="27" customHeight="1">
      <c r="A2" s="1"/>
      <c r="B2" s="1"/>
      <c r="C2" s="18"/>
      <c r="D2" s="744" t="s">
        <v>6420</v>
      </c>
      <c r="E2" s="724"/>
      <c r="F2" s="724"/>
      <c r="G2" s="9"/>
      <c r="H2" s="9"/>
      <c r="I2" s="4"/>
      <c r="J2" s="725" t="s">
        <v>2471</v>
      </c>
      <c r="K2" s="729"/>
      <c r="L2" s="87"/>
      <c r="M2" s="87"/>
      <c r="N2" s="19"/>
      <c r="O2" s="1"/>
      <c r="P2" s="731" t="s">
        <v>2472</v>
      </c>
      <c r="Q2" s="729"/>
      <c r="R2" s="729"/>
      <c r="S2" s="726"/>
      <c r="T2" s="1"/>
      <c r="U2" s="1"/>
      <c r="V2" s="1"/>
      <c r="W2" s="1"/>
      <c r="X2" s="1"/>
      <c r="Y2" s="1"/>
      <c r="Z2" s="1"/>
    </row>
    <row r="3" spans="1:26" ht="24.75" customHeight="1">
      <c r="A3" s="1"/>
      <c r="B3" s="1"/>
      <c r="C3" s="21"/>
      <c r="D3" s="730"/>
      <c r="E3" s="730"/>
      <c r="F3" s="730"/>
      <c r="G3" s="20"/>
      <c r="H3" s="9"/>
      <c r="I3" s="4"/>
      <c r="J3" s="727"/>
      <c r="K3" s="730"/>
      <c r="L3" s="87"/>
      <c r="M3" s="87"/>
      <c r="N3" s="19"/>
      <c r="O3" s="1"/>
      <c r="P3" s="727"/>
      <c r="Q3" s="730"/>
      <c r="R3" s="730"/>
      <c r="S3" s="728"/>
      <c r="T3" s="1"/>
      <c r="U3" s="1"/>
      <c r="V3" s="1"/>
      <c r="W3" s="1"/>
      <c r="X3" s="1"/>
      <c r="Y3" s="1"/>
      <c r="Z3" s="1"/>
    </row>
    <row r="4" spans="1:26" ht="45" customHeight="1">
      <c r="A4" s="4"/>
      <c r="B4" s="22" t="s">
        <v>4</v>
      </c>
      <c r="C4" s="22" t="s">
        <v>2475</v>
      </c>
      <c r="D4" s="22" t="s">
        <v>10</v>
      </c>
      <c r="E4" s="22" t="s">
        <v>6421</v>
      </c>
      <c r="F4" s="22" t="s">
        <v>2477</v>
      </c>
      <c r="G4" s="22" t="s">
        <v>13</v>
      </c>
      <c r="H4" s="22" t="s">
        <v>2479</v>
      </c>
      <c r="I4" s="22" t="s">
        <v>1</v>
      </c>
      <c r="J4" s="22" t="s">
        <v>25</v>
      </c>
      <c r="K4" s="22" t="s">
        <v>26</v>
      </c>
      <c r="L4" s="22" t="s">
        <v>2479</v>
      </c>
      <c r="M4" s="22" t="s">
        <v>2480</v>
      </c>
      <c r="N4" s="22" t="s">
        <v>2483</v>
      </c>
      <c r="O4" s="22" t="s">
        <v>29</v>
      </c>
      <c r="P4" s="24" t="s">
        <v>2484</v>
      </c>
      <c r="Q4" s="23" t="s">
        <v>32</v>
      </c>
      <c r="R4" s="23" t="s">
        <v>33</v>
      </c>
      <c r="S4" s="23" t="s">
        <v>34</v>
      </c>
      <c r="T4" s="4"/>
      <c r="U4" s="4"/>
      <c r="V4" s="4"/>
      <c r="W4" s="4"/>
      <c r="X4" s="4"/>
      <c r="Y4" s="4"/>
      <c r="Z4" s="4"/>
    </row>
    <row r="5" spans="1:26" ht="36" customHeight="1">
      <c r="A5" s="1"/>
      <c r="B5" s="55" t="s">
        <v>6422</v>
      </c>
      <c r="C5" s="55" t="s">
        <v>671</v>
      </c>
      <c r="D5" s="56" t="s">
        <v>42</v>
      </c>
      <c r="E5" s="115" t="s">
        <v>6423</v>
      </c>
      <c r="F5" s="115" t="s">
        <v>6424</v>
      </c>
      <c r="G5" s="116">
        <v>45352</v>
      </c>
      <c r="H5" s="116" t="s">
        <v>6425</v>
      </c>
      <c r="I5" s="55">
        <v>721</v>
      </c>
      <c r="J5" s="43" t="s">
        <v>6426</v>
      </c>
      <c r="K5" s="43" t="s">
        <v>3637</v>
      </c>
      <c r="L5" s="56" t="s">
        <v>6427</v>
      </c>
      <c r="M5" s="117"/>
      <c r="N5" s="60" t="s">
        <v>6428</v>
      </c>
      <c r="O5" s="44">
        <v>45468</v>
      </c>
      <c r="P5" s="45">
        <v>45370</v>
      </c>
      <c r="Q5" s="45"/>
      <c r="R5" s="47"/>
      <c r="S5" s="47">
        <v>45392</v>
      </c>
      <c r="T5" s="1"/>
      <c r="U5" s="1"/>
      <c r="V5" s="1"/>
      <c r="W5" s="1"/>
      <c r="X5" s="1"/>
      <c r="Y5" s="1"/>
      <c r="Z5" s="1"/>
    </row>
    <row r="6" spans="1:26" ht="36" customHeight="1">
      <c r="A6" s="1"/>
      <c r="B6" s="55" t="s">
        <v>6429</v>
      </c>
      <c r="C6" s="55" t="s">
        <v>224</v>
      </c>
      <c r="D6" s="56" t="s">
        <v>42</v>
      </c>
      <c r="E6" s="115" t="s">
        <v>6430</v>
      </c>
      <c r="F6" s="118" t="s">
        <v>6431</v>
      </c>
      <c r="G6" s="116">
        <v>45352</v>
      </c>
      <c r="H6" s="116" t="s">
        <v>6425</v>
      </c>
      <c r="I6" s="55">
        <v>498</v>
      </c>
      <c r="J6" s="43" t="s">
        <v>6426</v>
      </c>
      <c r="K6" s="43" t="s">
        <v>3637</v>
      </c>
      <c r="L6" s="56" t="s">
        <v>6432</v>
      </c>
      <c r="M6" s="117"/>
      <c r="N6" s="60" t="s">
        <v>6433</v>
      </c>
      <c r="O6" s="44">
        <v>45468</v>
      </c>
      <c r="P6" s="45">
        <v>45370</v>
      </c>
      <c r="Q6" s="45"/>
      <c r="R6" s="47"/>
      <c r="S6" s="47">
        <v>45410</v>
      </c>
      <c r="T6" s="1"/>
      <c r="U6" s="1"/>
      <c r="V6" s="1"/>
      <c r="W6" s="1"/>
      <c r="X6" s="1"/>
      <c r="Y6" s="1"/>
      <c r="Z6" s="1"/>
    </row>
    <row r="7" spans="1:26" ht="36" customHeight="1">
      <c r="A7" s="1"/>
      <c r="B7" s="55" t="s">
        <v>6434</v>
      </c>
      <c r="C7" s="55" t="s">
        <v>337</v>
      </c>
      <c r="D7" s="56" t="s">
        <v>42</v>
      </c>
      <c r="E7" s="115" t="s">
        <v>6435</v>
      </c>
      <c r="F7" s="115" t="s">
        <v>6436</v>
      </c>
      <c r="G7" s="116">
        <v>45352</v>
      </c>
      <c r="H7" s="116" t="s">
        <v>6425</v>
      </c>
      <c r="I7" s="55">
        <v>368</v>
      </c>
      <c r="J7" s="43" t="s">
        <v>6426</v>
      </c>
      <c r="K7" s="43" t="s">
        <v>1570</v>
      </c>
      <c r="L7" s="56" t="s">
        <v>6437</v>
      </c>
      <c r="M7" s="117"/>
      <c r="N7" s="60" t="s">
        <v>6438</v>
      </c>
      <c r="O7" s="44">
        <v>45468</v>
      </c>
      <c r="P7" s="45">
        <v>45370</v>
      </c>
      <c r="Q7" s="45"/>
      <c r="R7" s="47"/>
      <c r="S7" s="47">
        <v>45451</v>
      </c>
      <c r="T7" s="1"/>
      <c r="U7" s="1"/>
      <c r="V7" s="1"/>
      <c r="W7" s="1"/>
      <c r="X7" s="1"/>
      <c r="Y7" s="1"/>
      <c r="Z7" s="1"/>
    </row>
    <row r="8" spans="1:26" ht="36" customHeight="1">
      <c r="A8" s="1"/>
      <c r="B8" s="55" t="s">
        <v>6439</v>
      </c>
      <c r="C8" s="55" t="s">
        <v>411</v>
      </c>
      <c r="D8" s="56" t="s">
        <v>42</v>
      </c>
      <c r="E8" s="115" t="s">
        <v>6440</v>
      </c>
      <c r="F8" s="115" t="s">
        <v>6441</v>
      </c>
      <c r="G8" s="116">
        <v>45352</v>
      </c>
      <c r="H8" s="116" t="s">
        <v>6425</v>
      </c>
      <c r="I8" s="55">
        <v>242</v>
      </c>
      <c r="J8" s="43" t="s">
        <v>6426</v>
      </c>
      <c r="K8" s="43" t="s">
        <v>1570</v>
      </c>
      <c r="L8" s="56" t="s">
        <v>6437</v>
      </c>
      <c r="M8" s="117"/>
      <c r="N8" s="60" t="s">
        <v>6442</v>
      </c>
      <c r="O8" s="44">
        <v>45468</v>
      </c>
      <c r="P8" s="45">
        <v>45370</v>
      </c>
      <c r="Q8" s="45"/>
      <c r="R8" s="47"/>
      <c r="S8" s="47">
        <v>45451</v>
      </c>
      <c r="T8" s="1"/>
      <c r="U8" s="1"/>
      <c r="V8" s="1"/>
      <c r="W8" s="1"/>
      <c r="X8" s="1"/>
      <c r="Y8" s="1"/>
      <c r="Z8" s="1"/>
    </row>
    <row r="9" spans="1:26" ht="36" customHeight="1">
      <c r="A9" s="1"/>
      <c r="B9" s="55" t="s">
        <v>6443</v>
      </c>
      <c r="C9" s="55" t="s">
        <v>224</v>
      </c>
      <c r="D9" s="56" t="s">
        <v>42</v>
      </c>
      <c r="E9" s="115" t="s">
        <v>6444</v>
      </c>
      <c r="F9" s="115" t="s">
        <v>6445</v>
      </c>
      <c r="G9" s="116">
        <v>45352</v>
      </c>
      <c r="H9" s="116" t="s">
        <v>6425</v>
      </c>
      <c r="I9" s="55"/>
      <c r="J9" s="43"/>
      <c r="K9" s="43"/>
      <c r="L9" s="56" t="s">
        <v>6446</v>
      </c>
      <c r="M9" s="117"/>
      <c r="N9" s="60" t="s">
        <v>6433</v>
      </c>
      <c r="O9" s="61"/>
      <c r="P9" s="45">
        <v>45370</v>
      </c>
      <c r="Q9" s="45"/>
      <c r="R9" s="47"/>
      <c r="S9" s="47"/>
      <c r="T9" s="1"/>
      <c r="U9" s="1"/>
      <c r="V9" s="1"/>
      <c r="W9" s="1"/>
      <c r="X9" s="1"/>
      <c r="Y9" s="1"/>
      <c r="Z9" s="1"/>
    </row>
    <row r="10" spans="1:26" ht="36" customHeight="1">
      <c r="A10" s="1"/>
      <c r="B10" s="55" t="s">
        <v>6447</v>
      </c>
      <c r="C10" s="55" t="s">
        <v>143</v>
      </c>
      <c r="D10" s="56" t="s">
        <v>42</v>
      </c>
      <c r="E10" s="115" t="s">
        <v>6448</v>
      </c>
      <c r="F10" s="115" t="s">
        <v>6449</v>
      </c>
      <c r="G10" s="116">
        <v>45352</v>
      </c>
      <c r="H10" s="116" t="s">
        <v>6425</v>
      </c>
      <c r="I10" s="55" t="s">
        <v>6450</v>
      </c>
      <c r="J10" s="43" t="s">
        <v>6451</v>
      </c>
      <c r="K10" s="43" t="s">
        <v>132</v>
      </c>
      <c r="L10" s="56" t="s">
        <v>6452</v>
      </c>
      <c r="M10" s="117"/>
      <c r="N10" s="60" t="s">
        <v>6453</v>
      </c>
      <c r="O10" s="44">
        <v>45468</v>
      </c>
      <c r="P10" s="45">
        <v>45370</v>
      </c>
      <c r="Q10" s="45"/>
      <c r="R10" s="47"/>
      <c r="S10" s="47">
        <v>45453</v>
      </c>
      <c r="T10" s="1"/>
      <c r="U10" s="1"/>
      <c r="V10" s="1"/>
      <c r="W10" s="1"/>
      <c r="X10" s="1"/>
      <c r="Y10" s="1"/>
      <c r="Z10" s="1"/>
    </row>
    <row r="11" spans="1:26" ht="36" customHeight="1">
      <c r="A11" s="1"/>
      <c r="B11" s="55" t="s">
        <v>6454</v>
      </c>
      <c r="C11" s="55" t="s">
        <v>71</v>
      </c>
      <c r="D11" s="56" t="s">
        <v>42</v>
      </c>
      <c r="E11" s="115" t="s">
        <v>6455</v>
      </c>
      <c r="F11" s="115" t="s">
        <v>6456</v>
      </c>
      <c r="G11" s="116">
        <v>45352</v>
      </c>
      <c r="H11" s="116" t="s">
        <v>6425</v>
      </c>
      <c r="I11" s="55" t="s">
        <v>6457</v>
      </c>
      <c r="J11" s="43" t="s">
        <v>6458</v>
      </c>
      <c r="K11" s="43" t="s">
        <v>132</v>
      </c>
      <c r="L11" s="56" t="s">
        <v>6459</v>
      </c>
      <c r="M11" s="117"/>
      <c r="N11" s="60" t="s">
        <v>6460</v>
      </c>
      <c r="O11" s="44">
        <v>45468</v>
      </c>
      <c r="P11" s="45">
        <v>45370</v>
      </c>
      <c r="Q11" s="45"/>
      <c r="R11" s="47"/>
      <c r="S11" s="47">
        <v>45454</v>
      </c>
      <c r="T11" s="1"/>
      <c r="U11" s="1"/>
      <c r="V11" s="1"/>
      <c r="W11" s="1"/>
      <c r="X11" s="1"/>
      <c r="Y11" s="1"/>
      <c r="Z11" s="1"/>
    </row>
    <row r="12" spans="1:26" ht="36" customHeight="1">
      <c r="A12" s="1"/>
      <c r="B12" s="55" t="s">
        <v>6461</v>
      </c>
      <c r="C12" s="55" t="s">
        <v>321</v>
      </c>
      <c r="D12" s="56" t="s">
        <v>42</v>
      </c>
      <c r="E12" s="115" t="s">
        <v>6462</v>
      </c>
      <c r="F12" s="115" t="s">
        <v>6463</v>
      </c>
      <c r="G12" s="116">
        <v>45352</v>
      </c>
      <c r="H12" s="116" t="s">
        <v>6425</v>
      </c>
      <c r="I12" s="55">
        <v>369</v>
      </c>
      <c r="J12" s="43" t="s">
        <v>1380</v>
      </c>
      <c r="K12" s="43" t="s">
        <v>826</v>
      </c>
      <c r="L12" s="56" t="s">
        <v>6464</v>
      </c>
      <c r="M12" s="117"/>
      <c r="N12" s="60" t="s">
        <v>6465</v>
      </c>
      <c r="O12" s="44">
        <v>45468</v>
      </c>
      <c r="P12" s="45">
        <v>45370</v>
      </c>
      <c r="Q12" s="45"/>
      <c r="R12" s="47"/>
      <c r="S12" s="47">
        <v>45455</v>
      </c>
      <c r="T12" s="1"/>
      <c r="U12" s="1"/>
      <c r="V12" s="1"/>
      <c r="W12" s="1"/>
      <c r="X12" s="1"/>
      <c r="Y12" s="1"/>
      <c r="Z12" s="1"/>
    </row>
    <row r="13" spans="1:26" ht="36" customHeight="1">
      <c r="A13" s="1"/>
      <c r="B13" s="55" t="s">
        <v>6466</v>
      </c>
      <c r="C13" s="55" t="s">
        <v>71</v>
      </c>
      <c r="D13" s="56" t="s">
        <v>42</v>
      </c>
      <c r="E13" s="115" t="s">
        <v>6467</v>
      </c>
      <c r="F13" s="115" t="s">
        <v>6468</v>
      </c>
      <c r="G13" s="116">
        <v>45352</v>
      </c>
      <c r="H13" s="116" t="s">
        <v>6425</v>
      </c>
      <c r="I13" s="55">
        <v>472</v>
      </c>
      <c r="J13" s="43" t="s">
        <v>1380</v>
      </c>
      <c r="K13" s="43" t="s">
        <v>132</v>
      </c>
      <c r="L13" s="56" t="s">
        <v>6464</v>
      </c>
      <c r="M13" s="117"/>
      <c r="N13" s="60" t="s">
        <v>6469</v>
      </c>
      <c r="O13" s="44">
        <v>45468</v>
      </c>
      <c r="P13" s="45">
        <v>45370</v>
      </c>
      <c r="Q13" s="45"/>
      <c r="R13" s="47"/>
      <c r="S13" s="47">
        <v>45454</v>
      </c>
      <c r="T13" s="1"/>
      <c r="U13" s="1"/>
      <c r="V13" s="1"/>
      <c r="W13" s="1"/>
      <c r="X13" s="1"/>
      <c r="Y13" s="1"/>
      <c r="Z13" s="1"/>
    </row>
    <row r="14" spans="1:26" ht="36" customHeight="1">
      <c r="A14" s="1"/>
      <c r="B14" s="55" t="s">
        <v>6470</v>
      </c>
      <c r="C14" s="55" t="s">
        <v>6471</v>
      </c>
      <c r="D14" s="56" t="s">
        <v>1408</v>
      </c>
      <c r="E14" s="91"/>
      <c r="F14" s="89" t="s">
        <v>6472</v>
      </c>
      <c r="G14" s="116">
        <v>45444</v>
      </c>
      <c r="H14" s="116" t="s">
        <v>6473</v>
      </c>
      <c r="I14" s="55">
        <v>521</v>
      </c>
      <c r="J14" s="43" t="s">
        <v>6474</v>
      </c>
      <c r="K14" s="43" t="s">
        <v>109</v>
      </c>
      <c r="L14" s="56" t="s">
        <v>6437</v>
      </c>
      <c r="M14" s="46"/>
      <c r="N14" s="46"/>
      <c r="O14" s="44">
        <v>45468</v>
      </c>
      <c r="P14" s="45">
        <v>45463</v>
      </c>
      <c r="Q14" s="45"/>
      <c r="R14" s="47"/>
      <c r="S14" s="47">
        <v>44367</v>
      </c>
      <c r="T14" s="1"/>
      <c r="U14" s="1"/>
      <c r="V14" s="1"/>
      <c r="W14" s="1"/>
      <c r="X14" s="1"/>
      <c r="Y14" s="1"/>
      <c r="Z14" s="1"/>
    </row>
    <row r="15" spans="1:26" ht="36" customHeight="1">
      <c r="A15" s="1"/>
      <c r="B15" s="66" t="s">
        <v>6475</v>
      </c>
      <c r="C15" s="66"/>
      <c r="D15" s="96"/>
      <c r="E15" s="99"/>
      <c r="F15" s="97"/>
      <c r="G15" s="119"/>
      <c r="H15" s="119"/>
      <c r="I15" s="66"/>
      <c r="J15" s="68"/>
      <c r="K15" s="68"/>
      <c r="L15" s="96"/>
      <c r="M15" s="96"/>
      <c r="N15" s="68"/>
      <c r="O15" s="67"/>
      <c r="P15" s="67"/>
      <c r="Q15" s="67"/>
      <c r="R15" s="71"/>
      <c r="S15" s="71"/>
      <c r="T15" s="1"/>
      <c r="U15" s="1"/>
      <c r="V15" s="1"/>
      <c r="W15" s="1"/>
      <c r="X15" s="1"/>
      <c r="Y15" s="1"/>
      <c r="Z15" s="1"/>
    </row>
    <row r="16" spans="1:26" ht="36" customHeight="1">
      <c r="A16" s="1"/>
      <c r="B16" s="66" t="s">
        <v>6476</v>
      </c>
      <c r="C16" s="66"/>
      <c r="D16" s="96"/>
      <c r="E16" s="99"/>
      <c r="F16" s="97"/>
      <c r="G16" s="119"/>
      <c r="H16" s="119"/>
      <c r="I16" s="66"/>
      <c r="J16" s="68"/>
      <c r="K16" s="68"/>
      <c r="L16" s="96"/>
      <c r="M16" s="69"/>
      <c r="N16" s="69"/>
      <c r="O16" s="68"/>
      <c r="P16" s="67"/>
      <c r="Q16" s="67"/>
      <c r="R16" s="71"/>
      <c r="S16" s="71"/>
      <c r="T16" s="1"/>
      <c r="U16" s="1"/>
      <c r="V16" s="1"/>
      <c r="W16" s="1"/>
      <c r="X16" s="1"/>
      <c r="Y16" s="1"/>
      <c r="Z16" s="1"/>
    </row>
    <row r="17" spans="1:26" ht="36" customHeight="1">
      <c r="A17" s="1"/>
      <c r="B17" s="66" t="s">
        <v>6477</v>
      </c>
      <c r="C17" s="66"/>
      <c r="D17" s="96"/>
      <c r="E17" s="99"/>
      <c r="F17" s="99"/>
      <c r="G17" s="119"/>
      <c r="H17" s="119"/>
      <c r="I17" s="66"/>
      <c r="J17" s="68"/>
      <c r="K17" s="68"/>
      <c r="L17" s="96"/>
      <c r="M17" s="69"/>
      <c r="N17" s="68"/>
      <c r="O17" s="68"/>
      <c r="P17" s="67"/>
      <c r="Q17" s="67"/>
      <c r="R17" s="71"/>
      <c r="S17" s="71"/>
      <c r="T17" s="1"/>
      <c r="U17" s="1"/>
      <c r="V17" s="1"/>
      <c r="W17" s="1"/>
      <c r="X17" s="1"/>
      <c r="Y17" s="1"/>
      <c r="Z17" s="1"/>
    </row>
    <row r="18" spans="1:26" ht="36" customHeight="1">
      <c r="A18" s="1"/>
      <c r="B18" s="66" t="s">
        <v>6478</v>
      </c>
      <c r="C18" s="66"/>
      <c r="D18" s="96"/>
      <c r="E18" s="99"/>
      <c r="F18" s="97"/>
      <c r="G18" s="119"/>
      <c r="H18" s="119"/>
      <c r="I18" s="66"/>
      <c r="J18" s="68"/>
      <c r="K18" s="68"/>
      <c r="L18" s="96"/>
      <c r="M18" s="69"/>
      <c r="N18" s="69"/>
      <c r="O18" s="68"/>
      <c r="P18" s="67"/>
      <c r="Q18" s="67"/>
      <c r="R18" s="71"/>
      <c r="S18" s="71"/>
      <c r="T18" s="1"/>
      <c r="U18" s="1"/>
      <c r="V18" s="1"/>
      <c r="W18" s="1"/>
      <c r="X18" s="1"/>
      <c r="Y18" s="1"/>
      <c r="Z18" s="1"/>
    </row>
    <row r="19" spans="1:26" ht="36" customHeight="1">
      <c r="A19" s="1"/>
      <c r="B19" s="66" t="s">
        <v>6479</v>
      </c>
      <c r="C19" s="66"/>
      <c r="D19" s="96"/>
      <c r="E19" s="99"/>
      <c r="F19" s="97"/>
      <c r="G19" s="119"/>
      <c r="H19" s="119"/>
      <c r="I19" s="66"/>
      <c r="J19" s="68"/>
      <c r="K19" s="68"/>
      <c r="L19" s="96"/>
      <c r="M19" s="69"/>
      <c r="N19" s="69"/>
      <c r="O19" s="68"/>
      <c r="P19" s="67"/>
      <c r="Q19" s="67"/>
      <c r="R19" s="71"/>
      <c r="S19" s="71"/>
      <c r="T19" s="1"/>
      <c r="U19" s="1"/>
      <c r="V19" s="1"/>
      <c r="W19" s="1"/>
      <c r="X19" s="1"/>
      <c r="Y19" s="1"/>
      <c r="Z19" s="1"/>
    </row>
    <row r="20" spans="1:26" ht="36" customHeight="1">
      <c r="A20" s="1"/>
      <c r="B20" s="66" t="s">
        <v>6480</v>
      </c>
      <c r="C20" s="66"/>
      <c r="D20" s="96"/>
      <c r="E20" s="99"/>
      <c r="F20" s="97"/>
      <c r="G20" s="119"/>
      <c r="H20" s="119"/>
      <c r="I20" s="66"/>
      <c r="J20" s="68"/>
      <c r="K20" s="68"/>
      <c r="L20" s="96"/>
      <c r="M20" s="69"/>
      <c r="N20" s="68"/>
      <c r="O20" s="68"/>
      <c r="P20" s="67"/>
      <c r="Q20" s="67"/>
      <c r="R20" s="71"/>
      <c r="S20" s="71"/>
      <c r="T20" s="1"/>
      <c r="U20" s="1"/>
      <c r="V20" s="1"/>
      <c r="W20" s="1"/>
      <c r="X20" s="1"/>
      <c r="Y20" s="1"/>
      <c r="Z20" s="1"/>
    </row>
    <row r="21" spans="1:26" ht="36" customHeight="1">
      <c r="A21" s="1"/>
      <c r="B21" s="66" t="s">
        <v>6481</v>
      </c>
      <c r="C21" s="66"/>
      <c r="D21" s="96"/>
      <c r="E21" s="99"/>
      <c r="F21" s="99"/>
      <c r="G21" s="119"/>
      <c r="H21" s="119"/>
      <c r="I21" s="66"/>
      <c r="J21" s="68"/>
      <c r="K21" s="68"/>
      <c r="L21" s="96"/>
      <c r="M21" s="69"/>
      <c r="N21" s="68"/>
      <c r="O21" s="68"/>
      <c r="P21" s="67"/>
      <c r="Q21" s="67"/>
      <c r="R21" s="71"/>
      <c r="S21" s="71"/>
      <c r="T21" s="1"/>
      <c r="U21" s="1"/>
      <c r="V21" s="1"/>
      <c r="W21" s="1"/>
      <c r="X21" s="1"/>
      <c r="Y21" s="1"/>
      <c r="Z21" s="1"/>
    </row>
    <row r="22" spans="1:26" ht="36" customHeight="1">
      <c r="A22" s="1"/>
      <c r="B22" s="66" t="s">
        <v>6482</v>
      </c>
      <c r="C22" s="66"/>
      <c r="D22" s="96"/>
      <c r="E22" s="99"/>
      <c r="F22" s="97"/>
      <c r="G22" s="119"/>
      <c r="H22" s="119"/>
      <c r="I22" s="66"/>
      <c r="J22" s="68"/>
      <c r="K22" s="68"/>
      <c r="L22" s="96"/>
      <c r="M22" s="69"/>
      <c r="N22" s="68"/>
      <c r="O22" s="68"/>
      <c r="P22" s="67"/>
      <c r="Q22" s="67"/>
      <c r="R22" s="71"/>
      <c r="S22" s="71"/>
      <c r="T22" s="1"/>
      <c r="U22" s="1"/>
      <c r="V22" s="1"/>
      <c r="W22" s="1"/>
      <c r="X22" s="1"/>
      <c r="Y22" s="1"/>
      <c r="Z22" s="1"/>
    </row>
    <row r="23" spans="1:26" ht="36" customHeight="1">
      <c r="A23" s="1"/>
      <c r="B23" s="66" t="s">
        <v>6483</v>
      </c>
      <c r="C23" s="66"/>
      <c r="D23" s="96"/>
      <c r="E23" s="99"/>
      <c r="F23" s="97"/>
      <c r="G23" s="119"/>
      <c r="H23" s="119"/>
      <c r="I23" s="66"/>
      <c r="J23" s="68"/>
      <c r="K23" s="68"/>
      <c r="L23" s="96"/>
      <c r="M23" s="69"/>
      <c r="N23" s="68"/>
      <c r="O23" s="68"/>
      <c r="P23" s="67"/>
      <c r="Q23" s="67"/>
      <c r="R23" s="71"/>
      <c r="S23" s="71"/>
      <c r="T23" s="1"/>
      <c r="U23" s="1"/>
      <c r="V23" s="1"/>
      <c r="W23" s="1"/>
      <c r="X23" s="1"/>
      <c r="Y23" s="1"/>
      <c r="Z23" s="1"/>
    </row>
    <row r="24" spans="1:26" ht="36" customHeight="1">
      <c r="A24" s="1"/>
      <c r="B24" s="66" t="s">
        <v>6484</v>
      </c>
      <c r="C24" s="66"/>
      <c r="D24" s="96"/>
      <c r="E24" s="99"/>
      <c r="F24" s="97"/>
      <c r="G24" s="119"/>
      <c r="H24" s="119"/>
      <c r="I24" s="66"/>
      <c r="J24" s="68"/>
      <c r="K24" s="68"/>
      <c r="L24" s="96"/>
      <c r="M24" s="69"/>
      <c r="N24" s="69"/>
      <c r="O24" s="68"/>
      <c r="P24" s="67"/>
      <c r="Q24" s="67"/>
      <c r="R24" s="71"/>
      <c r="S24" s="71"/>
      <c r="T24" s="1"/>
      <c r="U24" s="1"/>
      <c r="V24" s="1"/>
      <c r="W24" s="1"/>
      <c r="X24" s="1"/>
      <c r="Y24" s="1"/>
      <c r="Z24" s="1"/>
    </row>
    <row r="25" spans="1:26" ht="36" customHeight="1">
      <c r="A25" s="1"/>
      <c r="B25" s="66" t="s">
        <v>6485</v>
      </c>
      <c r="C25" s="66"/>
      <c r="D25" s="96"/>
      <c r="E25" s="99"/>
      <c r="F25" s="99"/>
      <c r="G25" s="119"/>
      <c r="H25" s="119"/>
      <c r="I25" s="66"/>
      <c r="J25" s="68"/>
      <c r="K25" s="68"/>
      <c r="L25" s="96"/>
      <c r="M25" s="96"/>
      <c r="N25" s="69"/>
      <c r="O25" s="71"/>
      <c r="P25" s="67"/>
      <c r="Q25" s="67"/>
      <c r="R25" s="67"/>
      <c r="S25" s="67"/>
      <c r="T25" s="1"/>
      <c r="U25" s="1"/>
      <c r="V25" s="1"/>
      <c r="W25" s="1"/>
      <c r="X25" s="1"/>
      <c r="Y25" s="1"/>
      <c r="Z25" s="1"/>
    </row>
    <row r="26" spans="1:26" ht="36" customHeight="1">
      <c r="A26" s="1"/>
      <c r="B26" s="66" t="s">
        <v>6486</v>
      </c>
      <c r="C26" s="66"/>
      <c r="D26" s="96"/>
      <c r="E26" s="99"/>
      <c r="F26" s="99"/>
      <c r="G26" s="119"/>
      <c r="H26" s="119"/>
      <c r="I26" s="66"/>
      <c r="J26" s="71"/>
      <c r="K26" s="68"/>
      <c r="L26" s="96"/>
      <c r="M26" s="96"/>
      <c r="N26" s="69"/>
      <c r="O26" s="67"/>
      <c r="P26" s="67"/>
      <c r="Q26" s="67"/>
      <c r="R26" s="67"/>
      <c r="S26" s="67"/>
      <c r="T26" s="1"/>
      <c r="U26" s="1"/>
      <c r="V26" s="1"/>
      <c r="W26" s="1"/>
      <c r="X26" s="1"/>
      <c r="Y26" s="1"/>
      <c r="Z26" s="1"/>
    </row>
    <row r="27" spans="1:26" ht="36" customHeight="1">
      <c r="A27" s="1"/>
      <c r="B27" s="66" t="s">
        <v>6487</v>
      </c>
      <c r="C27" s="66"/>
      <c r="D27" s="96"/>
      <c r="E27" s="99"/>
      <c r="F27" s="99"/>
      <c r="G27" s="119"/>
      <c r="H27" s="119"/>
      <c r="I27" s="66"/>
      <c r="J27" s="71"/>
      <c r="K27" s="68"/>
      <c r="L27" s="96"/>
      <c r="M27" s="96"/>
      <c r="N27" s="69"/>
      <c r="O27" s="67"/>
      <c r="P27" s="67"/>
      <c r="Q27" s="67"/>
      <c r="R27" s="67"/>
      <c r="S27" s="67"/>
      <c r="T27" s="1"/>
      <c r="U27" s="1"/>
      <c r="V27" s="1"/>
      <c r="W27" s="1"/>
      <c r="X27" s="1"/>
      <c r="Y27" s="1"/>
      <c r="Z27" s="1"/>
    </row>
    <row r="28" spans="1:26" ht="36" customHeight="1">
      <c r="A28" s="1"/>
      <c r="B28" s="66" t="s">
        <v>6488</v>
      </c>
      <c r="C28" s="66"/>
      <c r="D28" s="96"/>
      <c r="E28" s="99"/>
      <c r="F28" s="99"/>
      <c r="G28" s="119"/>
      <c r="H28" s="119"/>
      <c r="I28" s="66"/>
      <c r="J28" s="71"/>
      <c r="K28" s="68"/>
      <c r="L28" s="96"/>
      <c r="M28" s="96"/>
      <c r="N28" s="69"/>
      <c r="O28" s="67"/>
      <c r="P28" s="67"/>
      <c r="Q28" s="67"/>
      <c r="R28" s="67"/>
      <c r="S28" s="67"/>
      <c r="T28" s="1"/>
      <c r="U28" s="1"/>
      <c r="V28" s="1"/>
      <c r="W28" s="1"/>
      <c r="X28" s="1"/>
      <c r="Y28" s="1"/>
      <c r="Z28" s="1"/>
    </row>
    <row r="29" spans="1:26" ht="36" customHeight="1">
      <c r="A29" s="1"/>
      <c r="B29" s="66" t="s">
        <v>6489</v>
      </c>
      <c r="C29" s="66"/>
      <c r="D29" s="96"/>
      <c r="E29" s="99"/>
      <c r="F29" s="99"/>
      <c r="G29" s="119"/>
      <c r="H29" s="119"/>
      <c r="I29" s="66"/>
      <c r="J29" s="68"/>
      <c r="K29" s="71"/>
      <c r="L29" s="96"/>
      <c r="M29" s="96"/>
      <c r="N29" s="69"/>
      <c r="O29" s="67"/>
      <c r="P29" s="67"/>
      <c r="Q29" s="67"/>
      <c r="R29" s="71"/>
      <c r="S29" s="71"/>
      <c r="T29" s="1"/>
      <c r="U29" s="1"/>
      <c r="V29" s="1"/>
      <c r="W29" s="1"/>
      <c r="X29" s="1"/>
      <c r="Y29" s="1"/>
      <c r="Z29" s="1"/>
    </row>
    <row r="30" spans="1:26" ht="36" customHeight="1">
      <c r="A30" s="1"/>
      <c r="B30" s="66" t="s">
        <v>6490</v>
      </c>
      <c r="C30" s="66"/>
      <c r="D30" s="96"/>
      <c r="E30" s="99"/>
      <c r="F30" s="99"/>
      <c r="G30" s="119"/>
      <c r="H30" s="119"/>
      <c r="I30" s="66"/>
      <c r="J30" s="68"/>
      <c r="K30" s="68"/>
      <c r="L30" s="96"/>
      <c r="M30" s="96"/>
      <c r="N30" s="69"/>
      <c r="O30" s="71"/>
      <c r="P30" s="67"/>
      <c r="Q30" s="67"/>
      <c r="R30" s="67"/>
      <c r="S30" s="67"/>
      <c r="T30" s="1"/>
      <c r="U30" s="1"/>
      <c r="V30" s="1"/>
      <c r="W30" s="1"/>
      <c r="X30" s="1"/>
      <c r="Y30" s="1"/>
      <c r="Z30" s="1"/>
    </row>
    <row r="31" spans="1:26" ht="36" customHeight="1">
      <c r="A31" s="1"/>
      <c r="B31" s="66" t="s">
        <v>6491</v>
      </c>
      <c r="C31" s="66"/>
      <c r="D31" s="96"/>
      <c r="E31" s="99"/>
      <c r="F31" s="99"/>
      <c r="G31" s="119"/>
      <c r="H31" s="119"/>
      <c r="I31" s="66"/>
      <c r="J31" s="68"/>
      <c r="K31" s="71"/>
      <c r="L31" s="96"/>
      <c r="M31" s="96"/>
      <c r="N31" s="69"/>
      <c r="O31" s="71"/>
      <c r="P31" s="67"/>
      <c r="Q31" s="67"/>
      <c r="R31" s="71"/>
      <c r="S31" s="71"/>
      <c r="T31" s="1"/>
      <c r="U31" s="1"/>
      <c r="V31" s="1"/>
      <c r="W31" s="1"/>
      <c r="X31" s="1"/>
      <c r="Y31" s="1"/>
      <c r="Z31" s="1"/>
    </row>
    <row r="32" spans="1:26" ht="36" customHeight="1">
      <c r="A32" s="1"/>
      <c r="B32" s="66" t="s">
        <v>6492</v>
      </c>
      <c r="C32" s="66"/>
      <c r="D32" s="96"/>
      <c r="E32" s="99"/>
      <c r="F32" s="99"/>
      <c r="G32" s="119"/>
      <c r="H32" s="119"/>
      <c r="I32" s="66"/>
      <c r="J32" s="68"/>
      <c r="K32" s="68"/>
      <c r="L32" s="96"/>
      <c r="M32" s="96"/>
      <c r="N32" s="69"/>
      <c r="O32" s="67"/>
      <c r="P32" s="67"/>
      <c r="Q32" s="67"/>
      <c r="R32" s="67"/>
      <c r="S32" s="67"/>
      <c r="T32" s="1"/>
      <c r="U32" s="1"/>
      <c r="V32" s="1"/>
      <c r="W32" s="1"/>
      <c r="X32" s="1"/>
      <c r="Y32" s="1"/>
      <c r="Z32" s="1"/>
    </row>
    <row r="33" spans="1:26" ht="36" customHeight="1">
      <c r="A33" s="1"/>
      <c r="B33" s="66" t="s">
        <v>6493</v>
      </c>
      <c r="C33" s="66"/>
      <c r="D33" s="96"/>
      <c r="E33" s="99"/>
      <c r="F33" s="99"/>
      <c r="G33" s="119"/>
      <c r="H33" s="119"/>
      <c r="I33" s="66"/>
      <c r="J33" s="67"/>
      <c r="K33" s="68"/>
      <c r="L33" s="96"/>
      <c r="M33" s="96"/>
      <c r="N33" s="69"/>
      <c r="O33" s="71"/>
      <c r="P33" s="67"/>
      <c r="Q33" s="67"/>
      <c r="R33" s="67"/>
      <c r="S33" s="71"/>
      <c r="T33" s="1"/>
      <c r="U33" s="1"/>
      <c r="V33" s="1"/>
      <c r="W33" s="1"/>
      <c r="X33" s="1"/>
      <c r="Y33" s="1"/>
      <c r="Z33" s="1"/>
    </row>
    <row r="34" spans="1:26" ht="36" customHeight="1">
      <c r="A34" s="1"/>
      <c r="B34" s="66" t="s">
        <v>6494</v>
      </c>
      <c r="C34" s="66"/>
      <c r="D34" s="96"/>
      <c r="E34" s="99"/>
      <c r="F34" s="99"/>
      <c r="G34" s="119"/>
      <c r="H34" s="119"/>
      <c r="I34" s="66"/>
      <c r="J34" s="68"/>
      <c r="K34" s="68"/>
      <c r="L34" s="96"/>
      <c r="M34" s="96"/>
      <c r="N34" s="69"/>
      <c r="O34" s="71"/>
      <c r="P34" s="67"/>
      <c r="Q34" s="67"/>
      <c r="R34" s="67"/>
      <c r="S34" s="71"/>
      <c r="T34" s="1"/>
      <c r="U34" s="1"/>
      <c r="V34" s="1"/>
      <c r="W34" s="1"/>
      <c r="X34" s="1"/>
      <c r="Y34" s="1"/>
      <c r="Z34" s="1"/>
    </row>
    <row r="35" spans="1:26" ht="36" customHeight="1">
      <c r="A35" s="1"/>
      <c r="B35" s="66" t="s">
        <v>6495</v>
      </c>
      <c r="C35" s="66"/>
      <c r="D35" s="96"/>
      <c r="E35" s="99"/>
      <c r="F35" s="99"/>
      <c r="G35" s="119"/>
      <c r="H35" s="119"/>
      <c r="I35" s="66"/>
      <c r="J35" s="68"/>
      <c r="K35" s="68"/>
      <c r="L35" s="96"/>
      <c r="M35" s="96"/>
      <c r="N35" s="69"/>
      <c r="O35" s="71"/>
      <c r="P35" s="67"/>
      <c r="Q35" s="67"/>
      <c r="R35" s="67"/>
      <c r="S35" s="67"/>
      <c r="T35" s="1"/>
      <c r="U35" s="1"/>
      <c r="V35" s="1"/>
      <c r="W35" s="1"/>
      <c r="X35" s="1"/>
      <c r="Y35" s="1"/>
      <c r="Z35" s="1"/>
    </row>
    <row r="36" spans="1:26" ht="36" customHeight="1">
      <c r="A36" s="1"/>
      <c r="B36" s="66" t="s">
        <v>6496</v>
      </c>
      <c r="C36" s="66"/>
      <c r="D36" s="96"/>
      <c r="E36" s="99"/>
      <c r="F36" s="97"/>
      <c r="G36" s="119"/>
      <c r="H36" s="119"/>
      <c r="I36" s="66"/>
      <c r="J36" s="68"/>
      <c r="K36" s="68"/>
      <c r="L36" s="96"/>
      <c r="M36" s="96"/>
      <c r="N36" s="69"/>
      <c r="O36" s="71"/>
      <c r="P36" s="70"/>
      <c r="Q36" s="67"/>
      <c r="R36" s="71"/>
      <c r="S36" s="71"/>
      <c r="T36" s="1"/>
      <c r="U36" s="1"/>
      <c r="V36" s="1"/>
      <c r="W36" s="1"/>
      <c r="X36" s="1"/>
      <c r="Y36" s="1"/>
      <c r="Z36" s="1"/>
    </row>
    <row r="37" spans="1:26" ht="36" customHeight="1">
      <c r="A37" s="1"/>
      <c r="B37" s="66" t="s">
        <v>6497</v>
      </c>
      <c r="C37" s="66"/>
      <c r="D37" s="96"/>
      <c r="E37" s="99"/>
      <c r="F37" s="97"/>
      <c r="G37" s="119"/>
      <c r="H37" s="119"/>
      <c r="I37" s="66"/>
      <c r="J37" s="68"/>
      <c r="K37" s="68"/>
      <c r="L37" s="96"/>
      <c r="M37" s="96"/>
      <c r="N37" s="69"/>
      <c r="O37" s="67"/>
      <c r="P37" s="70"/>
      <c r="Q37" s="67"/>
      <c r="R37" s="71"/>
      <c r="S37" s="71"/>
      <c r="T37" s="1"/>
      <c r="U37" s="1"/>
      <c r="V37" s="1"/>
      <c r="W37" s="1"/>
      <c r="X37" s="1"/>
      <c r="Y37" s="1"/>
      <c r="Z37" s="1"/>
    </row>
    <row r="38" spans="1:26" ht="36" customHeight="1">
      <c r="A38" s="1"/>
      <c r="B38" s="66" t="s">
        <v>6498</v>
      </c>
      <c r="C38" s="66"/>
      <c r="D38" s="96"/>
      <c r="E38" s="99"/>
      <c r="F38" s="99"/>
      <c r="G38" s="119"/>
      <c r="H38" s="119"/>
      <c r="I38" s="66"/>
      <c r="J38" s="68"/>
      <c r="K38" s="68"/>
      <c r="L38" s="96"/>
      <c r="M38" s="96"/>
      <c r="N38" s="69"/>
      <c r="O38" s="67"/>
      <c r="P38" s="67"/>
      <c r="Q38" s="67"/>
      <c r="R38" s="67"/>
      <c r="S38" s="71"/>
      <c r="T38" s="1"/>
      <c r="U38" s="1"/>
      <c r="V38" s="1"/>
      <c r="W38" s="1"/>
      <c r="X38" s="1"/>
      <c r="Y38" s="1"/>
      <c r="Z38" s="1"/>
    </row>
    <row r="39" spans="1:26" ht="36" customHeight="1">
      <c r="A39" s="1"/>
      <c r="B39" s="66" t="s">
        <v>6499</v>
      </c>
      <c r="C39" s="66"/>
      <c r="D39" s="96"/>
      <c r="E39" s="99"/>
      <c r="F39" s="99"/>
      <c r="G39" s="119"/>
      <c r="H39" s="119"/>
      <c r="I39" s="66"/>
      <c r="J39" s="68"/>
      <c r="K39" s="68"/>
      <c r="L39" s="96"/>
      <c r="M39" s="96"/>
      <c r="N39" s="69"/>
      <c r="O39" s="67"/>
      <c r="P39" s="67"/>
      <c r="Q39" s="67"/>
      <c r="R39" s="67"/>
      <c r="S39" s="71"/>
      <c r="T39" s="1"/>
      <c r="U39" s="1"/>
      <c r="V39" s="1"/>
      <c r="W39" s="1"/>
      <c r="X39" s="1"/>
      <c r="Y39" s="1"/>
      <c r="Z39" s="1"/>
    </row>
    <row r="40" spans="1:26" ht="36" customHeight="1">
      <c r="A40" s="1"/>
      <c r="B40" s="66" t="s">
        <v>6500</v>
      </c>
      <c r="C40" s="66"/>
      <c r="D40" s="96"/>
      <c r="E40" s="99"/>
      <c r="F40" s="99"/>
      <c r="G40" s="119"/>
      <c r="H40" s="119"/>
      <c r="I40" s="66"/>
      <c r="J40" s="68"/>
      <c r="K40" s="68"/>
      <c r="L40" s="96"/>
      <c r="M40" s="96"/>
      <c r="N40" s="69"/>
      <c r="O40" s="67"/>
      <c r="P40" s="67"/>
      <c r="Q40" s="67"/>
      <c r="R40" s="67"/>
      <c r="S40" s="71"/>
      <c r="T40" s="1"/>
      <c r="U40" s="1"/>
      <c r="V40" s="1"/>
      <c r="W40" s="1"/>
      <c r="X40" s="1"/>
      <c r="Y40" s="1"/>
      <c r="Z40" s="1"/>
    </row>
    <row r="41" spans="1:26" ht="36" customHeight="1">
      <c r="A41" s="1"/>
      <c r="B41" s="66" t="s">
        <v>6501</v>
      </c>
      <c r="C41" s="66"/>
      <c r="D41" s="96"/>
      <c r="E41" s="99"/>
      <c r="F41" s="99"/>
      <c r="G41" s="119"/>
      <c r="H41" s="119"/>
      <c r="I41" s="66"/>
      <c r="J41" s="68"/>
      <c r="K41" s="68"/>
      <c r="L41" s="96"/>
      <c r="M41" s="96"/>
      <c r="N41" s="69"/>
      <c r="O41" s="67"/>
      <c r="P41" s="67"/>
      <c r="Q41" s="67"/>
      <c r="R41" s="67"/>
      <c r="S41" s="71"/>
      <c r="T41" s="1"/>
      <c r="U41" s="1"/>
      <c r="V41" s="1"/>
      <c r="W41" s="1"/>
      <c r="X41" s="1"/>
      <c r="Y41" s="1"/>
      <c r="Z41" s="1"/>
    </row>
    <row r="42" spans="1:26" ht="36" customHeight="1">
      <c r="A42" s="1"/>
      <c r="B42" s="66" t="s">
        <v>6502</v>
      </c>
      <c r="C42" s="66"/>
      <c r="D42" s="96"/>
      <c r="E42" s="99"/>
      <c r="F42" s="99"/>
      <c r="G42" s="119"/>
      <c r="H42" s="119"/>
      <c r="I42" s="66"/>
      <c r="J42" s="102"/>
      <c r="K42" s="71"/>
      <c r="L42" s="96"/>
      <c r="M42" s="96"/>
      <c r="N42" s="69"/>
      <c r="O42" s="67"/>
      <c r="P42" s="67"/>
      <c r="Q42" s="67"/>
      <c r="R42" s="71"/>
      <c r="S42" s="71"/>
      <c r="T42" s="1"/>
      <c r="U42" s="1"/>
      <c r="V42" s="1"/>
      <c r="W42" s="1"/>
      <c r="X42" s="1"/>
      <c r="Y42" s="1"/>
      <c r="Z42" s="1"/>
    </row>
    <row r="43" spans="1:26" ht="36" customHeight="1">
      <c r="A43" s="1"/>
      <c r="B43" s="66" t="s">
        <v>6503</v>
      </c>
      <c r="C43" s="66"/>
      <c r="D43" s="96"/>
      <c r="E43" s="99"/>
      <c r="F43" s="99"/>
      <c r="G43" s="119"/>
      <c r="H43" s="119"/>
      <c r="I43" s="66"/>
      <c r="J43" s="68"/>
      <c r="K43" s="68"/>
      <c r="L43" s="96"/>
      <c r="M43" s="96"/>
      <c r="N43" s="69"/>
      <c r="O43" s="67"/>
      <c r="P43" s="70"/>
      <c r="Q43" s="67"/>
      <c r="R43" s="67"/>
      <c r="S43" s="71"/>
      <c r="T43" s="1"/>
      <c r="U43" s="1"/>
      <c r="V43" s="1"/>
      <c r="W43" s="1"/>
      <c r="X43" s="1"/>
      <c r="Y43" s="1"/>
      <c r="Z43" s="1"/>
    </row>
    <row r="44" spans="1:26" ht="36" customHeight="1">
      <c r="A44" s="1"/>
      <c r="B44" s="66" t="s">
        <v>6504</v>
      </c>
      <c r="C44" s="66"/>
      <c r="D44" s="96"/>
      <c r="E44" s="99"/>
      <c r="F44" s="99"/>
      <c r="G44" s="119"/>
      <c r="H44" s="119"/>
      <c r="I44" s="66"/>
      <c r="J44" s="68"/>
      <c r="K44" s="68"/>
      <c r="L44" s="96"/>
      <c r="M44" s="96"/>
      <c r="N44" s="69"/>
      <c r="O44" s="67"/>
      <c r="P44" s="67"/>
      <c r="Q44" s="67"/>
      <c r="R44" s="71"/>
      <c r="S44" s="71"/>
      <c r="T44" s="1"/>
      <c r="U44" s="1"/>
      <c r="V44" s="1"/>
      <c r="W44" s="1"/>
      <c r="X44" s="1"/>
      <c r="Y44" s="1"/>
      <c r="Z44" s="1"/>
    </row>
    <row r="45" spans="1:26" ht="36" customHeight="1">
      <c r="A45" s="1"/>
      <c r="B45" s="66" t="s">
        <v>6505</v>
      </c>
      <c r="C45" s="66"/>
      <c r="D45" s="96"/>
      <c r="E45" s="99"/>
      <c r="F45" s="99"/>
      <c r="G45" s="119"/>
      <c r="H45" s="119"/>
      <c r="I45" s="66"/>
      <c r="J45" s="69"/>
      <c r="K45" s="68"/>
      <c r="L45" s="96"/>
      <c r="M45" s="96"/>
      <c r="N45" s="69"/>
      <c r="O45" s="67"/>
      <c r="P45" s="67"/>
      <c r="Q45" s="67"/>
      <c r="R45" s="67"/>
      <c r="S45" s="67"/>
      <c r="T45" s="1"/>
      <c r="U45" s="1"/>
      <c r="V45" s="1"/>
      <c r="W45" s="1"/>
      <c r="X45" s="1"/>
      <c r="Y45" s="1"/>
      <c r="Z45" s="1"/>
    </row>
    <row r="46" spans="1:26" ht="36" customHeight="1">
      <c r="A46" s="1"/>
      <c r="B46" s="66" t="s">
        <v>6506</v>
      </c>
      <c r="C46" s="66"/>
      <c r="D46" s="96"/>
      <c r="E46" s="99"/>
      <c r="F46" s="99"/>
      <c r="G46" s="119"/>
      <c r="H46" s="119"/>
      <c r="I46" s="66"/>
      <c r="J46" s="68"/>
      <c r="K46" s="71"/>
      <c r="L46" s="96"/>
      <c r="M46" s="96"/>
      <c r="N46" s="69"/>
      <c r="O46" s="67"/>
      <c r="P46" s="67"/>
      <c r="Q46" s="67"/>
      <c r="R46" s="67"/>
      <c r="S46" s="67"/>
      <c r="T46" s="1"/>
      <c r="U46" s="1"/>
      <c r="V46" s="1"/>
      <c r="W46" s="1"/>
      <c r="X46" s="1"/>
      <c r="Y46" s="1"/>
      <c r="Z46" s="1"/>
    </row>
    <row r="47" spans="1:26" ht="36" customHeight="1">
      <c r="A47" s="1"/>
      <c r="B47" s="66" t="s">
        <v>6507</v>
      </c>
      <c r="C47" s="66"/>
      <c r="D47" s="96"/>
      <c r="E47" s="99"/>
      <c r="F47" s="99"/>
      <c r="G47" s="119"/>
      <c r="H47" s="119"/>
      <c r="I47" s="66"/>
      <c r="J47" s="67"/>
      <c r="K47" s="71"/>
      <c r="L47" s="96"/>
      <c r="M47" s="96"/>
      <c r="N47" s="69"/>
      <c r="O47" s="67"/>
      <c r="P47" s="67"/>
      <c r="Q47" s="67"/>
      <c r="R47" s="67"/>
      <c r="S47" s="67"/>
      <c r="T47" s="1"/>
      <c r="U47" s="1"/>
      <c r="V47" s="1"/>
      <c r="W47" s="1"/>
      <c r="X47" s="1"/>
      <c r="Y47" s="1"/>
      <c r="Z47" s="1"/>
    </row>
    <row r="48" spans="1:26" ht="36" customHeight="1">
      <c r="A48" s="1"/>
      <c r="B48" s="66" t="s">
        <v>6508</v>
      </c>
      <c r="C48" s="66"/>
      <c r="D48" s="96"/>
      <c r="E48" s="99"/>
      <c r="F48" s="99"/>
      <c r="G48" s="119"/>
      <c r="H48" s="119"/>
      <c r="I48" s="66"/>
      <c r="J48" s="68"/>
      <c r="K48" s="68"/>
      <c r="L48" s="96"/>
      <c r="M48" s="96"/>
      <c r="N48" s="68"/>
      <c r="O48" s="67"/>
      <c r="P48" s="67"/>
      <c r="Q48" s="67"/>
      <c r="R48" s="67"/>
      <c r="S48" s="71"/>
      <c r="T48" s="1"/>
      <c r="U48" s="1"/>
      <c r="V48" s="1"/>
      <c r="W48" s="1"/>
      <c r="X48" s="1"/>
      <c r="Y48" s="1"/>
      <c r="Z48" s="1"/>
    </row>
    <row r="49" spans="1:26" ht="36" customHeight="1">
      <c r="A49" s="1"/>
      <c r="B49" s="66" t="s">
        <v>6509</v>
      </c>
      <c r="C49" s="66"/>
      <c r="D49" s="96"/>
      <c r="E49" s="99"/>
      <c r="F49" s="99"/>
      <c r="G49" s="119"/>
      <c r="H49" s="119"/>
      <c r="I49" s="66"/>
      <c r="J49" s="68"/>
      <c r="K49" s="68"/>
      <c r="L49" s="96"/>
      <c r="M49" s="96"/>
      <c r="N49" s="69"/>
      <c r="O49" s="67"/>
      <c r="P49" s="67"/>
      <c r="Q49" s="67"/>
      <c r="R49" s="67"/>
      <c r="S49" s="67"/>
      <c r="T49" s="1"/>
      <c r="U49" s="1"/>
      <c r="V49" s="1"/>
      <c r="W49" s="1"/>
      <c r="X49" s="1"/>
      <c r="Y49" s="1"/>
      <c r="Z49" s="1"/>
    </row>
    <row r="50" spans="1:26" ht="36" customHeight="1">
      <c r="A50" s="1"/>
      <c r="B50" s="66" t="s">
        <v>6510</v>
      </c>
      <c r="C50" s="66"/>
      <c r="D50" s="96"/>
      <c r="E50" s="99"/>
      <c r="F50" s="99"/>
      <c r="G50" s="119"/>
      <c r="H50" s="119"/>
      <c r="I50" s="66"/>
      <c r="J50" s="68"/>
      <c r="K50" s="68"/>
      <c r="L50" s="96"/>
      <c r="M50" s="96"/>
      <c r="N50" s="69"/>
      <c r="O50" s="67"/>
      <c r="P50" s="67"/>
      <c r="Q50" s="67"/>
      <c r="R50" s="71"/>
      <c r="S50" s="71"/>
      <c r="T50" s="1"/>
      <c r="U50" s="1"/>
      <c r="V50" s="1"/>
      <c r="W50" s="1"/>
      <c r="X50" s="1"/>
      <c r="Y50" s="1"/>
      <c r="Z50" s="1"/>
    </row>
    <row r="51" spans="1:26" ht="36" customHeight="1">
      <c r="A51" s="1"/>
      <c r="B51" s="66" t="s">
        <v>6511</v>
      </c>
      <c r="C51" s="66"/>
      <c r="D51" s="96"/>
      <c r="E51" s="99"/>
      <c r="F51" s="97"/>
      <c r="G51" s="119"/>
      <c r="H51" s="119"/>
      <c r="I51" s="66"/>
      <c r="J51" s="68"/>
      <c r="K51" s="68"/>
      <c r="L51" s="96"/>
      <c r="M51" s="96"/>
      <c r="N51" s="69"/>
      <c r="O51" s="71"/>
      <c r="P51" s="67"/>
      <c r="Q51" s="67"/>
      <c r="R51" s="67"/>
      <c r="S51" s="67"/>
      <c r="T51" s="1"/>
      <c r="U51" s="1"/>
      <c r="V51" s="1"/>
      <c r="W51" s="1"/>
      <c r="X51" s="1"/>
      <c r="Y51" s="1"/>
      <c r="Z51" s="1"/>
    </row>
    <row r="52" spans="1:26" ht="36" customHeight="1">
      <c r="A52" s="1"/>
      <c r="B52" s="66" t="s">
        <v>6512</v>
      </c>
      <c r="C52" s="66"/>
      <c r="D52" s="96"/>
      <c r="E52" s="99"/>
      <c r="F52" s="99"/>
      <c r="G52" s="119"/>
      <c r="H52" s="119"/>
      <c r="I52" s="66"/>
      <c r="J52" s="68"/>
      <c r="K52" s="71"/>
      <c r="L52" s="96"/>
      <c r="M52" s="96"/>
      <c r="N52" s="69"/>
      <c r="O52" s="67"/>
      <c r="P52" s="67"/>
      <c r="Q52" s="67"/>
      <c r="R52" s="67"/>
      <c r="S52" s="67"/>
      <c r="T52" s="1"/>
      <c r="U52" s="1"/>
      <c r="V52" s="1"/>
      <c r="W52" s="1"/>
      <c r="X52" s="1"/>
      <c r="Y52" s="1"/>
      <c r="Z52" s="1"/>
    </row>
    <row r="53" spans="1:26" ht="36" customHeight="1">
      <c r="A53" s="1"/>
      <c r="B53" s="66" t="s">
        <v>6513</v>
      </c>
      <c r="C53" s="66"/>
      <c r="D53" s="96"/>
      <c r="E53" s="99"/>
      <c r="F53" s="99"/>
      <c r="G53" s="119"/>
      <c r="H53" s="119"/>
      <c r="I53" s="66"/>
      <c r="J53" s="102"/>
      <c r="K53" s="71"/>
      <c r="L53" s="96"/>
      <c r="M53" s="100"/>
      <c r="N53" s="69"/>
      <c r="O53" s="67"/>
      <c r="P53" s="67"/>
      <c r="Q53" s="67"/>
      <c r="R53" s="71"/>
      <c r="S53" s="71"/>
      <c r="T53" s="1"/>
      <c r="U53" s="1"/>
      <c r="V53" s="1"/>
      <c r="W53" s="1"/>
      <c r="X53" s="1"/>
      <c r="Y53" s="1"/>
      <c r="Z53" s="1"/>
    </row>
    <row r="54" spans="1:26" ht="36" customHeight="1">
      <c r="A54" s="1"/>
      <c r="B54" s="66" t="s">
        <v>6514</v>
      </c>
      <c r="C54" s="66"/>
      <c r="D54" s="96"/>
      <c r="E54" s="99"/>
      <c r="F54" s="99"/>
      <c r="G54" s="119"/>
      <c r="H54" s="119"/>
      <c r="I54" s="66"/>
      <c r="J54" s="68"/>
      <c r="K54" s="68"/>
      <c r="L54" s="96"/>
      <c r="M54" s="96"/>
      <c r="N54" s="69"/>
      <c r="O54" s="67"/>
      <c r="P54" s="67"/>
      <c r="Q54" s="67"/>
      <c r="R54" s="71"/>
      <c r="S54" s="71"/>
      <c r="T54" s="1"/>
      <c r="U54" s="1"/>
      <c r="V54" s="1"/>
      <c r="W54" s="1"/>
      <c r="X54" s="1"/>
      <c r="Y54" s="1"/>
      <c r="Z54" s="1"/>
    </row>
    <row r="55" spans="1:26" ht="36" customHeight="1">
      <c r="A55" s="1"/>
      <c r="B55" s="66" t="s">
        <v>6515</v>
      </c>
      <c r="C55" s="66"/>
      <c r="D55" s="96"/>
      <c r="E55" s="99"/>
      <c r="F55" s="99"/>
      <c r="G55" s="119"/>
      <c r="H55" s="119"/>
      <c r="I55" s="66"/>
      <c r="J55" s="68"/>
      <c r="K55" s="71"/>
      <c r="L55" s="96"/>
      <c r="M55" s="96"/>
      <c r="N55" s="69"/>
      <c r="O55" s="67"/>
      <c r="P55" s="67"/>
      <c r="Q55" s="67"/>
      <c r="R55" s="71"/>
      <c r="S55" s="71"/>
      <c r="T55" s="1"/>
      <c r="U55" s="1"/>
      <c r="V55" s="1"/>
      <c r="W55" s="1"/>
      <c r="X55" s="1"/>
      <c r="Y55" s="1"/>
      <c r="Z55" s="1"/>
    </row>
    <row r="56" spans="1:26" ht="36" customHeight="1">
      <c r="A56" s="1"/>
      <c r="B56" s="66" t="s">
        <v>6516</v>
      </c>
      <c r="C56" s="66"/>
      <c r="D56" s="96"/>
      <c r="E56" s="99"/>
      <c r="F56" s="99"/>
      <c r="G56" s="119"/>
      <c r="H56" s="119"/>
      <c r="I56" s="66"/>
      <c r="J56" s="68"/>
      <c r="K56" s="71"/>
      <c r="L56" s="96"/>
      <c r="M56" s="96"/>
      <c r="N56" s="69"/>
      <c r="O56" s="67"/>
      <c r="P56" s="67"/>
      <c r="Q56" s="67"/>
      <c r="R56" s="71"/>
      <c r="S56" s="71"/>
      <c r="T56" s="1"/>
      <c r="U56" s="1"/>
      <c r="V56" s="1"/>
      <c r="W56" s="1"/>
      <c r="X56" s="1"/>
      <c r="Y56" s="1"/>
      <c r="Z56" s="1"/>
    </row>
    <row r="57" spans="1:26" ht="36" customHeight="1">
      <c r="A57" s="1"/>
      <c r="B57" s="66" t="s">
        <v>6517</v>
      </c>
      <c r="C57" s="66"/>
      <c r="D57" s="96"/>
      <c r="E57" s="99"/>
      <c r="F57" s="99"/>
      <c r="G57" s="119"/>
      <c r="H57" s="119"/>
      <c r="I57" s="66"/>
      <c r="J57" s="68"/>
      <c r="K57" s="68"/>
      <c r="L57" s="96"/>
      <c r="M57" s="96"/>
      <c r="N57" s="69"/>
      <c r="O57" s="71"/>
      <c r="P57" s="67"/>
      <c r="Q57" s="67"/>
      <c r="R57" s="67"/>
      <c r="S57" s="71"/>
      <c r="T57" s="1"/>
      <c r="U57" s="1"/>
      <c r="V57" s="1"/>
      <c r="W57" s="1"/>
      <c r="X57" s="1"/>
      <c r="Y57" s="1"/>
      <c r="Z57" s="1"/>
    </row>
    <row r="58" spans="1:26" ht="36" customHeight="1">
      <c r="A58" s="1"/>
      <c r="B58" s="66" t="s">
        <v>6518</v>
      </c>
      <c r="C58" s="66"/>
      <c r="D58" s="96"/>
      <c r="E58" s="99"/>
      <c r="F58" s="99"/>
      <c r="G58" s="119"/>
      <c r="H58" s="119"/>
      <c r="I58" s="66"/>
      <c r="J58" s="67"/>
      <c r="K58" s="68"/>
      <c r="L58" s="96"/>
      <c r="M58" s="96"/>
      <c r="N58" s="69"/>
      <c r="O58" s="71"/>
      <c r="P58" s="67"/>
      <c r="Q58" s="67"/>
      <c r="R58" s="67"/>
      <c r="S58" s="67"/>
      <c r="T58" s="1"/>
      <c r="U58" s="1"/>
      <c r="V58" s="1"/>
      <c r="W58" s="1"/>
      <c r="X58" s="1"/>
      <c r="Y58" s="1"/>
      <c r="Z58" s="1"/>
    </row>
    <row r="59" spans="1:26" ht="36" customHeight="1">
      <c r="A59" s="1"/>
      <c r="B59" s="66" t="s">
        <v>6519</v>
      </c>
      <c r="C59" s="66"/>
      <c r="D59" s="96"/>
      <c r="E59" s="99"/>
      <c r="F59" s="99"/>
      <c r="G59" s="119"/>
      <c r="H59" s="119"/>
      <c r="I59" s="66"/>
      <c r="J59" s="68"/>
      <c r="K59" s="68"/>
      <c r="L59" s="96"/>
      <c r="M59" s="96"/>
      <c r="N59" s="69"/>
      <c r="O59" s="67"/>
      <c r="P59" s="67"/>
      <c r="Q59" s="67"/>
      <c r="R59" s="67"/>
      <c r="S59" s="67"/>
      <c r="T59" s="1"/>
      <c r="U59" s="1"/>
      <c r="V59" s="1"/>
      <c r="W59" s="1"/>
      <c r="X59" s="1"/>
      <c r="Y59" s="1"/>
      <c r="Z59" s="1"/>
    </row>
    <row r="60" spans="1:26" ht="36" customHeight="1">
      <c r="A60" s="1"/>
      <c r="B60" s="66" t="s">
        <v>6520</v>
      </c>
      <c r="C60" s="66"/>
      <c r="D60" s="96"/>
      <c r="E60" s="99"/>
      <c r="F60" s="99"/>
      <c r="G60" s="119"/>
      <c r="H60" s="119"/>
      <c r="I60" s="66"/>
      <c r="J60" s="68"/>
      <c r="K60" s="68"/>
      <c r="L60" s="96"/>
      <c r="M60" s="96"/>
      <c r="N60" s="68"/>
      <c r="O60" s="67"/>
      <c r="P60" s="67"/>
      <c r="Q60" s="67"/>
      <c r="R60" s="71"/>
      <c r="S60" s="71"/>
      <c r="T60" s="1"/>
      <c r="U60" s="1"/>
      <c r="V60" s="1"/>
      <c r="W60" s="1"/>
      <c r="X60" s="1"/>
      <c r="Y60" s="1"/>
      <c r="Z60" s="1"/>
    </row>
    <row r="61" spans="1:26" ht="36" customHeight="1">
      <c r="A61" s="1"/>
      <c r="B61" s="66" t="s">
        <v>6521</v>
      </c>
      <c r="C61" s="66"/>
      <c r="D61" s="96"/>
      <c r="E61" s="99"/>
      <c r="F61" s="99"/>
      <c r="G61" s="119"/>
      <c r="H61" s="119"/>
      <c r="I61" s="66"/>
      <c r="J61" s="68"/>
      <c r="K61" s="68"/>
      <c r="L61" s="96"/>
      <c r="M61" s="100"/>
      <c r="N61" s="69"/>
      <c r="O61" s="71"/>
      <c r="P61" s="67"/>
      <c r="Q61" s="67"/>
      <c r="R61" s="71"/>
      <c r="S61" s="71"/>
      <c r="T61" s="1"/>
      <c r="U61" s="1"/>
      <c r="V61" s="1"/>
      <c r="W61" s="1"/>
      <c r="X61" s="1"/>
      <c r="Y61" s="1"/>
      <c r="Z61" s="1"/>
    </row>
    <row r="62" spans="1:26" ht="36" customHeight="1">
      <c r="A62" s="1"/>
      <c r="B62" s="66" t="s">
        <v>6522</v>
      </c>
      <c r="C62" s="66"/>
      <c r="D62" s="96"/>
      <c r="E62" s="99"/>
      <c r="F62" s="99"/>
      <c r="G62" s="119"/>
      <c r="H62" s="119"/>
      <c r="I62" s="66"/>
      <c r="J62" s="120"/>
      <c r="K62" s="68"/>
      <c r="L62" s="96"/>
      <c r="M62" s="96"/>
      <c r="N62" s="69"/>
      <c r="O62" s="71"/>
      <c r="P62" s="67"/>
      <c r="Q62" s="67"/>
      <c r="R62" s="71"/>
      <c r="S62" s="71"/>
      <c r="T62" s="1"/>
      <c r="U62" s="1"/>
      <c r="V62" s="1"/>
      <c r="W62" s="1"/>
      <c r="X62" s="1"/>
      <c r="Y62" s="1"/>
      <c r="Z62" s="1"/>
    </row>
    <row r="63" spans="1:26" ht="36" customHeight="1">
      <c r="A63" s="1"/>
      <c r="B63" s="66" t="s">
        <v>6523</v>
      </c>
      <c r="C63" s="66"/>
      <c r="D63" s="96"/>
      <c r="E63" s="99"/>
      <c r="F63" s="99"/>
      <c r="G63" s="119"/>
      <c r="H63" s="119"/>
      <c r="I63" s="66"/>
      <c r="J63" s="71"/>
      <c r="K63" s="71"/>
      <c r="L63" s="96"/>
      <c r="M63" s="100"/>
      <c r="N63" s="69"/>
      <c r="O63" s="67"/>
      <c r="P63" s="67"/>
      <c r="Q63" s="67"/>
      <c r="R63" s="71"/>
      <c r="S63" s="71"/>
      <c r="T63" s="1"/>
      <c r="U63" s="1"/>
      <c r="V63" s="1"/>
      <c r="W63" s="1"/>
      <c r="X63" s="1"/>
      <c r="Y63" s="1"/>
      <c r="Z63" s="1"/>
    </row>
    <row r="64" spans="1:26" ht="36" customHeight="1">
      <c r="A64" s="1"/>
      <c r="B64" s="66" t="s">
        <v>6524</v>
      </c>
      <c r="C64" s="66"/>
      <c r="D64" s="96"/>
      <c r="E64" s="99"/>
      <c r="F64" s="99"/>
      <c r="G64" s="119"/>
      <c r="H64" s="119"/>
      <c r="I64" s="66"/>
      <c r="J64" s="68"/>
      <c r="K64" s="68"/>
      <c r="L64" s="96"/>
      <c r="M64" s="96"/>
      <c r="N64" s="69"/>
      <c r="O64" s="67"/>
      <c r="P64" s="67"/>
      <c r="Q64" s="67"/>
      <c r="R64" s="71"/>
      <c r="S64" s="71"/>
      <c r="T64" s="1"/>
      <c r="U64" s="1"/>
      <c r="V64" s="1"/>
      <c r="W64" s="1"/>
      <c r="X64" s="1"/>
      <c r="Y64" s="1"/>
      <c r="Z64" s="1"/>
    </row>
    <row r="65" spans="1:26" ht="36" customHeight="1">
      <c r="A65" s="1"/>
      <c r="B65" s="66" t="s">
        <v>6525</v>
      </c>
      <c r="C65" s="66"/>
      <c r="D65" s="96"/>
      <c r="E65" s="99"/>
      <c r="F65" s="99"/>
      <c r="G65" s="119"/>
      <c r="H65" s="119"/>
      <c r="I65" s="66"/>
      <c r="J65" s="68"/>
      <c r="K65" s="68"/>
      <c r="L65" s="96"/>
      <c r="M65" s="96"/>
      <c r="N65" s="69"/>
      <c r="O65" s="67"/>
      <c r="P65" s="67"/>
      <c r="Q65" s="67"/>
      <c r="R65" s="67"/>
      <c r="S65" s="67"/>
      <c r="T65" s="1"/>
      <c r="U65" s="1"/>
      <c r="V65" s="1"/>
      <c r="W65" s="1"/>
      <c r="X65" s="1"/>
      <c r="Y65" s="1"/>
      <c r="Z65" s="1"/>
    </row>
    <row r="66" spans="1:26" ht="36" customHeight="1">
      <c r="A66" s="1"/>
      <c r="B66" s="66" t="s">
        <v>6526</v>
      </c>
      <c r="C66" s="66"/>
      <c r="D66" s="96"/>
      <c r="E66" s="99"/>
      <c r="F66" s="99"/>
      <c r="G66" s="119"/>
      <c r="H66" s="119"/>
      <c r="I66" s="66"/>
      <c r="J66" s="68"/>
      <c r="K66" s="68"/>
      <c r="L66" s="96"/>
      <c r="M66" s="69"/>
      <c r="N66" s="69"/>
      <c r="O66" s="67"/>
      <c r="P66" s="67"/>
      <c r="Q66" s="67"/>
      <c r="R66" s="67"/>
      <c r="S66" s="71"/>
      <c r="T66" s="1"/>
      <c r="U66" s="1"/>
      <c r="V66" s="1"/>
      <c r="W66" s="1"/>
      <c r="X66" s="1"/>
      <c r="Y66" s="1"/>
      <c r="Z66" s="1"/>
    </row>
    <row r="67" spans="1:26" ht="36" customHeight="1">
      <c r="A67" s="1"/>
      <c r="B67" s="66" t="s">
        <v>6527</v>
      </c>
      <c r="C67" s="66"/>
      <c r="D67" s="96"/>
      <c r="E67" s="99"/>
      <c r="F67" s="99"/>
      <c r="G67" s="119"/>
      <c r="H67" s="119"/>
      <c r="I67" s="66"/>
      <c r="J67" s="68"/>
      <c r="K67" s="69"/>
      <c r="L67" s="96"/>
      <c r="M67" s="96"/>
      <c r="N67" s="69"/>
      <c r="O67" s="71"/>
      <c r="P67" s="67"/>
      <c r="Q67" s="67"/>
      <c r="R67" s="67"/>
      <c r="S67" s="67"/>
      <c r="T67" s="1"/>
      <c r="U67" s="1"/>
      <c r="V67" s="1"/>
      <c r="W67" s="1"/>
      <c r="X67" s="1"/>
      <c r="Y67" s="1"/>
      <c r="Z67" s="1"/>
    </row>
    <row r="68" spans="1:26" ht="36" customHeight="1">
      <c r="A68" s="1"/>
      <c r="B68" s="66" t="s">
        <v>6528</v>
      </c>
      <c r="C68" s="66"/>
      <c r="D68" s="96"/>
      <c r="E68" s="99"/>
      <c r="F68" s="99"/>
      <c r="G68" s="119"/>
      <c r="H68" s="119"/>
      <c r="I68" s="66"/>
      <c r="J68" s="68"/>
      <c r="K68" s="68"/>
      <c r="L68" s="96"/>
      <c r="M68" s="69"/>
      <c r="N68" s="69"/>
      <c r="O68" s="67"/>
      <c r="P68" s="67"/>
      <c r="Q68" s="67"/>
      <c r="R68" s="67"/>
      <c r="S68" s="71"/>
      <c r="T68" s="1"/>
      <c r="U68" s="1"/>
      <c r="V68" s="1"/>
      <c r="W68" s="1"/>
      <c r="X68" s="1"/>
      <c r="Y68" s="1"/>
      <c r="Z68" s="1"/>
    </row>
    <row r="69" spans="1:26" ht="36" customHeight="1">
      <c r="A69" s="1"/>
      <c r="B69" s="66" t="s">
        <v>6529</v>
      </c>
      <c r="C69" s="66"/>
      <c r="D69" s="96"/>
      <c r="E69" s="99"/>
      <c r="F69" s="99"/>
      <c r="G69" s="119"/>
      <c r="H69" s="119"/>
      <c r="I69" s="66"/>
      <c r="J69" s="68"/>
      <c r="K69" s="68"/>
      <c r="L69" s="96"/>
      <c r="M69" s="69"/>
      <c r="N69" s="68"/>
      <c r="O69" s="67"/>
      <c r="P69" s="67"/>
      <c r="Q69" s="67"/>
      <c r="R69" s="67"/>
      <c r="S69" s="71"/>
      <c r="T69" s="1"/>
      <c r="U69" s="1"/>
      <c r="V69" s="1"/>
      <c r="W69" s="1"/>
      <c r="X69" s="1"/>
      <c r="Y69" s="1"/>
      <c r="Z69" s="1"/>
    </row>
    <row r="70" spans="1:26" ht="36" customHeight="1">
      <c r="A70" s="1"/>
      <c r="B70" s="66" t="s">
        <v>6530</v>
      </c>
      <c r="C70" s="105"/>
      <c r="D70" s="96"/>
      <c r="E70" s="99"/>
      <c r="F70" s="99"/>
      <c r="G70" s="119"/>
      <c r="H70" s="119"/>
      <c r="I70" s="66"/>
      <c r="J70" s="68"/>
      <c r="K70" s="68"/>
      <c r="L70" s="96"/>
      <c r="M70" s="69"/>
      <c r="N70" s="68"/>
      <c r="O70" s="67"/>
      <c r="P70" s="67"/>
      <c r="Q70" s="67"/>
      <c r="R70" s="67"/>
      <c r="S70" s="67"/>
      <c r="T70" s="1"/>
      <c r="U70" s="1"/>
      <c r="V70" s="1"/>
      <c r="W70" s="1"/>
      <c r="X70" s="1"/>
      <c r="Y70" s="1"/>
      <c r="Z70" s="1"/>
    </row>
    <row r="71" spans="1:26" ht="36" customHeight="1">
      <c r="A71" s="1"/>
      <c r="B71" s="66" t="s">
        <v>6531</v>
      </c>
      <c r="C71" s="66"/>
      <c r="D71" s="96"/>
      <c r="E71" s="99"/>
      <c r="F71" s="99"/>
      <c r="G71" s="119"/>
      <c r="H71" s="119"/>
      <c r="I71" s="66"/>
      <c r="J71" s="68"/>
      <c r="K71" s="68"/>
      <c r="L71" s="96"/>
      <c r="M71" s="69"/>
      <c r="N71" s="68"/>
      <c r="O71" s="67"/>
      <c r="P71" s="67"/>
      <c r="Q71" s="67"/>
      <c r="R71" s="67"/>
      <c r="S71" s="67"/>
      <c r="T71" s="1"/>
      <c r="U71" s="1"/>
      <c r="V71" s="1"/>
      <c r="W71" s="1"/>
      <c r="X71" s="1"/>
      <c r="Y71" s="1"/>
      <c r="Z71" s="1"/>
    </row>
    <row r="72" spans="1:26" ht="36" customHeight="1">
      <c r="A72" s="1"/>
      <c r="B72" s="66" t="s">
        <v>6532</v>
      </c>
      <c r="C72" s="105"/>
      <c r="D72" s="106"/>
      <c r="E72" s="99"/>
      <c r="F72" s="99"/>
      <c r="G72" s="119"/>
      <c r="H72" s="119"/>
      <c r="I72" s="66"/>
      <c r="J72" s="68"/>
      <c r="K72" s="68"/>
      <c r="L72" s="96"/>
      <c r="M72" s="100"/>
      <c r="N72" s="104"/>
      <c r="O72" s="67"/>
      <c r="P72" s="67"/>
      <c r="Q72" s="67"/>
      <c r="R72" s="67"/>
      <c r="S72" s="67"/>
      <c r="T72" s="1"/>
      <c r="U72" s="1"/>
      <c r="V72" s="1"/>
      <c r="W72" s="1"/>
      <c r="X72" s="1"/>
      <c r="Y72" s="1"/>
      <c r="Z72" s="1"/>
    </row>
    <row r="73" spans="1:26" ht="36" customHeight="1">
      <c r="A73" s="1"/>
      <c r="B73" s="66" t="s">
        <v>6533</v>
      </c>
      <c r="C73" s="105"/>
      <c r="D73" s="106"/>
      <c r="E73" s="99"/>
      <c r="F73" s="99"/>
      <c r="G73" s="119"/>
      <c r="H73" s="119"/>
      <c r="I73" s="66"/>
      <c r="J73" s="68"/>
      <c r="K73" s="68"/>
      <c r="L73" s="96"/>
      <c r="M73" s="69"/>
      <c r="N73" s="69"/>
      <c r="O73" s="67"/>
      <c r="P73" s="67"/>
      <c r="Q73" s="67"/>
      <c r="R73" s="67"/>
      <c r="S73" s="71"/>
      <c r="T73" s="1"/>
      <c r="U73" s="1"/>
      <c r="V73" s="1"/>
      <c r="W73" s="1"/>
      <c r="X73" s="1"/>
      <c r="Y73" s="1"/>
      <c r="Z73" s="1"/>
    </row>
    <row r="74" spans="1:26" ht="36" customHeight="1">
      <c r="A74" s="1"/>
      <c r="B74" s="66" t="s">
        <v>6534</v>
      </c>
      <c r="C74" s="105"/>
      <c r="D74" s="106"/>
      <c r="E74" s="99"/>
      <c r="F74" s="99"/>
      <c r="G74" s="119"/>
      <c r="H74" s="119"/>
      <c r="I74" s="66"/>
      <c r="J74" s="68"/>
      <c r="K74" s="68"/>
      <c r="L74" s="96"/>
      <c r="M74" s="69"/>
      <c r="N74" s="69"/>
      <c r="O74" s="67"/>
      <c r="P74" s="67"/>
      <c r="Q74" s="67"/>
      <c r="R74" s="67"/>
      <c r="S74" s="71"/>
      <c r="T74" s="1"/>
      <c r="U74" s="1"/>
      <c r="V74" s="1"/>
      <c r="W74" s="1"/>
      <c r="X74" s="1"/>
      <c r="Y74" s="1"/>
      <c r="Z74" s="1"/>
    </row>
    <row r="75" spans="1:26" ht="36" customHeight="1">
      <c r="A75" s="1"/>
      <c r="B75" s="66" t="s">
        <v>6535</v>
      </c>
      <c r="C75" s="66"/>
      <c r="D75" s="96"/>
      <c r="E75" s="99"/>
      <c r="F75" s="99"/>
      <c r="G75" s="119"/>
      <c r="H75" s="119"/>
      <c r="I75" s="66"/>
      <c r="J75" s="68"/>
      <c r="K75" s="68"/>
      <c r="L75" s="96"/>
      <c r="M75" s="69"/>
      <c r="N75" s="68"/>
      <c r="O75" s="71"/>
      <c r="P75" s="67"/>
      <c r="Q75" s="67"/>
      <c r="R75" s="67"/>
      <c r="S75" s="71"/>
      <c r="T75" s="1"/>
      <c r="U75" s="1"/>
      <c r="V75" s="1"/>
      <c r="W75" s="1"/>
      <c r="X75" s="1"/>
      <c r="Y75" s="1"/>
      <c r="Z75" s="1"/>
    </row>
    <row r="76" spans="1:26" ht="36" customHeight="1">
      <c r="A76" s="1"/>
      <c r="B76" s="66" t="s">
        <v>6536</v>
      </c>
      <c r="C76" s="66"/>
      <c r="D76" s="96"/>
      <c r="E76" s="99"/>
      <c r="F76" s="99"/>
      <c r="G76" s="119"/>
      <c r="H76" s="119"/>
      <c r="I76" s="66"/>
      <c r="J76" s="68"/>
      <c r="K76" s="68"/>
      <c r="L76" s="96"/>
      <c r="M76" s="69"/>
      <c r="N76" s="69"/>
      <c r="O76" s="67"/>
      <c r="P76" s="67"/>
      <c r="Q76" s="67"/>
      <c r="R76" s="67"/>
      <c r="S76" s="71"/>
      <c r="T76" s="1"/>
      <c r="U76" s="1"/>
      <c r="V76" s="1"/>
      <c r="W76" s="1"/>
      <c r="X76" s="1"/>
      <c r="Y76" s="1"/>
      <c r="Z76" s="1"/>
    </row>
    <row r="77" spans="1:26" ht="36" customHeight="1">
      <c r="A77" s="1"/>
      <c r="B77" s="66" t="s">
        <v>6537</v>
      </c>
      <c r="C77" s="105"/>
      <c r="D77" s="106"/>
      <c r="E77" s="99"/>
      <c r="F77" s="99"/>
      <c r="G77" s="119"/>
      <c r="H77" s="119"/>
      <c r="I77" s="66"/>
      <c r="J77" s="68"/>
      <c r="K77" s="68"/>
      <c r="L77" s="96"/>
      <c r="M77" s="69"/>
      <c r="N77" s="68"/>
      <c r="O77" s="67"/>
      <c r="P77" s="67"/>
      <c r="Q77" s="67"/>
      <c r="R77" s="67"/>
      <c r="S77" s="67"/>
      <c r="T77" s="1"/>
      <c r="U77" s="1"/>
      <c r="V77" s="1"/>
      <c r="W77" s="1"/>
      <c r="X77" s="1"/>
      <c r="Y77" s="1"/>
      <c r="Z77" s="1"/>
    </row>
    <row r="78" spans="1:26" ht="36" customHeight="1">
      <c r="A78" s="1"/>
      <c r="B78" s="66" t="s">
        <v>6538</v>
      </c>
      <c r="C78" s="105"/>
      <c r="D78" s="106"/>
      <c r="E78" s="99"/>
      <c r="F78" s="99"/>
      <c r="G78" s="119"/>
      <c r="H78" s="119"/>
      <c r="I78" s="66"/>
      <c r="J78" s="68"/>
      <c r="K78" s="68"/>
      <c r="L78" s="96"/>
      <c r="M78" s="69"/>
      <c r="N78" s="68"/>
      <c r="O78" s="67"/>
      <c r="P78" s="67"/>
      <c r="Q78" s="67"/>
      <c r="R78" s="67"/>
      <c r="S78" s="71"/>
      <c r="T78" s="1"/>
      <c r="U78" s="1"/>
      <c r="V78" s="1"/>
      <c r="W78" s="1"/>
      <c r="X78" s="1"/>
      <c r="Y78" s="1"/>
      <c r="Z78" s="1"/>
    </row>
    <row r="79" spans="1:26" ht="36" customHeight="1">
      <c r="A79" s="1"/>
      <c r="B79" s="66" t="s">
        <v>6539</v>
      </c>
      <c r="C79" s="105"/>
      <c r="D79" s="106"/>
      <c r="E79" s="99"/>
      <c r="F79" s="99"/>
      <c r="G79" s="119"/>
      <c r="H79" s="119"/>
      <c r="I79" s="66"/>
      <c r="J79" s="68"/>
      <c r="K79" s="68"/>
      <c r="L79" s="96"/>
      <c r="M79" s="69"/>
      <c r="N79" s="69"/>
      <c r="O79" s="67"/>
      <c r="P79" s="67"/>
      <c r="Q79" s="67"/>
      <c r="R79" s="67"/>
      <c r="S79" s="71"/>
      <c r="T79" s="1"/>
      <c r="U79" s="1"/>
      <c r="V79" s="1"/>
      <c r="W79" s="1"/>
      <c r="X79" s="1"/>
      <c r="Y79" s="1"/>
      <c r="Z79" s="1"/>
    </row>
    <row r="80" spans="1:26" ht="36" customHeight="1">
      <c r="A80" s="1"/>
      <c r="B80" s="66" t="s">
        <v>6540</v>
      </c>
      <c r="C80" s="105"/>
      <c r="D80" s="106"/>
      <c r="E80" s="99"/>
      <c r="F80" s="99"/>
      <c r="G80" s="119"/>
      <c r="H80" s="119"/>
      <c r="I80" s="66"/>
      <c r="J80" s="68"/>
      <c r="K80" s="68"/>
      <c r="L80" s="96"/>
      <c r="M80" s="100"/>
      <c r="N80" s="69"/>
      <c r="O80" s="67"/>
      <c r="P80" s="67"/>
      <c r="Q80" s="67"/>
      <c r="R80" s="67"/>
      <c r="S80" s="71"/>
      <c r="T80" s="1"/>
      <c r="U80" s="1"/>
      <c r="V80" s="1"/>
      <c r="W80" s="1"/>
      <c r="X80" s="1"/>
      <c r="Y80" s="1"/>
      <c r="Z80" s="1"/>
    </row>
    <row r="81" spans="1:26" ht="36" customHeight="1">
      <c r="A81" s="1"/>
      <c r="B81" s="66" t="s">
        <v>6541</v>
      </c>
      <c r="C81" s="105"/>
      <c r="D81" s="106"/>
      <c r="E81" s="99"/>
      <c r="F81" s="99"/>
      <c r="G81" s="119"/>
      <c r="H81" s="119"/>
      <c r="I81" s="66"/>
      <c r="J81" s="68"/>
      <c r="K81" s="69"/>
      <c r="L81" s="96"/>
      <c r="M81" s="69"/>
      <c r="N81" s="69"/>
      <c r="O81" s="67"/>
      <c r="P81" s="70"/>
      <c r="Q81" s="67"/>
      <c r="R81" s="67"/>
      <c r="S81" s="71"/>
      <c r="T81" s="1"/>
      <c r="U81" s="1"/>
      <c r="V81" s="1"/>
      <c r="W81" s="1"/>
      <c r="X81" s="1"/>
      <c r="Y81" s="1"/>
      <c r="Z81" s="1"/>
    </row>
    <row r="82" spans="1:26" ht="36" customHeight="1">
      <c r="A82" s="1"/>
      <c r="B82" s="66" t="s">
        <v>6542</v>
      </c>
      <c r="C82" s="105"/>
      <c r="D82" s="106"/>
      <c r="E82" s="99"/>
      <c r="F82" s="99"/>
      <c r="G82" s="119"/>
      <c r="H82" s="119"/>
      <c r="I82" s="66"/>
      <c r="J82" s="68"/>
      <c r="K82" s="68"/>
      <c r="L82" s="96"/>
      <c r="M82" s="69"/>
      <c r="N82" s="69"/>
      <c r="O82" s="67"/>
      <c r="P82" s="70"/>
      <c r="Q82" s="67"/>
      <c r="R82" s="67"/>
      <c r="S82" s="71"/>
      <c r="T82" s="1"/>
      <c r="U82" s="1"/>
      <c r="V82" s="1"/>
      <c r="W82" s="1"/>
      <c r="X82" s="1"/>
      <c r="Y82" s="1"/>
      <c r="Z82" s="1"/>
    </row>
    <row r="83" spans="1:26" ht="36" customHeight="1">
      <c r="A83" s="1"/>
      <c r="B83" s="66" t="s">
        <v>6543</v>
      </c>
      <c r="C83" s="105"/>
      <c r="D83" s="106"/>
      <c r="E83" s="99"/>
      <c r="F83" s="99"/>
      <c r="G83" s="119"/>
      <c r="H83" s="119"/>
      <c r="I83" s="66"/>
      <c r="J83" s="68"/>
      <c r="K83" s="68"/>
      <c r="L83" s="96"/>
      <c r="M83" s="69"/>
      <c r="N83" s="69"/>
      <c r="O83" s="67"/>
      <c r="P83" s="70"/>
      <c r="Q83" s="67"/>
      <c r="R83" s="67"/>
      <c r="S83" s="71"/>
      <c r="T83" s="1"/>
      <c r="U83" s="1"/>
      <c r="V83" s="1"/>
      <c r="W83" s="1"/>
      <c r="X83" s="1"/>
      <c r="Y83" s="1"/>
      <c r="Z83" s="1"/>
    </row>
    <row r="84" spans="1:26" ht="36" customHeight="1">
      <c r="A84" s="1"/>
      <c r="B84" s="66" t="s">
        <v>6544</v>
      </c>
      <c r="C84" s="66"/>
      <c r="D84" s="106"/>
      <c r="E84" s="99"/>
      <c r="F84" s="99"/>
      <c r="G84" s="121"/>
      <c r="H84" s="121"/>
      <c r="I84" s="66"/>
      <c r="J84" s="68"/>
      <c r="K84" s="68"/>
      <c r="L84" s="96"/>
      <c r="M84" s="69"/>
      <c r="N84" s="69"/>
      <c r="O84" s="67"/>
      <c r="P84" s="67"/>
      <c r="Q84" s="67"/>
      <c r="R84" s="67"/>
      <c r="S84" s="71"/>
      <c r="T84" s="1"/>
      <c r="U84" s="1"/>
      <c r="V84" s="1"/>
      <c r="W84" s="1"/>
      <c r="X84" s="1"/>
      <c r="Y84" s="1"/>
      <c r="Z84" s="1"/>
    </row>
    <row r="85" spans="1:26" ht="36" customHeight="1">
      <c r="A85" s="1"/>
      <c r="B85" s="66" t="s">
        <v>6545</v>
      </c>
      <c r="C85" s="66"/>
      <c r="D85" s="106"/>
      <c r="E85" s="99"/>
      <c r="F85" s="99"/>
      <c r="G85" s="122"/>
      <c r="H85" s="122"/>
      <c r="I85" s="66"/>
      <c r="J85" s="68"/>
      <c r="K85" s="68"/>
      <c r="L85" s="96"/>
      <c r="M85" s="96"/>
      <c r="N85" s="69"/>
      <c r="O85" s="67"/>
      <c r="P85" s="67"/>
      <c r="Q85" s="67"/>
      <c r="R85" s="67"/>
      <c r="S85" s="71"/>
      <c r="T85" s="1"/>
      <c r="U85" s="1"/>
      <c r="V85" s="1"/>
      <c r="W85" s="1"/>
      <c r="X85" s="1"/>
      <c r="Y85" s="1"/>
      <c r="Z85" s="1"/>
    </row>
    <row r="86" spans="1:26" ht="36" customHeight="1">
      <c r="A86" s="1"/>
      <c r="B86" s="66" t="s">
        <v>6546</v>
      </c>
      <c r="C86" s="66"/>
      <c r="D86" s="96"/>
      <c r="E86" s="99"/>
      <c r="F86" s="99"/>
      <c r="G86" s="121"/>
      <c r="H86" s="121"/>
      <c r="I86" s="66"/>
      <c r="J86" s="68"/>
      <c r="K86" s="68"/>
      <c r="L86" s="96"/>
      <c r="M86" s="69"/>
      <c r="N86" s="69"/>
      <c r="O86" s="67"/>
      <c r="P86" s="67"/>
      <c r="Q86" s="67"/>
      <c r="R86" s="67"/>
      <c r="S86" s="67"/>
      <c r="T86" s="1"/>
      <c r="U86" s="1"/>
      <c r="V86" s="1"/>
      <c r="W86" s="1"/>
      <c r="X86" s="1"/>
      <c r="Y86" s="1"/>
      <c r="Z86" s="1"/>
    </row>
    <row r="87" spans="1:26" ht="36" customHeight="1">
      <c r="A87" s="1"/>
      <c r="B87" s="66" t="s">
        <v>6547</v>
      </c>
      <c r="C87" s="66"/>
      <c r="D87" s="96"/>
      <c r="E87" s="99"/>
      <c r="F87" s="99"/>
      <c r="G87" s="121"/>
      <c r="H87" s="121"/>
      <c r="I87" s="66"/>
      <c r="J87" s="68"/>
      <c r="K87" s="68"/>
      <c r="L87" s="96"/>
      <c r="M87" s="69"/>
      <c r="N87" s="69"/>
      <c r="O87" s="67"/>
      <c r="P87" s="67"/>
      <c r="Q87" s="67"/>
      <c r="R87" s="67"/>
      <c r="S87" s="71"/>
      <c r="T87" s="1"/>
      <c r="U87" s="1"/>
      <c r="V87" s="1"/>
      <c r="W87" s="1"/>
      <c r="X87" s="1"/>
      <c r="Y87" s="1"/>
      <c r="Z87" s="1"/>
    </row>
    <row r="88" spans="1:26" ht="36" customHeight="1">
      <c r="A88" s="1"/>
      <c r="B88" s="66" t="s">
        <v>6548</v>
      </c>
      <c r="C88" s="66"/>
      <c r="D88" s="96"/>
      <c r="E88" s="99"/>
      <c r="F88" s="99"/>
      <c r="G88" s="121"/>
      <c r="H88" s="121"/>
      <c r="I88" s="66"/>
      <c r="J88" s="68"/>
      <c r="K88" s="68"/>
      <c r="L88" s="96"/>
      <c r="M88" s="96"/>
      <c r="N88" s="69"/>
      <c r="O88" s="67"/>
      <c r="P88" s="67"/>
      <c r="Q88" s="67"/>
      <c r="R88" s="67"/>
      <c r="S88" s="71"/>
      <c r="T88" s="1"/>
      <c r="U88" s="1"/>
      <c r="V88" s="1"/>
      <c r="W88" s="1"/>
      <c r="X88" s="1"/>
      <c r="Y88" s="1"/>
      <c r="Z88" s="1"/>
    </row>
    <row r="89" spans="1:26" ht="36" customHeight="1">
      <c r="A89" s="1"/>
      <c r="B89" s="66" t="s">
        <v>6549</v>
      </c>
      <c r="C89" s="66"/>
      <c r="D89" s="96"/>
      <c r="E89" s="99"/>
      <c r="F89" s="99"/>
      <c r="G89" s="121"/>
      <c r="H89" s="121"/>
      <c r="I89" s="66"/>
      <c r="J89" s="68"/>
      <c r="K89" s="68"/>
      <c r="L89" s="96"/>
      <c r="M89" s="96"/>
      <c r="N89" s="69"/>
      <c r="O89" s="67"/>
      <c r="P89" s="67"/>
      <c r="Q89" s="67"/>
      <c r="R89" s="67"/>
      <c r="S89" s="67"/>
      <c r="T89" s="1"/>
      <c r="U89" s="1"/>
      <c r="V89" s="1"/>
      <c r="W89" s="1"/>
      <c r="X89" s="1"/>
      <c r="Y89" s="1"/>
      <c r="Z89" s="1"/>
    </row>
    <row r="90" spans="1:26" ht="36" customHeight="1">
      <c r="A90" s="1"/>
      <c r="B90" s="66" t="s">
        <v>6550</v>
      </c>
      <c r="C90" s="66"/>
      <c r="D90" s="96"/>
      <c r="E90" s="99"/>
      <c r="F90" s="99"/>
      <c r="G90" s="121"/>
      <c r="H90" s="121"/>
      <c r="I90" s="66"/>
      <c r="J90" s="68"/>
      <c r="K90" s="68"/>
      <c r="L90" s="96"/>
      <c r="M90" s="96"/>
      <c r="N90" s="69"/>
      <c r="O90" s="67"/>
      <c r="P90" s="67"/>
      <c r="Q90" s="67"/>
      <c r="R90" s="67"/>
      <c r="S90" s="71"/>
      <c r="T90" s="1"/>
      <c r="U90" s="1"/>
      <c r="V90" s="1"/>
      <c r="W90" s="1"/>
      <c r="X90" s="1"/>
      <c r="Y90" s="1"/>
      <c r="Z90" s="1"/>
    </row>
    <row r="91" spans="1:26" ht="36" customHeight="1">
      <c r="A91" s="1"/>
      <c r="B91" s="66" t="s">
        <v>6551</v>
      </c>
      <c r="C91" s="66"/>
      <c r="D91" s="96"/>
      <c r="E91" s="99"/>
      <c r="F91" s="99"/>
      <c r="G91" s="122"/>
      <c r="H91" s="122"/>
      <c r="I91" s="66"/>
      <c r="J91" s="68"/>
      <c r="K91" s="68"/>
      <c r="L91" s="96"/>
      <c r="M91" s="69"/>
      <c r="N91" s="69"/>
      <c r="O91" s="67"/>
      <c r="P91" s="67"/>
      <c r="Q91" s="67"/>
      <c r="R91" s="67"/>
      <c r="S91" s="71"/>
      <c r="T91" s="1"/>
      <c r="U91" s="1"/>
      <c r="V91" s="1"/>
      <c r="W91" s="1"/>
      <c r="X91" s="1"/>
      <c r="Y91" s="1"/>
      <c r="Z91" s="1"/>
    </row>
    <row r="92" spans="1:26" ht="36" customHeight="1">
      <c r="A92" s="1"/>
      <c r="B92" s="66" t="s">
        <v>6552</v>
      </c>
      <c r="C92" s="66"/>
      <c r="D92" s="96"/>
      <c r="E92" s="99"/>
      <c r="F92" s="99"/>
      <c r="G92" s="121"/>
      <c r="H92" s="121"/>
      <c r="I92" s="66"/>
      <c r="J92" s="68"/>
      <c r="K92" s="68"/>
      <c r="L92" s="96"/>
      <c r="M92" s="96"/>
      <c r="N92" s="69"/>
      <c r="O92" s="67"/>
      <c r="P92" s="67"/>
      <c r="Q92" s="67"/>
      <c r="R92" s="67"/>
      <c r="S92" s="71"/>
      <c r="T92" s="1"/>
      <c r="U92" s="1"/>
      <c r="V92" s="1"/>
      <c r="W92" s="1"/>
      <c r="X92" s="1"/>
      <c r="Y92" s="1"/>
      <c r="Z92" s="1"/>
    </row>
    <row r="93" spans="1:26" ht="36" customHeight="1">
      <c r="A93" s="1"/>
      <c r="B93" s="66" t="s">
        <v>6553</v>
      </c>
      <c r="C93" s="66"/>
      <c r="D93" s="96"/>
      <c r="E93" s="99"/>
      <c r="F93" s="99"/>
      <c r="G93" s="121"/>
      <c r="H93" s="121"/>
      <c r="I93" s="66"/>
      <c r="J93" s="68"/>
      <c r="K93" s="68"/>
      <c r="L93" s="96"/>
      <c r="M93" s="69"/>
      <c r="N93" s="69"/>
      <c r="O93" s="67"/>
      <c r="P93" s="67"/>
      <c r="Q93" s="67"/>
      <c r="R93" s="67"/>
      <c r="S93" s="71"/>
      <c r="T93" s="1"/>
      <c r="U93" s="1"/>
      <c r="V93" s="1"/>
      <c r="W93" s="1"/>
      <c r="X93" s="1"/>
      <c r="Y93" s="1"/>
      <c r="Z93" s="1"/>
    </row>
    <row r="94" spans="1:26" ht="36" customHeight="1">
      <c r="A94" s="1"/>
      <c r="B94" s="66" t="s">
        <v>6554</v>
      </c>
      <c r="C94" s="66"/>
      <c r="D94" s="96"/>
      <c r="E94" s="99"/>
      <c r="F94" s="99"/>
      <c r="G94" s="122"/>
      <c r="H94" s="122"/>
      <c r="I94" s="66"/>
      <c r="J94" s="68"/>
      <c r="K94" s="68"/>
      <c r="L94" s="96"/>
      <c r="M94" s="69"/>
      <c r="N94" s="69"/>
      <c r="O94" s="67"/>
      <c r="P94" s="67"/>
      <c r="Q94" s="67"/>
      <c r="R94" s="67"/>
      <c r="S94" s="71"/>
      <c r="T94" s="1"/>
      <c r="U94" s="1"/>
      <c r="V94" s="1"/>
      <c r="W94" s="1"/>
      <c r="X94" s="1"/>
      <c r="Y94" s="1"/>
      <c r="Z94" s="1"/>
    </row>
    <row r="95" spans="1:26" ht="36" customHeight="1">
      <c r="A95" s="1"/>
      <c r="B95" s="66" t="s">
        <v>6555</v>
      </c>
      <c r="C95" s="66"/>
      <c r="D95" s="96"/>
      <c r="E95" s="99"/>
      <c r="F95" s="99"/>
      <c r="G95" s="121"/>
      <c r="H95" s="121"/>
      <c r="I95" s="66"/>
      <c r="J95" s="68"/>
      <c r="K95" s="68"/>
      <c r="L95" s="96"/>
      <c r="M95" s="69"/>
      <c r="N95" s="69"/>
      <c r="O95" s="67"/>
      <c r="P95" s="67"/>
      <c r="Q95" s="67"/>
      <c r="R95" s="67"/>
      <c r="S95" s="71"/>
      <c r="T95" s="1"/>
      <c r="U95" s="1"/>
      <c r="V95" s="1"/>
      <c r="W95" s="1"/>
      <c r="X95" s="1"/>
      <c r="Y95" s="1"/>
      <c r="Z95" s="1"/>
    </row>
    <row r="96" spans="1:26" ht="36" customHeight="1">
      <c r="A96" s="1"/>
      <c r="B96" s="66" t="s">
        <v>6556</v>
      </c>
      <c r="C96" s="66"/>
      <c r="D96" s="96"/>
      <c r="E96" s="99"/>
      <c r="F96" s="99"/>
      <c r="G96" s="121"/>
      <c r="H96" s="121"/>
      <c r="I96" s="66"/>
      <c r="J96" s="68"/>
      <c r="K96" s="68"/>
      <c r="L96" s="96"/>
      <c r="M96" s="96"/>
      <c r="N96" s="69"/>
      <c r="O96" s="67"/>
      <c r="P96" s="67"/>
      <c r="Q96" s="67"/>
      <c r="R96" s="67"/>
      <c r="S96" s="71"/>
      <c r="T96" s="1"/>
      <c r="U96" s="1"/>
      <c r="V96" s="1"/>
      <c r="W96" s="1"/>
      <c r="X96" s="1"/>
      <c r="Y96" s="1"/>
      <c r="Z96" s="1"/>
    </row>
    <row r="97" spans="1:26" ht="36" customHeight="1">
      <c r="A97" s="1"/>
      <c r="B97" s="66" t="s">
        <v>6557</v>
      </c>
      <c r="C97" s="66"/>
      <c r="D97" s="96"/>
      <c r="E97" s="99"/>
      <c r="F97" s="99"/>
      <c r="G97" s="122"/>
      <c r="H97" s="122"/>
      <c r="I97" s="66"/>
      <c r="J97" s="68"/>
      <c r="K97" s="68"/>
      <c r="L97" s="96"/>
      <c r="M97" s="69"/>
      <c r="N97" s="69"/>
      <c r="O97" s="67"/>
      <c r="P97" s="67"/>
      <c r="Q97" s="67"/>
      <c r="R97" s="67"/>
      <c r="S97" s="71"/>
      <c r="T97" s="1"/>
      <c r="U97" s="1"/>
      <c r="V97" s="1"/>
      <c r="W97" s="1"/>
      <c r="X97" s="1"/>
      <c r="Y97" s="1"/>
      <c r="Z97" s="1"/>
    </row>
    <row r="98" spans="1:26" ht="36" customHeight="1">
      <c r="A98" s="1"/>
      <c r="B98" s="66" t="s">
        <v>6558</v>
      </c>
      <c r="C98" s="66"/>
      <c r="D98" s="96"/>
      <c r="E98" s="99"/>
      <c r="F98" s="99"/>
      <c r="G98" s="122"/>
      <c r="H98" s="122"/>
      <c r="I98" s="66"/>
      <c r="J98" s="68"/>
      <c r="K98" s="68"/>
      <c r="L98" s="96"/>
      <c r="M98" s="96"/>
      <c r="N98" s="69"/>
      <c r="O98" s="67"/>
      <c r="P98" s="67"/>
      <c r="Q98" s="67"/>
      <c r="R98" s="67"/>
      <c r="S98" s="71"/>
      <c r="T98" s="1"/>
      <c r="U98" s="1"/>
      <c r="V98" s="1"/>
      <c r="W98" s="1"/>
      <c r="X98" s="1"/>
      <c r="Y98" s="1"/>
      <c r="Z98" s="1"/>
    </row>
    <row r="99" spans="1:26" ht="36" customHeight="1">
      <c r="A99" s="1"/>
      <c r="B99" s="66" t="s">
        <v>6559</v>
      </c>
      <c r="C99" s="66"/>
      <c r="D99" s="96"/>
      <c r="E99" s="99"/>
      <c r="F99" s="99"/>
      <c r="G99" s="121"/>
      <c r="H99" s="121"/>
      <c r="I99" s="66"/>
      <c r="J99" s="68"/>
      <c r="K99" s="68"/>
      <c r="L99" s="96"/>
      <c r="M99" s="96"/>
      <c r="N99" s="69"/>
      <c r="O99" s="67"/>
      <c r="P99" s="67"/>
      <c r="Q99" s="67"/>
      <c r="R99" s="67"/>
      <c r="S99" s="71"/>
      <c r="T99" s="1"/>
      <c r="U99" s="1"/>
      <c r="V99" s="1"/>
      <c r="W99" s="1"/>
      <c r="X99" s="1"/>
      <c r="Y99" s="1"/>
      <c r="Z99" s="1"/>
    </row>
    <row r="100" spans="1:26" ht="36" customHeight="1">
      <c r="A100" s="1"/>
      <c r="B100" s="66" t="s">
        <v>6560</v>
      </c>
      <c r="C100" s="66"/>
      <c r="D100" s="96"/>
      <c r="E100" s="99"/>
      <c r="F100" s="99"/>
      <c r="G100" s="122"/>
      <c r="H100" s="122"/>
      <c r="I100" s="66"/>
      <c r="J100" s="68"/>
      <c r="K100" s="68"/>
      <c r="L100" s="96"/>
      <c r="M100" s="69"/>
      <c r="N100" s="69"/>
      <c r="O100" s="67"/>
      <c r="P100" s="67"/>
      <c r="Q100" s="67"/>
      <c r="R100" s="67"/>
      <c r="S100" s="71"/>
      <c r="T100" s="1"/>
      <c r="U100" s="1"/>
      <c r="V100" s="1"/>
      <c r="W100" s="1"/>
      <c r="X100" s="1"/>
      <c r="Y100" s="1"/>
      <c r="Z100" s="1"/>
    </row>
    <row r="101" spans="1:26" ht="36" customHeight="1">
      <c r="A101" s="1"/>
      <c r="B101" s="66" t="s">
        <v>6561</v>
      </c>
      <c r="C101" s="66"/>
      <c r="D101" s="96"/>
      <c r="E101" s="99"/>
      <c r="F101" s="99"/>
      <c r="G101" s="119"/>
      <c r="H101" s="119"/>
      <c r="I101" s="66"/>
      <c r="J101" s="68"/>
      <c r="K101" s="68"/>
      <c r="L101" s="96"/>
      <c r="M101" s="69"/>
      <c r="N101" s="69"/>
      <c r="O101" s="67"/>
      <c r="P101" s="67"/>
      <c r="Q101" s="67"/>
      <c r="R101" s="67"/>
      <c r="S101" s="71"/>
      <c r="T101" s="1"/>
      <c r="U101" s="1"/>
      <c r="V101" s="1"/>
      <c r="W101" s="1"/>
      <c r="X101" s="1"/>
      <c r="Y101" s="1"/>
      <c r="Z101" s="1"/>
    </row>
    <row r="102" spans="1:26" ht="36" customHeight="1">
      <c r="A102" s="1"/>
      <c r="B102" s="66" t="s">
        <v>6562</v>
      </c>
      <c r="C102" s="66"/>
      <c r="D102" s="96"/>
      <c r="E102" s="99"/>
      <c r="F102" s="99"/>
      <c r="G102" s="119"/>
      <c r="H102" s="119"/>
      <c r="I102" s="66"/>
      <c r="J102" s="68"/>
      <c r="K102" s="68"/>
      <c r="L102" s="96"/>
      <c r="M102" s="69"/>
      <c r="N102" s="69"/>
      <c r="O102" s="67"/>
      <c r="P102" s="67"/>
      <c r="Q102" s="67"/>
      <c r="R102" s="67"/>
      <c r="S102" s="71"/>
      <c r="T102" s="1"/>
      <c r="U102" s="1"/>
      <c r="V102" s="1"/>
      <c r="W102" s="1"/>
      <c r="X102" s="1"/>
      <c r="Y102" s="1"/>
      <c r="Z102" s="1"/>
    </row>
    <row r="103" spans="1:26" ht="36" customHeight="1">
      <c r="A103" s="1"/>
      <c r="B103" s="66" t="s">
        <v>6563</v>
      </c>
      <c r="C103" s="66"/>
      <c r="D103" s="96"/>
      <c r="E103" s="99"/>
      <c r="F103" s="99"/>
      <c r="G103" s="119"/>
      <c r="H103" s="119"/>
      <c r="I103" s="66"/>
      <c r="J103" s="68"/>
      <c r="K103" s="68"/>
      <c r="L103" s="96"/>
      <c r="M103" s="69"/>
      <c r="N103" s="69"/>
      <c r="O103" s="67"/>
      <c r="P103" s="67"/>
      <c r="Q103" s="67"/>
      <c r="R103" s="67"/>
      <c r="S103" s="71"/>
      <c r="T103" s="1"/>
      <c r="U103" s="1"/>
      <c r="V103" s="1"/>
      <c r="W103" s="1"/>
      <c r="X103" s="1"/>
      <c r="Y103" s="1"/>
      <c r="Z103" s="1"/>
    </row>
    <row r="104" spans="1:26" ht="36" customHeight="1">
      <c r="A104" s="1"/>
      <c r="B104" s="66" t="s">
        <v>6564</v>
      </c>
      <c r="C104" s="66"/>
      <c r="D104" s="96"/>
      <c r="E104" s="99"/>
      <c r="F104" s="99"/>
      <c r="G104" s="122"/>
      <c r="H104" s="122"/>
      <c r="I104" s="66"/>
      <c r="J104" s="68"/>
      <c r="K104" s="68"/>
      <c r="L104" s="96"/>
      <c r="M104" s="69"/>
      <c r="N104" s="69"/>
      <c r="O104" s="67"/>
      <c r="P104" s="67"/>
      <c r="Q104" s="67"/>
      <c r="R104" s="67"/>
      <c r="S104" s="71"/>
      <c r="T104" s="1"/>
      <c r="U104" s="1"/>
      <c r="V104" s="1"/>
      <c r="W104" s="1"/>
      <c r="X104" s="1"/>
      <c r="Y104" s="1"/>
      <c r="Z104" s="1"/>
    </row>
    <row r="105" spans="1:26" ht="36" customHeight="1">
      <c r="A105" s="1"/>
      <c r="B105" s="66" t="s">
        <v>6565</v>
      </c>
      <c r="C105" s="66"/>
      <c r="D105" s="96"/>
      <c r="E105" s="99"/>
      <c r="F105" s="99"/>
      <c r="G105" s="119"/>
      <c r="H105" s="119"/>
      <c r="I105" s="66"/>
      <c r="J105" s="68"/>
      <c r="K105" s="68"/>
      <c r="L105" s="96"/>
      <c r="M105" s="69"/>
      <c r="N105" s="69"/>
      <c r="O105" s="67"/>
      <c r="P105" s="67"/>
      <c r="Q105" s="67"/>
      <c r="R105" s="67"/>
      <c r="S105" s="71"/>
      <c r="T105" s="1"/>
      <c r="U105" s="1"/>
      <c r="V105" s="1"/>
      <c r="W105" s="1"/>
      <c r="X105" s="1"/>
      <c r="Y105" s="1"/>
      <c r="Z105" s="1"/>
    </row>
    <row r="106" spans="1:26" ht="36" customHeight="1">
      <c r="A106" s="1"/>
      <c r="B106" s="66" t="s">
        <v>6566</v>
      </c>
      <c r="C106" s="66"/>
      <c r="D106" s="96"/>
      <c r="E106" s="99"/>
      <c r="F106" s="99"/>
      <c r="G106" s="121"/>
      <c r="H106" s="121"/>
      <c r="I106" s="66"/>
      <c r="J106" s="68"/>
      <c r="K106" s="68"/>
      <c r="L106" s="96"/>
      <c r="M106" s="69"/>
      <c r="N106" s="69"/>
      <c r="O106" s="67"/>
      <c r="P106" s="67"/>
      <c r="Q106" s="67"/>
      <c r="R106" s="67"/>
      <c r="S106" s="71"/>
      <c r="T106" s="1"/>
      <c r="U106" s="1"/>
      <c r="V106" s="1"/>
      <c r="W106" s="1"/>
      <c r="X106" s="1"/>
      <c r="Y106" s="1"/>
      <c r="Z106" s="1"/>
    </row>
    <row r="107" spans="1:26" ht="36" customHeight="1">
      <c r="A107" s="1"/>
      <c r="B107" s="66" t="s">
        <v>6567</v>
      </c>
      <c r="C107" s="66"/>
      <c r="D107" s="96"/>
      <c r="E107" s="99"/>
      <c r="F107" s="99"/>
      <c r="G107" s="119"/>
      <c r="H107" s="119"/>
      <c r="I107" s="66"/>
      <c r="J107" s="68"/>
      <c r="K107" s="68"/>
      <c r="L107" s="96"/>
      <c r="M107" s="69"/>
      <c r="N107" s="69"/>
      <c r="O107" s="67"/>
      <c r="P107" s="67"/>
      <c r="Q107" s="67"/>
      <c r="R107" s="67"/>
      <c r="S107" s="71"/>
      <c r="T107" s="1"/>
      <c r="U107" s="1"/>
      <c r="V107" s="1"/>
      <c r="W107" s="1"/>
      <c r="X107" s="1"/>
      <c r="Y107" s="1"/>
      <c r="Z107" s="1"/>
    </row>
    <row r="108" spans="1:26" ht="36" customHeight="1">
      <c r="A108" s="1"/>
      <c r="B108" s="66" t="s">
        <v>6568</v>
      </c>
      <c r="C108" s="66"/>
      <c r="D108" s="96"/>
      <c r="E108" s="99"/>
      <c r="F108" s="99"/>
      <c r="G108" s="119"/>
      <c r="H108" s="119"/>
      <c r="I108" s="66"/>
      <c r="J108" s="68"/>
      <c r="K108" s="68"/>
      <c r="L108" s="96"/>
      <c r="M108" s="69"/>
      <c r="N108" s="69"/>
      <c r="O108" s="67"/>
      <c r="P108" s="67"/>
      <c r="Q108" s="67"/>
      <c r="R108" s="67"/>
      <c r="S108" s="71"/>
      <c r="T108" s="1"/>
      <c r="U108" s="1"/>
      <c r="V108" s="1"/>
      <c r="W108" s="1"/>
      <c r="X108" s="1"/>
      <c r="Y108" s="1"/>
      <c r="Z108" s="1"/>
    </row>
    <row r="109" spans="1:26" ht="36" customHeight="1">
      <c r="A109" s="1"/>
      <c r="B109" s="66" t="s">
        <v>6569</v>
      </c>
      <c r="C109" s="66"/>
      <c r="D109" s="96"/>
      <c r="E109" s="99"/>
      <c r="F109" s="99"/>
      <c r="G109" s="121"/>
      <c r="H109" s="121"/>
      <c r="I109" s="66"/>
      <c r="J109" s="68"/>
      <c r="K109" s="68"/>
      <c r="L109" s="96"/>
      <c r="M109" s="96"/>
      <c r="N109" s="107"/>
      <c r="O109" s="67"/>
      <c r="P109" s="67"/>
      <c r="Q109" s="67"/>
      <c r="R109" s="67"/>
      <c r="S109" s="71"/>
      <c r="T109" s="92"/>
      <c r="U109" s="1"/>
      <c r="V109" s="1"/>
      <c r="W109" s="1"/>
      <c r="X109" s="1"/>
      <c r="Y109" s="1"/>
      <c r="Z109" s="1"/>
    </row>
    <row r="110" spans="1:26" ht="36" customHeight="1">
      <c r="A110" s="1"/>
      <c r="B110" s="66" t="s">
        <v>6570</v>
      </c>
      <c r="C110" s="66"/>
      <c r="D110" s="96"/>
      <c r="E110" s="99"/>
      <c r="F110" s="99"/>
      <c r="G110" s="119"/>
      <c r="H110" s="119"/>
      <c r="I110" s="68"/>
      <c r="J110" s="68"/>
      <c r="K110" s="68"/>
      <c r="L110" s="69"/>
      <c r="M110" s="69"/>
      <c r="N110" s="69"/>
      <c r="O110" s="68"/>
      <c r="P110" s="67"/>
      <c r="Q110" s="67"/>
      <c r="R110" s="67"/>
      <c r="S110" s="71"/>
      <c r="T110" s="1"/>
      <c r="U110" s="1"/>
      <c r="V110" s="1"/>
      <c r="W110" s="1"/>
      <c r="X110" s="1"/>
      <c r="Y110" s="1"/>
      <c r="Z110" s="1"/>
    </row>
    <row r="111" spans="1:26" ht="36" customHeight="1">
      <c r="A111" s="1"/>
      <c r="B111" s="66" t="s">
        <v>6571</v>
      </c>
      <c r="C111" s="66"/>
      <c r="D111" s="96"/>
      <c r="E111" s="99"/>
      <c r="F111" s="99"/>
      <c r="G111" s="122"/>
      <c r="H111" s="122"/>
      <c r="I111" s="68"/>
      <c r="J111" s="68"/>
      <c r="K111" s="68"/>
      <c r="L111" s="69"/>
      <c r="M111" s="69"/>
      <c r="N111" s="69"/>
      <c r="O111" s="68"/>
      <c r="P111" s="67"/>
      <c r="Q111" s="67"/>
      <c r="R111" s="67"/>
      <c r="S111" s="71"/>
      <c r="T111" s="1"/>
      <c r="U111" s="1"/>
      <c r="V111" s="1"/>
      <c r="W111" s="1"/>
      <c r="X111" s="1"/>
      <c r="Y111" s="1"/>
      <c r="Z111" s="1"/>
    </row>
    <row r="112" spans="1:26" ht="36" customHeight="1">
      <c r="A112" s="1"/>
      <c r="B112" s="66" t="s">
        <v>6572</v>
      </c>
      <c r="C112" s="66"/>
      <c r="D112" s="96"/>
      <c r="E112" s="99"/>
      <c r="F112" s="97"/>
      <c r="G112" s="119"/>
      <c r="H112" s="119"/>
      <c r="I112" s="71"/>
      <c r="J112" s="68"/>
      <c r="K112" s="68"/>
      <c r="L112" s="96"/>
      <c r="M112" s="69"/>
      <c r="N112" s="68"/>
      <c r="O112" s="68"/>
      <c r="P112" s="67"/>
      <c r="Q112" s="67"/>
      <c r="R112" s="71"/>
      <c r="S112" s="71"/>
      <c r="T112" s="1"/>
      <c r="U112" s="1"/>
      <c r="V112" s="1"/>
      <c r="W112" s="1"/>
      <c r="X112" s="1"/>
      <c r="Y112" s="1"/>
      <c r="Z112" s="1"/>
    </row>
    <row r="113" spans="1:26" ht="36" customHeight="1">
      <c r="A113" s="1"/>
      <c r="B113" s="66" t="s">
        <v>6573</v>
      </c>
      <c r="C113" s="66"/>
      <c r="D113" s="96"/>
      <c r="E113" s="99"/>
      <c r="F113" s="99"/>
      <c r="G113" s="123"/>
      <c r="H113" s="123"/>
      <c r="I113" s="68"/>
      <c r="J113" s="71"/>
      <c r="K113" s="71"/>
      <c r="L113" s="96"/>
      <c r="M113" s="96"/>
      <c r="N113" s="100"/>
      <c r="O113" s="69"/>
      <c r="P113" s="67"/>
      <c r="Q113" s="67"/>
      <c r="R113" s="71"/>
      <c r="S113" s="71"/>
      <c r="T113" s="1"/>
      <c r="U113" s="1"/>
      <c r="V113" s="1"/>
      <c r="W113" s="1"/>
      <c r="X113" s="1"/>
      <c r="Y113" s="1"/>
      <c r="Z113" s="1"/>
    </row>
    <row r="114" spans="1:26" ht="36" customHeight="1">
      <c r="A114" s="1"/>
      <c r="B114" s="66" t="s">
        <v>6574</v>
      </c>
      <c r="C114" s="66"/>
      <c r="D114" s="96"/>
      <c r="E114" s="99"/>
      <c r="F114" s="99"/>
      <c r="G114" s="123"/>
      <c r="H114" s="123"/>
      <c r="I114" s="71"/>
      <c r="J114" s="68"/>
      <c r="K114" s="68"/>
      <c r="L114" s="96"/>
      <c r="M114" s="96"/>
      <c r="N114" s="69"/>
      <c r="O114" s="68"/>
      <c r="P114" s="67"/>
      <c r="Q114" s="67"/>
      <c r="R114" s="71"/>
      <c r="S114" s="71"/>
      <c r="T114" s="1"/>
      <c r="U114" s="1"/>
      <c r="V114" s="1"/>
      <c r="W114" s="1"/>
      <c r="X114" s="1"/>
      <c r="Y114" s="1"/>
      <c r="Z114" s="1"/>
    </row>
    <row r="115" spans="1:26" ht="36" customHeight="1">
      <c r="A115" s="1"/>
      <c r="B115" s="66" t="s">
        <v>6575</v>
      </c>
      <c r="C115" s="66"/>
      <c r="D115" s="96"/>
      <c r="E115" s="99"/>
      <c r="F115" s="99"/>
      <c r="G115" s="123"/>
      <c r="H115" s="123"/>
      <c r="I115" s="71"/>
      <c r="J115" s="68"/>
      <c r="K115" s="68"/>
      <c r="L115" s="96"/>
      <c r="M115" s="96"/>
      <c r="N115" s="69"/>
      <c r="O115" s="68"/>
      <c r="P115" s="67"/>
      <c r="Q115" s="67"/>
      <c r="R115" s="67"/>
      <c r="S115" s="71"/>
      <c r="T115" s="1"/>
      <c r="U115" s="1"/>
      <c r="V115" s="1"/>
      <c r="W115" s="1"/>
      <c r="X115" s="1"/>
      <c r="Y115" s="1"/>
      <c r="Z115" s="1"/>
    </row>
    <row r="116" spans="1:26" ht="36" customHeight="1">
      <c r="A116" s="1"/>
      <c r="B116" s="66" t="s">
        <v>6576</v>
      </c>
      <c r="C116" s="66"/>
      <c r="D116" s="96"/>
      <c r="E116" s="99"/>
      <c r="F116" s="99"/>
      <c r="G116" s="119"/>
      <c r="H116" s="119"/>
      <c r="I116" s="66"/>
      <c r="J116" s="68"/>
      <c r="K116" s="68"/>
      <c r="L116" s="96"/>
      <c r="M116" s="69"/>
      <c r="N116" s="69"/>
      <c r="O116" s="67"/>
      <c r="P116" s="67"/>
      <c r="Q116" s="67"/>
      <c r="R116" s="67"/>
      <c r="S116" s="71"/>
      <c r="T116" s="1"/>
      <c r="U116" s="1"/>
      <c r="V116" s="1"/>
      <c r="W116" s="1"/>
      <c r="X116" s="1"/>
      <c r="Y116" s="1"/>
      <c r="Z116" s="1"/>
    </row>
    <row r="117" spans="1:26" ht="36" customHeight="1">
      <c r="A117" s="1"/>
      <c r="B117" s="66" t="s">
        <v>6577</v>
      </c>
      <c r="C117" s="66"/>
      <c r="D117" s="96"/>
      <c r="E117" s="99"/>
      <c r="F117" s="99"/>
      <c r="G117" s="119"/>
      <c r="H117" s="119"/>
      <c r="I117" s="66"/>
      <c r="J117" s="68"/>
      <c r="K117" s="68"/>
      <c r="L117" s="96"/>
      <c r="M117" s="69"/>
      <c r="N117" s="69"/>
      <c r="O117" s="67"/>
      <c r="P117" s="67"/>
      <c r="Q117" s="67"/>
      <c r="R117" s="67"/>
      <c r="S117" s="71"/>
      <c r="T117" s="1"/>
      <c r="U117" s="1"/>
      <c r="V117" s="1"/>
      <c r="W117" s="1"/>
      <c r="X117" s="1"/>
      <c r="Y117" s="1"/>
      <c r="Z117" s="1"/>
    </row>
    <row r="118" spans="1:26" ht="36" customHeight="1">
      <c r="A118" s="1"/>
      <c r="B118" s="66" t="s">
        <v>6578</v>
      </c>
      <c r="C118" s="66"/>
      <c r="D118" s="96"/>
      <c r="E118" s="99"/>
      <c r="F118" s="99"/>
      <c r="G118" s="119"/>
      <c r="H118" s="119"/>
      <c r="I118" s="66"/>
      <c r="J118" s="68"/>
      <c r="K118" s="68"/>
      <c r="L118" s="96"/>
      <c r="M118" s="69"/>
      <c r="N118" s="69"/>
      <c r="O118" s="67"/>
      <c r="P118" s="67"/>
      <c r="Q118" s="67"/>
      <c r="R118" s="67"/>
      <c r="S118" s="71"/>
      <c r="T118" s="1"/>
      <c r="U118" s="1"/>
      <c r="V118" s="1"/>
      <c r="W118" s="1"/>
      <c r="X118" s="1"/>
      <c r="Y118" s="1"/>
      <c r="Z118" s="1"/>
    </row>
    <row r="119" spans="1:26" ht="36" customHeight="1">
      <c r="A119" s="1"/>
      <c r="B119" s="66" t="s">
        <v>6579</v>
      </c>
      <c r="C119" s="66"/>
      <c r="D119" s="96"/>
      <c r="E119" s="99"/>
      <c r="F119" s="99"/>
      <c r="G119" s="119"/>
      <c r="H119" s="119"/>
      <c r="I119" s="66"/>
      <c r="J119" s="68"/>
      <c r="K119" s="68"/>
      <c r="L119" s="96"/>
      <c r="M119" s="69"/>
      <c r="N119" s="69"/>
      <c r="O119" s="67"/>
      <c r="P119" s="67"/>
      <c r="Q119" s="67"/>
      <c r="R119" s="67"/>
      <c r="S119" s="71"/>
      <c r="T119" s="1"/>
      <c r="U119" s="1"/>
      <c r="V119" s="1"/>
      <c r="W119" s="1"/>
      <c r="X119" s="1"/>
      <c r="Y119" s="1"/>
      <c r="Z119" s="1"/>
    </row>
    <row r="120" spans="1:26" ht="36" customHeight="1">
      <c r="A120" s="1"/>
      <c r="B120" s="66" t="s">
        <v>6580</v>
      </c>
      <c r="C120" s="66"/>
      <c r="D120" s="96"/>
      <c r="E120" s="99"/>
      <c r="F120" s="99"/>
      <c r="G120" s="119"/>
      <c r="H120" s="119"/>
      <c r="I120" s="66"/>
      <c r="J120" s="68"/>
      <c r="K120" s="68"/>
      <c r="L120" s="96"/>
      <c r="M120" s="69"/>
      <c r="N120" s="69"/>
      <c r="O120" s="67"/>
      <c r="P120" s="67"/>
      <c r="Q120" s="67"/>
      <c r="R120" s="67"/>
      <c r="S120" s="71"/>
      <c r="T120" s="1"/>
      <c r="U120" s="1"/>
      <c r="V120" s="1"/>
      <c r="W120" s="1"/>
      <c r="X120" s="1"/>
      <c r="Y120" s="1"/>
      <c r="Z120" s="1"/>
    </row>
    <row r="121" spans="1:26" ht="36" customHeight="1">
      <c r="A121" s="1"/>
      <c r="B121" s="66" t="s">
        <v>6581</v>
      </c>
      <c r="C121" s="66"/>
      <c r="D121" s="96"/>
      <c r="E121" s="99"/>
      <c r="F121" s="99"/>
      <c r="G121" s="119"/>
      <c r="H121" s="119"/>
      <c r="I121" s="66"/>
      <c r="J121" s="68"/>
      <c r="K121" s="68"/>
      <c r="L121" s="96"/>
      <c r="M121" s="69"/>
      <c r="N121" s="69"/>
      <c r="O121" s="67"/>
      <c r="P121" s="67"/>
      <c r="Q121" s="67"/>
      <c r="R121" s="67"/>
      <c r="S121" s="71"/>
      <c r="T121" s="1"/>
      <c r="U121" s="1"/>
      <c r="V121" s="1"/>
      <c r="W121" s="1"/>
      <c r="X121" s="1"/>
      <c r="Y121" s="1"/>
      <c r="Z121" s="1"/>
    </row>
    <row r="122" spans="1:26" ht="36" customHeight="1">
      <c r="A122" s="1"/>
      <c r="B122" s="66" t="s">
        <v>6582</v>
      </c>
      <c r="C122" s="66"/>
      <c r="D122" s="96"/>
      <c r="E122" s="99"/>
      <c r="F122" s="99"/>
      <c r="G122" s="119"/>
      <c r="H122" s="119"/>
      <c r="I122" s="66"/>
      <c r="J122" s="68"/>
      <c r="K122" s="68"/>
      <c r="L122" s="96"/>
      <c r="M122" s="69"/>
      <c r="N122" s="69"/>
      <c r="O122" s="67"/>
      <c r="P122" s="67"/>
      <c r="Q122" s="67"/>
      <c r="R122" s="67"/>
      <c r="S122" s="71"/>
      <c r="T122" s="1"/>
      <c r="U122" s="1"/>
      <c r="V122" s="1"/>
      <c r="W122" s="1"/>
      <c r="X122" s="1"/>
      <c r="Y122" s="1"/>
      <c r="Z122" s="1"/>
    </row>
    <row r="123" spans="1:26" ht="36" customHeight="1">
      <c r="A123" s="1"/>
      <c r="B123" s="66" t="s">
        <v>6583</v>
      </c>
      <c r="C123" s="66"/>
      <c r="D123" s="96"/>
      <c r="E123" s="99"/>
      <c r="F123" s="99"/>
      <c r="G123" s="123"/>
      <c r="H123" s="123"/>
      <c r="I123" s="66"/>
      <c r="J123" s="68"/>
      <c r="K123" s="68"/>
      <c r="L123" s="96"/>
      <c r="M123" s="69"/>
      <c r="N123" s="69"/>
      <c r="O123" s="67"/>
      <c r="P123" s="67"/>
      <c r="Q123" s="67"/>
      <c r="R123" s="67"/>
      <c r="S123" s="67"/>
      <c r="T123" s="1"/>
      <c r="U123" s="1"/>
      <c r="V123" s="1"/>
      <c r="W123" s="1"/>
      <c r="X123" s="1"/>
      <c r="Y123" s="1"/>
      <c r="Z123" s="1"/>
    </row>
    <row r="124" spans="1:26" ht="36" customHeight="1">
      <c r="A124" s="1"/>
      <c r="B124" s="66" t="s">
        <v>6584</v>
      </c>
      <c r="C124" s="66"/>
      <c r="D124" s="96"/>
      <c r="E124" s="99"/>
      <c r="F124" s="99"/>
      <c r="G124" s="122"/>
      <c r="H124" s="122"/>
      <c r="I124" s="66"/>
      <c r="J124" s="68"/>
      <c r="K124" s="68"/>
      <c r="L124" s="96"/>
      <c r="M124" s="69"/>
      <c r="N124" s="69"/>
      <c r="O124" s="67"/>
      <c r="P124" s="67"/>
      <c r="Q124" s="67"/>
      <c r="R124" s="67"/>
      <c r="S124" s="71"/>
      <c r="T124" s="1"/>
      <c r="U124" s="1"/>
      <c r="V124" s="1"/>
      <c r="W124" s="1"/>
      <c r="X124" s="1"/>
      <c r="Y124" s="1"/>
      <c r="Z124" s="1"/>
    </row>
    <row r="125" spans="1:26" ht="36" customHeight="1">
      <c r="A125" s="1"/>
      <c r="B125" s="66" t="s">
        <v>6585</v>
      </c>
      <c r="C125" s="66"/>
      <c r="D125" s="96"/>
      <c r="E125" s="99"/>
      <c r="F125" s="99"/>
      <c r="G125" s="122"/>
      <c r="H125" s="122"/>
      <c r="I125" s="66"/>
      <c r="J125" s="68"/>
      <c r="K125" s="68"/>
      <c r="L125" s="96"/>
      <c r="M125" s="69"/>
      <c r="N125" s="69"/>
      <c r="O125" s="67"/>
      <c r="P125" s="67"/>
      <c r="Q125" s="67"/>
      <c r="R125" s="67"/>
      <c r="S125" s="71"/>
      <c r="T125" s="1"/>
      <c r="U125" s="1"/>
      <c r="V125" s="1"/>
      <c r="W125" s="1"/>
      <c r="X125" s="1"/>
      <c r="Y125" s="1"/>
      <c r="Z125" s="1"/>
    </row>
    <row r="126" spans="1:26" ht="36" customHeight="1">
      <c r="A126" s="1"/>
      <c r="B126" s="66" t="s">
        <v>6586</v>
      </c>
      <c r="C126" s="66"/>
      <c r="D126" s="96"/>
      <c r="E126" s="99"/>
      <c r="F126" s="99"/>
      <c r="G126" s="122"/>
      <c r="H126" s="122"/>
      <c r="I126" s="66"/>
      <c r="J126" s="68"/>
      <c r="K126" s="68"/>
      <c r="L126" s="96"/>
      <c r="M126" s="69"/>
      <c r="N126" s="69"/>
      <c r="O126" s="67"/>
      <c r="P126" s="67"/>
      <c r="Q126" s="67"/>
      <c r="R126" s="67"/>
      <c r="S126" s="71"/>
      <c r="T126" s="1"/>
      <c r="U126" s="1"/>
      <c r="V126" s="1"/>
      <c r="W126" s="1"/>
      <c r="X126" s="1"/>
      <c r="Y126" s="1"/>
      <c r="Z126" s="1"/>
    </row>
    <row r="127" spans="1:26" ht="36" customHeight="1">
      <c r="A127" s="1"/>
      <c r="B127" s="66" t="s">
        <v>6587</v>
      </c>
      <c r="C127" s="66"/>
      <c r="D127" s="96"/>
      <c r="E127" s="99"/>
      <c r="F127" s="99"/>
      <c r="G127" s="122"/>
      <c r="H127" s="122"/>
      <c r="I127" s="66"/>
      <c r="J127" s="68"/>
      <c r="K127" s="68"/>
      <c r="L127" s="96"/>
      <c r="M127" s="69"/>
      <c r="N127" s="69"/>
      <c r="O127" s="67"/>
      <c r="P127" s="67"/>
      <c r="Q127" s="67"/>
      <c r="R127" s="67"/>
      <c r="S127" s="71"/>
      <c r="T127" s="1"/>
      <c r="U127" s="1"/>
      <c r="V127" s="1"/>
      <c r="W127" s="1"/>
      <c r="X127" s="1"/>
      <c r="Y127" s="1"/>
      <c r="Z127" s="1"/>
    </row>
    <row r="128" spans="1:26" ht="36" customHeight="1">
      <c r="A128" s="1"/>
      <c r="B128" s="66" t="s">
        <v>6588</v>
      </c>
      <c r="C128" s="66"/>
      <c r="D128" s="96"/>
      <c r="E128" s="99"/>
      <c r="F128" s="99"/>
      <c r="G128" s="122"/>
      <c r="H128" s="122"/>
      <c r="I128" s="66"/>
      <c r="J128" s="68"/>
      <c r="K128" s="68"/>
      <c r="L128" s="96"/>
      <c r="M128" s="69"/>
      <c r="N128" s="69"/>
      <c r="O128" s="67"/>
      <c r="P128" s="67"/>
      <c r="Q128" s="67"/>
      <c r="R128" s="67"/>
      <c r="S128" s="71"/>
      <c r="T128" s="1"/>
      <c r="U128" s="1"/>
      <c r="V128" s="1"/>
      <c r="W128" s="1"/>
      <c r="X128" s="1"/>
      <c r="Y128" s="1"/>
      <c r="Z128" s="1"/>
    </row>
    <row r="129" spans="1:26" ht="36" customHeight="1">
      <c r="A129" s="1"/>
      <c r="B129" s="66" t="s">
        <v>6589</v>
      </c>
      <c r="C129" s="66"/>
      <c r="D129" s="96"/>
      <c r="E129" s="99"/>
      <c r="F129" s="99"/>
      <c r="G129" s="122"/>
      <c r="H129" s="122"/>
      <c r="I129" s="66"/>
      <c r="J129" s="68"/>
      <c r="K129" s="68"/>
      <c r="L129" s="96"/>
      <c r="M129" s="69"/>
      <c r="N129" s="69"/>
      <c r="O129" s="67"/>
      <c r="P129" s="67"/>
      <c r="Q129" s="67"/>
      <c r="R129" s="67"/>
      <c r="S129" s="67"/>
      <c r="T129" s="1"/>
      <c r="U129" s="1"/>
      <c r="V129" s="1"/>
      <c r="W129" s="1"/>
      <c r="X129" s="1"/>
      <c r="Y129" s="1"/>
      <c r="Z129" s="1"/>
    </row>
    <row r="130" spans="1:26" ht="36" customHeight="1">
      <c r="A130" s="1"/>
      <c r="B130" s="66" t="s">
        <v>6590</v>
      </c>
      <c r="C130" s="66"/>
      <c r="D130" s="96"/>
      <c r="E130" s="99"/>
      <c r="F130" s="99"/>
      <c r="G130" s="122"/>
      <c r="H130" s="122"/>
      <c r="I130" s="66"/>
      <c r="J130" s="68"/>
      <c r="K130" s="68"/>
      <c r="L130" s="96"/>
      <c r="M130" s="69"/>
      <c r="N130" s="69"/>
      <c r="O130" s="67"/>
      <c r="P130" s="67"/>
      <c r="Q130" s="67"/>
      <c r="R130" s="67"/>
      <c r="S130" s="67"/>
      <c r="T130" s="1"/>
      <c r="U130" s="1"/>
      <c r="V130" s="1"/>
      <c r="W130" s="1"/>
      <c r="X130" s="1"/>
      <c r="Y130" s="1"/>
      <c r="Z130" s="1"/>
    </row>
    <row r="131" spans="1:26" ht="36" customHeight="1">
      <c r="A131" s="1"/>
      <c r="B131" s="66" t="s">
        <v>6591</v>
      </c>
      <c r="C131" s="66"/>
      <c r="D131" s="96"/>
      <c r="E131" s="99"/>
      <c r="F131" s="99"/>
      <c r="G131" s="122"/>
      <c r="H131" s="122"/>
      <c r="I131" s="66"/>
      <c r="J131" s="68"/>
      <c r="K131" s="68"/>
      <c r="L131" s="96"/>
      <c r="M131" s="69"/>
      <c r="N131" s="69"/>
      <c r="O131" s="67"/>
      <c r="P131" s="67"/>
      <c r="Q131" s="67"/>
      <c r="R131" s="67"/>
      <c r="S131" s="71"/>
      <c r="T131" s="1"/>
      <c r="U131" s="1"/>
      <c r="V131" s="1"/>
      <c r="W131" s="1"/>
      <c r="X131" s="1"/>
      <c r="Y131" s="1"/>
      <c r="Z131" s="1"/>
    </row>
    <row r="132" spans="1:26" ht="36" customHeight="1">
      <c r="A132" s="1"/>
      <c r="B132" s="66" t="s">
        <v>6592</v>
      </c>
      <c r="C132" s="66"/>
      <c r="D132" s="96"/>
      <c r="E132" s="99"/>
      <c r="F132" s="99"/>
      <c r="G132" s="122"/>
      <c r="H132" s="122"/>
      <c r="I132" s="66"/>
      <c r="J132" s="68"/>
      <c r="K132" s="68"/>
      <c r="L132" s="96"/>
      <c r="M132" s="69"/>
      <c r="N132" s="69"/>
      <c r="O132" s="67"/>
      <c r="P132" s="67"/>
      <c r="Q132" s="67"/>
      <c r="R132" s="67"/>
      <c r="S132" s="71"/>
      <c r="T132" s="1"/>
      <c r="U132" s="1"/>
      <c r="V132" s="1"/>
      <c r="W132" s="1"/>
      <c r="X132" s="1"/>
      <c r="Y132" s="1"/>
      <c r="Z132" s="1"/>
    </row>
    <row r="133" spans="1:26" ht="34.5" customHeight="1">
      <c r="A133" s="1"/>
      <c r="B133" s="66" t="s">
        <v>6593</v>
      </c>
      <c r="C133" s="66"/>
      <c r="D133" s="96"/>
      <c r="E133" s="99"/>
      <c r="F133" s="99"/>
      <c r="G133" s="122"/>
      <c r="H133" s="122"/>
      <c r="I133" s="66"/>
      <c r="J133" s="68"/>
      <c r="K133" s="68"/>
      <c r="L133" s="96"/>
      <c r="M133" s="69"/>
      <c r="N133" s="69"/>
      <c r="O133" s="67"/>
      <c r="P133" s="67"/>
      <c r="Q133" s="67"/>
      <c r="R133" s="67"/>
      <c r="S133" s="71"/>
      <c r="T133" s="1"/>
      <c r="U133" s="1"/>
      <c r="V133" s="1"/>
      <c r="W133" s="1"/>
      <c r="X133" s="1"/>
      <c r="Y133" s="1"/>
      <c r="Z133" s="1"/>
    </row>
    <row r="134" spans="1:26" ht="34.5" customHeight="1">
      <c r="A134" s="1"/>
      <c r="B134" s="66" t="s">
        <v>6594</v>
      </c>
      <c r="C134" s="66"/>
      <c r="D134" s="96"/>
      <c r="E134" s="99"/>
      <c r="F134" s="99"/>
      <c r="G134" s="119"/>
      <c r="H134" s="119"/>
      <c r="I134" s="66"/>
      <c r="J134" s="68"/>
      <c r="K134" s="68"/>
      <c r="L134" s="96"/>
      <c r="M134" s="69"/>
      <c r="N134" s="69"/>
      <c r="O134" s="67"/>
      <c r="P134" s="67"/>
      <c r="Q134" s="67"/>
      <c r="R134" s="67"/>
      <c r="S134" s="71"/>
      <c r="T134" s="1"/>
      <c r="U134" s="1"/>
      <c r="V134" s="1"/>
      <c r="W134" s="1"/>
      <c r="X134" s="1"/>
      <c r="Y134" s="1"/>
      <c r="Z134" s="1"/>
    </row>
    <row r="135" spans="1:26" ht="34.5" customHeight="1">
      <c r="A135" s="1"/>
      <c r="B135" s="66" t="s">
        <v>6595</v>
      </c>
      <c r="C135" s="66"/>
      <c r="D135" s="96"/>
      <c r="E135" s="99"/>
      <c r="F135" s="99"/>
      <c r="G135" s="119"/>
      <c r="H135" s="119"/>
      <c r="I135" s="66"/>
      <c r="J135" s="68"/>
      <c r="K135" s="68"/>
      <c r="L135" s="96"/>
      <c r="M135" s="69"/>
      <c r="N135" s="69"/>
      <c r="O135" s="67"/>
      <c r="P135" s="67"/>
      <c r="Q135" s="67"/>
      <c r="R135" s="67"/>
      <c r="S135" s="71"/>
      <c r="T135" s="1"/>
      <c r="U135" s="1"/>
      <c r="V135" s="1"/>
      <c r="W135" s="1"/>
      <c r="X135" s="1"/>
      <c r="Y135" s="1"/>
      <c r="Z135" s="1"/>
    </row>
    <row r="136" spans="1:26" ht="34.5" customHeight="1">
      <c r="A136" s="1"/>
      <c r="B136" s="66" t="s">
        <v>6596</v>
      </c>
      <c r="C136" s="66"/>
      <c r="D136" s="96"/>
      <c r="E136" s="99"/>
      <c r="F136" s="99"/>
      <c r="G136" s="122"/>
      <c r="H136" s="122"/>
      <c r="I136" s="66"/>
      <c r="J136" s="68"/>
      <c r="K136" s="68"/>
      <c r="L136" s="96"/>
      <c r="M136" s="69"/>
      <c r="N136" s="69"/>
      <c r="O136" s="109"/>
      <c r="P136" s="67"/>
      <c r="Q136" s="67"/>
      <c r="R136" s="67"/>
      <c r="S136" s="71"/>
      <c r="T136" s="1"/>
      <c r="U136" s="1"/>
      <c r="V136" s="1"/>
      <c r="W136" s="1"/>
      <c r="X136" s="1"/>
      <c r="Y136" s="1"/>
      <c r="Z136" s="1"/>
    </row>
    <row r="137" spans="1:26" ht="34.5" customHeight="1">
      <c r="A137" s="1"/>
      <c r="B137" s="66" t="s">
        <v>6597</v>
      </c>
      <c r="C137" s="66"/>
      <c r="D137" s="96"/>
      <c r="E137" s="99"/>
      <c r="F137" s="99"/>
      <c r="G137" s="122"/>
      <c r="H137" s="122"/>
      <c r="I137" s="66"/>
      <c r="J137" s="68"/>
      <c r="K137" s="68"/>
      <c r="L137" s="96"/>
      <c r="M137" s="69"/>
      <c r="N137" s="69"/>
      <c r="O137" s="67"/>
      <c r="P137" s="67"/>
      <c r="Q137" s="67"/>
      <c r="R137" s="67"/>
      <c r="S137" s="71"/>
      <c r="T137" s="1"/>
      <c r="U137" s="1"/>
      <c r="V137" s="1"/>
      <c r="W137" s="1"/>
      <c r="X137" s="1"/>
      <c r="Y137" s="1"/>
      <c r="Z137" s="1"/>
    </row>
    <row r="138" spans="1:26" ht="34.5" customHeight="1">
      <c r="A138" s="1"/>
      <c r="B138" s="66" t="s">
        <v>6598</v>
      </c>
      <c r="C138" s="66"/>
      <c r="D138" s="96"/>
      <c r="E138" s="99"/>
      <c r="F138" s="99"/>
      <c r="G138" s="122"/>
      <c r="H138" s="122"/>
      <c r="I138" s="66"/>
      <c r="J138" s="68"/>
      <c r="K138" s="68"/>
      <c r="L138" s="96"/>
      <c r="M138" s="69"/>
      <c r="N138" s="69"/>
      <c r="O138" s="67"/>
      <c r="P138" s="67"/>
      <c r="Q138" s="67"/>
      <c r="R138" s="67"/>
      <c r="S138" s="71"/>
      <c r="T138" s="1"/>
      <c r="U138" s="1"/>
      <c r="V138" s="1"/>
      <c r="W138" s="1"/>
      <c r="X138" s="1"/>
      <c r="Y138" s="1"/>
      <c r="Z138" s="1"/>
    </row>
    <row r="139" spans="1:26" ht="34.5" customHeight="1">
      <c r="A139" s="1"/>
      <c r="B139" s="66" t="s">
        <v>6599</v>
      </c>
      <c r="C139" s="66"/>
      <c r="D139" s="96"/>
      <c r="E139" s="99"/>
      <c r="F139" s="99"/>
      <c r="G139" s="122"/>
      <c r="H139" s="122"/>
      <c r="I139" s="66"/>
      <c r="J139" s="68"/>
      <c r="K139" s="68"/>
      <c r="L139" s="96"/>
      <c r="M139" s="69"/>
      <c r="N139" s="69"/>
      <c r="O139" s="67"/>
      <c r="P139" s="67"/>
      <c r="Q139" s="67"/>
      <c r="R139" s="67"/>
      <c r="S139" s="71"/>
      <c r="T139" s="1"/>
      <c r="U139" s="1"/>
      <c r="V139" s="1"/>
      <c r="W139" s="1"/>
      <c r="X139" s="1"/>
      <c r="Y139" s="1"/>
      <c r="Z139" s="1"/>
    </row>
    <row r="140" spans="1:26" ht="34.5" customHeight="1">
      <c r="A140" s="1"/>
      <c r="B140" s="66" t="s">
        <v>6600</v>
      </c>
      <c r="C140" s="66"/>
      <c r="D140" s="96"/>
      <c r="E140" s="99"/>
      <c r="F140" s="99"/>
      <c r="G140" s="122"/>
      <c r="H140" s="122"/>
      <c r="I140" s="66"/>
      <c r="J140" s="68"/>
      <c r="K140" s="68"/>
      <c r="L140" s="96"/>
      <c r="M140" s="69"/>
      <c r="N140" s="69"/>
      <c r="O140" s="67"/>
      <c r="P140" s="67"/>
      <c r="Q140" s="67"/>
      <c r="R140" s="67"/>
      <c r="S140" s="71"/>
      <c r="T140" s="1"/>
      <c r="U140" s="1"/>
      <c r="V140" s="1"/>
      <c r="W140" s="1"/>
      <c r="X140" s="1"/>
      <c r="Y140" s="1"/>
      <c r="Z140" s="1"/>
    </row>
    <row r="141" spans="1:26" ht="34.5" customHeight="1">
      <c r="A141" s="1"/>
      <c r="B141" s="66" t="s">
        <v>6601</v>
      </c>
      <c r="C141" s="66"/>
      <c r="D141" s="96"/>
      <c r="E141" s="99"/>
      <c r="F141" s="99"/>
      <c r="G141" s="122"/>
      <c r="H141" s="122"/>
      <c r="I141" s="66"/>
      <c r="J141" s="68"/>
      <c r="K141" s="68"/>
      <c r="L141" s="96"/>
      <c r="M141" s="69"/>
      <c r="N141" s="69"/>
      <c r="O141" s="67"/>
      <c r="P141" s="67"/>
      <c r="Q141" s="67"/>
      <c r="R141" s="67"/>
      <c r="S141" s="71"/>
      <c r="T141" s="1"/>
      <c r="U141" s="1"/>
      <c r="V141" s="1"/>
      <c r="W141" s="1"/>
      <c r="X141" s="1"/>
      <c r="Y141" s="1"/>
      <c r="Z141" s="1"/>
    </row>
    <row r="142" spans="1:26" ht="34.5" customHeight="1">
      <c r="A142" s="1"/>
      <c r="B142" s="66" t="s">
        <v>6602</v>
      </c>
      <c r="C142" s="66"/>
      <c r="D142" s="96"/>
      <c r="E142" s="99"/>
      <c r="F142" s="99"/>
      <c r="G142" s="122"/>
      <c r="H142" s="122"/>
      <c r="I142" s="66"/>
      <c r="J142" s="68"/>
      <c r="K142" s="68"/>
      <c r="L142" s="96"/>
      <c r="M142" s="69"/>
      <c r="N142" s="69"/>
      <c r="O142" s="67"/>
      <c r="P142" s="67"/>
      <c r="Q142" s="67"/>
      <c r="R142" s="67"/>
      <c r="S142" s="71"/>
      <c r="T142" s="1"/>
      <c r="U142" s="1"/>
      <c r="V142" s="1"/>
      <c r="W142" s="1"/>
      <c r="X142" s="1"/>
      <c r="Y142" s="1"/>
      <c r="Z142" s="1"/>
    </row>
    <row r="143" spans="1:26" ht="34.5" customHeight="1">
      <c r="A143" s="1"/>
      <c r="B143" s="66" t="s">
        <v>6603</v>
      </c>
      <c r="C143" s="66"/>
      <c r="D143" s="96"/>
      <c r="E143" s="99"/>
      <c r="F143" s="99"/>
      <c r="G143" s="122"/>
      <c r="H143" s="122"/>
      <c r="I143" s="66"/>
      <c r="J143" s="68"/>
      <c r="K143" s="68"/>
      <c r="L143" s="96"/>
      <c r="M143" s="69"/>
      <c r="N143" s="69"/>
      <c r="O143" s="67"/>
      <c r="P143" s="67"/>
      <c r="Q143" s="67"/>
      <c r="R143" s="67"/>
      <c r="S143" s="71"/>
      <c r="T143" s="1"/>
      <c r="U143" s="1"/>
      <c r="V143" s="1"/>
      <c r="W143" s="1"/>
      <c r="X143" s="1"/>
      <c r="Y143" s="1"/>
      <c r="Z143" s="1"/>
    </row>
    <row r="144" spans="1:26" ht="34.5" customHeight="1">
      <c r="A144" s="1"/>
      <c r="B144" s="66" t="s">
        <v>6604</v>
      </c>
      <c r="C144" s="66"/>
      <c r="D144" s="96"/>
      <c r="E144" s="99"/>
      <c r="F144" s="99"/>
      <c r="G144" s="122"/>
      <c r="H144" s="122"/>
      <c r="I144" s="66"/>
      <c r="J144" s="68"/>
      <c r="K144" s="68"/>
      <c r="L144" s="96"/>
      <c r="M144" s="69"/>
      <c r="N144" s="69"/>
      <c r="O144" s="67"/>
      <c r="P144" s="67"/>
      <c r="Q144" s="67"/>
      <c r="R144" s="67"/>
      <c r="S144" s="71"/>
      <c r="T144" s="1"/>
      <c r="U144" s="1"/>
      <c r="V144" s="1"/>
      <c r="W144" s="1"/>
      <c r="X144" s="1"/>
      <c r="Y144" s="1"/>
      <c r="Z144" s="1"/>
    </row>
    <row r="145" spans="1:26" ht="34.5" customHeight="1">
      <c r="A145" s="1"/>
      <c r="B145" s="66" t="s">
        <v>6605</v>
      </c>
      <c r="C145" s="66"/>
      <c r="D145" s="96"/>
      <c r="E145" s="99"/>
      <c r="F145" s="99"/>
      <c r="G145" s="122"/>
      <c r="H145" s="122"/>
      <c r="I145" s="66"/>
      <c r="J145" s="68"/>
      <c r="K145" s="68"/>
      <c r="L145" s="96"/>
      <c r="M145" s="69"/>
      <c r="N145" s="69"/>
      <c r="O145" s="67"/>
      <c r="P145" s="67"/>
      <c r="Q145" s="67"/>
      <c r="R145" s="67"/>
      <c r="S145" s="71"/>
      <c r="T145" s="1"/>
      <c r="U145" s="1"/>
      <c r="V145" s="1"/>
      <c r="W145" s="1"/>
      <c r="X145" s="1"/>
      <c r="Y145" s="1"/>
      <c r="Z145" s="1"/>
    </row>
    <row r="146" spans="1:26" ht="34.5" customHeight="1">
      <c r="A146" s="1"/>
      <c r="B146" s="66" t="s">
        <v>6606</v>
      </c>
      <c r="C146" s="66"/>
      <c r="D146" s="96"/>
      <c r="E146" s="99"/>
      <c r="F146" s="110"/>
      <c r="G146" s="122"/>
      <c r="H146" s="122"/>
      <c r="I146" s="66"/>
      <c r="J146" s="68"/>
      <c r="K146" s="68"/>
      <c r="L146" s="96"/>
      <c r="M146" s="69"/>
      <c r="N146" s="69"/>
      <c r="O146" s="67"/>
      <c r="P146" s="67"/>
      <c r="Q146" s="67"/>
      <c r="R146" s="67"/>
      <c r="S146" s="71"/>
      <c r="T146" s="1"/>
      <c r="U146" s="1"/>
      <c r="V146" s="1"/>
      <c r="W146" s="1"/>
      <c r="X146" s="1"/>
      <c r="Y146" s="1"/>
      <c r="Z146" s="1"/>
    </row>
    <row r="147" spans="1:26" ht="34.5" customHeight="1">
      <c r="A147" s="1"/>
      <c r="B147" s="66" t="s">
        <v>6607</v>
      </c>
      <c r="C147" s="66"/>
      <c r="D147" s="96"/>
      <c r="E147" s="99"/>
      <c r="F147" s="99"/>
      <c r="G147" s="122"/>
      <c r="H147" s="122"/>
      <c r="I147" s="66"/>
      <c r="J147" s="68"/>
      <c r="K147" s="68"/>
      <c r="L147" s="96"/>
      <c r="M147" s="69"/>
      <c r="N147" s="69"/>
      <c r="O147" s="67"/>
      <c r="P147" s="67"/>
      <c r="Q147" s="67"/>
      <c r="R147" s="67"/>
      <c r="S147" s="71"/>
      <c r="T147" s="1"/>
      <c r="U147" s="1"/>
      <c r="V147" s="1"/>
      <c r="W147" s="1"/>
      <c r="X147" s="1"/>
      <c r="Y147" s="1"/>
      <c r="Z147" s="1"/>
    </row>
    <row r="148" spans="1:26" ht="34.5" customHeight="1">
      <c r="A148" s="1"/>
      <c r="B148" s="66" t="s">
        <v>6608</v>
      </c>
      <c r="C148" s="66"/>
      <c r="D148" s="96"/>
      <c r="E148" s="99"/>
      <c r="F148" s="99"/>
      <c r="G148" s="122"/>
      <c r="H148" s="122"/>
      <c r="I148" s="66"/>
      <c r="J148" s="68"/>
      <c r="K148" s="68"/>
      <c r="L148" s="96"/>
      <c r="M148" s="69"/>
      <c r="N148" s="69"/>
      <c r="O148" s="67"/>
      <c r="P148" s="67"/>
      <c r="Q148" s="67"/>
      <c r="R148" s="67"/>
      <c r="S148" s="71"/>
      <c r="T148" s="1"/>
      <c r="U148" s="1"/>
      <c r="V148" s="1"/>
      <c r="W148" s="1"/>
      <c r="X148" s="1"/>
      <c r="Y148" s="1"/>
      <c r="Z148" s="1"/>
    </row>
    <row r="149" spans="1:26" ht="34.5" customHeight="1">
      <c r="A149" s="1"/>
      <c r="B149" s="66" t="s">
        <v>6609</v>
      </c>
      <c r="C149" s="66"/>
      <c r="D149" s="96"/>
      <c r="E149" s="99"/>
      <c r="F149" s="99"/>
      <c r="G149" s="122"/>
      <c r="H149" s="122"/>
      <c r="I149" s="66"/>
      <c r="J149" s="68"/>
      <c r="K149" s="68"/>
      <c r="L149" s="96"/>
      <c r="M149" s="69"/>
      <c r="N149" s="69"/>
      <c r="O149" s="67"/>
      <c r="P149" s="67"/>
      <c r="Q149" s="67"/>
      <c r="R149" s="67"/>
      <c r="S149" s="67"/>
      <c r="T149" s="1"/>
      <c r="U149" s="1"/>
      <c r="V149" s="1"/>
      <c r="W149" s="1"/>
      <c r="X149" s="1"/>
      <c r="Y149" s="1"/>
      <c r="Z149" s="1"/>
    </row>
    <row r="150" spans="1:26" ht="34.5" customHeight="1">
      <c r="A150" s="1"/>
      <c r="B150" s="66" t="s">
        <v>6610</v>
      </c>
      <c r="C150" s="66"/>
      <c r="D150" s="96"/>
      <c r="E150" s="99"/>
      <c r="F150" s="99"/>
      <c r="G150" s="122"/>
      <c r="H150" s="122"/>
      <c r="I150" s="66"/>
      <c r="J150" s="68"/>
      <c r="K150" s="68"/>
      <c r="L150" s="96"/>
      <c r="M150" s="69"/>
      <c r="N150" s="69"/>
      <c r="O150" s="67"/>
      <c r="P150" s="67"/>
      <c r="Q150" s="67"/>
      <c r="R150" s="67"/>
      <c r="S150" s="67"/>
      <c r="T150" s="1"/>
      <c r="U150" s="1"/>
      <c r="V150" s="1"/>
      <c r="W150" s="1"/>
      <c r="X150" s="1"/>
      <c r="Y150" s="1"/>
      <c r="Z150" s="1"/>
    </row>
    <row r="151" spans="1:26" ht="34.5" customHeight="1">
      <c r="A151" s="1"/>
      <c r="B151" s="66" t="s">
        <v>6611</v>
      </c>
      <c r="C151" s="66"/>
      <c r="D151" s="96"/>
      <c r="E151" s="124"/>
      <c r="F151" s="111"/>
      <c r="G151" s="122"/>
      <c r="H151" s="122"/>
      <c r="I151" s="66"/>
      <c r="J151" s="68"/>
      <c r="K151" s="68"/>
      <c r="L151" s="96"/>
      <c r="M151" s="69"/>
      <c r="N151" s="69"/>
      <c r="O151" s="67"/>
      <c r="P151" s="67"/>
      <c r="Q151" s="67"/>
      <c r="R151" s="67"/>
      <c r="S151" s="67"/>
      <c r="T151" s="1"/>
      <c r="U151" s="1"/>
      <c r="V151" s="1"/>
      <c r="W151" s="1"/>
      <c r="X151" s="1"/>
      <c r="Y151" s="1"/>
      <c r="Z151" s="1"/>
    </row>
    <row r="152" spans="1:26" ht="34.5" customHeight="1">
      <c r="A152" s="1"/>
      <c r="B152" s="66" t="s">
        <v>6612</v>
      </c>
      <c r="C152" s="66"/>
      <c r="D152" s="96"/>
      <c r="E152" s="124"/>
      <c r="F152" s="111"/>
      <c r="G152" s="122"/>
      <c r="H152" s="122"/>
      <c r="I152" s="66"/>
      <c r="J152" s="68"/>
      <c r="K152" s="68"/>
      <c r="L152" s="96"/>
      <c r="M152" s="69"/>
      <c r="N152" s="69"/>
      <c r="O152" s="67"/>
      <c r="P152" s="67"/>
      <c r="Q152" s="67"/>
      <c r="R152" s="67"/>
      <c r="S152" s="71"/>
      <c r="T152" s="1"/>
      <c r="U152" s="1"/>
      <c r="V152" s="1"/>
      <c r="W152" s="1"/>
      <c r="X152" s="1"/>
      <c r="Y152" s="1"/>
      <c r="Z152" s="1"/>
    </row>
    <row r="153" spans="1:26" ht="36" customHeight="1">
      <c r="A153" s="1"/>
      <c r="B153" s="66" t="s">
        <v>6613</v>
      </c>
      <c r="C153" s="66"/>
      <c r="D153" s="96"/>
      <c r="E153" s="99"/>
      <c r="F153" s="99"/>
      <c r="G153" s="122"/>
      <c r="H153" s="122"/>
      <c r="I153" s="66"/>
      <c r="J153" s="68"/>
      <c r="K153" s="68"/>
      <c r="L153" s="96"/>
      <c r="M153" s="69"/>
      <c r="N153" s="69"/>
      <c r="O153" s="67"/>
      <c r="P153" s="67"/>
      <c r="Q153" s="67"/>
      <c r="R153" s="67"/>
      <c r="S153" s="67"/>
      <c r="T153" s="1"/>
      <c r="U153" s="1"/>
      <c r="V153" s="1"/>
      <c r="W153" s="1"/>
      <c r="X153" s="1"/>
      <c r="Y153" s="1"/>
      <c r="Z153" s="1"/>
    </row>
    <row r="154" spans="1:26" ht="36" customHeight="1">
      <c r="A154" s="1"/>
      <c r="B154" s="66" t="s">
        <v>6614</v>
      </c>
      <c r="C154" s="66"/>
      <c r="D154" s="96"/>
      <c r="E154" s="99"/>
      <c r="F154" s="99"/>
      <c r="G154" s="122"/>
      <c r="H154" s="122"/>
      <c r="I154" s="66"/>
      <c r="J154" s="68"/>
      <c r="K154" s="68"/>
      <c r="L154" s="96"/>
      <c r="M154" s="69"/>
      <c r="N154" s="69"/>
      <c r="O154" s="67"/>
      <c r="P154" s="67"/>
      <c r="Q154" s="67"/>
      <c r="R154" s="67"/>
      <c r="S154" s="67"/>
      <c r="T154" s="1"/>
      <c r="U154" s="1"/>
      <c r="V154" s="1"/>
      <c r="W154" s="1"/>
      <c r="X154" s="1"/>
      <c r="Y154" s="1"/>
      <c r="Z154" s="1"/>
    </row>
    <row r="155" spans="1:26" ht="36" customHeight="1">
      <c r="A155" s="1"/>
      <c r="B155" s="66" t="s">
        <v>6615</v>
      </c>
      <c r="C155" s="66"/>
      <c r="D155" s="96"/>
      <c r="E155" s="99"/>
      <c r="F155" s="99"/>
      <c r="G155" s="122"/>
      <c r="H155" s="122"/>
      <c r="I155" s="66"/>
      <c r="J155" s="68"/>
      <c r="K155" s="68"/>
      <c r="L155" s="96"/>
      <c r="M155" s="69"/>
      <c r="N155" s="69"/>
      <c r="O155" s="67"/>
      <c r="P155" s="67"/>
      <c r="Q155" s="67"/>
      <c r="R155" s="67"/>
      <c r="S155" s="67"/>
      <c r="T155" s="1"/>
      <c r="U155" s="1"/>
      <c r="V155" s="1"/>
      <c r="W155" s="1"/>
      <c r="X155" s="1"/>
      <c r="Y155" s="1"/>
      <c r="Z155" s="1"/>
    </row>
    <row r="156" spans="1:26" ht="36" customHeight="1">
      <c r="A156" s="1"/>
      <c r="B156" s="66" t="s">
        <v>6616</v>
      </c>
      <c r="C156" s="66"/>
      <c r="D156" s="96"/>
      <c r="E156" s="99"/>
      <c r="F156" s="99"/>
      <c r="G156" s="122"/>
      <c r="H156" s="122"/>
      <c r="I156" s="66"/>
      <c r="J156" s="68"/>
      <c r="K156" s="68"/>
      <c r="L156" s="96"/>
      <c r="M156" s="69"/>
      <c r="N156" s="69"/>
      <c r="O156" s="67"/>
      <c r="P156" s="67"/>
      <c r="Q156" s="67"/>
      <c r="R156" s="67"/>
      <c r="S156" s="67"/>
      <c r="T156" s="1"/>
      <c r="U156" s="1"/>
      <c r="V156" s="1"/>
      <c r="W156" s="1"/>
      <c r="X156" s="1"/>
      <c r="Y156" s="1"/>
      <c r="Z156" s="1"/>
    </row>
    <row r="157" spans="1:26" ht="36" customHeight="1">
      <c r="A157" s="1"/>
      <c r="B157" s="66" t="s">
        <v>6617</v>
      </c>
      <c r="C157" s="66"/>
      <c r="D157" s="96"/>
      <c r="E157" s="99"/>
      <c r="F157" s="99"/>
      <c r="G157" s="122"/>
      <c r="H157" s="122"/>
      <c r="I157" s="66"/>
      <c r="J157" s="68"/>
      <c r="K157" s="68"/>
      <c r="L157" s="96"/>
      <c r="M157" s="69"/>
      <c r="N157" s="69"/>
      <c r="O157" s="67"/>
      <c r="P157" s="67"/>
      <c r="Q157" s="67"/>
      <c r="R157" s="67"/>
      <c r="S157" s="67"/>
      <c r="T157" s="1"/>
      <c r="U157" s="1"/>
      <c r="V157" s="1"/>
      <c r="W157" s="1"/>
      <c r="X157" s="1"/>
      <c r="Y157" s="1"/>
      <c r="Z157" s="1"/>
    </row>
    <row r="158" spans="1:26" ht="36" customHeight="1">
      <c r="A158" s="1"/>
      <c r="B158" s="66" t="s">
        <v>6618</v>
      </c>
      <c r="C158" s="66"/>
      <c r="D158" s="96"/>
      <c r="E158" s="99"/>
      <c r="F158" s="99"/>
      <c r="G158" s="122"/>
      <c r="H158" s="122"/>
      <c r="I158" s="66"/>
      <c r="J158" s="68"/>
      <c r="K158" s="68"/>
      <c r="L158" s="96"/>
      <c r="M158" s="69"/>
      <c r="N158" s="69"/>
      <c r="O158" s="67"/>
      <c r="P158" s="67"/>
      <c r="Q158" s="67"/>
      <c r="R158" s="67"/>
      <c r="S158" s="67"/>
      <c r="T158" s="1"/>
      <c r="U158" s="1"/>
      <c r="V158" s="1"/>
      <c r="W158" s="1"/>
      <c r="X158" s="1"/>
      <c r="Y158" s="1"/>
      <c r="Z158" s="1"/>
    </row>
    <row r="159" spans="1:26" ht="36" customHeight="1">
      <c r="A159" s="1"/>
      <c r="B159" s="66" t="s">
        <v>6619</v>
      </c>
      <c r="C159" s="66"/>
      <c r="D159" s="96"/>
      <c r="E159" s="99"/>
      <c r="F159" s="99"/>
      <c r="G159" s="122"/>
      <c r="H159" s="122"/>
      <c r="I159" s="66"/>
      <c r="J159" s="68"/>
      <c r="K159" s="68"/>
      <c r="L159" s="96"/>
      <c r="M159" s="69"/>
      <c r="N159" s="69"/>
      <c r="O159" s="67"/>
      <c r="P159" s="67"/>
      <c r="Q159" s="67"/>
      <c r="R159" s="67"/>
      <c r="S159" s="67"/>
      <c r="T159" s="1"/>
      <c r="U159" s="1"/>
      <c r="V159" s="1"/>
      <c r="W159" s="1"/>
      <c r="X159" s="1"/>
      <c r="Y159" s="1"/>
      <c r="Z159" s="1"/>
    </row>
    <row r="160" spans="1:26" ht="36" customHeight="1">
      <c r="A160" s="1"/>
      <c r="B160" s="66" t="s">
        <v>6620</v>
      </c>
      <c r="C160" s="66"/>
      <c r="D160" s="96"/>
      <c r="E160" s="99"/>
      <c r="F160" s="99"/>
      <c r="G160" s="122"/>
      <c r="H160" s="122"/>
      <c r="I160" s="66"/>
      <c r="J160" s="68"/>
      <c r="K160" s="68"/>
      <c r="L160" s="96"/>
      <c r="M160" s="69"/>
      <c r="N160" s="69"/>
      <c r="O160" s="67"/>
      <c r="P160" s="67"/>
      <c r="Q160" s="67"/>
      <c r="R160" s="67"/>
      <c r="S160" s="67"/>
      <c r="T160" s="1"/>
      <c r="U160" s="1"/>
      <c r="V160" s="1"/>
      <c r="W160" s="1"/>
      <c r="X160" s="1"/>
      <c r="Y160" s="1"/>
      <c r="Z160" s="1"/>
    </row>
    <row r="161" spans="1:26" ht="36" customHeight="1">
      <c r="A161" s="1"/>
      <c r="B161" s="66" t="s">
        <v>6621</v>
      </c>
      <c r="C161" s="66"/>
      <c r="D161" s="96"/>
      <c r="E161" s="99"/>
      <c r="F161" s="99"/>
      <c r="G161" s="122"/>
      <c r="H161" s="122"/>
      <c r="I161" s="66"/>
      <c r="J161" s="68"/>
      <c r="K161" s="68"/>
      <c r="L161" s="96"/>
      <c r="M161" s="69"/>
      <c r="N161" s="69"/>
      <c r="O161" s="67"/>
      <c r="P161" s="67"/>
      <c r="Q161" s="67"/>
      <c r="R161" s="67"/>
      <c r="S161" s="67"/>
      <c r="T161" s="1"/>
      <c r="U161" s="1"/>
      <c r="V161" s="1"/>
      <c r="W161" s="1"/>
      <c r="X161" s="1"/>
      <c r="Y161" s="1"/>
      <c r="Z161" s="1"/>
    </row>
    <row r="162" spans="1:26" ht="34.5" customHeight="1">
      <c r="A162" s="1"/>
      <c r="B162" s="66" t="s">
        <v>6622</v>
      </c>
      <c r="C162" s="66"/>
      <c r="D162" s="96"/>
      <c r="E162" s="99"/>
      <c r="F162" s="99"/>
      <c r="G162" s="122"/>
      <c r="H162" s="122"/>
      <c r="I162" s="66"/>
      <c r="J162" s="68"/>
      <c r="K162" s="68"/>
      <c r="L162" s="96"/>
      <c r="M162" s="69"/>
      <c r="N162" s="69"/>
      <c r="O162" s="67"/>
      <c r="P162" s="67"/>
      <c r="Q162" s="67"/>
      <c r="R162" s="67"/>
      <c r="S162" s="67"/>
      <c r="T162" s="1"/>
      <c r="U162" s="1"/>
      <c r="V162" s="1"/>
      <c r="W162" s="1"/>
      <c r="X162" s="1"/>
      <c r="Y162" s="1"/>
      <c r="Z162" s="1"/>
    </row>
    <row r="163" spans="1:26" ht="34.5" customHeight="1">
      <c r="A163" s="1"/>
      <c r="B163" s="66" t="s">
        <v>6623</v>
      </c>
      <c r="C163" s="66"/>
      <c r="D163" s="96"/>
      <c r="E163" s="99"/>
      <c r="F163" s="99"/>
      <c r="G163" s="122"/>
      <c r="H163" s="122"/>
      <c r="I163" s="66"/>
      <c r="J163" s="68"/>
      <c r="K163" s="68"/>
      <c r="L163" s="96"/>
      <c r="M163" s="69"/>
      <c r="N163" s="69"/>
      <c r="O163" s="67"/>
      <c r="P163" s="67"/>
      <c r="Q163" s="67"/>
      <c r="R163" s="67"/>
      <c r="S163" s="67"/>
      <c r="T163" s="1"/>
      <c r="U163" s="1"/>
      <c r="V163" s="1"/>
      <c r="W163" s="1"/>
      <c r="X163" s="1"/>
      <c r="Y163" s="1"/>
      <c r="Z163" s="1"/>
    </row>
    <row r="164" spans="1:26" ht="36" customHeight="1">
      <c r="A164" s="1"/>
      <c r="B164" s="66" t="s">
        <v>6624</v>
      </c>
      <c r="C164" s="66"/>
      <c r="D164" s="96"/>
      <c r="E164" s="99"/>
      <c r="F164" s="99"/>
      <c r="G164" s="122"/>
      <c r="H164" s="122"/>
      <c r="I164" s="66"/>
      <c r="J164" s="68"/>
      <c r="K164" s="68"/>
      <c r="L164" s="96"/>
      <c r="M164" s="69"/>
      <c r="N164" s="69"/>
      <c r="O164" s="67"/>
      <c r="P164" s="67"/>
      <c r="Q164" s="67"/>
      <c r="R164" s="67"/>
      <c r="S164" s="67"/>
      <c r="T164" s="1"/>
      <c r="U164" s="1"/>
      <c r="V164" s="1"/>
      <c r="W164" s="1"/>
      <c r="X164" s="1"/>
      <c r="Y164" s="1"/>
      <c r="Z164" s="1"/>
    </row>
    <row r="165" spans="1:26" ht="36" customHeight="1">
      <c r="A165" s="1"/>
      <c r="B165" s="66" t="s">
        <v>6625</v>
      </c>
      <c r="C165" s="66"/>
      <c r="D165" s="96"/>
      <c r="E165" s="124"/>
      <c r="F165" s="111"/>
      <c r="G165" s="122"/>
      <c r="H165" s="122"/>
      <c r="I165" s="66"/>
      <c r="J165" s="68"/>
      <c r="K165" s="68"/>
      <c r="L165" s="96"/>
      <c r="M165" s="69"/>
      <c r="N165" s="69"/>
      <c r="O165" s="67"/>
      <c r="P165" s="67"/>
      <c r="Q165" s="67"/>
      <c r="R165" s="67"/>
      <c r="S165" s="67"/>
      <c r="T165" s="1"/>
      <c r="U165" s="1"/>
      <c r="V165" s="1"/>
      <c r="W165" s="1"/>
      <c r="X165" s="1"/>
      <c r="Y165" s="1"/>
      <c r="Z165" s="1"/>
    </row>
    <row r="166" spans="1:26" ht="36" customHeight="1">
      <c r="A166" s="1"/>
      <c r="B166" s="66" t="s">
        <v>6626</v>
      </c>
      <c r="C166" s="66"/>
      <c r="D166" s="96"/>
      <c r="E166" s="99"/>
      <c r="F166" s="99"/>
      <c r="G166" s="122"/>
      <c r="H166" s="122"/>
      <c r="I166" s="66"/>
      <c r="J166" s="68"/>
      <c r="K166" s="68"/>
      <c r="L166" s="96"/>
      <c r="M166" s="69"/>
      <c r="N166" s="69"/>
      <c r="O166" s="67"/>
      <c r="P166" s="67"/>
      <c r="Q166" s="67"/>
      <c r="R166" s="67"/>
      <c r="S166" s="67"/>
      <c r="T166" s="1"/>
      <c r="U166" s="1"/>
      <c r="V166" s="1"/>
      <c r="W166" s="1"/>
      <c r="X166" s="1"/>
      <c r="Y166" s="1"/>
      <c r="Z166" s="1"/>
    </row>
    <row r="167" spans="1:26" ht="36" customHeight="1">
      <c r="A167" s="1"/>
      <c r="B167" s="66" t="s">
        <v>6627</v>
      </c>
      <c r="C167" s="66"/>
      <c r="D167" s="96"/>
      <c r="E167" s="99"/>
      <c r="F167" s="99"/>
      <c r="G167" s="122"/>
      <c r="H167" s="122"/>
      <c r="I167" s="66"/>
      <c r="J167" s="68"/>
      <c r="K167" s="68"/>
      <c r="L167" s="96"/>
      <c r="M167" s="69"/>
      <c r="N167" s="69"/>
      <c r="O167" s="67"/>
      <c r="P167" s="67"/>
      <c r="Q167" s="67"/>
      <c r="R167" s="67"/>
      <c r="S167" s="67"/>
      <c r="T167" s="1"/>
      <c r="U167" s="1"/>
      <c r="V167" s="1"/>
      <c r="W167" s="1"/>
      <c r="X167" s="1"/>
      <c r="Y167" s="1"/>
      <c r="Z167" s="1"/>
    </row>
    <row r="168" spans="1:26" ht="36" customHeight="1">
      <c r="A168" s="1"/>
      <c r="B168" s="66" t="s">
        <v>6628</v>
      </c>
      <c r="C168" s="66"/>
      <c r="D168" s="96"/>
      <c r="E168" s="99"/>
      <c r="F168" s="99"/>
      <c r="G168" s="122"/>
      <c r="H168" s="122"/>
      <c r="I168" s="66"/>
      <c r="J168" s="68"/>
      <c r="K168" s="68"/>
      <c r="L168" s="96"/>
      <c r="M168" s="69"/>
      <c r="N168" s="69"/>
      <c r="O168" s="67"/>
      <c r="P168" s="67"/>
      <c r="Q168" s="67"/>
      <c r="R168" s="67"/>
      <c r="S168" s="67"/>
      <c r="T168" s="1"/>
      <c r="U168" s="1"/>
      <c r="V168" s="1"/>
      <c r="W168" s="1"/>
      <c r="X168" s="1"/>
      <c r="Y168" s="1"/>
      <c r="Z168" s="1"/>
    </row>
    <row r="169" spans="1:26" ht="36" customHeight="1">
      <c r="A169" s="1"/>
      <c r="B169" s="66" t="s">
        <v>6629</v>
      </c>
      <c r="C169" s="66"/>
      <c r="D169" s="96"/>
      <c r="E169" s="99"/>
      <c r="F169" s="99"/>
      <c r="G169" s="122"/>
      <c r="H169" s="122"/>
      <c r="I169" s="66"/>
      <c r="J169" s="68"/>
      <c r="K169" s="68"/>
      <c r="L169" s="96"/>
      <c r="M169" s="69"/>
      <c r="N169" s="69"/>
      <c r="O169" s="67"/>
      <c r="P169" s="67"/>
      <c r="Q169" s="67"/>
      <c r="R169" s="67"/>
      <c r="S169" s="67"/>
      <c r="T169" s="1"/>
      <c r="U169" s="1"/>
      <c r="V169" s="1"/>
      <c r="W169" s="1"/>
      <c r="X169" s="1"/>
      <c r="Y169" s="1"/>
      <c r="Z169" s="1"/>
    </row>
    <row r="170" spans="1:26" ht="36" customHeight="1">
      <c r="A170" s="1"/>
      <c r="B170" s="66" t="s">
        <v>6630</v>
      </c>
      <c r="C170" s="66"/>
      <c r="D170" s="96"/>
      <c r="E170" s="99"/>
      <c r="F170" s="99"/>
      <c r="G170" s="122"/>
      <c r="H170" s="122"/>
      <c r="I170" s="66"/>
      <c r="J170" s="68"/>
      <c r="K170" s="68"/>
      <c r="L170" s="96"/>
      <c r="M170" s="69"/>
      <c r="N170" s="69"/>
      <c r="O170" s="67"/>
      <c r="P170" s="67"/>
      <c r="Q170" s="67"/>
      <c r="R170" s="67"/>
      <c r="S170" s="67"/>
      <c r="T170" s="1"/>
      <c r="U170" s="1"/>
      <c r="V170" s="1"/>
      <c r="W170" s="1"/>
      <c r="X170" s="1"/>
      <c r="Y170" s="1"/>
      <c r="Z170" s="1"/>
    </row>
    <row r="171" spans="1:26" ht="36" customHeight="1">
      <c r="A171" s="1"/>
      <c r="B171" s="66" t="s">
        <v>6631</v>
      </c>
      <c r="C171" s="66"/>
      <c r="D171" s="96"/>
      <c r="E171" s="99"/>
      <c r="F171" s="99"/>
      <c r="G171" s="122"/>
      <c r="H171" s="122"/>
      <c r="I171" s="66"/>
      <c r="J171" s="68"/>
      <c r="K171" s="68"/>
      <c r="L171" s="96"/>
      <c r="M171" s="69"/>
      <c r="N171" s="69"/>
      <c r="O171" s="67"/>
      <c r="P171" s="67"/>
      <c r="Q171" s="67"/>
      <c r="R171" s="67"/>
      <c r="S171" s="67"/>
      <c r="T171" s="1"/>
      <c r="U171" s="1"/>
      <c r="V171" s="1"/>
      <c r="W171" s="1"/>
      <c r="X171" s="1"/>
      <c r="Y171" s="1"/>
      <c r="Z171" s="1"/>
    </row>
    <row r="172" spans="1:26" ht="36" customHeight="1">
      <c r="A172" s="1"/>
      <c r="B172" s="66" t="s">
        <v>6632</v>
      </c>
      <c r="C172" s="66"/>
      <c r="D172" s="96"/>
      <c r="E172" s="99"/>
      <c r="F172" s="99"/>
      <c r="G172" s="122"/>
      <c r="H172" s="122"/>
      <c r="I172" s="66"/>
      <c r="J172" s="68"/>
      <c r="K172" s="68"/>
      <c r="L172" s="96"/>
      <c r="M172" s="69"/>
      <c r="N172" s="69"/>
      <c r="O172" s="67"/>
      <c r="P172" s="67"/>
      <c r="Q172" s="67"/>
      <c r="R172" s="67"/>
      <c r="S172" s="67"/>
      <c r="T172" s="1"/>
      <c r="U172" s="1"/>
      <c r="V172" s="1"/>
      <c r="W172" s="1"/>
      <c r="X172" s="1"/>
      <c r="Y172" s="1"/>
      <c r="Z172" s="1"/>
    </row>
    <row r="173" spans="1:26" ht="36" customHeight="1">
      <c r="A173" s="1"/>
      <c r="B173" s="66" t="s">
        <v>6633</v>
      </c>
      <c r="C173" s="66"/>
      <c r="D173" s="96"/>
      <c r="E173" s="99"/>
      <c r="F173" s="99"/>
      <c r="G173" s="122"/>
      <c r="H173" s="122"/>
      <c r="I173" s="66"/>
      <c r="J173" s="68"/>
      <c r="K173" s="68"/>
      <c r="L173" s="96"/>
      <c r="M173" s="69"/>
      <c r="N173" s="69"/>
      <c r="O173" s="67"/>
      <c r="P173" s="67"/>
      <c r="Q173" s="67"/>
      <c r="R173" s="67"/>
      <c r="S173" s="67"/>
      <c r="T173" s="1"/>
      <c r="U173" s="1"/>
      <c r="V173" s="1"/>
      <c r="W173" s="1"/>
      <c r="X173" s="1"/>
      <c r="Y173" s="1"/>
      <c r="Z173" s="1"/>
    </row>
    <row r="174" spans="1:26" ht="36" customHeight="1">
      <c r="A174" s="1"/>
      <c r="B174" s="66" t="s">
        <v>6634</v>
      </c>
      <c r="C174" s="66"/>
      <c r="D174" s="96"/>
      <c r="E174" s="99"/>
      <c r="F174" s="99"/>
      <c r="G174" s="122"/>
      <c r="H174" s="122"/>
      <c r="I174" s="66"/>
      <c r="J174" s="68"/>
      <c r="K174" s="68"/>
      <c r="L174" s="96"/>
      <c r="M174" s="69"/>
      <c r="N174" s="69"/>
      <c r="O174" s="67"/>
      <c r="P174" s="67"/>
      <c r="Q174" s="67"/>
      <c r="R174" s="67"/>
      <c r="S174" s="67"/>
      <c r="T174" s="1"/>
      <c r="U174" s="1"/>
      <c r="V174" s="1"/>
      <c r="W174" s="1"/>
      <c r="X174" s="1"/>
      <c r="Y174" s="1"/>
      <c r="Z174" s="1"/>
    </row>
    <row r="175" spans="1:26" ht="36" customHeight="1">
      <c r="A175" s="1"/>
      <c r="B175" s="66" t="s">
        <v>6635</v>
      </c>
      <c r="C175" s="66"/>
      <c r="D175" s="96"/>
      <c r="E175" s="99"/>
      <c r="F175" s="99"/>
      <c r="G175" s="122"/>
      <c r="H175" s="122"/>
      <c r="I175" s="66"/>
      <c r="J175" s="68"/>
      <c r="K175" s="68"/>
      <c r="L175" s="96"/>
      <c r="M175" s="69"/>
      <c r="N175" s="69"/>
      <c r="O175" s="67"/>
      <c r="P175" s="67"/>
      <c r="Q175" s="67"/>
      <c r="R175" s="67"/>
      <c r="S175" s="67"/>
      <c r="T175" s="1"/>
      <c r="U175" s="1"/>
      <c r="V175" s="1"/>
      <c r="W175" s="1"/>
      <c r="X175" s="1"/>
      <c r="Y175" s="1"/>
      <c r="Z175" s="1"/>
    </row>
    <row r="176" spans="1:26" ht="36" customHeight="1">
      <c r="A176" s="1"/>
      <c r="B176" s="66" t="s">
        <v>6636</v>
      </c>
      <c r="C176" s="66"/>
      <c r="D176" s="96"/>
      <c r="E176" s="99"/>
      <c r="F176" s="99"/>
      <c r="G176" s="122"/>
      <c r="H176" s="122"/>
      <c r="I176" s="66"/>
      <c r="J176" s="68"/>
      <c r="K176" s="68"/>
      <c r="L176" s="96"/>
      <c r="M176" s="69"/>
      <c r="N176" s="69"/>
      <c r="O176" s="67"/>
      <c r="P176" s="67"/>
      <c r="Q176" s="67"/>
      <c r="R176" s="67"/>
      <c r="S176" s="67"/>
      <c r="T176" s="1"/>
      <c r="U176" s="1"/>
      <c r="V176" s="1"/>
      <c r="W176" s="1"/>
      <c r="X176" s="1"/>
      <c r="Y176" s="1"/>
      <c r="Z176" s="1"/>
    </row>
    <row r="177" spans="1:26" ht="36" customHeight="1">
      <c r="A177" s="1"/>
      <c r="B177" s="66" t="s">
        <v>6637</v>
      </c>
      <c r="C177" s="66"/>
      <c r="D177" s="96"/>
      <c r="E177" s="99"/>
      <c r="F177" s="99"/>
      <c r="G177" s="122"/>
      <c r="H177" s="122"/>
      <c r="I177" s="66"/>
      <c r="J177" s="68"/>
      <c r="K177" s="68"/>
      <c r="L177" s="96"/>
      <c r="M177" s="69"/>
      <c r="N177" s="69"/>
      <c r="O177" s="67"/>
      <c r="P177" s="67"/>
      <c r="Q177" s="67"/>
      <c r="R177" s="67"/>
      <c r="S177" s="67"/>
      <c r="T177" s="1"/>
      <c r="U177" s="1"/>
      <c r="V177" s="1"/>
      <c r="W177" s="1"/>
      <c r="X177" s="1"/>
      <c r="Y177" s="1"/>
      <c r="Z177" s="1"/>
    </row>
    <row r="178" spans="1:26" ht="36" customHeight="1">
      <c r="A178" s="1"/>
      <c r="B178" s="66" t="s">
        <v>6638</v>
      </c>
      <c r="C178" s="66"/>
      <c r="D178" s="96"/>
      <c r="E178" s="99"/>
      <c r="F178" s="99"/>
      <c r="G178" s="122"/>
      <c r="H178" s="122"/>
      <c r="I178" s="66"/>
      <c r="J178" s="68"/>
      <c r="K178" s="68"/>
      <c r="L178" s="96"/>
      <c r="M178" s="69"/>
      <c r="N178" s="69"/>
      <c r="O178" s="67"/>
      <c r="P178" s="67"/>
      <c r="Q178" s="67"/>
      <c r="R178" s="67"/>
      <c r="S178" s="67"/>
      <c r="T178" s="1"/>
      <c r="U178" s="1"/>
      <c r="V178" s="1"/>
      <c r="W178" s="1"/>
      <c r="X178" s="1"/>
      <c r="Y178" s="1"/>
      <c r="Z178" s="1"/>
    </row>
    <row r="179" spans="1:26" ht="36" customHeight="1">
      <c r="A179" s="1"/>
      <c r="B179" s="66" t="s">
        <v>6639</v>
      </c>
      <c r="C179" s="66"/>
      <c r="D179" s="96"/>
      <c r="E179" s="99"/>
      <c r="F179" s="99"/>
      <c r="G179" s="122"/>
      <c r="H179" s="122"/>
      <c r="I179" s="66"/>
      <c r="J179" s="68"/>
      <c r="K179" s="68"/>
      <c r="L179" s="96"/>
      <c r="M179" s="69"/>
      <c r="N179" s="69"/>
      <c r="O179" s="67"/>
      <c r="P179" s="67"/>
      <c r="Q179" s="67"/>
      <c r="R179" s="67"/>
      <c r="S179" s="67"/>
      <c r="T179" s="1"/>
      <c r="U179" s="1"/>
      <c r="V179" s="1"/>
      <c r="W179" s="1"/>
      <c r="X179" s="1"/>
      <c r="Y179" s="1"/>
      <c r="Z179" s="1"/>
    </row>
    <row r="180" spans="1:26" ht="36" customHeight="1">
      <c r="A180" s="1"/>
      <c r="B180" s="66" t="s">
        <v>6640</v>
      </c>
      <c r="C180" s="66"/>
      <c r="D180" s="96"/>
      <c r="E180" s="99"/>
      <c r="F180" s="99"/>
      <c r="G180" s="122"/>
      <c r="H180" s="122"/>
      <c r="I180" s="66"/>
      <c r="J180" s="68"/>
      <c r="K180" s="68"/>
      <c r="L180" s="96"/>
      <c r="M180" s="69"/>
      <c r="N180" s="69"/>
      <c r="O180" s="67"/>
      <c r="P180" s="67"/>
      <c r="Q180" s="67"/>
      <c r="R180" s="67"/>
      <c r="S180" s="67"/>
      <c r="T180" s="1"/>
      <c r="U180" s="1"/>
      <c r="V180" s="1"/>
      <c r="W180" s="1"/>
      <c r="X180" s="1"/>
      <c r="Y180" s="1"/>
      <c r="Z180" s="1"/>
    </row>
    <row r="181" spans="1:26" ht="36" customHeight="1">
      <c r="A181" s="1"/>
      <c r="B181" s="66" t="s">
        <v>6641</v>
      </c>
      <c r="C181" s="66"/>
      <c r="D181" s="96"/>
      <c r="E181" s="99"/>
      <c r="F181" s="99"/>
      <c r="G181" s="122"/>
      <c r="H181" s="122"/>
      <c r="I181" s="66"/>
      <c r="J181" s="68"/>
      <c r="K181" s="68"/>
      <c r="L181" s="96"/>
      <c r="M181" s="69"/>
      <c r="N181" s="69"/>
      <c r="O181" s="67"/>
      <c r="P181" s="67"/>
      <c r="Q181" s="67"/>
      <c r="R181" s="67"/>
      <c r="S181" s="67"/>
      <c r="T181" s="1"/>
      <c r="U181" s="1"/>
      <c r="V181" s="1"/>
      <c r="W181" s="1"/>
      <c r="X181" s="1"/>
      <c r="Y181" s="1"/>
      <c r="Z181" s="1"/>
    </row>
    <row r="182" spans="1:26" ht="48" customHeight="1">
      <c r="A182" s="1"/>
      <c r="B182" s="66" t="s">
        <v>6642</v>
      </c>
      <c r="C182" s="66"/>
      <c r="D182" s="96"/>
      <c r="E182" s="99"/>
      <c r="F182" s="99"/>
      <c r="G182" s="122"/>
      <c r="H182" s="122"/>
      <c r="I182" s="66"/>
      <c r="J182" s="68"/>
      <c r="K182" s="68"/>
      <c r="L182" s="96"/>
      <c r="M182" s="69"/>
      <c r="N182" s="69"/>
      <c r="O182" s="67"/>
      <c r="P182" s="67"/>
      <c r="Q182" s="67"/>
      <c r="R182" s="67"/>
      <c r="S182" s="67"/>
      <c r="T182" s="1"/>
      <c r="U182" s="1"/>
      <c r="V182" s="1"/>
      <c r="W182" s="1"/>
      <c r="X182" s="1"/>
      <c r="Y182" s="1"/>
      <c r="Z182" s="1"/>
    </row>
    <row r="183" spans="1:26" ht="36" customHeight="1">
      <c r="A183" s="1"/>
      <c r="B183" s="66" t="s">
        <v>6643</v>
      </c>
      <c r="C183" s="66"/>
      <c r="D183" s="96"/>
      <c r="E183" s="99"/>
      <c r="F183" s="99"/>
      <c r="G183" s="122"/>
      <c r="H183" s="122"/>
      <c r="I183" s="66"/>
      <c r="J183" s="68"/>
      <c r="K183" s="68"/>
      <c r="L183" s="96"/>
      <c r="M183" s="69"/>
      <c r="N183" s="69"/>
      <c r="O183" s="67"/>
      <c r="P183" s="67"/>
      <c r="Q183" s="67"/>
      <c r="R183" s="67"/>
      <c r="S183" s="67"/>
      <c r="T183" s="1"/>
      <c r="U183" s="1"/>
      <c r="V183" s="1"/>
      <c r="W183" s="1"/>
      <c r="X183" s="1"/>
      <c r="Y183" s="1"/>
      <c r="Z183" s="1"/>
    </row>
    <row r="184" spans="1:26" ht="39.75" customHeight="1">
      <c r="A184" s="1"/>
      <c r="B184" s="66" t="s">
        <v>6644</v>
      </c>
      <c r="C184" s="66"/>
      <c r="D184" s="96"/>
      <c r="E184" s="99"/>
      <c r="F184" s="99"/>
      <c r="G184" s="122"/>
      <c r="H184" s="122"/>
      <c r="I184" s="66"/>
      <c r="J184" s="68"/>
      <c r="K184" s="68"/>
      <c r="L184" s="96"/>
      <c r="M184" s="69"/>
      <c r="N184" s="69"/>
      <c r="O184" s="67"/>
      <c r="P184" s="67"/>
      <c r="Q184" s="67"/>
      <c r="R184" s="67"/>
      <c r="S184" s="67"/>
      <c r="T184" s="1"/>
      <c r="U184" s="1"/>
      <c r="V184" s="1"/>
      <c r="W184" s="1"/>
      <c r="X184" s="1"/>
      <c r="Y184" s="1"/>
      <c r="Z184" s="1"/>
    </row>
    <row r="185" spans="1:26" ht="40.5" customHeight="1">
      <c r="A185" s="1"/>
      <c r="B185" s="66" t="s">
        <v>6645</v>
      </c>
      <c r="C185" s="66"/>
      <c r="D185" s="96"/>
      <c r="E185" s="99"/>
      <c r="F185" s="99"/>
      <c r="G185" s="122"/>
      <c r="H185" s="122"/>
      <c r="I185" s="66"/>
      <c r="J185" s="68"/>
      <c r="K185" s="68"/>
      <c r="L185" s="96"/>
      <c r="M185" s="69"/>
      <c r="N185" s="69"/>
      <c r="O185" s="67"/>
      <c r="P185" s="67"/>
      <c r="Q185" s="67"/>
      <c r="R185" s="67"/>
      <c r="S185" s="67"/>
      <c r="T185" s="1"/>
      <c r="U185" s="1"/>
      <c r="V185" s="1"/>
      <c r="W185" s="1"/>
      <c r="X185" s="1"/>
      <c r="Y185" s="1"/>
      <c r="Z185" s="1"/>
    </row>
    <row r="186" spans="1:26" ht="36" customHeight="1">
      <c r="A186" s="1"/>
      <c r="B186" s="66" t="s">
        <v>6646</v>
      </c>
      <c r="C186" s="66"/>
      <c r="D186" s="96"/>
      <c r="E186" s="99"/>
      <c r="F186" s="99"/>
      <c r="G186" s="122"/>
      <c r="H186" s="122"/>
      <c r="I186" s="66"/>
      <c r="J186" s="68"/>
      <c r="K186" s="68"/>
      <c r="L186" s="96"/>
      <c r="M186" s="69"/>
      <c r="N186" s="69"/>
      <c r="O186" s="67"/>
      <c r="P186" s="67"/>
      <c r="Q186" s="67"/>
      <c r="R186" s="67"/>
      <c r="S186" s="67"/>
      <c r="T186" s="1"/>
      <c r="U186" s="1"/>
      <c r="V186" s="1"/>
      <c r="W186" s="1"/>
      <c r="X186" s="1"/>
      <c r="Y186" s="1"/>
      <c r="Z186" s="1"/>
    </row>
    <row r="187" spans="1:26" ht="36" customHeight="1">
      <c r="A187" s="1"/>
      <c r="B187" s="66" t="s">
        <v>6647</v>
      </c>
      <c r="C187" s="66"/>
      <c r="D187" s="96"/>
      <c r="E187" s="99"/>
      <c r="F187" s="99"/>
      <c r="G187" s="122"/>
      <c r="H187" s="122"/>
      <c r="I187" s="66"/>
      <c r="J187" s="68"/>
      <c r="K187" s="68"/>
      <c r="L187" s="96"/>
      <c r="M187" s="69"/>
      <c r="N187" s="69"/>
      <c r="O187" s="67"/>
      <c r="P187" s="67"/>
      <c r="Q187" s="67"/>
      <c r="R187" s="67"/>
      <c r="S187" s="71"/>
      <c r="T187" s="1"/>
      <c r="U187" s="1"/>
      <c r="V187" s="1"/>
      <c r="W187" s="1"/>
      <c r="X187" s="1"/>
      <c r="Y187" s="1"/>
      <c r="Z187" s="1"/>
    </row>
    <row r="188" spans="1:26" ht="36" customHeight="1">
      <c r="A188" s="1"/>
      <c r="B188" s="66" t="s">
        <v>6648</v>
      </c>
      <c r="C188" s="66"/>
      <c r="D188" s="96"/>
      <c r="E188" s="99"/>
      <c r="F188" s="99"/>
      <c r="G188" s="122"/>
      <c r="H188" s="122"/>
      <c r="I188" s="66"/>
      <c r="J188" s="68"/>
      <c r="K188" s="68"/>
      <c r="L188" s="96"/>
      <c r="M188" s="69"/>
      <c r="N188" s="69"/>
      <c r="O188" s="67"/>
      <c r="P188" s="67"/>
      <c r="Q188" s="67"/>
      <c r="R188" s="67"/>
      <c r="S188" s="71"/>
      <c r="T188" s="1"/>
      <c r="U188" s="1"/>
      <c r="V188" s="1"/>
      <c r="W188" s="1"/>
      <c r="X188" s="1"/>
      <c r="Y188" s="1"/>
      <c r="Z188" s="1"/>
    </row>
    <row r="189" spans="1:26" ht="36" customHeight="1">
      <c r="A189" s="1"/>
      <c r="B189" s="66" t="s">
        <v>6649</v>
      </c>
      <c r="C189" s="66"/>
      <c r="D189" s="96"/>
      <c r="E189" s="99"/>
      <c r="F189" s="99"/>
      <c r="G189" s="122"/>
      <c r="H189" s="122"/>
      <c r="I189" s="66"/>
      <c r="J189" s="68"/>
      <c r="K189" s="68"/>
      <c r="L189" s="96"/>
      <c r="M189" s="69"/>
      <c r="N189" s="69"/>
      <c r="O189" s="67"/>
      <c r="P189" s="67"/>
      <c r="Q189" s="67"/>
      <c r="R189" s="67"/>
      <c r="S189" s="71"/>
      <c r="T189" s="1"/>
      <c r="U189" s="1"/>
      <c r="V189" s="1"/>
      <c r="W189" s="1"/>
      <c r="X189" s="1"/>
      <c r="Y189" s="1"/>
      <c r="Z189" s="1"/>
    </row>
    <row r="190" spans="1:26" ht="36" customHeight="1">
      <c r="A190" s="1"/>
      <c r="B190" s="66" t="s">
        <v>6650</v>
      </c>
      <c r="C190" s="66"/>
      <c r="D190" s="96"/>
      <c r="E190" s="99"/>
      <c r="F190" s="99"/>
      <c r="G190" s="122"/>
      <c r="H190" s="122"/>
      <c r="I190" s="66"/>
      <c r="J190" s="68"/>
      <c r="K190" s="68"/>
      <c r="L190" s="96"/>
      <c r="M190" s="69"/>
      <c r="N190" s="69"/>
      <c r="O190" s="67"/>
      <c r="P190" s="67"/>
      <c r="Q190" s="67"/>
      <c r="R190" s="67"/>
      <c r="S190" s="67"/>
      <c r="T190" s="1"/>
      <c r="U190" s="1"/>
      <c r="V190" s="1"/>
      <c r="W190" s="1"/>
      <c r="X190" s="1"/>
      <c r="Y190" s="1"/>
      <c r="Z190" s="1"/>
    </row>
    <row r="191" spans="1:26" ht="36" customHeight="1">
      <c r="A191" s="1"/>
      <c r="B191" s="66" t="s">
        <v>6651</v>
      </c>
      <c r="C191" s="66"/>
      <c r="D191" s="96"/>
      <c r="E191" s="99"/>
      <c r="F191" s="99"/>
      <c r="G191" s="122"/>
      <c r="H191" s="122"/>
      <c r="I191" s="66"/>
      <c r="J191" s="68"/>
      <c r="K191" s="68"/>
      <c r="L191" s="96"/>
      <c r="M191" s="69"/>
      <c r="N191" s="69"/>
      <c r="O191" s="67"/>
      <c r="P191" s="67"/>
      <c r="Q191" s="67"/>
      <c r="R191" s="67"/>
      <c r="S191" s="67"/>
      <c r="T191" s="1"/>
      <c r="U191" s="1"/>
      <c r="V191" s="1"/>
      <c r="W191" s="1"/>
      <c r="X191" s="1"/>
      <c r="Y191" s="1"/>
      <c r="Z191" s="1"/>
    </row>
    <row r="192" spans="1:26" ht="36" customHeight="1">
      <c r="A192" s="1"/>
      <c r="B192" s="66" t="s">
        <v>6652</v>
      </c>
      <c r="C192" s="66"/>
      <c r="D192" s="96"/>
      <c r="E192" s="99"/>
      <c r="F192" s="99"/>
      <c r="G192" s="122"/>
      <c r="H192" s="122"/>
      <c r="I192" s="66"/>
      <c r="J192" s="68"/>
      <c r="K192" s="68"/>
      <c r="L192" s="96"/>
      <c r="M192" s="69"/>
      <c r="N192" s="69"/>
      <c r="O192" s="67"/>
      <c r="P192" s="67"/>
      <c r="Q192" s="67"/>
      <c r="R192" s="67"/>
      <c r="S192" s="67"/>
      <c r="T192" s="1"/>
      <c r="U192" s="1"/>
      <c r="V192" s="1"/>
      <c r="W192" s="1"/>
      <c r="X192" s="1"/>
      <c r="Y192" s="1"/>
      <c r="Z192" s="1"/>
    </row>
    <row r="193" spans="1:26" ht="36" customHeight="1">
      <c r="A193" s="1"/>
      <c r="B193" s="66" t="s">
        <v>6653</v>
      </c>
      <c r="C193" s="66"/>
      <c r="D193" s="96"/>
      <c r="E193" s="99"/>
      <c r="F193" s="99"/>
      <c r="G193" s="122"/>
      <c r="H193" s="122"/>
      <c r="I193" s="66"/>
      <c r="J193" s="68"/>
      <c r="K193" s="68"/>
      <c r="L193" s="96"/>
      <c r="M193" s="69"/>
      <c r="N193" s="69"/>
      <c r="O193" s="67"/>
      <c r="P193" s="67"/>
      <c r="Q193" s="67"/>
      <c r="R193" s="67"/>
      <c r="S193" s="71"/>
      <c r="T193" s="1"/>
      <c r="U193" s="1"/>
      <c r="V193" s="1"/>
      <c r="W193" s="1"/>
      <c r="X193" s="1"/>
      <c r="Y193" s="1"/>
      <c r="Z193" s="1"/>
    </row>
    <row r="194" spans="1:26" ht="34.5" customHeight="1">
      <c r="A194" s="1"/>
      <c r="B194" s="66" t="s">
        <v>6654</v>
      </c>
      <c r="C194" s="66"/>
      <c r="D194" s="96"/>
      <c r="E194" s="99"/>
      <c r="F194" s="99"/>
      <c r="G194" s="122"/>
      <c r="H194" s="122"/>
      <c r="I194" s="66"/>
      <c r="J194" s="68"/>
      <c r="K194" s="68"/>
      <c r="L194" s="96"/>
      <c r="M194" s="69"/>
      <c r="N194" s="69"/>
      <c r="O194" s="67"/>
      <c r="P194" s="67"/>
      <c r="Q194" s="67"/>
      <c r="R194" s="67"/>
      <c r="S194" s="71"/>
      <c r="T194" s="1"/>
      <c r="U194" s="1"/>
      <c r="V194" s="1"/>
      <c r="W194" s="1"/>
      <c r="X194" s="1"/>
      <c r="Y194" s="1"/>
      <c r="Z194" s="1"/>
    </row>
    <row r="195" spans="1:26" ht="34.5" customHeight="1">
      <c r="A195" s="1" t="s">
        <v>520</v>
      </c>
      <c r="B195" s="66" t="s">
        <v>6655</v>
      </c>
      <c r="C195" s="66"/>
      <c r="D195" s="96"/>
      <c r="E195" s="99"/>
      <c r="F195" s="99"/>
      <c r="G195" s="122"/>
      <c r="H195" s="122"/>
      <c r="I195" s="66"/>
      <c r="J195" s="68"/>
      <c r="K195" s="68"/>
      <c r="L195" s="96"/>
      <c r="M195" s="69"/>
      <c r="N195" s="69"/>
      <c r="O195" s="67"/>
      <c r="P195" s="67"/>
      <c r="Q195" s="67"/>
      <c r="R195" s="67"/>
      <c r="S195" s="67"/>
      <c r="T195" s="1"/>
      <c r="U195" s="1"/>
      <c r="V195" s="1"/>
      <c r="W195" s="1"/>
      <c r="X195" s="1"/>
      <c r="Y195" s="1"/>
      <c r="Z195" s="1"/>
    </row>
    <row r="196" spans="1:26" ht="34.5" customHeight="1">
      <c r="A196" s="1"/>
      <c r="B196" s="66" t="s">
        <v>6656</v>
      </c>
      <c r="C196" s="66"/>
      <c r="D196" s="96"/>
      <c r="E196" s="99"/>
      <c r="F196" s="99"/>
      <c r="G196" s="122"/>
      <c r="H196" s="122"/>
      <c r="I196" s="66"/>
      <c r="J196" s="68"/>
      <c r="K196" s="68"/>
      <c r="L196" s="96"/>
      <c r="M196" s="69"/>
      <c r="N196" s="69"/>
      <c r="O196" s="67"/>
      <c r="P196" s="67"/>
      <c r="Q196" s="67"/>
      <c r="R196" s="67"/>
      <c r="S196" s="67"/>
      <c r="T196" s="1"/>
      <c r="U196" s="1"/>
      <c r="V196" s="1"/>
      <c r="W196" s="1"/>
      <c r="X196" s="1"/>
      <c r="Y196" s="1"/>
      <c r="Z196" s="1"/>
    </row>
    <row r="197" spans="1:26" ht="34.5" customHeight="1">
      <c r="A197" s="1"/>
      <c r="B197" s="66" t="s">
        <v>6657</v>
      </c>
      <c r="C197" s="66"/>
      <c r="D197" s="96"/>
      <c r="E197" s="99"/>
      <c r="F197" s="99"/>
      <c r="G197" s="122"/>
      <c r="H197" s="122"/>
      <c r="I197" s="66"/>
      <c r="J197" s="68"/>
      <c r="K197" s="68"/>
      <c r="L197" s="96"/>
      <c r="M197" s="69"/>
      <c r="N197" s="96"/>
      <c r="O197" s="67"/>
      <c r="P197" s="67"/>
      <c r="Q197" s="67"/>
      <c r="R197" s="67"/>
      <c r="S197" s="71"/>
      <c r="T197" s="1"/>
      <c r="U197" s="1"/>
      <c r="V197" s="1"/>
      <c r="W197" s="1"/>
      <c r="X197" s="1"/>
      <c r="Y197" s="1"/>
      <c r="Z197" s="1"/>
    </row>
    <row r="198" spans="1:26" ht="34.5" customHeight="1">
      <c r="A198" s="1"/>
      <c r="B198" s="66" t="s">
        <v>6658</v>
      </c>
      <c r="C198" s="66"/>
      <c r="D198" s="96"/>
      <c r="E198" s="99"/>
      <c r="F198" s="99"/>
      <c r="G198" s="122"/>
      <c r="H198" s="122"/>
      <c r="I198" s="68"/>
      <c r="J198" s="68"/>
      <c r="K198" s="68"/>
      <c r="L198" s="69"/>
      <c r="M198" s="69"/>
      <c r="N198" s="69"/>
      <c r="O198" s="67"/>
      <c r="P198" s="67"/>
      <c r="Q198" s="67"/>
      <c r="R198" s="67"/>
      <c r="S198" s="71"/>
      <c r="T198" s="1"/>
      <c r="U198" s="1"/>
      <c r="V198" s="1"/>
      <c r="W198" s="1"/>
      <c r="X198" s="1"/>
      <c r="Y198" s="1"/>
      <c r="Z198" s="1"/>
    </row>
    <row r="199" spans="1:26" ht="34.5" customHeight="1">
      <c r="A199" s="1"/>
      <c r="B199" s="66" t="s">
        <v>6659</v>
      </c>
      <c r="C199" s="66"/>
      <c r="D199" s="96"/>
      <c r="E199" s="99"/>
      <c r="F199" s="99"/>
      <c r="G199" s="122"/>
      <c r="H199" s="122"/>
      <c r="I199" s="66"/>
      <c r="J199" s="99"/>
      <c r="K199" s="112"/>
      <c r="L199" s="96"/>
      <c r="M199" s="69"/>
      <c r="N199" s="69"/>
      <c r="O199" s="67"/>
      <c r="P199" s="67"/>
      <c r="Q199" s="67"/>
      <c r="R199" s="67"/>
      <c r="S199" s="67"/>
      <c r="T199" s="1"/>
      <c r="U199" s="1"/>
      <c r="V199" s="1"/>
      <c r="W199" s="1"/>
      <c r="X199" s="1"/>
      <c r="Y199" s="1"/>
      <c r="Z199" s="1"/>
    </row>
    <row r="200" spans="1:26" ht="36" customHeight="1">
      <c r="A200" s="1"/>
      <c r="B200" s="66" t="s">
        <v>6660</v>
      </c>
      <c r="C200" s="66"/>
      <c r="D200" s="96"/>
      <c r="E200" s="96"/>
      <c r="F200" s="96"/>
      <c r="G200" s="122"/>
      <c r="H200" s="122"/>
      <c r="I200" s="66"/>
      <c r="J200" s="68"/>
      <c r="K200" s="68"/>
      <c r="L200" s="96"/>
      <c r="M200" s="69"/>
      <c r="N200" s="69"/>
      <c r="O200" s="67"/>
      <c r="P200" s="67"/>
      <c r="Q200" s="67"/>
      <c r="R200" s="67"/>
      <c r="S200" s="67"/>
      <c r="T200" s="1"/>
      <c r="U200" s="1"/>
      <c r="V200" s="1"/>
      <c r="W200" s="1"/>
      <c r="X200" s="1"/>
      <c r="Y200" s="1"/>
      <c r="Z200" s="1"/>
    </row>
    <row r="201" spans="1:26" ht="36" customHeight="1">
      <c r="A201" s="1"/>
      <c r="B201" s="66" t="s">
        <v>6661</v>
      </c>
      <c r="C201" s="66"/>
      <c r="D201" s="96"/>
      <c r="E201" s="96"/>
      <c r="F201" s="96"/>
      <c r="G201" s="122"/>
      <c r="H201" s="122"/>
      <c r="I201" s="66"/>
      <c r="J201" s="99"/>
      <c r="K201" s="113"/>
      <c r="L201" s="96"/>
      <c r="M201" s="69"/>
      <c r="N201" s="69"/>
      <c r="O201" s="67"/>
      <c r="P201" s="67"/>
      <c r="Q201" s="67"/>
      <c r="R201" s="67"/>
      <c r="S201" s="67"/>
      <c r="T201" s="1"/>
      <c r="U201" s="1"/>
      <c r="V201" s="1"/>
      <c r="W201" s="1"/>
      <c r="X201" s="1"/>
      <c r="Y201" s="1"/>
      <c r="Z201" s="1"/>
    </row>
    <row r="202" spans="1:26" ht="36" customHeight="1">
      <c r="A202" s="1"/>
      <c r="B202" s="66" t="s">
        <v>6662</v>
      </c>
      <c r="C202" s="66"/>
      <c r="D202" s="96"/>
      <c r="E202" s="96"/>
      <c r="F202" s="96"/>
      <c r="G202" s="122"/>
      <c r="H202" s="122"/>
      <c r="I202" s="66"/>
      <c r="J202" s="99"/>
      <c r="K202" s="112"/>
      <c r="L202" s="96"/>
      <c r="M202" s="69"/>
      <c r="N202" s="69"/>
      <c r="O202" s="67"/>
      <c r="P202" s="67"/>
      <c r="Q202" s="67"/>
      <c r="R202" s="67"/>
      <c r="S202" s="71"/>
      <c r="T202" s="1"/>
      <c r="U202" s="1"/>
      <c r="V202" s="1"/>
      <c r="W202" s="1"/>
      <c r="X202" s="1"/>
      <c r="Y202" s="1"/>
      <c r="Z202" s="1"/>
    </row>
    <row r="203" spans="1:26" ht="36" customHeight="1">
      <c r="A203" s="1"/>
      <c r="B203" s="66" t="s">
        <v>6663</v>
      </c>
      <c r="C203" s="66"/>
      <c r="D203" s="96"/>
      <c r="E203" s="96"/>
      <c r="F203" s="96"/>
      <c r="G203" s="122"/>
      <c r="H203" s="122"/>
      <c r="I203" s="66"/>
      <c r="J203" s="68"/>
      <c r="K203" s="68"/>
      <c r="L203" s="96"/>
      <c r="M203" s="69"/>
      <c r="N203" s="69"/>
      <c r="O203" s="67"/>
      <c r="P203" s="67"/>
      <c r="Q203" s="67"/>
      <c r="R203" s="67"/>
      <c r="S203" s="71"/>
      <c r="T203" s="1"/>
      <c r="U203" s="1"/>
      <c r="V203" s="1"/>
      <c r="W203" s="1"/>
      <c r="X203" s="1"/>
      <c r="Y203" s="1"/>
      <c r="Z203" s="1"/>
    </row>
    <row r="204" spans="1:26" ht="36" customHeight="1">
      <c r="A204" s="1"/>
      <c r="B204" s="66" t="s">
        <v>6664</v>
      </c>
      <c r="C204" s="66"/>
      <c r="D204" s="96"/>
      <c r="E204" s="96"/>
      <c r="F204" s="96"/>
      <c r="G204" s="122"/>
      <c r="H204" s="122"/>
      <c r="I204" s="66"/>
      <c r="J204" s="68"/>
      <c r="K204" s="68"/>
      <c r="L204" s="96"/>
      <c r="M204" s="69"/>
      <c r="N204" s="69"/>
      <c r="O204" s="67"/>
      <c r="P204" s="67"/>
      <c r="Q204" s="67"/>
      <c r="R204" s="67"/>
      <c r="S204" s="71"/>
      <c r="T204" s="1"/>
      <c r="U204" s="1"/>
      <c r="V204" s="1"/>
      <c r="W204" s="1"/>
      <c r="X204" s="1"/>
      <c r="Y204" s="1"/>
      <c r="Z204" s="1"/>
    </row>
    <row r="205" spans="1:26" ht="36" customHeight="1">
      <c r="A205" s="1"/>
      <c r="B205" s="66" t="s">
        <v>6665</v>
      </c>
      <c r="C205" s="66"/>
      <c r="D205" s="96"/>
      <c r="E205" s="96"/>
      <c r="F205" s="96"/>
      <c r="G205" s="122"/>
      <c r="H205" s="122"/>
      <c r="I205" s="66"/>
      <c r="J205" s="68"/>
      <c r="K205" s="68"/>
      <c r="L205" s="96"/>
      <c r="M205" s="69"/>
      <c r="N205" s="69"/>
      <c r="O205" s="67"/>
      <c r="P205" s="67"/>
      <c r="Q205" s="67"/>
      <c r="R205" s="67"/>
      <c r="S205" s="67"/>
      <c r="T205" s="1"/>
      <c r="U205" s="1"/>
      <c r="V205" s="1"/>
      <c r="W205" s="1"/>
      <c r="X205" s="1"/>
      <c r="Y205" s="1"/>
      <c r="Z205" s="1"/>
    </row>
    <row r="206" spans="1:26" ht="36" customHeight="1">
      <c r="A206" s="1"/>
      <c r="B206" s="66" t="s">
        <v>6666</v>
      </c>
      <c r="C206" s="66"/>
      <c r="D206" s="96"/>
      <c r="E206" s="96"/>
      <c r="F206" s="96"/>
      <c r="G206" s="122"/>
      <c r="H206" s="122"/>
      <c r="I206" s="66"/>
      <c r="J206" s="68"/>
      <c r="K206" s="68"/>
      <c r="L206" s="96"/>
      <c r="M206" s="69"/>
      <c r="N206" s="69"/>
      <c r="O206" s="67"/>
      <c r="P206" s="67"/>
      <c r="Q206" s="67"/>
      <c r="R206" s="67"/>
      <c r="S206" s="71"/>
      <c r="T206" s="1"/>
      <c r="U206" s="1"/>
      <c r="V206" s="1"/>
      <c r="W206" s="1"/>
      <c r="X206" s="1"/>
      <c r="Y206" s="1"/>
      <c r="Z206" s="1"/>
    </row>
    <row r="207" spans="1:26" ht="36" customHeight="1">
      <c r="A207" s="1"/>
      <c r="B207" s="66" t="s">
        <v>6667</v>
      </c>
      <c r="C207" s="66"/>
      <c r="D207" s="96"/>
      <c r="E207" s="96"/>
      <c r="F207" s="96"/>
      <c r="G207" s="122"/>
      <c r="H207" s="122"/>
      <c r="I207" s="66"/>
      <c r="J207" s="68"/>
      <c r="K207" s="68"/>
      <c r="L207" s="96"/>
      <c r="M207" s="69"/>
      <c r="N207" s="69"/>
      <c r="O207" s="67"/>
      <c r="P207" s="67"/>
      <c r="Q207" s="67"/>
      <c r="R207" s="67"/>
      <c r="S207" s="71"/>
      <c r="T207" s="1"/>
      <c r="U207" s="1"/>
      <c r="V207" s="1"/>
      <c r="W207" s="1"/>
      <c r="X207" s="1"/>
      <c r="Y207" s="1"/>
      <c r="Z207" s="1"/>
    </row>
    <row r="208" spans="1:26" ht="36" customHeight="1">
      <c r="A208" s="1"/>
      <c r="B208" s="66" t="s">
        <v>6668</v>
      </c>
      <c r="C208" s="66"/>
      <c r="D208" s="96"/>
      <c r="E208" s="96"/>
      <c r="F208" s="96"/>
      <c r="G208" s="122"/>
      <c r="H208" s="122"/>
      <c r="I208" s="66"/>
      <c r="J208" s="68"/>
      <c r="K208" s="68"/>
      <c r="L208" s="96"/>
      <c r="M208" s="69"/>
      <c r="N208" s="69"/>
      <c r="O208" s="67"/>
      <c r="P208" s="67"/>
      <c r="Q208" s="67"/>
      <c r="R208" s="67"/>
      <c r="S208" s="71"/>
      <c r="T208" s="1"/>
      <c r="U208" s="1"/>
      <c r="V208" s="1"/>
      <c r="W208" s="1"/>
      <c r="X208" s="1"/>
      <c r="Y208" s="1"/>
      <c r="Z208" s="1"/>
    </row>
    <row r="209" spans="1:26" ht="36" customHeight="1">
      <c r="A209" s="1"/>
      <c r="B209" s="66" t="s">
        <v>6669</v>
      </c>
      <c r="C209" s="66"/>
      <c r="D209" s="96"/>
      <c r="E209" s="96"/>
      <c r="F209" s="96"/>
      <c r="G209" s="122"/>
      <c r="H209" s="122"/>
      <c r="I209" s="66"/>
      <c r="J209" s="68"/>
      <c r="K209" s="68"/>
      <c r="L209" s="96"/>
      <c r="M209" s="69"/>
      <c r="N209" s="69"/>
      <c r="O209" s="67"/>
      <c r="P209" s="67"/>
      <c r="Q209" s="67"/>
      <c r="R209" s="67"/>
      <c r="S209" s="71"/>
      <c r="T209" s="1"/>
      <c r="U209" s="1"/>
      <c r="V209" s="1"/>
      <c r="W209" s="1"/>
      <c r="X209" s="1"/>
      <c r="Y209" s="1"/>
      <c r="Z209" s="1"/>
    </row>
    <row r="210" spans="1:26" ht="36" customHeight="1">
      <c r="A210" s="1"/>
      <c r="B210" s="66" t="s">
        <v>6670</v>
      </c>
      <c r="C210" s="66"/>
      <c r="D210" s="96"/>
      <c r="E210" s="96"/>
      <c r="F210" s="96"/>
      <c r="G210" s="122"/>
      <c r="H210" s="122"/>
      <c r="I210" s="66"/>
      <c r="J210" s="68"/>
      <c r="K210" s="68"/>
      <c r="L210" s="96"/>
      <c r="M210" s="69"/>
      <c r="N210" s="69"/>
      <c r="O210" s="67"/>
      <c r="P210" s="67"/>
      <c r="Q210" s="67"/>
      <c r="R210" s="67"/>
      <c r="S210" s="71"/>
      <c r="T210" s="1"/>
      <c r="U210" s="1"/>
      <c r="V210" s="1"/>
      <c r="W210" s="1"/>
      <c r="X210" s="1"/>
      <c r="Y210" s="1"/>
      <c r="Z210" s="1"/>
    </row>
    <row r="211" spans="1:26" ht="36" customHeight="1">
      <c r="A211" s="1"/>
      <c r="B211" s="66" t="s">
        <v>6671</v>
      </c>
      <c r="C211" s="66"/>
      <c r="D211" s="96"/>
      <c r="E211" s="96"/>
      <c r="F211" s="96"/>
      <c r="G211" s="122"/>
      <c r="H211" s="122"/>
      <c r="I211" s="66"/>
      <c r="J211" s="68"/>
      <c r="K211" s="68"/>
      <c r="L211" s="96"/>
      <c r="M211" s="69"/>
      <c r="N211" s="69"/>
      <c r="O211" s="67"/>
      <c r="P211" s="67"/>
      <c r="Q211" s="67"/>
      <c r="R211" s="67"/>
      <c r="S211" s="71"/>
      <c r="T211" s="1"/>
      <c r="U211" s="1"/>
      <c r="V211" s="1"/>
      <c r="W211" s="1"/>
      <c r="X211" s="1"/>
      <c r="Y211" s="1"/>
      <c r="Z211" s="1"/>
    </row>
    <row r="212" spans="1:26" ht="36" customHeight="1">
      <c r="A212" s="1"/>
      <c r="B212" s="66" t="s">
        <v>6672</v>
      </c>
      <c r="C212" s="66"/>
      <c r="D212" s="96"/>
      <c r="E212" s="96"/>
      <c r="F212" s="96"/>
      <c r="G212" s="122"/>
      <c r="H212" s="122"/>
      <c r="I212" s="66"/>
      <c r="J212" s="68"/>
      <c r="K212" s="68"/>
      <c r="L212" s="96"/>
      <c r="M212" s="69"/>
      <c r="N212" s="69"/>
      <c r="O212" s="67"/>
      <c r="P212" s="67"/>
      <c r="Q212" s="67"/>
      <c r="R212" s="67"/>
      <c r="S212" s="71"/>
      <c r="T212" s="1"/>
      <c r="U212" s="1"/>
      <c r="V212" s="1"/>
      <c r="W212" s="1"/>
      <c r="X212" s="1"/>
      <c r="Y212" s="1"/>
      <c r="Z212" s="1"/>
    </row>
    <row r="213" spans="1:26" ht="36" customHeight="1">
      <c r="A213" s="1"/>
      <c r="B213" s="66" t="s">
        <v>6673</v>
      </c>
      <c r="C213" s="66"/>
      <c r="D213" s="96"/>
      <c r="E213" s="96"/>
      <c r="F213" s="96"/>
      <c r="G213" s="122"/>
      <c r="H213" s="122"/>
      <c r="I213" s="66"/>
      <c r="J213" s="68"/>
      <c r="K213" s="68"/>
      <c r="L213" s="96"/>
      <c r="M213" s="114"/>
      <c r="N213" s="69"/>
      <c r="O213" s="67"/>
      <c r="P213" s="67"/>
      <c r="Q213" s="67"/>
      <c r="R213" s="67"/>
      <c r="S213" s="71"/>
      <c r="T213" s="1"/>
      <c r="U213" s="1"/>
      <c r="V213" s="1"/>
      <c r="W213" s="1"/>
      <c r="X213" s="1"/>
      <c r="Y213" s="1"/>
      <c r="Z213" s="1"/>
    </row>
    <row r="214" spans="1:26" ht="36" customHeight="1">
      <c r="A214" s="1"/>
      <c r="B214" s="66" t="s">
        <v>6674</v>
      </c>
      <c r="C214" s="66"/>
      <c r="D214" s="96"/>
      <c r="E214" s="96"/>
      <c r="F214" s="96"/>
      <c r="G214" s="122"/>
      <c r="H214" s="122"/>
      <c r="I214" s="66"/>
      <c r="J214" s="68"/>
      <c r="K214" s="68"/>
      <c r="L214" s="96"/>
      <c r="M214" s="69"/>
      <c r="N214" s="69"/>
      <c r="O214" s="67"/>
      <c r="P214" s="67"/>
      <c r="Q214" s="67"/>
      <c r="R214" s="67"/>
      <c r="S214" s="71"/>
      <c r="T214" s="1"/>
      <c r="U214" s="1"/>
      <c r="V214" s="1"/>
      <c r="W214" s="1"/>
      <c r="X214" s="1"/>
      <c r="Y214" s="1"/>
      <c r="Z214" s="1"/>
    </row>
    <row r="215" spans="1:26" ht="36" customHeight="1">
      <c r="A215" s="1"/>
      <c r="B215" s="66" t="s">
        <v>6675</v>
      </c>
      <c r="C215" s="66"/>
      <c r="D215" s="96"/>
      <c r="E215" s="96"/>
      <c r="F215" s="96"/>
      <c r="G215" s="122"/>
      <c r="H215" s="122"/>
      <c r="I215" s="66"/>
      <c r="J215" s="68"/>
      <c r="K215" s="68"/>
      <c r="L215" s="96"/>
      <c r="M215" s="69"/>
      <c r="N215" s="69"/>
      <c r="O215" s="67"/>
      <c r="P215" s="67"/>
      <c r="Q215" s="67"/>
      <c r="R215" s="67"/>
      <c r="S215" s="71"/>
      <c r="T215" s="1"/>
      <c r="U215" s="1"/>
      <c r="V215" s="1"/>
      <c r="W215" s="1"/>
      <c r="X215" s="1"/>
      <c r="Y215" s="1"/>
      <c r="Z215" s="1"/>
    </row>
    <row r="216" spans="1:26" ht="36" customHeight="1">
      <c r="A216" s="1"/>
      <c r="B216" s="66" t="s">
        <v>6676</v>
      </c>
      <c r="C216" s="66"/>
      <c r="D216" s="96"/>
      <c r="E216" s="96"/>
      <c r="F216" s="96"/>
      <c r="G216" s="122"/>
      <c r="H216" s="122"/>
      <c r="I216" s="66"/>
      <c r="J216" s="68"/>
      <c r="K216" s="68"/>
      <c r="L216" s="96"/>
      <c r="M216" s="69"/>
      <c r="N216" s="69"/>
      <c r="O216" s="67"/>
      <c r="P216" s="67"/>
      <c r="Q216" s="67"/>
      <c r="R216" s="67"/>
      <c r="S216" s="71"/>
      <c r="T216" s="1"/>
      <c r="U216" s="1"/>
      <c r="V216" s="1"/>
      <c r="W216" s="1"/>
      <c r="X216" s="1"/>
      <c r="Y216" s="1"/>
      <c r="Z216" s="1"/>
    </row>
    <row r="217" spans="1:26" ht="36" customHeight="1">
      <c r="A217" s="1"/>
      <c r="B217" s="66" t="s">
        <v>6677</v>
      </c>
      <c r="C217" s="66"/>
      <c r="D217" s="96"/>
      <c r="E217" s="96"/>
      <c r="F217" s="96"/>
      <c r="G217" s="122"/>
      <c r="H217" s="122"/>
      <c r="I217" s="66"/>
      <c r="J217" s="68"/>
      <c r="K217" s="68"/>
      <c r="L217" s="96"/>
      <c r="M217" s="69"/>
      <c r="N217" s="69"/>
      <c r="O217" s="67"/>
      <c r="P217" s="67"/>
      <c r="Q217" s="67"/>
      <c r="R217" s="67"/>
      <c r="S217" s="71"/>
      <c r="T217" s="1"/>
      <c r="U217" s="1"/>
      <c r="V217" s="1"/>
      <c r="W217" s="1"/>
      <c r="X217" s="1"/>
      <c r="Y217" s="1"/>
      <c r="Z217" s="1"/>
    </row>
    <row r="218" spans="1:26" ht="36" customHeight="1">
      <c r="A218" s="1"/>
      <c r="B218" s="66" t="s">
        <v>6678</v>
      </c>
      <c r="C218" s="66"/>
      <c r="D218" s="96"/>
      <c r="E218" s="96"/>
      <c r="F218" s="96"/>
      <c r="G218" s="122"/>
      <c r="H218" s="122"/>
      <c r="I218" s="66"/>
      <c r="J218" s="68"/>
      <c r="K218" s="68"/>
      <c r="L218" s="96"/>
      <c r="M218" s="69"/>
      <c r="N218" s="69"/>
      <c r="O218" s="67"/>
      <c r="P218" s="67"/>
      <c r="Q218" s="67"/>
      <c r="R218" s="67"/>
      <c r="S218" s="71"/>
      <c r="T218" s="1"/>
      <c r="U218" s="1"/>
      <c r="V218" s="1"/>
      <c r="W218" s="1"/>
      <c r="X218" s="1"/>
      <c r="Y218" s="1"/>
      <c r="Z218" s="1"/>
    </row>
    <row r="219" spans="1:26" ht="36" customHeight="1">
      <c r="A219" s="1"/>
      <c r="B219" s="66" t="s">
        <v>6679</v>
      </c>
      <c r="C219" s="66"/>
      <c r="D219" s="96"/>
      <c r="E219" s="96"/>
      <c r="F219" s="96"/>
      <c r="G219" s="122"/>
      <c r="H219" s="122"/>
      <c r="I219" s="66"/>
      <c r="J219" s="68"/>
      <c r="K219" s="68"/>
      <c r="L219" s="96"/>
      <c r="M219" s="69"/>
      <c r="N219" s="69"/>
      <c r="O219" s="67"/>
      <c r="P219" s="67"/>
      <c r="Q219" s="67"/>
      <c r="R219" s="67"/>
      <c r="S219" s="71"/>
      <c r="T219" s="1"/>
      <c r="U219" s="1"/>
      <c r="V219" s="1"/>
      <c r="W219" s="1"/>
      <c r="X219" s="1"/>
      <c r="Y219" s="1"/>
      <c r="Z219" s="1"/>
    </row>
    <row r="220" spans="1:26" ht="36" customHeight="1">
      <c r="A220" s="1"/>
      <c r="B220" s="66" t="s">
        <v>6680</v>
      </c>
      <c r="C220" s="66"/>
      <c r="D220" s="96"/>
      <c r="E220" s="96"/>
      <c r="F220" s="96"/>
      <c r="G220" s="122"/>
      <c r="H220" s="122"/>
      <c r="I220" s="66"/>
      <c r="J220" s="68"/>
      <c r="K220" s="68"/>
      <c r="L220" s="96"/>
      <c r="M220" s="69"/>
      <c r="N220" s="69"/>
      <c r="O220" s="67"/>
      <c r="P220" s="67"/>
      <c r="Q220" s="67"/>
      <c r="R220" s="67"/>
      <c r="S220" s="71"/>
      <c r="T220" s="1"/>
      <c r="U220" s="1"/>
      <c r="V220" s="1"/>
      <c r="W220" s="1"/>
      <c r="X220" s="1"/>
      <c r="Y220" s="1"/>
      <c r="Z220" s="1"/>
    </row>
    <row r="221" spans="1:26" ht="36" customHeight="1">
      <c r="A221" s="1"/>
      <c r="B221" s="66" t="s">
        <v>6681</v>
      </c>
      <c r="C221" s="66"/>
      <c r="D221" s="96"/>
      <c r="E221" s="96"/>
      <c r="F221" s="96"/>
      <c r="G221" s="122"/>
      <c r="H221" s="122"/>
      <c r="I221" s="66"/>
      <c r="J221" s="68"/>
      <c r="K221" s="68"/>
      <c r="L221" s="96"/>
      <c r="M221" s="69"/>
      <c r="N221" s="69"/>
      <c r="O221" s="67"/>
      <c r="P221" s="67"/>
      <c r="Q221" s="67"/>
      <c r="R221" s="67"/>
      <c r="S221" s="71"/>
      <c r="T221" s="1"/>
      <c r="U221" s="1"/>
      <c r="V221" s="1"/>
      <c r="W221" s="1"/>
      <c r="X221" s="1"/>
      <c r="Y221" s="1"/>
      <c r="Z221" s="1"/>
    </row>
    <row r="222" spans="1:26" ht="36" customHeight="1">
      <c r="A222" s="1"/>
      <c r="B222" s="66" t="s">
        <v>6682</v>
      </c>
      <c r="C222" s="66"/>
      <c r="D222" s="96"/>
      <c r="E222" s="96"/>
      <c r="F222" s="96"/>
      <c r="G222" s="122"/>
      <c r="H222" s="122"/>
      <c r="I222" s="66"/>
      <c r="J222" s="68"/>
      <c r="K222" s="68"/>
      <c r="L222" s="96"/>
      <c r="M222" s="69"/>
      <c r="N222" s="69"/>
      <c r="O222" s="68"/>
      <c r="P222" s="67"/>
      <c r="Q222" s="67"/>
      <c r="R222" s="67"/>
      <c r="S222" s="71"/>
      <c r="T222" s="1"/>
      <c r="U222" s="1"/>
      <c r="V222" s="1"/>
      <c r="W222" s="1"/>
      <c r="X222" s="1"/>
      <c r="Y222" s="1"/>
      <c r="Z222" s="1"/>
    </row>
    <row r="223" spans="1:26" ht="36" customHeight="1">
      <c r="A223" s="1"/>
      <c r="B223" s="66" t="s">
        <v>6683</v>
      </c>
      <c r="C223" s="66"/>
      <c r="D223" s="96"/>
      <c r="E223" s="96"/>
      <c r="F223" s="96"/>
      <c r="G223" s="122"/>
      <c r="H223" s="122"/>
      <c r="I223" s="66"/>
      <c r="J223" s="68"/>
      <c r="K223" s="68"/>
      <c r="L223" s="96"/>
      <c r="M223" s="69"/>
      <c r="N223" s="69"/>
      <c r="O223" s="68"/>
      <c r="P223" s="67"/>
      <c r="Q223" s="67"/>
      <c r="R223" s="67"/>
      <c r="S223" s="71"/>
      <c r="T223" s="1"/>
      <c r="U223" s="1"/>
      <c r="V223" s="1"/>
      <c r="W223" s="1"/>
      <c r="X223" s="1"/>
      <c r="Y223" s="1"/>
      <c r="Z223" s="1"/>
    </row>
    <row r="224" spans="1:26" ht="36" customHeight="1">
      <c r="A224" s="1"/>
      <c r="B224" s="66" t="s">
        <v>6684</v>
      </c>
      <c r="C224" s="66"/>
      <c r="D224" s="96"/>
      <c r="E224" s="96"/>
      <c r="F224" s="96"/>
      <c r="G224" s="122"/>
      <c r="H224" s="122"/>
      <c r="I224" s="66"/>
      <c r="J224" s="68"/>
      <c r="K224" s="68"/>
      <c r="L224" s="96"/>
      <c r="M224" s="69"/>
      <c r="N224" s="69"/>
      <c r="O224" s="68"/>
      <c r="P224" s="67"/>
      <c r="Q224" s="67"/>
      <c r="R224" s="67"/>
      <c r="S224" s="71"/>
      <c r="T224" s="1"/>
      <c r="U224" s="1"/>
      <c r="V224" s="1"/>
      <c r="W224" s="1"/>
      <c r="X224" s="1"/>
      <c r="Y224" s="1"/>
      <c r="Z224" s="1"/>
    </row>
    <row r="225" spans="1:26" ht="36" customHeight="1">
      <c r="A225" s="1"/>
      <c r="B225" s="66" t="s">
        <v>6685</v>
      </c>
      <c r="C225" s="66"/>
      <c r="D225" s="96"/>
      <c r="E225" s="96"/>
      <c r="F225" s="96"/>
      <c r="G225" s="122"/>
      <c r="H225" s="122"/>
      <c r="I225" s="66"/>
      <c r="J225" s="68"/>
      <c r="K225" s="68"/>
      <c r="L225" s="96"/>
      <c r="M225" s="69"/>
      <c r="N225" s="69"/>
      <c r="O225" s="68"/>
      <c r="P225" s="67"/>
      <c r="Q225" s="67"/>
      <c r="R225" s="67"/>
      <c r="S225" s="71"/>
      <c r="T225" s="1"/>
      <c r="U225" s="1"/>
      <c r="V225" s="1"/>
      <c r="W225" s="1"/>
      <c r="X225" s="1"/>
      <c r="Y225" s="1"/>
      <c r="Z225" s="1"/>
    </row>
    <row r="226" spans="1:26" ht="36" customHeight="1">
      <c r="A226" s="1"/>
      <c r="B226" s="66" t="s">
        <v>6686</v>
      </c>
      <c r="C226" s="66"/>
      <c r="D226" s="96"/>
      <c r="E226" s="96"/>
      <c r="F226" s="96"/>
      <c r="G226" s="122"/>
      <c r="H226" s="122"/>
      <c r="I226" s="66"/>
      <c r="J226" s="68"/>
      <c r="K226" s="68"/>
      <c r="L226" s="96"/>
      <c r="M226" s="69"/>
      <c r="N226" s="69"/>
      <c r="O226" s="68"/>
      <c r="P226" s="67"/>
      <c r="Q226" s="67"/>
      <c r="R226" s="67"/>
      <c r="S226" s="71"/>
      <c r="T226" s="1"/>
      <c r="U226" s="1"/>
      <c r="V226" s="1"/>
      <c r="W226" s="1"/>
      <c r="X226" s="1"/>
      <c r="Y226" s="1"/>
      <c r="Z226" s="1"/>
    </row>
    <row r="227" spans="1:26" ht="36" customHeight="1">
      <c r="A227" s="1"/>
      <c r="B227" s="66" t="s">
        <v>6687</v>
      </c>
      <c r="C227" s="66"/>
      <c r="D227" s="96"/>
      <c r="E227" s="96"/>
      <c r="F227" s="96"/>
      <c r="G227" s="122"/>
      <c r="H227" s="122"/>
      <c r="I227" s="66"/>
      <c r="J227" s="68"/>
      <c r="K227" s="68"/>
      <c r="L227" s="69"/>
      <c r="M227" s="69"/>
      <c r="N227" s="69"/>
      <c r="O227" s="68"/>
      <c r="P227" s="67"/>
      <c r="Q227" s="67"/>
      <c r="R227" s="67"/>
      <c r="S227" s="71"/>
      <c r="T227" s="1"/>
      <c r="U227" s="1"/>
      <c r="V227" s="1"/>
      <c r="W227" s="1"/>
      <c r="X227" s="1"/>
      <c r="Y227" s="1"/>
      <c r="Z227" s="1"/>
    </row>
    <row r="228" spans="1:26" ht="36" customHeight="1">
      <c r="A228" s="1"/>
      <c r="B228" s="66" t="s">
        <v>6688</v>
      </c>
      <c r="C228" s="66"/>
      <c r="D228" s="96"/>
      <c r="E228" s="96"/>
      <c r="F228" s="96"/>
      <c r="G228" s="122"/>
      <c r="H228" s="122"/>
      <c r="I228" s="66"/>
      <c r="J228" s="68"/>
      <c r="K228" s="68"/>
      <c r="L228" s="96"/>
      <c r="M228" s="69"/>
      <c r="N228" s="69"/>
      <c r="O228" s="68"/>
      <c r="P228" s="67"/>
      <c r="Q228" s="67"/>
      <c r="R228" s="67"/>
      <c r="S228" s="71"/>
      <c r="T228" s="1"/>
      <c r="U228" s="1"/>
      <c r="V228" s="1"/>
      <c r="W228" s="1"/>
      <c r="X228" s="1"/>
      <c r="Y228" s="1"/>
      <c r="Z228" s="1"/>
    </row>
    <row r="229" spans="1:26" ht="36" customHeight="1">
      <c r="A229" s="1"/>
      <c r="B229" s="66" t="s">
        <v>6689</v>
      </c>
      <c r="C229" s="66"/>
      <c r="D229" s="96"/>
      <c r="E229" s="96"/>
      <c r="F229" s="96"/>
      <c r="G229" s="122"/>
      <c r="H229" s="122"/>
      <c r="I229" s="66"/>
      <c r="J229" s="68"/>
      <c r="K229" s="68"/>
      <c r="L229" s="69"/>
      <c r="M229" s="69"/>
      <c r="N229" s="69"/>
      <c r="O229" s="68"/>
      <c r="P229" s="67"/>
      <c r="Q229" s="67"/>
      <c r="R229" s="67"/>
      <c r="S229" s="71"/>
      <c r="T229" s="1"/>
      <c r="U229" s="1"/>
      <c r="V229" s="1"/>
      <c r="W229" s="1"/>
      <c r="X229" s="1"/>
      <c r="Y229" s="1"/>
      <c r="Z229" s="1"/>
    </row>
    <row r="230" spans="1:26" ht="33.75" customHeight="1">
      <c r="A230" s="1"/>
      <c r="B230" s="66" t="s">
        <v>6690</v>
      </c>
      <c r="C230" s="66"/>
      <c r="D230" s="96"/>
      <c r="E230" s="96"/>
      <c r="F230" s="96"/>
      <c r="G230" s="122"/>
      <c r="H230" s="122"/>
      <c r="I230" s="66"/>
      <c r="J230" s="68"/>
      <c r="K230" s="68"/>
      <c r="L230" s="96"/>
      <c r="M230" s="69"/>
      <c r="N230" s="69"/>
      <c r="O230" s="68"/>
      <c r="P230" s="67"/>
      <c r="Q230" s="67"/>
      <c r="R230" s="67"/>
      <c r="S230" s="71"/>
      <c r="T230" s="1"/>
      <c r="U230" s="1"/>
      <c r="V230" s="1"/>
      <c r="W230" s="1"/>
      <c r="X230" s="1"/>
      <c r="Y230" s="1"/>
      <c r="Z230" s="1"/>
    </row>
    <row r="231" spans="1:26" ht="36" customHeight="1">
      <c r="A231" s="1"/>
      <c r="B231" s="66" t="s">
        <v>6691</v>
      </c>
      <c r="C231" s="66"/>
      <c r="D231" s="96"/>
      <c r="E231" s="96"/>
      <c r="F231" s="96"/>
      <c r="G231" s="122"/>
      <c r="H231" s="122"/>
      <c r="I231" s="66"/>
      <c r="J231" s="68"/>
      <c r="K231" s="68"/>
      <c r="L231" s="100"/>
      <c r="M231" s="69"/>
      <c r="N231" s="69"/>
      <c r="O231" s="68"/>
      <c r="P231" s="67"/>
      <c r="Q231" s="67"/>
      <c r="R231" s="67"/>
      <c r="S231" s="71"/>
      <c r="T231" s="1"/>
      <c r="U231" s="1"/>
      <c r="V231" s="1"/>
      <c r="W231" s="1"/>
      <c r="X231" s="1"/>
      <c r="Y231" s="1"/>
      <c r="Z231" s="1"/>
    </row>
    <row r="232" spans="1:26" ht="36" customHeight="1">
      <c r="A232" s="1"/>
      <c r="B232" s="66" t="s">
        <v>6692</v>
      </c>
      <c r="C232" s="66"/>
      <c r="D232" s="96"/>
      <c r="E232" s="96"/>
      <c r="F232" s="96"/>
      <c r="G232" s="122"/>
      <c r="H232" s="122"/>
      <c r="I232" s="66"/>
      <c r="J232" s="68"/>
      <c r="K232" s="68"/>
      <c r="L232" s="96"/>
      <c r="M232" s="69"/>
      <c r="N232" s="69"/>
      <c r="O232" s="68"/>
      <c r="P232" s="67"/>
      <c r="Q232" s="67"/>
      <c r="R232" s="67"/>
      <c r="S232" s="71"/>
      <c r="T232" s="1"/>
      <c r="U232" s="1"/>
      <c r="V232" s="1"/>
      <c r="W232" s="1"/>
      <c r="X232" s="1"/>
      <c r="Y232" s="1"/>
      <c r="Z232" s="1"/>
    </row>
    <row r="233" spans="1:26" ht="36" customHeight="1">
      <c r="A233" s="1"/>
      <c r="B233" s="66" t="s">
        <v>6693</v>
      </c>
      <c r="C233" s="66"/>
      <c r="D233" s="96"/>
      <c r="E233" s="96"/>
      <c r="F233" s="96"/>
      <c r="G233" s="122"/>
      <c r="H233" s="122"/>
      <c r="I233" s="66"/>
      <c r="J233" s="68"/>
      <c r="K233" s="68"/>
      <c r="L233" s="69"/>
      <c r="M233" s="69"/>
      <c r="N233" s="69"/>
      <c r="O233" s="68"/>
      <c r="P233" s="67"/>
      <c r="Q233" s="67"/>
      <c r="R233" s="67"/>
      <c r="S233" s="71"/>
      <c r="T233" s="1"/>
      <c r="U233" s="1"/>
      <c r="V233" s="1"/>
      <c r="W233" s="1"/>
      <c r="X233" s="1"/>
      <c r="Y233" s="1"/>
      <c r="Z233" s="1"/>
    </row>
    <row r="234" spans="1:26" ht="36" customHeight="1">
      <c r="A234" s="1"/>
      <c r="B234" s="66" t="s">
        <v>6694</v>
      </c>
      <c r="C234" s="66"/>
      <c r="D234" s="96"/>
      <c r="E234" s="96"/>
      <c r="F234" s="96"/>
      <c r="G234" s="122"/>
      <c r="H234" s="122"/>
      <c r="I234" s="66"/>
      <c r="J234" s="68"/>
      <c r="K234" s="68"/>
      <c r="L234" s="69"/>
      <c r="M234" s="69"/>
      <c r="N234" s="69"/>
      <c r="O234" s="68"/>
      <c r="P234" s="67"/>
      <c r="Q234" s="67"/>
      <c r="R234" s="67"/>
      <c r="S234" s="71"/>
      <c r="T234" s="1"/>
      <c r="U234" s="1"/>
      <c r="V234" s="1"/>
      <c r="W234" s="1"/>
      <c r="X234" s="1"/>
      <c r="Y234" s="1"/>
      <c r="Z234" s="1"/>
    </row>
    <row r="235" spans="1:26" ht="36" customHeight="1">
      <c r="A235" s="1"/>
      <c r="B235" s="66" t="s">
        <v>6695</v>
      </c>
      <c r="C235" s="66"/>
      <c r="D235" s="96"/>
      <c r="E235" s="96"/>
      <c r="F235" s="96"/>
      <c r="G235" s="122"/>
      <c r="H235" s="122"/>
      <c r="I235" s="66"/>
      <c r="J235" s="68"/>
      <c r="K235" s="68"/>
      <c r="L235" s="100"/>
      <c r="M235" s="69"/>
      <c r="N235" s="69"/>
      <c r="O235" s="68"/>
      <c r="P235" s="67"/>
      <c r="Q235" s="67"/>
      <c r="R235" s="67"/>
      <c r="S235" s="71"/>
      <c r="T235" s="1"/>
      <c r="U235" s="1"/>
      <c r="V235" s="1"/>
      <c r="W235" s="1"/>
      <c r="X235" s="1"/>
      <c r="Y235" s="1"/>
      <c r="Z235" s="1"/>
    </row>
    <row r="236" spans="1:26" ht="36" customHeight="1">
      <c r="A236" s="1"/>
      <c r="B236" s="66" t="s">
        <v>6696</v>
      </c>
      <c r="C236" s="66"/>
      <c r="D236" s="96"/>
      <c r="E236" s="96"/>
      <c r="F236" s="96"/>
      <c r="G236" s="122"/>
      <c r="H236" s="122"/>
      <c r="I236" s="66"/>
      <c r="J236" s="68"/>
      <c r="K236" s="68"/>
      <c r="L236" s="100"/>
      <c r="M236" s="69"/>
      <c r="N236" s="69"/>
      <c r="O236" s="68"/>
      <c r="P236" s="67"/>
      <c r="Q236" s="67"/>
      <c r="R236" s="67"/>
      <c r="S236" s="71"/>
      <c r="T236" s="1"/>
      <c r="U236" s="1"/>
      <c r="V236" s="1"/>
      <c r="W236" s="1"/>
      <c r="X236" s="1"/>
      <c r="Y236" s="1"/>
      <c r="Z236" s="1"/>
    </row>
    <row r="237" spans="1:26" ht="36" customHeight="1">
      <c r="A237" s="1"/>
      <c r="B237" s="66" t="s">
        <v>6697</v>
      </c>
      <c r="C237" s="66"/>
      <c r="D237" s="96"/>
      <c r="E237" s="96"/>
      <c r="F237" s="96"/>
      <c r="G237" s="68"/>
      <c r="H237" s="68"/>
      <c r="I237" s="68"/>
      <c r="J237" s="68"/>
      <c r="K237" s="68"/>
      <c r="L237" s="69"/>
      <c r="M237" s="69"/>
      <c r="N237" s="69"/>
      <c r="O237" s="68"/>
      <c r="P237" s="70"/>
      <c r="Q237" s="67"/>
      <c r="R237" s="67"/>
      <c r="S237" s="71"/>
      <c r="T237" s="1"/>
      <c r="U237" s="1"/>
      <c r="V237" s="1"/>
      <c r="W237" s="1"/>
      <c r="X237" s="1"/>
      <c r="Y237" s="1"/>
      <c r="Z237" s="1"/>
    </row>
    <row r="238" spans="1:26" ht="36" customHeight="1">
      <c r="A238" s="1"/>
      <c r="B238" s="66" t="s">
        <v>6698</v>
      </c>
      <c r="C238" s="66"/>
      <c r="D238" s="96"/>
      <c r="E238" s="96"/>
      <c r="F238" s="96"/>
      <c r="G238" s="68"/>
      <c r="H238" s="68"/>
      <c r="I238" s="68"/>
      <c r="J238" s="68"/>
      <c r="K238" s="68"/>
      <c r="L238" s="69"/>
      <c r="M238" s="69"/>
      <c r="N238" s="69"/>
      <c r="O238" s="68"/>
      <c r="P238" s="70"/>
      <c r="Q238" s="67"/>
      <c r="R238" s="67"/>
      <c r="S238" s="71"/>
      <c r="T238" s="1"/>
      <c r="U238" s="1"/>
      <c r="V238" s="1"/>
      <c r="W238" s="1"/>
      <c r="X238" s="1"/>
      <c r="Y238" s="1"/>
      <c r="Z238" s="1"/>
    </row>
    <row r="239" spans="1:26" ht="36" customHeight="1">
      <c r="A239" s="1"/>
      <c r="B239" s="66" t="s">
        <v>6699</v>
      </c>
      <c r="C239" s="66"/>
      <c r="D239" s="96"/>
      <c r="E239" s="96"/>
      <c r="F239" s="96"/>
      <c r="G239" s="68"/>
      <c r="H239" s="68"/>
      <c r="I239" s="68"/>
      <c r="J239" s="68"/>
      <c r="K239" s="68"/>
      <c r="L239" s="69"/>
      <c r="M239" s="69"/>
      <c r="N239" s="69"/>
      <c r="O239" s="68"/>
      <c r="P239" s="70"/>
      <c r="Q239" s="67"/>
      <c r="R239" s="67"/>
      <c r="S239" s="71"/>
      <c r="T239" s="1"/>
      <c r="U239" s="1"/>
      <c r="V239" s="1"/>
      <c r="W239" s="1"/>
      <c r="X239" s="1"/>
      <c r="Y239" s="1"/>
      <c r="Z239" s="1"/>
    </row>
    <row r="240" spans="1:26" ht="36" customHeight="1">
      <c r="A240" s="1"/>
      <c r="B240" s="1"/>
      <c r="C240" s="2"/>
      <c r="D240" s="87"/>
      <c r="E240" s="87"/>
      <c r="F240" s="87"/>
      <c r="G240" s="1"/>
      <c r="H240" s="1"/>
      <c r="I240" s="1"/>
      <c r="J240" s="1"/>
      <c r="K240" s="1"/>
      <c r="L240" s="87"/>
      <c r="M240" s="87"/>
      <c r="N240" s="4"/>
      <c r="O240" s="1"/>
      <c r="P240" s="5"/>
      <c r="Q240" s="3"/>
      <c r="R240" s="3"/>
      <c r="S240" s="7"/>
      <c r="T240" s="1"/>
      <c r="U240" s="1"/>
      <c r="V240" s="1"/>
      <c r="W240" s="1"/>
      <c r="X240" s="1"/>
      <c r="Y240" s="1"/>
      <c r="Z240" s="1"/>
    </row>
    <row r="241" spans="1:26" ht="36" customHeight="1">
      <c r="A241" s="1"/>
      <c r="B241" s="1"/>
      <c r="C241" s="2"/>
      <c r="D241" s="87"/>
      <c r="E241" s="87"/>
      <c r="F241" s="87"/>
      <c r="G241" s="1"/>
      <c r="H241" s="1"/>
      <c r="I241" s="1"/>
      <c r="J241" s="1"/>
      <c r="K241" s="1"/>
      <c r="L241" s="87"/>
      <c r="M241" s="87"/>
      <c r="N241" s="4"/>
      <c r="O241" s="1"/>
      <c r="P241" s="5"/>
      <c r="Q241" s="3"/>
      <c r="R241" s="3"/>
      <c r="S241" s="7"/>
      <c r="T241" s="1"/>
      <c r="U241" s="1"/>
      <c r="V241" s="1"/>
      <c r="W241" s="1"/>
      <c r="X241" s="1"/>
      <c r="Y241" s="1"/>
      <c r="Z241" s="1"/>
    </row>
    <row r="242" spans="1:26" ht="27" customHeight="1">
      <c r="A242" s="1"/>
      <c r="B242" s="1"/>
      <c r="C242" s="2"/>
      <c r="D242" s="87"/>
      <c r="E242" s="87"/>
      <c r="F242" s="87"/>
      <c r="G242" s="1"/>
      <c r="H242" s="1"/>
      <c r="I242" s="1"/>
      <c r="J242" s="1"/>
      <c r="K242" s="1"/>
      <c r="L242" s="87"/>
      <c r="M242" s="87"/>
      <c r="N242" s="4"/>
      <c r="O242" s="1"/>
      <c r="P242" s="5"/>
      <c r="Q242" s="3"/>
      <c r="R242" s="3"/>
      <c r="S242" s="7"/>
      <c r="T242" s="1"/>
      <c r="U242" s="1"/>
      <c r="V242" s="1"/>
      <c r="W242" s="1"/>
      <c r="X242" s="1"/>
      <c r="Y242" s="1"/>
      <c r="Z242" s="1"/>
    </row>
    <row r="243" spans="1:26" ht="27" customHeight="1">
      <c r="A243" s="1"/>
      <c r="B243" s="1"/>
      <c r="C243" s="2"/>
      <c r="D243" s="87"/>
      <c r="E243" s="87"/>
      <c r="F243" s="87"/>
      <c r="G243" s="1"/>
      <c r="H243" s="1"/>
      <c r="I243" s="1"/>
      <c r="J243" s="1"/>
      <c r="K243" s="1"/>
      <c r="L243" s="87"/>
      <c r="M243" s="87"/>
      <c r="N243" s="4"/>
      <c r="O243" s="1"/>
      <c r="P243" s="5"/>
      <c r="Q243" s="3"/>
      <c r="R243" s="3"/>
      <c r="S243" s="7"/>
      <c r="T243" s="1"/>
      <c r="U243" s="1"/>
      <c r="V243" s="1"/>
      <c r="W243" s="1"/>
      <c r="X243" s="1"/>
      <c r="Y243" s="1"/>
      <c r="Z243" s="1"/>
    </row>
    <row r="244" spans="1:26" ht="27" customHeight="1">
      <c r="A244" s="1"/>
      <c r="B244" s="1"/>
      <c r="C244" s="2"/>
      <c r="D244" s="87"/>
      <c r="E244" s="87"/>
      <c r="F244" s="87"/>
      <c r="G244" s="1"/>
      <c r="H244" s="1"/>
      <c r="I244" s="1"/>
      <c r="J244" s="1"/>
      <c r="K244" s="1"/>
      <c r="L244" s="87"/>
      <c r="M244" s="87"/>
      <c r="N244" s="4"/>
      <c r="O244" s="1"/>
      <c r="P244" s="5"/>
      <c r="Q244" s="3"/>
      <c r="R244" s="3"/>
      <c r="S244" s="7"/>
      <c r="T244" s="1"/>
      <c r="U244" s="1"/>
      <c r="V244" s="1"/>
      <c r="W244" s="1"/>
      <c r="X244" s="1"/>
      <c r="Y244" s="1"/>
      <c r="Z244" s="1"/>
    </row>
    <row r="245" spans="1:26" ht="27" customHeight="1">
      <c r="A245" s="1"/>
      <c r="B245" s="1"/>
      <c r="C245" s="2"/>
      <c r="D245" s="87"/>
      <c r="E245" s="87"/>
      <c r="F245" s="87"/>
      <c r="G245" s="1"/>
      <c r="H245" s="1"/>
      <c r="I245" s="1"/>
      <c r="J245" s="1"/>
      <c r="K245" s="1"/>
      <c r="L245" s="87"/>
      <c r="M245" s="87"/>
      <c r="N245" s="4"/>
      <c r="O245" s="1"/>
      <c r="P245" s="5"/>
      <c r="Q245" s="3"/>
      <c r="R245" s="3"/>
      <c r="S245" s="7"/>
      <c r="T245" s="1"/>
      <c r="U245" s="1"/>
      <c r="V245" s="1"/>
      <c r="W245" s="1"/>
      <c r="X245" s="1"/>
      <c r="Y245" s="1"/>
      <c r="Z245" s="1"/>
    </row>
    <row r="246" spans="1:26" ht="27" customHeight="1">
      <c r="A246" s="1"/>
      <c r="B246" s="1"/>
      <c r="C246" s="2"/>
      <c r="D246" s="87"/>
      <c r="E246" s="87"/>
      <c r="F246" s="87"/>
      <c r="G246" s="1"/>
      <c r="H246" s="1"/>
      <c r="I246" s="1"/>
      <c r="J246" s="1"/>
      <c r="K246" s="1"/>
      <c r="L246" s="87"/>
      <c r="M246" s="87"/>
      <c r="N246" s="4"/>
      <c r="O246" s="1"/>
      <c r="P246" s="5"/>
      <c r="Q246" s="3"/>
      <c r="R246" s="3"/>
      <c r="S246" s="7"/>
      <c r="T246" s="1"/>
      <c r="U246" s="1"/>
      <c r="V246" s="1"/>
      <c r="W246" s="1"/>
      <c r="X246" s="1"/>
      <c r="Y246" s="1"/>
      <c r="Z246" s="1"/>
    </row>
    <row r="247" spans="1:26" ht="27" customHeight="1">
      <c r="A247" s="1"/>
      <c r="B247" s="1"/>
      <c r="C247" s="2"/>
      <c r="D247" s="87"/>
      <c r="E247" s="87"/>
      <c r="F247" s="87"/>
      <c r="G247" s="1"/>
      <c r="H247" s="1"/>
      <c r="I247" s="1"/>
      <c r="J247" s="1"/>
      <c r="K247" s="1"/>
      <c r="L247" s="87"/>
      <c r="M247" s="87"/>
      <c r="N247" s="4"/>
      <c r="O247" s="1"/>
      <c r="P247" s="5"/>
      <c r="Q247" s="3"/>
      <c r="R247" s="3"/>
      <c r="S247" s="7"/>
      <c r="T247" s="1"/>
      <c r="U247" s="1"/>
      <c r="V247" s="1"/>
      <c r="W247" s="1"/>
      <c r="X247" s="1"/>
      <c r="Y247" s="1"/>
      <c r="Z247" s="1"/>
    </row>
    <row r="248" spans="1:26" ht="27" customHeight="1">
      <c r="A248" s="1"/>
      <c r="B248" s="1"/>
      <c r="C248" s="2"/>
      <c r="D248" s="87"/>
      <c r="E248" s="87"/>
      <c r="F248" s="87"/>
      <c r="G248" s="1"/>
      <c r="H248" s="1"/>
      <c r="I248" s="1"/>
      <c r="J248" s="1"/>
      <c r="K248" s="1"/>
      <c r="L248" s="87"/>
      <c r="M248" s="87"/>
      <c r="N248" s="4"/>
      <c r="O248" s="1"/>
      <c r="P248" s="5"/>
      <c r="Q248" s="3"/>
      <c r="R248" s="3"/>
      <c r="S248" s="7"/>
      <c r="T248" s="1"/>
      <c r="U248" s="1"/>
      <c r="V248" s="1"/>
      <c r="W248" s="1"/>
      <c r="X248" s="1"/>
      <c r="Y248" s="1"/>
      <c r="Z248" s="1"/>
    </row>
    <row r="249" spans="1:26" ht="27" customHeight="1">
      <c r="A249" s="1"/>
      <c r="B249" s="1"/>
      <c r="C249" s="2"/>
      <c r="D249" s="87"/>
      <c r="E249" s="87"/>
      <c r="F249" s="87"/>
      <c r="G249" s="1"/>
      <c r="H249" s="1"/>
      <c r="I249" s="1"/>
      <c r="J249" s="1"/>
      <c r="K249" s="1"/>
      <c r="L249" s="87"/>
      <c r="M249" s="87"/>
      <c r="N249" s="4"/>
      <c r="O249" s="1"/>
      <c r="P249" s="5"/>
      <c r="Q249" s="3"/>
      <c r="R249" s="3"/>
      <c r="S249" s="7"/>
      <c r="T249" s="1"/>
      <c r="U249" s="1"/>
      <c r="V249" s="1"/>
      <c r="W249" s="1"/>
      <c r="X249" s="1"/>
      <c r="Y249" s="1"/>
      <c r="Z249" s="1"/>
    </row>
    <row r="250" spans="1:26" ht="27" customHeight="1">
      <c r="A250" s="1"/>
      <c r="B250" s="1"/>
      <c r="C250" s="2"/>
      <c r="D250" s="87"/>
      <c r="E250" s="87"/>
      <c r="F250" s="87"/>
      <c r="G250" s="1"/>
      <c r="H250" s="1"/>
      <c r="I250" s="1"/>
      <c r="J250" s="1"/>
      <c r="K250" s="1"/>
      <c r="L250" s="87"/>
      <c r="M250" s="87"/>
      <c r="N250" s="4"/>
      <c r="O250" s="1"/>
      <c r="P250" s="5"/>
      <c r="Q250" s="3"/>
      <c r="R250" s="3"/>
      <c r="S250" s="7"/>
      <c r="T250" s="1"/>
      <c r="U250" s="1"/>
      <c r="V250" s="1"/>
      <c r="W250" s="1"/>
      <c r="X250" s="1"/>
      <c r="Y250" s="1"/>
      <c r="Z250" s="1"/>
    </row>
    <row r="251" spans="1:26" ht="27" customHeight="1">
      <c r="A251" s="1"/>
      <c r="B251" s="1"/>
      <c r="C251" s="2"/>
      <c r="D251" s="87"/>
      <c r="E251" s="87"/>
      <c r="F251" s="87"/>
      <c r="G251" s="1"/>
      <c r="H251" s="1"/>
      <c r="I251" s="1"/>
      <c r="J251" s="1"/>
      <c r="K251" s="1"/>
      <c r="L251" s="87"/>
      <c r="M251" s="87"/>
      <c r="N251" s="4"/>
      <c r="O251" s="1"/>
      <c r="P251" s="5"/>
      <c r="Q251" s="3"/>
      <c r="R251" s="3"/>
      <c r="S251" s="7"/>
      <c r="T251" s="1"/>
      <c r="U251" s="1"/>
      <c r="V251" s="1"/>
      <c r="W251" s="1"/>
      <c r="X251" s="1"/>
      <c r="Y251" s="1"/>
      <c r="Z251" s="1"/>
    </row>
    <row r="252" spans="1:26" ht="27" customHeight="1">
      <c r="A252" s="1"/>
      <c r="B252" s="1"/>
      <c r="C252" s="2"/>
      <c r="D252" s="87"/>
      <c r="E252" s="87"/>
      <c r="F252" s="87"/>
      <c r="G252" s="1"/>
      <c r="H252" s="1"/>
      <c r="I252" s="1"/>
      <c r="J252" s="1"/>
      <c r="K252" s="1"/>
      <c r="L252" s="87"/>
      <c r="M252" s="87"/>
      <c r="N252" s="4"/>
      <c r="O252" s="1"/>
      <c r="P252" s="5"/>
      <c r="Q252" s="3"/>
      <c r="R252" s="3"/>
      <c r="S252" s="7"/>
      <c r="T252" s="1"/>
      <c r="U252" s="1"/>
      <c r="V252" s="1"/>
      <c r="W252" s="1"/>
      <c r="X252" s="1"/>
      <c r="Y252" s="1"/>
      <c r="Z252" s="1"/>
    </row>
    <row r="253" spans="1:26" ht="27" customHeight="1">
      <c r="A253" s="1"/>
      <c r="B253" s="1"/>
      <c r="C253" s="2"/>
      <c r="D253" s="87"/>
      <c r="E253" s="87"/>
      <c r="F253" s="87"/>
      <c r="G253" s="1"/>
      <c r="H253" s="1"/>
      <c r="I253" s="1"/>
      <c r="J253" s="1"/>
      <c r="K253" s="1"/>
      <c r="L253" s="87"/>
      <c r="M253" s="87"/>
      <c r="N253" s="4"/>
      <c r="O253" s="1"/>
      <c r="P253" s="5"/>
      <c r="Q253" s="3"/>
      <c r="R253" s="3"/>
      <c r="S253" s="7"/>
      <c r="T253" s="1"/>
      <c r="U253" s="1"/>
      <c r="V253" s="1"/>
      <c r="W253" s="1"/>
      <c r="X253" s="1"/>
      <c r="Y253" s="1"/>
      <c r="Z253" s="1"/>
    </row>
    <row r="254" spans="1:26" ht="27" customHeight="1">
      <c r="A254" s="1"/>
      <c r="B254" s="1"/>
      <c r="C254" s="2"/>
      <c r="D254" s="87"/>
      <c r="E254" s="87"/>
      <c r="F254" s="87"/>
      <c r="G254" s="1"/>
      <c r="H254" s="1"/>
      <c r="I254" s="1"/>
      <c r="J254" s="1"/>
      <c r="K254" s="1"/>
      <c r="L254" s="87"/>
      <c r="M254" s="87"/>
      <c r="N254" s="4"/>
      <c r="O254" s="1"/>
      <c r="P254" s="5"/>
      <c r="Q254" s="3"/>
      <c r="R254" s="3"/>
      <c r="S254" s="7"/>
      <c r="T254" s="1"/>
      <c r="U254" s="1"/>
      <c r="V254" s="1"/>
      <c r="W254" s="1"/>
      <c r="X254" s="1"/>
      <c r="Y254" s="1"/>
      <c r="Z254" s="1"/>
    </row>
    <row r="255" spans="1:26" ht="27" customHeight="1">
      <c r="A255" s="1"/>
      <c r="B255" s="1"/>
      <c r="C255" s="2"/>
      <c r="D255" s="87"/>
      <c r="E255" s="87"/>
      <c r="F255" s="87"/>
      <c r="G255" s="1"/>
      <c r="H255" s="1"/>
      <c r="I255" s="1"/>
      <c r="J255" s="1"/>
      <c r="K255" s="1"/>
      <c r="L255" s="87"/>
      <c r="M255" s="87"/>
      <c r="N255" s="4"/>
      <c r="O255" s="1"/>
      <c r="P255" s="5"/>
      <c r="Q255" s="3"/>
      <c r="R255" s="3"/>
      <c r="S255" s="7"/>
      <c r="T255" s="1"/>
      <c r="U255" s="1"/>
      <c r="V255" s="1"/>
      <c r="W255" s="1"/>
      <c r="X255" s="1"/>
      <c r="Y255" s="1"/>
      <c r="Z255" s="1"/>
    </row>
    <row r="256" spans="1:26" ht="27" customHeight="1">
      <c r="A256" s="1"/>
      <c r="B256" s="1"/>
      <c r="C256" s="2"/>
      <c r="D256" s="87"/>
      <c r="E256" s="87"/>
      <c r="F256" s="87"/>
      <c r="G256" s="1"/>
      <c r="H256" s="1"/>
      <c r="I256" s="1"/>
      <c r="J256" s="1"/>
      <c r="K256" s="1"/>
      <c r="L256" s="87"/>
      <c r="M256" s="87"/>
      <c r="N256" s="4"/>
      <c r="O256" s="1"/>
      <c r="P256" s="5"/>
      <c r="Q256" s="3"/>
      <c r="R256" s="3"/>
      <c r="S256" s="7"/>
      <c r="T256" s="1"/>
      <c r="U256" s="1"/>
      <c r="V256" s="1"/>
      <c r="W256" s="1"/>
      <c r="X256" s="1"/>
      <c r="Y256" s="1"/>
      <c r="Z256" s="1"/>
    </row>
    <row r="257" spans="1:26" ht="27" customHeight="1">
      <c r="A257" s="1"/>
      <c r="B257" s="1"/>
      <c r="C257" s="2"/>
      <c r="D257" s="87"/>
      <c r="E257" s="87"/>
      <c r="F257" s="87"/>
      <c r="G257" s="1"/>
      <c r="H257" s="1"/>
      <c r="I257" s="1"/>
      <c r="J257" s="1"/>
      <c r="K257" s="1"/>
      <c r="L257" s="87"/>
      <c r="M257" s="87"/>
      <c r="N257" s="4"/>
      <c r="O257" s="1"/>
      <c r="P257" s="5"/>
      <c r="Q257" s="3"/>
      <c r="R257" s="3"/>
      <c r="S257" s="7"/>
      <c r="T257" s="1"/>
      <c r="U257" s="1"/>
      <c r="V257" s="1"/>
      <c r="W257" s="1"/>
      <c r="X257" s="1"/>
      <c r="Y257" s="1"/>
      <c r="Z257" s="1"/>
    </row>
    <row r="258" spans="1:26" ht="27" customHeight="1">
      <c r="A258" s="1"/>
      <c r="B258" s="1"/>
      <c r="C258" s="2"/>
      <c r="D258" s="87"/>
      <c r="E258" s="87"/>
      <c r="F258" s="87"/>
      <c r="G258" s="1"/>
      <c r="H258" s="1"/>
      <c r="I258" s="1"/>
      <c r="J258" s="1"/>
      <c r="K258" s="1"/>
      <c r="L258" s="87"/>
      <c r="M258" s="87"/>
      <c r="N258" s="4"/>
      <c r="O258" s="1"/>
      <c r="P258" s="5"/>
      <c r="Q258" s="3"/>
      <c r="R258" s="3"/>
      <c r="S258" s="7"/>
      <c r="T258" s="1"/>
      <c r="U258" s="1"/>
      <c r="V258" s="1"/>
      <c r="W258" s="1"/>
      <c r="X258" s="1"/>
      <c r="Y258" s="1"/>
      <c r="Z258" s="1"/>
    </row>
    <row r="259" spans="1:26" ht="27" customHeight="1">
      <c r="A259" s="1"/>
      <c r="B259" s="1"/>
      <c r="C259" s="2"/>
      <c r="D259" s="87"/>
      <c r="E259" s="87"/>
      <c r="F259" s="87"/>
      <c r="G259" s="1"/>
      <c r="H259" s="1"/>
      <c r="I259" s="1"/>
      <c r="J259" s="1"/>
      <c r="K259" s="1"/>
      <c r="L259" s="87"/>
      <c r="M259" s="87"/>
      <c r="N259" s="4"/>
      <c r="O259" s="1"/>
      <c r="P259" s="5"/>
      <c r="Q259" s="3"/>
      <c r="R259" s="3"/>
      <c r="S259" s="7"/>
      <c r="T259" s="1"/>
      <c r="U259" s="1"/>
      <c r="V259" s="1"/>
      <c r="W259" s="1"/>
      <c r="X259" s="1"/>
      <c r="Y259" s="1"/>
      <c r="Z259" s="1"/>
    </row>
    <row r="260" spans="1:26" ht="27" customHeight="1">
      <c r="A260" s="1"/>
      <c r="B260" s="1"/>
      <c r="C260" s="2"/>
      <c r="D260" s="87"/>
      <c r="E260" s="87"/>
      <c r="F260" s="87"/>
      <c r="G260" s="1"/>
      <c r="H260" s="1"/>
      <c r="I260" s="1"/>
      <c r="J260" s="1"/>
      <c r="K260" s="1"/>
      <c r="L260" s="87"/>
      <c r="M260" s="87"/>
      <c r="N260" s="4"/>
      <c r="O260" s="1"/>
      <c r="P260" s="5"/>
      <c r="Q260" s="3"/>
      <c r="R260" s="3"/>
      <c r="S260" s="7"/>
      <c r="T260" s="1"/>
      <c r="U260" s="1"/>
      <c r="V260" s="1"/>
      <c r="W260" s="1"/>
      <c r="X260" s="1"/>
      <c r="Y260" s="1"/>
      <c r="Z260" s="1"/>
    </row>
    <row r="261" spans="1:26" ht="27" customHeight="1">
      <c r="A261" s="1"/>
      <c r="B261" s="1"/>
      <c r="C261" s="2"/>
      <c r="D261" s="87"/>
      <c r="E261" s="87"/>
      <c r="F261" s="87"/>
      <c r="G261" s="1"/>
      <c r="H261" s="1"/>
      <c r="I261" s="1"/>
      <c r="J261" s="1"/>
      <c r="K261" s="1"/>
      <c r="L261" s="87"/>
      <c r="M261" s="87"/>
      <c r="N261" s="4"/>
      <c r="O261" s="1"/>
      <c r="P261" s="5"/>
      <c r="Q261" s="3"/>
      <c r="R261" s="3"/>
      <c r="S261" s="7"/>
      <c r="T261" s="1"/>
      <c r="U261" s="1"/>
      <c r="V261" s="1"/>
      <c r="W261" s="1"/>
      <c r="X261" s="1"/>
      <c r="Y261" s="1"/>
      <c r="Z261" s="1"/>
    </row>
    <row r="262" spans="1:26" ht="27" customHeight="1">
      <c r="A262" s="1"/>
      <c r="B262" s="1"/>
      <c r="C262" s="2"/>
      <c r="D262" s="87"/>
      <c r="E262" s="87"/>
      <c r="F262" s="87"/>
      <c r="G262" s="1"/>
      <c r="H262" s="1"/>
      <c r="I262" s="1"/>
      <c r="J262" s="1"/>
      <c r="K262" s="1"/>
      <c r="L262" s="87"/>
      <c r="M262" s="87"/>
      <c r="N262" s="4"/>
      <c r="O262" s="1"/>
      <c r="P262" s="5"/>
      <c r="Q262" s="3"/>
      <c r="R262" s="3"/>
      <c r="S262" s="7"/>
      <c r="T262" s="1"/>
      <c r="U262" s="1"/>
      <c r="V262" s="1"/>
      <c r="W262" s="1"/>
      <c r="X262" s="1"/>
      <c r="Y262" s="1"/>
      <c r="Z262" s="1"/>
    </row>
    <row r="263" spans="1:26" ht="27" customHeight="1">
      <c r="A263" s="1"/>
      <c r="B263" s="1"/>
      <c r="C263" s="2"/>
      <c r="D263" s="87"/>
      <c r="E263" s="87"/>
      <c r="F263" s="87"/>
      <c r="G263" s="1"/>
      <c r="H263" s="1"/>
      <c r="I263" s="1"/>
      <c r="J263" s="1"/>
      <c r="K263" s="1"/>
      <c r="L263" s="87"/>
      <c r="M263" s="87"/>
      <c r="N263" s="4"/>
      <c r="O263" s="1"/>
      <c r="P263" s="5"/>
      <c r="Q263" s="3"/>
      <c r="R263" s="3"/>
      <c r="S263" s="7"/>
      <c r="T263" s="1"/>
      <c r="U263" s="1"/>
      <c r="V263" s="1"/>
      <c r="W263" s="1"/>
      <c r="X263" s="1"/>
      <c r="Y263" s="1"/>
      <c r="Z263" s="1"/>
    </row>
    <row r="264" spans="1:26" ht="27" customHeight="1">
      <c r="A264" s="1"/>
      <c r="B264" s="1"/>
      <c r="C264" s="2"/>
      <c r="D264" s="87"/>
      <c r="E264" s="87"/>
      <c r="F264" s="87"/>
      <c r="G264" s="1"/>
      <c r="H264" s="1"/>
      <c r="I264" s="1"/>
      <c r="J264" s="1"/>
      <c r="K264" s="1"/>
      <c r="L264" s="87"/>
      <c r="M264" s="87"/>
      <c r="N264" s="4"/>
      <c r="O264" s="1"/>
      <c r="P264" s="5"/>
      <c r="Q264" s="3"/>
      <c r="R264" s="3"/>
      <c r="S264" s="7"/>
      <c r="T264" s="1"/>
      <c r="U264" s="1"/>
      <c r="V264" s="1"/>
      <c r="W264" s="1"/>
      <c r="X264" s="1"/>
      <c r="Y264" s="1"/>
      <c r="Z264" s="1"/>
    </row>
    <row r="265" spans="1:26" ht="27" customHeight="1">
      <c r="A265" s="1"/>
      <c r="B265" s="1"/>
      <c r="C265" s="2"/>
      <c r="D265" s="87"/>
      <c r="E265" s="87"/>
      <c r="F265" s="87"/>
      <c r="G265" s="1"/>
      <c r="H265" s="1"/>
      <c r="I265" s="1"/>
      <c r="J265" s="1"/>
      <c r="K265" s="1"/>
      <c r="L265" s="87"/>
      <c r="M265" s="87"/>
      <c r="N265" s="4"/>
      <c r="O265" s="1"/>
      <c r="P265" s="5"/>
      <c r="Q265" s="3"/>
      <c r="R265" s="3"/>
      <c r="S265" s="7"/>
      <c r="T265" s="1"/>
      <c r="U265" s="1"/>
      <c r="V265" s="1"/>
      <c r="W265" s="1"/>
      <c r="X265" s="1"/>
      <c r="Y265" s="1"/>
      <c r="Z265" s="1"/>
    </row>
    <row r="266" spans="1:26" ht="27" customHeight="1">
      <c r="A266" s="1"/>
      <c r="B266" s="1"/>
      <c r="C266" s="2"/>
      <c r="D266" s="87"/>
      <c r="E266" s="87"/>
      <c r="F266" s="87"/>
      <c r="G266" s="1"/>
      <c r="H266" s="1"/>
      <c r="I266" s="1"/>
      <c r="J266" s="1"/>
      <c r="K266" s="1"/>
      <c r="L266" s="87"/>
      <c r="M266" s="87"/>
      <c r="N266" s="4"/>
      <c r="O266" s="1"/>
      <c r="P266" s="5"/>
      <c r="Q266" s="3"/>
      <c r="R266" s="3"/>
      <c r="S266" s="7"/>
      <c r="T266" s="1"/>
      <c r="U266" s="1"/>
      <c r="V266" s="1"/>
      <c r="W266" s="1"/>
      <c r="X266" s="1"/>
      <c r="Y266" s="1"/>
      <c r="Z266" s="1"/>
    </row>
    <row r="267" spans="1:26" ht="27" customHeight="1">
      <c r="A267" s="1"/>
      <c r="B267" s="1"/>
      <c r="C267" s="2"/>
      <c r="D267" s="87"/>
      <c r="E267" s="87"/>
      <c r="F267" s="87"/>
      <c r="G267" s="1"/>
      <c r="H267" s="1"/>
      <c r="I267" s="1"/>
      <c r="J267" s="1"/>
      <c r="K267" s="1"/>
      <c r="L267" s="87"/>
      <c r="M267" s="87"/>
      <c r="N267" s="4"/>
      <c r="O267" s="1"/>
      <c r="P267" s="5"/>
      <c r="Q267" s="3"/>
      <c r="R267" s="3"/>
      <c r="S267" s="7"/>
      <c r="T267" s="1"/>
      <c r="U267" s="1"/>
      <c r="V267" s="1"/>
      <c r="W267" s="1"/>
      <c r="X267" s="1"/>
      <c r="Y267" s="1"/>
      <c r="Z267" s="1"/>
    </row>
    <row r="268" spans="1:26" ht="27" customHeight="1">
      <c r="A268" s="1"/>
      <c r="B268" s="1"/>
      <c r="C268" s="2"/>
      <c r="D268" s="87"/>
      <c r="E268" s="87"/>
      <c r="F268" s="87"/>
      <c r="G268" s="1"/>
      <c r="H268" s="1"/>
      <c r="I268" s="1"/>
      <c r="J268" s="1"/>
      <c r="K268" s="1"/>
      <c r="L268" s="87"/>
      <c r="M268" s="87"/>
      <c r="N268" s="4"/>
      <c r="O268" s="1"/>
      <c r="P268" s="5"/>
      <c r="Q268" s="3"/>
      <c r="R268" s="3"/>
      <c r="S268" s="7"/>
      <c r="T268" s="1"/>
      <c r="U268" s="1"/>
      <c r="V268" s="1"/>
      <c r="W268" s="1"/>
      <c r="X268" s="1"/>
      <c r="Y268" s="1"/>
      <c r="Z268" s="1"/>
    </row>
    <row r="269" spans="1:26" ht="27" customHeight="1">
      <c r="A269" s="1"/>
      <c r="B269" s="1"/>
      <c r="C269" s="2"/>
      <c r="D269" s="87"/>
      <c r="E269" s="87"/>
      <c r="F269" s="87"/>
      <c r="G269" s="1"/>
      <c r="H269" s="1"/>
      <c r="I269" s="1"/>
      <c r="J269" s="1"/>
      <c r="K269" s="1"/>
      <c r="L269" s="87"/>
      <c r="M269" s="87"/>
      <c r="N269" s="4"/>
      <c r="O269" s="1"/>
      <c r="P269" s="5"/>
      <c r="Q269" s="3"/>
      <c r="R269" s="3"/>
      <c r="S269" s="7"/>
      <c r="T269" s="1"/>
      <c r="U269" s="1"/>
      <c r="V269" s="1"/>
      <c r="W269" s="1"/>
      <c r="X269" s="1"/>
      <c r="Y269" s="1"/>
      <c r="Z269" s="1"/>
    </row>
    <row r="270" spans="1:26" ht="27" customHeight="1">
      <c r="A270" s="1"/>
      <c r="B270" s="1"/>
      <c r="C270" s="2"/>
      <c r="D270" s="87"/>
      <c r="E270" s="87"/>
      <c r="F270" s="87"/>
      <c r="G270" s="1"/>
      <c r="H270" s="1"/>
      <c r="I270" s="1"/>
      <c r="J270" s="1"/>
      <c r="K270" s="1"/>
      <c r="L270" s="87"/>
      <c r="M270" s="87"/>
      <c r="N270" s="4"/>
      <c r="O270" s="1"/>
      <c r="P270" s="5"/>
      <c r="Q270" s="3"/>
      <c r="R270" s="3"/>
      <c r="S270" s="7"/>
      <c r="T270" s="1"/>
      <c r="U270" s="1"/>
      <c r="V270" s="1"/>
      <c r="W270" s="1"/>
      <c r="X270" s="1"/>
      <c r="Y270" s="1"/>
      <c r="Z270" s="1"/>
    </row>
    <row r="271" spans="1:26" ht="27" customHeight="1">
      <c r="A271" s="1"/>
      <c r="B271" s="1"/>
      <c r="C271" s="2"/>
      <c r="D271" s="87"/>
      <c r="E271" s="87"/>
      <c r="F271" s="87"/>
      <c r="G271" s="1"/>
      <c r="H271" s="1"/>
      <c r="I271" s="1"/>
      <c r="J271" s="1"/>
      <c r="K271" s="1"/>
      <c r="L271" s="87"/>
      <c r="M271" s="87"/>
      <c r="N271" s="4"/>
      <c r="O271" s="1"/>
      <c r="P271" s="5"/>
      <c r="Q271" s="3"/>
      <c r="R271" s="3"/>
      <c r="S271" s="7"/>
      <c r="T271" s="1"/>
      <c r="U271" s="1"/>
      <c r="V271" s="1"/>
      <c r="W271" s="1"/>
      <c r="X271" s="1"/>
      <c r="Y271" s="1"/>
      <c r="Z271" s="1"/>
    </row>
    <row r="272" spans="1:26" ht="27" customHeight="1">
      <c r="A272" s="1"/>
      <c r="B272" s="1"/>
      <c r="C272" s="2"/>
      <c r="D272" s="87"/>
      <c r="E272" s="87"/>
      <c r="F272" s="87"/>
      <c r="G272" s="1"/>
      <c r="H272" s="1"/>
      <c r="I272" s="1"/>
      <c r="J272" s="1"/>
      <c r="K272" s="1"/>
      <c r="L272" s="87"/>
      <c r="M272" s="87"/>
      <c r="N272" s="4"/>
      <c r="O272" s="1"/>
      <c r="P272" s="5"/>
      <c r="Q272" s="3"/>
      <c r="R272" s="3"/>
      <c r="S272" s="7"/>
      <c r="T272" s="1"/>
      <c r="U272" s="1"/>
      <c r="V272" s="1"/>
      <c r="W272" s="1"/>
      <c r="X272" s="1"/>
      <c r="Y272" s="1"/>
      <c r="Z272" s="1"/>
    </row>
    <row r="273" spans="1:26" ht="27" customHeight="1">
      <c r="A273" s="1"/>
      <c r="B273" s="1"/>
      <c r="C273" s="2"/>
      <c r="D273" s="87"/>
      <c r="E273" s="87"/>
      <c r="F273" s="87"/>
      <c r="G273" s="1"/>
      <c r="H273" s="1"/>
      <c r="I273" s="1"/>
      <c r="J273" s="1"/>
      <c r="K273" s="1"/>
      <c r="L273" s="87"/>
      <c r="M273" s="87"/>
      <c r="N273" s="4"/>
      <c r="O273" s="1"/>
      <c r="P273" s="5"/>
      <c r="Q273" s="3"/>
      <c r="R273" s="3"/>
      <c r="S273" s="7"/>
      <c r="T273" s="1"/>
      <c r="U273" s="1"/>
      <c r="V273" s="1"/>
      <c r="W273" s="1"/>
      <c r="X273" s="1"/>
      <c r="Y273" s="1"/>
      <c r="Z273" s="1"/>
    </row>
    <row r="274" spans="1:26" ht="27" customHeight="1">
      <c r="A274" s="1"/>
      <c r="B274" s="1"/>
      <c r="C274" s="2"/>
      <c r="D274" s="87"/>
      <c r="E274" s="87"/>
      <c r="F274" s="87"/>
      <c r="G274" s="1"/>
      <c r="H274" s="1"/>
      <c r="I274" s="1"/>
      <c r="J274" s="1"/>
      <c r="K274" s="1"/>
      <c r="L274" s="87"/>
      <c r="M274" s="87"/>
      <c r="N274" s="4"/>
      <c r="O274" s="1"/>
      <c r="P274" s="5"/>
      <c r="Q274" s="3"/>
      <c r="R274" s="3"/>
      <c r="S274" s="7"/>
      <c r="T274" s="1"/>
      <c r="U274" s="1"/>
      <c r="V274" s="1"/>
      <c r="W274" s="1"/>
      <c r="X274" s="1"/>
      <c r="Y274" s="1"/>
      <c r="Z274" s="1"/>
    </row>
    <row r="275" spans="1:26" ht="27" customHeight="1">
      <c r="A275" s="1"/>
      <c r="B275" s="1"/>
      <c r="C275" s="2"/>
      <c r="D275" s="87"/>
      <c r="E275" s="87"/>
      <c r="F275" s="87"/>
      <c r="G275" s="1"/>
      <c r="H275" s="1"/>
      <c r="I275" s="1"/>
      <c r="J275" s="1"/>
      <c r="K275" s="1"/>
      <c r="L275" s="87"/>
      <c r="M275" s="87"/>
      <c r="N275" s="4"/>
      <c r="O275" s="1"/>
      <c r="P275" s="5"/>
      <c r="Q275" s="3"/>
      <c r="R275" s="3"/>
      <c r="S275" s="7"/>
      <c r="T275" s="1"/>
      <c r="U275" s="1"/>
      <c r="V275" s="1"/>
      <c r="W275" s="1"/>
      <c r="X275" s="1"/>
      <c r="Y275" s="1"/>
      <c r="Z275" s="1"/>
    </row>
    <row r="276" spans="1:26" ht="27" customHeight="1">
      <c r="A276" s="1"/>
      <c r="B276" s="1"/>
      <c r="C276" s="2"/>
      <c r="D276" s="87"/>
      <c r="E276" s="87"/>
      <c r="F276" s="87"/>
      <c r="G276" s="1"/>
      <c r="H276" s="1"/>
      <c r="I276" s="1"/>
      <c r="J276" s="1"/>
      <c r="K276" s="1"/>
      <c r="L276" s="87"/>
      <c r="M276" s="87"/>
      <c r="N276" s="4"/>
      <c r="O276" s="1"/>
      <c r="P276" s="5"/>
      <c r="Q276" s="3"/>
      <c r="R276" s="3"/>
      <c r="S276" s="7"/>
      <c r="T276" s="1"/>
      <c r="U276" s="1"/>
      <c r="V276" s="1"/>
      <c r="W276" s="1"/>
      <c r="X276" s="1"/>
      <c r="Y276" s="1"/>
      <c r="Z276" s="1"/>
    </row>
    <row r="277" spans="1:26" ht="27" customHeight="1">
      <c r="A277" s="1"/>
      <c r="B277" s="1"/>
      <c r="C277" s="2"/>
      <c r="D277" s="87"/>
      <c r="E277" s="87"/>
      <c r="F277" s="87"/>
      <c r="G277" s="1"/>
      <c r="H277" s="1"/>
      <c r="I277" s="1"/>
      <c r="J277" s="1"/>
      <c r="K277" s="1"/>
      <c r="L277" s="87"/>
      <c r="M277" s="87"/>
      <c r="N277" s="4"/>
      <c r="O277" s="1"/>
      <c r="P277" s="5"/>
      <c r="Q277" s="3"/>
      <c r="R277" s="3"/>
      <c r="S277" s="7"/>
      <c r="T277" s="1"/>
      <c r="U277" s="1"/>
      <c r="V277" s="1"/>
      <c r="W277" s="1"/>
      <c r="X277" s="1"/>
      <c r="Y277" s="1"/>
      <c r="Z277" s="1"/>
    </row>
    <row r="278" spans="1:26" ht="27" customHeight="1">
      <c r="A278" s="1"/>
      <c r="B278" s="1"/>
      <c r="C278" s="2"/>
      <c r="D278" s="87"/>
      <c r="E278" s="87"/>
      <c r="F278" s="87"/>
      <c r="G278" s="1"/>
      <c r="H278" s="1"/>
      <c r="I278" s="1"/>
      <c r="J278" s="1"/>
      <c r="K278" s="1"/>
      <c r="L278" s="87"/>
      <c r="M278" s="87"/>
      <c r="N278" s="4"/>
      <c r="O278" s="1"/>
      <c r="P278" s="5"/>
      <c r="Q278" s="3"/>
      <c r="R278" s="3"/>
      <c r="S278" s="7"/>
      <c r="T278" s="1"/>
      <c r="U278" s="1"/>
      <c r="V278" s="1"/>
      <c r="W278" s="1"/>
      <c r="X278" s="1"/>
      <c r="Y278" s="1"/>
      <c r="Z278" s="1"/>
    </row>
    <row r="279" spans="1:26" ht="27" customHeight="1">
      <c r="A279" s="1"/>
      <c r="B279" s="1"/>
      <c r="C279" s="2"/>
      <c r="D279" s="87"/>
      <c r="E279" s="87"/>
      <c r="F279" s="87"/>
      <c r="G279" s="1"/>
      <c r="H279" s="1"/>
      <c r="I279" s="1"/>
      <c r="J279" s="1"/>
      <c r="K279" s="1"/>
      <c r="L279" s="87"/>
      <c r="M279" s="87"/>
      <c r="N279" s="4"/>
      <c r="O279" s="1"/>
      <c r="P279" s="5"/>
      <c r="Q279" s="3"/>
      <c r="R279" s="3"/>
      <c r="S279" s="7"/>
      <c r="T279" s="1"/>
      <c r="U279" s="1"/>
      <c r="V279" s="1"/>
      <c r="W279" s="1"/>
      <c r="X279" s="1"/>
      <c r="Y279" s="1"/>
      <c r="Z279" s="1"/>
    </row>
    <row r="280" spans="1:26" ht="27" customHeight="1">
      <c r="A280" s="1"/>
      <c r="B280" s="1"/>
      <c r="C280" s="2"/>
      <c r="D280" s="87"/>
      <c r="E280" s="87"/>
      <c r="F280" s="87"/>
      <c r="G280" s="1"/>
      <c r="H280" s="1"/>
      <c r="I280" s="1"/>
      <c r="J280" s="1"/>
      <c r="K280" s="1"/>
      <c r="L280" s="87"/>
      <c r="M280" s="87"/>
      <c r="N280" s="4"/>
      <c r="O280" s="1"/>
      <c r="P280" s="5"/>
      <c r="Q280" s="3"/>
      <c r="R280" s="3"/>
      <c r="S280" s="7"/>
      <c r="T280" s="1"/>
      <c r="U280" s="1"/>
      <c r="V280" s="1"/>
      <c r="W280" s="1"/>
      <c r="X280" s="1"/>
      <c r="Y280" s="1"/>
      <c r="Z280" s="1"/>
    </row>
    <row r="281" spans="1:26" ht="27" customHeight="1">
      <c r="A281" s="1"/>
      <c r="B281" s="1"/>
      <c r="C281" s="2"/>
      <c r="D281" s="87"/>
      <c r="E281" s="87"/>
      <c r="F281" s="87"/>
      <c r="G281" s="1"/>
      <c r="H281" s="1"/>
      <c r="I281" s="1"/>
      <c r="J281" s="1"/>
      <c r="K281" s="1"/>
      <c r="L281" s="87"/>
      <c r="M281" s="87"/>
      <c r="N281" s="4"/>
      <c r="O281" s="1"/>
      <c r="P281" s="5"/>
      <c r="Q281" s="3"/>
      <c r="R281" s="3"/>
      <c r="S281" s="7"/>
      <c r="T281" s="1"/>
      <c r="U281" s="1"/>
      <c r="V281" s="1"/>
      <c r="W281" s="1"/>
      <c r="X281" s="1"/>
      <c r="Y281" s="1"/>
      <c r="Z281" s="1"/>
    </row>
    <row r="282" spans="1:26" ht="27" customHeight="1">
      <c r="A282" s="1"/>
      <c r="B282" s="1"/>
      <c r="C282" s="2"/>
      <c r="D282" s="87"/>
      <c r="E282" s="87"/>
      <c r="F282" s="87"/>
      <c r="G282" s="1"/>
      <c r="H282" s="1"/>
      <c r="I282" s="1"/>
      <c r="J282" s="1"/>
      <c r="K282" s="1"/>
      <c r="L282" s="87"/>
      <c r="M282" s="87"/>
      <c r="N282" s="4"/>
      <c r="O282" s="1"/>
      <c r="P282" s="5"/>
      <c r="Q282" s="3"/>
      <c r="R282" s="3"/>
      <c r="S282" s="7"/>
      <c r="T282" s="1"/>
      <c r="U282" s="1"/>
      <c r="V282" s="1"/>
      <c r="W282" s="1"/>
      <c r="X282" s="1"/>
      <c r="Y282" s="1"/>
      <c r="Z282" s="1"/>
    </row>
    <row r="283" spans="1:26" ht="27" customHeight="1">
      <c r="A283" s="1"/>
      <c r="B283" s="1"/>
      <c r="C283" s="2"/>
      <c r="D283" s="87"/>
      <c r="E283" s="87"/>
      <c r="F283" s="87"/>
      <c r="G283" s="1"/>
      <c r="H283" s="1"/>
      <c r="I283" s="1"/>
      <c r="J283" s="1"/>
      <c r="K283" s="1"/>
      <c r="L283" s="87"/>
      <c r="M283" s="87"/>
      <c r="N283" s="4"/>
      <c r="O283" s="1"/>
      <c r="P283" s="5"/>
      <c r="Q283" s="3"/>
      <c r="R283" s="3"/>
      <c r="S283" s="7"/>
      <c r="T283" s="1"/>
      <c r="U283" s="1"/>
      <c r="V283" s="1"/>
      <c r="W283" s="1"/>
      <c r="X283" s="1"/>
      <c r="Y283" s="1"/>
      <c r="Z283" s="1"/>
    </row>
    <row r="284" spans="1:26" ht="27" customHeight="1">
      <c r="A284" s="1"/>
      <c r="B284" s="1"/>
      <c r="C284" s="2"/>
      <c r="D284" s="87"/>
      <c r="E284" s="87"/>
      <c r="F284" s="87"/>
      <c r="G284" s="1"/>
      <c r="H284" s="1"/>
      <c r="I284" s="1"/>
      <c r="J284" s="1"/>
      <c r="K284" s="1"/>
      <c r="L284" s="87"/>
      <c r="M284" s="87"/>
      <c r="N284" s="4"/>
      <c r="O284" s="1"/>
      <c r="P284" s="5"/>
      <c r="Q284" s="3"/>
      <c r="R284" s="3"/>
      <c r="S284" s="7"/>
      <c r="T284" s="1"/>
      <c r="U284" s="1"/>
      <c r="V284" s="1"/>
      <c r="W284" s="1"/>
      <c r="X284" s="1"/>
      <c r="Y284" s="1"/>
      <c r="Z284" s="1"/>
    </row>
    <row r="285" spans="1:26" ht="27" customHeight="1">
      <c r="A285" s="1"/>
      <c r="B285" s="1"/>
      <c r="C285" s="2"/>
      <c r="D285" s="87"/>
      <c r="E285" s="87"/>
      <c r="F285" s="87"/>
      <c r="G285" s="1"/>
      <c r="H285" s="1"/>
      <c r="I285" s="1"/>
      <c r="J285" s="1"/>
      <c r="K285" s="1"/>
      <c r="L285" s="87"/>
      <c r="M285" s="87"/>
      <c r="N285" s="4"/>
      <c r="O285" s="1"/>
      <c r="P285" s="5"/>
      <c r="Q285" s="3"/>
      <c r="R285" s="3"/>
      <c r="S285" s="7"/>
      <c r="T285" s="1"/>
      <c r="U285" s="1"/>
      <c r="V285" s="1"/>
      <c r="W285" s="1"/>
      <c r="X285" s="1"/>
      <c r="Y285" s="1"/>
      <c r="Z285" s="1"/>
    </row>
    <row r="286" spans="1:26" ht="27" customHeight="1">
      <c r="A286" s="1"/>
      <c r="B286" s="1"/>
      <c r="C286" s="2"/>
      <c r="D286" s="87"/>
      <c r="E286" s="87"/>
      <c r="F286" s="87"/>
      <c r="G286" s="1"/>
      <c r="H286" s="1"/>
      <c r="I286" s="1"/>
      <c r="J286" s="1"/>
      <c r="K286" s="1"/>
      <c r="L286" s="87"/>
      <c r="M286" s="87"/>
      <c r="N286" s="4"/>
      <c r="O286" s="1"/>
      <c r="P286" s="5"/>
      <c r="Q286" s="3"/>
      <c r="R286" s="3"/>
      <c r="S286" s="7"/>
      <c r="T286" s="1"/>
      <c r="U286" s="1"/>
      <c r="V286" s="1"/>
      <c r="W286" s="1"/>
      <c r="X286" s="1"/>
      <c r="Y286" s="1"/>
      <c r="Z286" s="1"/>
    </row>
    <row r="287" spans="1:26" ht="27" customHeight="1">
      <c r="A287" s="1"/>
      <c r="B287" s="1"/>
      <c r="C287" s="2"/>
      <c r="D287" s="87"/>
      <c r="E287" s="87"/>
      <c r="F287" s="87"/>
      <c r="G287" s="1"/>
      <c r="H287" s="1"/>
      <c r="I287" s="1"/>
      <c r="J287" s="1"/>
      <c r="K287" s="1"/>
      <c r="L287" s="87"/>
      <c r="M287" s="87"/>
      <c r="N287" s="4"/>
      <c r="O287" s="1"/>
      <c r="P287" s="5"/>
      <c r="Q287" s="3"/>
      <c r="R287" s="3"/>
      <c r="S287" s="7"/>
      <c r="T287" s="1"/>
      <c r="U287" s="1"/>
      <c r="V287" s="1"/>
      <c r="W287" s="1"/>
      <c r="X287" s="1"/>
      <c r="Y287" s="1"/>
      <c r="Z287" s="1"/>
    </row>
    <row r="288" spans="1:26" ht="27" customHeight="1">
      <c r="A288" s="1"/>
      <c r="B288" s="1"/>
      <c r="C288" s="2"/>
      <c r="D288" s="87"/>
      <c r="E288" s="87"/>
      <c r="F288" s="87"/>
      <c r="G288" s="1"/>
      <c r="H288" s="1"/>
      <c r="I288" s="1"/>
      <c r="J288" s="1"/>
      <c r="K288" s="1"/>
      <c r="L288" s="87"/>
      <c r="M288" s="87"/>
      <c r="N288" s="4"/>
      <c r="O288" s="1"/>
      <c r="P288" s="5"/>
      <c r="Q288" s="3"/>
      <c r="R288" s="3"/>
      <c r="S288" s="7"/>
      <c r="T288" s="1"/>
      <c r="U288" s="1"/>
      <c r="V288" s="1"/>
      <c r="W288" s="1"/>
      <c r="X288" s="1"/>
      <c r="Y288" s="1"/>
      <c r="Z288" s="1"/>
    </row>
    <row r="289" spans="1:26" ht="27" customHeight="1">
      <c r="A289" s="1"/>
      <c r="B289" s="1"/>
      <c r="C289" s="2"/>
      <c r="D289" s="87"/>
      <c r="E289" s="87"/>
      <c r="F289" s="87"/>
      <c r="G289" s="1"/>
      <c r="H289" s="1"/>
      <c r="I289" s="1"/>
      <c r="J289" s="1"/>
      <c r="K289" s="1"/>
      <c r="L289" s="87"/>
      <c r="M289" s="87"/>
      <c r="N289" s="4"/>
      <c r="O289" s="1"/>
      <c r="P289" s="5"/>
      <c r="Q289" s="3"/>
      <c r="R289" s="3"/>
      <c r="S289" s="7"/>
      <c r="T289" s="1"/>
      <c r="U289" s="1"/>
      <c r="V289" s="1"/>
      <c r="W289" s="1"/>
      <c r="X289" s="1"/>
      <c r="Y289" s="1"/>
      <c r="Z289" s="1"/>
    </row>
    <row r="290" spans="1:26" ht="27" customHeight="1">
      <c r="A290" s="1"/>
      <c r="B290" s="1"/>
      <c r="C290" s="2"/>
      <c r="D290" s="87"/>
      <c r="E290" s="87"/>
      <c r="F290" s="87"/>
      <c r="G290" s="1"/>
      <c r="H290" s="1"/>
      <c r="I290" s="1"/>
      <c r="J290" s="1"/>
      <c r="K290" s="1"/>
      <c r="L290" s="87"/>
      <c r="M290" s="87"/>
      <c r="N290" s="4"/>
      <c r="O290" s="1"/>
      <c r="P290" s="5"/>
      <c r="Q290" s="3"/>
      <c r="R290" s="3"/>
      <c r="S290" s="7"/>
      <c r="T290" s="1"/>
      <c r="U290" s="1"/>
      <c r="V290" s="1"/>
      <c r="W290" s="1"/>
      <c r="X290" s="1"/>
      <c r="Y290" s="1"/>
      <c r="Z290" s="1"/>
    </row>
    <row r="291" spans="1:26" ht="27" customHeight="1">
      <c r="A291" s="1"/>
      <c r="B291" s="1"/>
      <c r="C291" s="2"/>
      <c r="D291" s="87"/>
      <c r="E291" s="87"/>
      <c r="F291" s="87"/>
      <c r="G291" s="1"/>
      <c r="H291" s="1"/>
      <c r="I291" s="1"/>
      <c r="J291" s="1"/>
      <c r="K291" s="1"/>
      <c r="L291" s="87"/>
      <c r="M291" s="87"/>
      <c r="N291" s="4"/>
      <c r="O291" s="1"/>
      <c r="P291" s="5"/>
      <c r="Q291" s="3"/>
      <c r="R291" s="3"/>
      <c r="S291" s="7"/>
      <c r="T291" s="1"/>
      <c r="U291" s="1"/>
      <c r="V291" s="1"/>
      <c r="W291" s="1"/>
      <c r="X291" s="1"/>
      <c r="Y291" s="1"/>
      <c r="Z291" s="1"/>
    </row>
    <row r="292" spans="1:26" ht="27" customHeight="1">
      <c r="A292" s="1"/>
      <c r="B292" s="1"/>
      <c r="C292" s="2"/>
      <c r="D292" s="87"/>
      <c r="E292" s="87"/>
      <c r="F292" s="87"/>
      <c r="G292" s="1"/>
      <c r="H292" s="1"/>
      <c r="I292" s="1"/>
      <c r="J292" s="1"/>
      <c r="K292" s="1"/>
      <c r="L292" s="87"/>
      <c r="M292" s="87"/>
      <c r="N292" s="4"/>
      <c r="O292" s="1"/>
      <c r="P292" s="5"/>
      <c r="Q292" s="3"/>
      <c r="R292" s="3"/>
      <c r="S292" s="7"/>
      <c r="T292" s="1"/>
      <c r="U292" s="1"/>
      <c r="V292" s="1"/>
      <c r="W292" s="1"/>
      <c r="X292" s="1"/>
      <c r="Y292" s="1"/>
      <c r="Z292" s="1"/>
    </row>
    <row r="293" spans="1:26" ht="27" customHeight="1">
      <c r="A293" s="1"/>
      <c r="B293" s="1"/>
      <c r="C293" s="2"/>
      <c r="D293" s="87"/>
      <c r="E293" s="87"/>
      <c r="F293" s="87"/>
      <c r="G293" s="1"/>
      <c r="H293" s="1"/>
      <c r="I293" s="1"/>
      <c r="J293" s="1"/>
      <c r="K293" s="1"/>
      <c r="L293" s="87"/>
      <c r="M293" s="87"/>
      <c r="N293" s="4"/>
      <c r="O293" s="1"/>
      <c r="P293" s="5"/>
      <c r="Q293" s="3"/>
      <c r="R293" s="3"/>
      <c r="S293" s="7"/>
      <c r="T293" s="1"/>
      <c r="U293" s="1"/>
      <c r="V293" s="1"/>
      <c r="W293" s="1"/>
      <c r="X293" s="1"/>
      <c r="Y293" s="1"/>
      <c r="Z293" s="1"/>
    </row>
    <row r="294" spans="1:26" ht="27" customHeight="1">
      <c r="A294" s="1"/>
      <c r="B294" s="1"/>
      <c r="C294" s="2"/>
      <c r="D294" s="87"/>
      <c r="E294" s="87"/>
      <c r="F294" s="87"/>
      <c r="G294" s="1"/>
      <c r="H294" s="1"/>
      <c r="I294" s="1"/>
      <c r="J294" s="1"/>
      <c r="K294" s="1"/>
      <c r="L294" s="87"/>
      <c r="M294" s="87"/>
      <c r="N294" s="4"/>
      <c r="O294" s="1"/>
      <c r="P294" s="5"/>
      <c r="Q294" s="3"/>
      <c r="R294" s="3"/>
      <c r="S294" s="7"/>
      <c r="T294" s="1"/>
      <c r="U294" s="1"/>
      <c r="V294" s="1"/>
      <c r="W294" s="1"/>
      <c r="X294" s="1"/>
      <c r="Y294" s="1"/>
      <c r="Z294" s="1"/>
    </row>
    <row r="295" spans="1:26" ht="27" customHeight="1">
      <c r="A295" s="1"/>
      <c r="B295" s="1"/>
      <c r="C295" s="2"/>
      <c r="D295" s="87"/>
      <c r="E295" s="87"/>
      <c r="F295" s="87"/>
      <c r="G295" s="1"/>
      <c r="H295" s="1"/>
      <c r="I295" s="1"/>
      <c r="J295" s="1"/>
      <c r="K295" s="1"/>
      <c r="L295" s="87"/>
      <c r="M295" s="87"/>
      <c r="N295" s="4"/>
      <c r="O295" s="1"/>
      <c r="P295" s="5"/>
      <c r="Q295" s="3"/>
      <c r="R295" s="3"/>
      <c r="S295" s="7"/>
      <c r="T295" s="1"/>
      <c r="U295" s="1"/>
      <c r="V295" s="1"/>
      <c r="W295" s="1"/>
      <c r="X295" s="1"/>
      <c r="Y295" s="1"/>
      <c r="Z295" s="1"/>
    </row>
    <row r="296" spans="1:26" ht="27" customHeight="1">
      <c r="A296" s="1"/>
      <c r="B296" s="1"/>
      <c r="C296" s="2"/>
      <c r="D296" s="87"/>
      <c r="E296" s="87"/>
      <c r="F296" s="87"/>
      <c r="G296" s="1"/>
      <c r="H296" s="1"/>
      <c r="I296" s="1"/>
      <c r="J296" s="1"/>
      <c r="K296" s="1"/>
      <c r="L296" s="87"/>
      <c r="M296" s="87"/>
      <c r="N296" s="4"/>
      <c r="O296" s="1"/>
      <c r="P296" s="5"/>
      <c r="Q296" s="3"/>
      <c r="R296" s="3"/>
      <c r="S296" s="7"/>
      <c r="T296" s="1"/>
      <c r="U296" s="1"/>
      <c r="V296" s="1"/>
      <c r="W296" s="1"/>
      <c r="X296" s="1"/>
      <c r="Y296" s="1"/>
      <c r="Z296" s="1"/>
    </row>
    <row r="297" spans="1:26" ht="27" customHeight="1">
      <c r="A297" s="1"/>
      <c r="B297" s="1"/>
      <c r="C297" s="2"/>
      <c r="D297" s="87"/>
      <c r="E297" s="87"/>
      <c r="F297" s="87"/>
      <c r="G297" s="1"/>
      <c r="H297" s="1"/>
      <c r="I297" s="1"/>
      <c r="J297" s="1"/>
      <c r="K297" s="1"/>
      <c r="L297" s="87"/>
      <c r="M297" s="87"/>
      <c r="N297" s="4"/>
      <c r="O297" s="1"/>
      <c r="P297" s="5"/>
      <c r="Q297" s="3"/>
      <c r="R297" s="3"/>
      <c r="S297" s="7"/>
      <c r="T297" s="1"/>
      <c r="U297" s="1"/>
      <c r="V297" s="1"/>
      <c r="W297" s="1"/>
      <c r="X297" s="1"/>
      <c r="Y297" s="1"/>
      <c r="Z297" s="1"/>
    </row>
    <row r="298" spans="1:26" ht="27" customHeight="1">
      <c r="A298" s="1"/>
      <c r="B298" s="1"/>
      <c r="C298" s="2"/>
      <c r="D298" s="87"/>
      <c r="E298" s="87"/>
      <c r="F298" s="87"/>
      <c r="G298" s="1"/>
      <c r="H298" s="1"/>
      <c r="I298" s="1"/>
      <c r="J298" s="1"/>
      <c r="K298" s="1"/>
      <c r="L298" s="87"/>
      <c r="M298" s="87"/>
      <c r="N298" s="4"/>
      <c r="O298" s="1"/>
      <c r="P298" s="5"/>
      <c r="Q298" s="3"/>
      <c r="R298" s="3"/>
      <c r="S298" s="7"/>
      <c r="T298" s="1"/>
      <c r="U298" s="1"/>
      <c r="V298" s="1"/>
      <c r="W298" s="1"/>
      <c r="X298" s="1"/>
      <c r="Y298" s="1"/>
      <c r="Z298" s="1"/>
    </row>
    <row r="299" spans="1:26" ht="27" customHeight="1">
      <c r="A299" s="1"/>
      <c r="B299" s="1"/>
      <c r="C299" s="2"/>
      <c r="D299" s="87"/>
      <c r="E299" s="87"/>
      <c r="F299" s="87"/>
      <c r="G299" s="1"/>
      <c r="H299" s="1"/>
      <c r="I299" s="1"/>
      <c r="J299" s="1"/>
      <c r="K299" s="1"/>
      <c r="L299" s="87"/>
      <c r="M299" s="87"/>
      <c r="N299" s="4"/>
      <c r="O299" s="1"/>
      <c r="P299" s="5"/>
      <c r="Q299" s="3"/>
      <c r="R299" s="3"/>
      <c r="S299" s="7"/>
      <c r="T299" s="1"/>
      <c r="U299" s="1"/>
      <c r="V299" s="1"/>
      <c r="W299" s="1"/>
      <c r="X299" s="1"/>
      <c r="Y299" s="1"/>
      <c r="Z299" s="1"/>
    </row>
    <row r="300" spans="1:26" ht="27" customHeight="1">
      <c r="A300" s="1"/>
      <c r="B300" s="1"/>
      <c r="C300" s="2"/>
      <c r="D300" s="87"/>
      <c r="E300" s="87"/>
      <c r="F300" s="87"/>
      <c r="G300" s="1"/>
      <c r="H300" s="1"/>
      <c r="I300" s="1"/>
      <c r="J300" s="1"/>
      <c r="K300" s="1"/>
      <c r="L300" s="87"/>
      <c r="M300" s="87"/>
      <c r="N300" s="4"/>
      <c r="O300" s="1"/>
      <c r="P300" s="5"/>
      <c r="Q300" s="3"/>
      <c r="R300" s="3"/>
      <c r="S300" s="7"/>
      <c r="T300" s="1"/>
      <c r="U300" s="1"/>
      <c r="V300" s="1"/>
      <c r="W300" s="1"/>
      <c r="X300" s="1"/>
      <c r="Y300" s="1"/>
      <c r="Z300" s="1"/>
    </row>
    <row r="301" spans="1:26" ht="27" customHeight="1">
      <c r="A301" s="1"/>
      <c r="B301" s="1"/>
      <c r="C301" s="2"/>
      <c r="D301" s="87"/>
      <c r="E301" s="87"/>
      <c r="F301" s="87"/>
      <c r="G301" s="1"/>
      <c r="H301" s="1"/>
      <c r="I301" s="1"/>
      <c r="J301" s="1"/>
      <c r="K301" s="1"/>
      <c r="L301" s="87"/>
      <c r="M301" s="87"/>
      <c r="N301" s="4"/>
      <c r="O301" s="1"/>
      <c r="P301" s="5"/>
      <c r="Q301" s="3"/>
      <c r="R301" s="3"/>
      <c r="S301" s="7"/>
      <c r="T301" s="1"/>
      <c r="U301" s="1"/>
      <c r="V301" s="1"/>
      <c r="W301" s="1"/>
      <c r="X301" s="1"/>
      <c r="Y301" s="1"/>
      <c r="Z301" s="1"/>
    </row>
    <row r="302" spans="1:26" ht="27" customHeight="1">
      <c r="A302" s="1"/>
      <c r="B302" s="1"/>
      <c r="C302" s="2"/>
      <c r="D302" s="87"/>
      <c r="E302" s="87"/>
      <c r="F302" s="87"/>
      <c r="G302" s="1"/>
      <c r="H302" s="1"/>
      <c r="I302" s="1"/>
      <c r="J302" s="1"/>
      <c r="K302" s="1"/>
      <c r="L302" s="87"/>
      <c r="M302" s="87"/>
      <c r="N302" s="4"/>
      <c r="O302" s="1"/>
      <c r="P302" s="5"/>
      <c r="Q302" s="3"/>
      <c r="R302" s="3"/>
      <c r="S302" s="7"/>
      <c r="T302" s="1"/>
      <c r="U302" s="1"/>
      <c r="V302" s="1"/>
      <c r="W302" s="1"/>
      <c r="X302" s="1"/>
      <c r="Y302" s="1"/>
      <c r="Z302" s="1"/>
    </row>
    <row r="303" spans="1:26" ht="27" customHeight="1">
      <c r="A303" s="1"/>
      <c r="B303" s="1"/>
      <c r="C303" s="2"/>
      <c r="D303" s="87"/>
      <c r="E303" s="87"/>
      <c r="F303" s="87"/>
      <c r="G303" s="1"/>
      <c r="H303" s="1"/>
      <c r="I303" s="1"/>
      <c r="J303" s="1"/>
      <c r="K303" s="1"/>
      <c r="L303" s="87"/>
      <c r="M303" s="87"/>
      <c r="N303" s="4"/>
      <c r="O303" s="1"/>
      <c r="P303" s="5"/>
      <c r="Q303" s="3"/>
      <c r="R303" s="3"/>
      <c r="S303" s="7"/>
      <c r="T303" s="1"/>
      <c r="U303" s="1"/>
      <c r="V303" s="1"/>
      <c r="W303" s="1"/>
      <c r="X303" s="1"/>
      <c r="Y303" s="1"/>
      <c r="Z303" s="1"/>
    </row>
    <row r="304" spans="1:26" ht="27" customHeight="1">
      <c r="A304" s="1"/>
      <c r="B304" s="1"/>
      <c r="C304" s="2"/>
      <c r="D304" s="87"/>
      <c r="E304" s="87"/>
      <c r="F304" s="87"/>
      <c r="G304" s="1"/>
      <c r="H304" s="1"/>
      <c r="I304" s="1"/>
      <c r="J304" s="1"/>
      <c r="K304" s="1"/>
      <c r="L304" s="87"/>
      <c r="M304" s="87"/>
      <c r="N304" s="4"/>
      <c r="O304" s="1"/>
      <c r="P304" s="5"/>
      <c r="Q304" s="3"/>
      <c r="R304" s="3"/>
      <c r="S304" s="7"/>
      <c r="T304" s="1"/>
      <c r="U304" s="1"/>
      <c r="V304" s="1"/>
      <c r="W304" s="1"/>
      <c r="X304" s="1"/>
      <c r="Y304" s="1"/>
      <c r="Z304" s="1"/>
    </row>
    <row r="305" spans="1:26" ht="27" customHeight="1">
      <c r="A305" s="1"/>
      <c r="B305" s="1"/>
      <c r="C305" s="2"/>
      <c r="D305" s="87"/>
      <c r="E305" s="87"/>
      <c r="F305" s="87"/>
      <c r="G305" s="1"/>
      <c r="H305" s="1"/>
      <c r="I305" s="1"/>
      <c r="J305" s="1"/>
      <c r="K305" s="1"/>
      <c r="L305" s="87"/>
      <c r="M305" s="87"/>
      <c r="N305" s="4"/>
      <c r="O305" s="1"/>
      <c r="P305" s="5"/>
      <c r="Q305" s="3"/>
      <c r="R305" s="3"/>
      <c r="S305" s="7"/>
      <c r="T305" s="1"/>
      <c r="U305" s="1"/>
      <c r="V305" s="1"/>
      <c r="W305" s="1"/>
      <c r="X305" s="1"/>
      <c r="Y305" s="1"/>
      <c r="Z305" s="1"/>
    </row>
    <row r="306" spans="1:26" ht="27" customHeight="1">
      <c r="A306" s="1"/>
      <c r="B306" s="1"/>
      <c r="C306" s="2"/>
      <c r="D306" s="87"/>
      <c r="E306" s="87"/>
      <c r="F306" s="87"/>
      <c r="G306" s="1"/>
      <c r="H306" s="1"/>
      <c r="I306" s="1"/>
      <c r="J306" s="1"/>
      <c r="K306" s="1"/>
      <c r="L306" s="87"/>
      <c r="M306" s="87"/>
      <c r="N306" s="4"/>
      <c r="O306" s="1"/>
      <c r="P306" s="5"/>
      <c r="Q306" s="3"/>
      <c r="R306" s="3"/>
      <c r="S306" s="7"/>
      <c r="T306" s="1"/>
      <c r="U306" s="1"/>
      <c r="V306" s="1"/>
      <c r="W306" s="1"/>
      <c r="X306" s="1"/>
      <c r="Y306" s="1"/>
      <c r="Z306" s="1"/>
    </row>
    <row r="307" spans="1:26" ht="27" customHeight="1">
      <c r="A307" s="1"/>
      <c r="B307" s="1"/>
      <c r="C307" s="2"/>
      <c r="D307" s="87"/>
      <c r="E307" s="87"/>
      <c r="F307" s="87"/>
      <c r="G307" s="1"/>
      <c r="H307" s="1"/>
      <c r="I307" s="1"/>
      <c r="J307" s="1"/>
      <c r="K307" s="1"/>
      <c r="L307" s="87"/>
      <c r="M307" s="87"/>
      <c r="N307" s="4"/>
      <c r="O307" s="1"/>
      <c r="P307" s="5"/>
      <c r="Q307" s="3"/>
      <c r="R307" s="3"/>
      <c r="S307" s="7"/>
      <c r="T307" s="1"/>
      <c r="U307" s="1"/>
      <c r="V307" s="1"/>
      <c r="W307" s="1"/>
      <c r="X307" s="1"/>
      <c r="Y307" s="1"/>
      <c r="Z307" s="1"/>
    </row>
    <row r="308" spans="1:26" ht="27" customHeight="1">
      <c r="A308" s="1"/>
      <c r="B308" s="1"/>
      <c r="C308" s="2"/>
      <c r="D308" s="87"/>
      <c r="E308" s="87"/>
      <c r="F308" s="87"/>
      <c r="G308" s="1"/>
      <c r="H308" s="1"/>
      <c r="I308" s="1"/>
      <c r="J308" s="1"/>
      <c r="K308" s="1"/>
      <c r="L308" s="87"/>
      <c r="M308" s="87"/>
      <c r="N308" s="4"/>
      <c r="O308" s="1"/>
      <c r="P308" s="5"/>
      <c r="Q308" s="3"/>
      <c r="R308" s="3"/>
      <c r="S308" s="7"/>
      <c r="T308" s="1"/>
      <c r="U308" s="1"/>
      <c r="V308" s="1"/>
      <c r="W308" s="1"/>
      <c r="X308" s="1"/>
      <c r="Y308" s="1"/>
      <c r="Z308" s="1"/>
    </row>
    <row r="309" spans="1:26" ht="27" customHeight="1">
      <c r="A309" s="1"/>
      <c r="B309" s="1"/>
      <c r="C309" s="2"/>
      <c r="D309" s="87"/>
      <c r="E309" s="87"/>
      <c r="F309" s="87"/>
      <c r="G309" s="1"/>
      <c r="H309" s="1"/>
      <c r="I309" s="1"/>
      <c r="J309" s="1"/>
      <c r="K309" s="1"/>
      <c r="L309" s="87"/>
      <c r="M309" s="87"/>
      <c r="N309" s="4"/>
      <c r="O309" s="1"/>
      <c r="P309" s="5"/>
      <c r="Q309" s="3"/>
      <c r="R309" s="3"/>
      <c r="S309" s="7"/>
      <c r="T309" s="1"/>
      <c r="U309" s="1"/>
      <c r="V309" s="1"/>
      <c r="W309" s="1"/>
      <c r="X309" s="1"/>
      <c r="Y309" s="1"/>
      <c r="Z309" s="1"/>
    </row>
    <row r="310" spans="1:26" ht="27" customHeight="1">
      <c r="A310" s="1"/>
      <c r="B310" s="1"/>
      <c r="C310" s="2"/>
      <c r="D310" s="87"/>
      <c r="E310" s="87"/>
      <c r="F310" s="87"/>
      <c r="G310" s="1"/>
      <c r="H310" s="1"/>
      <c r="I310" s="1"/>
      <c r="J310" s="1"/>
      <c r="K310" s="1"/>
      <c r="L310" s="87"/>
      <c r="M310" s="87"/>
      <c r="N310" s="4"/>
      <c r="O310" s="1"/>
      <c r="P310" s="5"/>
      <c r="Q310" s="3"/>
      <c r="R310" s="3"/>
      <c r="S310" s="7"/>
      <c r="T310" s="1"/>
      <c r="U310" s="1"/>
      <c r="V310" s="1"/>
      <c r="W310" s="1"/>
      <c r="X310" s="1"/>
      <c r="Y310" s="1"/>
      <c r="Z310" s="1"/>
    </row>
    <row r="311" spans="1:26" ht="27" customHeight="1">
      <c r="A311" s="1"/>
      <c r="B311" s="1"/>
      <c r="C311" s="2"/>
      <c r="D311" s="87"/>
      <c r="E311" s="87"/>
      <c r="F311" s="87"/>
      <c r="G311" s="1"/>
      <c r="H311" s="1"/>
      <c r="I311" s="1"/>
      <c r="J311" s="1"/>
      <c r="K311" s="1"/>
      <c r="L311" s="87"/>
      <c r="M311" s="87"/>
      <c r="N311" s="4"/>
      <c r="O311" s="1"/>
      <c r="P311" s="5"/>
      <c r="Q311" s="3"/>
      <c r="R311" s="3"/>
      <c r="S311" s="7"/>
      <c r="T311" s="1"/>
      <c r="U311" s="1"/>
      <c r="V311" s="1"/>
      <c r="W311" s="1"/>
      <c r="X311" s="1"/>
      <c r="Y311" s="1"/>
      <c r="Z311" s="1"/>
    </row>
    <row r="312" spans="1:26" ht="27" customHeight="1">
      <c r="A312" s="1"/>
      <c r="B312" s="1"/>
      <c r="C312" s="2"/>
      <c r="D312" s="87"/>
      <c r="E312" s="87"/>
      <c r="F312" s="87"/>
      <c r="G312" s="1"/>
      <c r="H312" s="1"/>
      <c r="I312" s="1"/>
      <c r="J312" s="1"/>
      <c r="K312" s="1"/>
      <c r="L312" s="87"/>
      <c r="M312" s="87"/>
      <c r="N312" s="4"/>
      <c r="O312" s="1"/>
      <c r="P312" s="5"/>
      <c r="Q312" s="3"/>
      <c r="R312" s="3"/>
      <c r="S312" s="7"/>
      <c r="T312" s="1"/>
      <c r="U312" s="1"/>
      <c r="V312" s="1"/>
      <c r="W312" s="1"/>
      <c r="X312" s="1"/>
      <c r="Y312" s="1"/>
      <c r="Z312" s="1"/>
    </row>
    <row r="313" spans="1:26" ht="27" customHeight="1">
      <c r="A313" s="1"/>
      <c r="B313" s="1"/>
      <c r="C313" s="2"/>
      <c r="D313" s="87"/>
      <c r="E313" s="87"/>
      <c r="F313" s="87"/>
      <c r="G313" s="1"/>
      <c r="H313" s="1"/>
      <c r="I313" s="1"/>
      <c r="J313" s="1"/>
      <c r="K313" s="1"/>
      <c r="L313" s="87"/>
      <c r="M313" s="87"/>
      <c r="N313" s="4"/>
      <c r="O313" s="1"/>
      <c r="P313" s="5"/>
      <c r="Q313" s="3"/>
      <c r="R313" s="3"/>
      <c r="S313" s="7"/>
      <c r="T313" s="1"/>
      <c r="U313" s="1"/>
      <c r="V313" s="1"/>
      <c r="W313" s="1"/>
      <c r="X313" s="1"/>
      <c r="Y313" s="1"/>
      <c r="Z313" s="1"/>
    </row>
    <row r="314" spans="1:26" ht="27" customHeight="1">
      <c r="A314" s="1"/>
      <c r="B314" s="1"/>
      <c r="C314" s="2"/>
      <c r="D314" s="87"/>
      <c r="E314" s="87"/>
      <c r="F314" s="87"/>
      <c r="G314" s="1"/>
      <c r="H314" s="1"/>
      <c r="I314" s="1"/>
      <c r="J314" s="1"/>
      <c r="K314" s="1"/>
      <c r="L314" s="87"/>
      <c r="M314" s="87"/>
      <c r="N314" s="4"/>
      <c r="O314" s="1"/>
      <c r="P314" s="5"/>
      <c r="Q314" s="3"/>
      <c r="R314" s="3"/>
      <c r="S314" s="7"/>
      <c r="T314" s="1"/>
      <c r="U314" s="1"/>
      <c r="V314" s="1"/>
      <c r="W314" s="1"/>
      <c r="X314" s="1"/>
      <c r="Y314" s="1"/>
      <c r="Z314" s="1"/>
    </row>
    <row r="315" spans="1:26" ht="27" customHeight="1">
      <c r="A315" s="1"/>
      <c r="B315" s="1"/>
      <c r="C315" s="2"/>
      <c r="D315" s="87"/>
      <c r="E315" s="87"/>
      <c r="F315" s="87"/>
      <c r="G315" s="1"/>
      <c r="H315" s="1"/>
      <c r="I315" s="1"/>
      <c r="J315" s="1"/>
      <c r="K315" s="1"/>
      <c r="L315" s="87"/>
      <c r="M315" s="87"/>
      <c r="N315" s="4"/>
      <c r="O315" s="1"/>
      <c r="P315" s="5"/>
      <c r="Q315" s="3"/>
      <c r="R315" s="3"/>
      <c r="S315" s="7"/>
      <c r="T315" s="1"/>
      <c r="U315" s="1"/>
      <c r="V315" s="1"/>
      <c r="W315" s="1"/>
      <c r="X315" s="1"/>
      <c r="Y315" s="1"/>
      <c r="Z315" s="1"/>
    </row>
    <row r="316" spans="1:26" ht="27" customHeight="1">
      <c r="A316" s="1"/>
      <c r="B316" s="1"/>
      <c r="C316" s="2"/>
      <c r="D316" s="87"/>
      <c r="E316" s="87"/>
      <c r="F316" s="87"/>
      <c r="G316" s="1"/>
      <c r="H316" s="1"/>
      <c r="I316" s="1"/>
      <c r="J316" s="1"/>
      <c r="K316" s="1"/>
      <c r="L316" s="87"/>
      <c r="M316" s="87"/>
      <c r="N316" s="4"/>
      <c r="O316" s="1"/>
      <c r="P316" s="5"/>
      <c r="Q316" s="3"/>
      <c r="R316" s="3"/>
      <c r="S316" s="7"/>
      <c r="T316" s="1"/>
      <c r="U316" s="1"/>
      <c r="V316" s="1"/>
      <c r="W316" s="1"/>
      <c r="X316" s="1"/>
      <c r="Y316" s="1"/>
      <c r="Z316" s="1"/>
    </row>
    <row r="317" spans="1:26" ht="27" customHeight="1">
      <c r="A317" s="1"/>
      <c r="B317" s="1"/>
      <c r="C317" s="2"/>
      <c r="D317" s="87"/>
      <c r="E317" s="87"/>
      <c r="F317" s="87"/>
      <c r="G317" s="1"/>
      <c r="H317" s="1"/>
      <c r="I317" s="1"/>
      <c r="J317" s="1"/>
      <c r="K317" s="1"/>
      <c r="L317" s="87"/>
      <c r="M317" s="87"/>
      <c r="N317" s="4"/>
      <c r="O317" s="1"/>
      <c r="P317" s="5"/>
      <c r="Q317" s="3"/>
      <c r="R317" s="3"/>
      <c r="S317" s="7"/>
      <c r="T317" s="1"/>
      <c r="U317" s="1"/>
      <c r="V317" s="1"/>
      <c r="W317" s="1"/>
      <c r="X317" s="1"/>
      <c r="Y317" s="1"/>
      <c r="Z317" s="1"/>
    </row>
    <row r="318" spans="1:26" ht="27" customHeight="1">
      <c r="A318" s="1"/>
      <c r="B318" s="1"/>
      <c r="C318" s="2"/>
      <c r="D318" s="87"/>
      <c r="E318" s="87"/>
      <c r="F318" s="87"/>
      <c r="G318" s="1"/>
      <c r="H318" s="1"/>
      <c r="I318" s="1"/>
      <c r="J318" s="1"/>
      <c r="K318" s="1"/>
      <c r="L318" s="87"/>
      <c r="M318" s="87"/>
      <c r="N318" s="4"/>
      <c r="O318" s="1"/>
      <c r="P318" s="5"/>
      <c r="Q318" s="3"/>
      <c r="R318" s="3"/>
      <c r="S318" s="7"/>
      <c r="T318" s="1"/>
      <c r="U318" s="1"/>
      <c r="V318" s="1"/>
      <c r="W318" s="1"/>
      <c r="X318" s="1"/>
      <c r="Y318" s="1"/>
      <c r="Z318" s="1"/>
    </row>
    <row r="319" spans="1:26" ht="27" customHeight="1">
      <c r="A319" s="1"/>
      <c r="B319" s="1"/>
      <c r="C319" s="2"/>
      <c r="D319" s="87"/>
      <c r="E319" s="87"/>
      <c r="F319" s="87"/>
      <c r="G319" s="1"/>
      <c r="H319" s="1"/>
      <c r="I319" s="1"/>
      <c r="J319" s="1"/>
      <c r="K319" s="1"/>
      <c r="L319" s="87"/>
      <c r="M319" s="87"/>
      <c r="N319" s="4"/>
      <c r="O319" s="1"/>
      <c r="P319" s="5"/>
      <c r="Q319" s="3"/>
      <c r="R319" s="3"/>
      <c r="S319" s="7"/>
      <c r="T319" s="1"/>
      <c r="U319" s="1"/>
      <c r="V319" s="1"/>
      <c r="W319" s="1"/>
      <c r="X319" s="1"/>
      <c r="Y319" s="1"/>
      <c r="Z319" s="1"/>
    </row>
    <row r="320" spans="1:26" ht="27" customHeight="1">
      <c r="A320" s="1"/>
      <c r="B320" s="1"/>
      <c r="C320" s="2"/>
      <c r="D320" s="87"/>
      <c r="E320" s="87"/>
      <c r="F320" s="87"/>
      <c r="G320" s="1"/>
      <c r="H320" s="1"/>
      <c r="I320" s="1"/>
      <c r="J320" s="1"/>
      <c r="K320" s="1"/>
      <c r="L320" s="87"/>
      <c r="M320" s="87"/>
      <c r="N320" s="4"/>
      <c r="O320" s="1"/>
      <c r="P320" s="5"/>
      <c r="Q320" s="3"/>
      <c r="R320" s="3"/>
      <c r="S320" s="7"/>
      <c r="T320" s="1"/>
      <c r="U320" s="1"/>
      <c r="V320" s="1"/>
      <c r="W320" s="1"/>
      <c r="X320" s="1"/>
      <c r="Y320" s="1"/>
      <c r="Z320" s="1"/>
    </row>
    <row r="321" spans="1:26" ht="27" customHeight="1">
      <c r="A321" s="1"/>
      <c r="B321" s="1"/>
      <c r="C321" s="2"/>
      <c r="D321" s="87"/>
      <c r="E321" s="87"/>
      <c r="F321" s="87"/>
      <c r="G321" s="1"/>
      <c r="H321" s="1"/>
      <c r="I321" s="1"/>
      <c r="J321" s="1"/>
      <c r="K321" s="1"/>
      <c r="L321" s="87"/>
      <c r="M321" s="87"/>
      <c r="N321" s="4"/>
      <c r="O321" s="1"/>
      <c r="P321" s="5"/>
      <c r="Q321" s="3"/>
      <c r="R321" s="3"/>
      <c r="S321" s="7"/>
      <c r="T321" s="1"/>
      <c r="U321" s="1"/>
      <c r="V321" s="1"/>
      <c r="W321" s="1"/>
      <c r="X321" s="1"/>
      <c r="Y321" s="1"/>
      <c r="Z321" s="1"/>
    </row>
    <row r="322" spans="1:26" ht="27" customHeight="1">
      <c r="A322" s="1"/>
      <c r="B322" s="1"/>
      <c r="C322" s="2"/>
      <c r="D322" s="87"/>
      <c r="E322" s="87"/>
      <c r="F322" s="87"/>
      <c r="G322" s="1"/>
      <c r="H322" s="1"/>
      <c r="I322" s="1"/>
      <c r="J322" s="1"/>
      <c r="K322" s="1"/>
      <c r="L322" s="87"/>
      <c r="M322" s="87"/>
      <c r="N322" s="4"/>
      <c r="O322" s="1"/>
      <c r="P322" s="5"/>
      <c r="Q322" s="3"/>
      <c r="R322" s="3"/>
      <c r="S322" s="7"/>
      <c r="T322" s="1"/>
      <c r="U322" s="1"/>
      <c r="V322" s="1"/>
      <c r="W322" s="1"/>
      <c r="X322" s="1"/>
      <c r="Y322" s="1"/>
      <c r="Z322" s="1"/>
    </row>
    <row r="323" spans="1:26" ht="27" customHeight="1">
      <c r="A323" s="1"/>
      <c r="B323" s="1"/>
      <c r="C323" s="2"/>
      <c r="D323" s="87"/>
      <c r="E323" s="87"/>
      <c r="F323" s="87"/>
      <c r="G323" s="1"/>
      <c r="H323" s="1"/>
      <c r="I323" s="1"/>
      <c r="J323" s="1"/>
      <c r="K323" s="1"/>
      <c r="L323" s="87"/>
      <c r="M323" s="87"/>
      <c r="N323" s="4"/>
      <c r="O323" s="1"/>
      <c r="P323" s="5"/>
      <c r="Q323" s="3"/>
      <c r="R323" s="3"/>
      <c r="S323" s="7"/>
      <c r="T323" s="1"/>
      <c r="U323" s="1"/>
      <c r="V323" s="1"/>
      <c r="W323" s="1"/>
      <c r="X323" s="1"/>
      <c r="Y323" s="1"/>
      <c r="Z323" s="1"/>
    </row>
    <row r="324" spans="1:26" ht="27" customHeight="1">
      <c r="A324" s="1"/>
      <c r="B324" s="1"/>
      <c r="C324" s="2"/>
      <c r="D324" s="87"/>
      <c r="E324" s="87"/>
      <c r="F324" s="87"/>
      <c r="G324" s="1"/>
      <c r="H324" s="1"/>
      <c r="I324" s="1"/>
      <c r="J324" s="1"/>
      <c r="K324" s="1"/>
      <c r="L324" s="87"/>
      <c r="M324" s="87"/>
      <c r="N324" s="4"/>
      <c r="O324" s="1"/>
      <c r="P324" s="5"/>
      <c r="Q324" s="3"/>
      <c r="R324" s="3"/>
      <c r="S324" s="7"/>
      <c r="T324" s="1"/>
      <c r="U324" s="1"/>
      <c r="V324" s="1"/>
      <c r="W324" s="1"/>
      <c r="X324" s="1"/>
      <c r="Y324" s="1"/>
      <c r="Z324" s="1"/>
    </row>
    <row r="325" spans="1:26" ht="27" customHeight="1">
      <c r="A325" s="1"/>
      <c r="B325" s="1"/>
      <c r="C325" s="2"/>
      <c r="D325" s="87"/>
      <c r="E325" s="87"/>
      <c r="F325" s="87"/>
      <c r="G325" s="1"/>
      <c r="H325" s="1"/>
      <c r="I325" s="1"/>
      <c r="J325" s="1"/>
      <c r="K325" s="1"/>
      <c r="L325" s="87"/>
      <c r="M325" s="87"/>
      <c r="N325" s="4"/>
      <c r="O325" s="1"/>
      <c r="P325" s="5"/>
      <c r="Q325" s="3"/>
      <c r="R325" s="3"/>
      <c r="S325" s="7"/>
      <c r="T325" s="1"/>
      <c r="U325" s="1"/>
      <c r="V325" s="1"/>
      <c r="W325" s="1"/>
      <c r="X325" s="1"/>
      <c r="Y325" s="1"/>
      <c r="Z325" s="1"/>
    </row>
    <row r="326" spans="1:26" ht="27" customHeight="1">
      <c r="A326" s="1"/>
      <c r="B326" s="1"/>
      <c r="C326" s="2"/>
      <c r="D326" s="87"/>
      <c r="E326" s="87"/>
      <c r="F326" s="87"/>
      <c r="G326" s="1"/>
      <c r="H326" s="1"/>
      <c r="I326" s="1"/>
      <c r="J326" s="1"/>
      <c r="K326" s="1"/>
      <c r="L326" s="87"/>
      <c r="M326" s="87"/>
      <c r="N326" s="4"/>
      <c r="O326" s="1"/>
      <c r="P326" s="5"/>
      <c r="Q326" s="3"/>
      <c r="R326" s="3"/>
      <c r="S326" s="7"/>
      <c r="T326" s="1"/>
      <c r="U326" s="1"/>
      <c r="V326" s="1"/>
      <c r="W326" s="1"/>
      <c r="X326" s="1"/>
      <c r="Y326" s="1"/>
      <c r="Z326" s="1"/>
    </row>
    <row r="327" spans="1:26" ht="27" customHeight="1">
      <c r="A327" s="1"/>
      <c r="B327" s="1"/>
      <c r="C327" s="2"/>
      <c r="D327" s="87"/>
      <c r="E327" s="87"/>
      <c r="F327" s="87"/>
      <c r="G327" s="1"/>
      <c r="H327" s="1"/>
      <c r="I327" s="1"/>
      <c r="J327" s="1"/>
      <c r="K327" s="1"/>
      <c r="L327" s="87"/>
      <c r="M327" s="87"/>
      <c r="N327" s="4"/>
      <c r="O327" s="1"/>
      <c r="P327" s="5"/>
      <c r="Q327" s="3"/>
      <c r="R327" s="3"/>
      <c r="S327" s="7"/>
      <c r="T327" s="1"/>
      <c r="U327" s="1"/>
      <c r="V327" s="1"/>
      <c r="W327" s="1"/>
      <c r="X327" s="1"/>
      <c r="Y327" s="1"/>
      <c r="Z327" s="1"/>
    </row>
    <row r="328" spans="1:26" ht="27" customHeight="1">
      <c r="A328" s="1"/>
      <c r="B328" s="1"/>
      <c r="C328" s="2"/>
      <c r="D328" s="87"/>
      <c r="E328" s="87"/>
      <c r="F328" s="87"/>
      <c r="G328" s="1"/>
      <c r="H328" s="1"/>
      <c r="I328" s="1"/>
      <c r="J328" s="1"/>
      <c r="K328" s="1"/>
      <c r="L328" s="87"/>
      <c r="M328" s="87"/>
      <c r="N328" s="4"/>
      <c r="O328" s="1"/>
      <c r="P328" s="5"/>
      <c r="Q328" s="3"/>
      <c r="R328" s="3"/>
      <c r="S328" s="7"/>
      <c r="T328" s="1"/>
      <c r="U328" s="1"/>
      <c r="V328" s="1"/>
      <c r="W328" s="1"/>
      <c r="X328" s="1"/>
      <c r="Y328" s="1"/>
      <c r="Z328" s="1"/>
    </row>
    <row r="329" spans="1:26" ht="27" customHeight="1">
      <c r="A329" s="1"/>
      <c r="B329" s="1"/>
      <c r="C329" s="2"/>
      <c r="D329" s="87"/>
      <c r="E329" s="87"/>
      <c r="F329" s="87"/>
      <c r="G329" s="1"/>
      <c r="H329" s="1"/>
      <c r="I329" s="1"/>
      <c r="J329" s="1"/>
      <c r="K329" s="1"/>
      <c r="L329" s="87"/>
      <c r="M329" s="87"/>
      <c r="N329" s="4"/>
      <c r="O329" s="1"/>
      <c r="P329" s="5"/>
      <c r="Q329" s="3"/>
      <c r="R329" s="3"/>
      <c r="S329" s="7"/>
      <c r="T329" s="1"/>
      <c r="U329" s="1"/>
      <c r="V329" s="1"/>
      <c r="W329" s="1"/>
      <c r="X329" s="1"/>
      <c r="Y329" s="1"/>
      <c r="Z329" s="1"/>
    </row>
    <row r="330" spans="1:26" ht="27" customHeight="1">
      <c r="A330" s="1"/>
      <c r="B330" s="1"/>
      <c r="C330" s="2"/>
      <c r="D330" s="87"/>
      <c r="E330" s="87"/>
      <c r="F330" s="87"/>
      <c r="G330" s="1"/>
      <c r="H330" s="1"/>
      <c r="I330" s="1"/>
      <c r="J330" s="1"/>
      <c r="K330" s="1"/>
      <c r="L330" s="87"/>
      <c r="M330" s="87"/>
      <c r="N330" s="4"/>
      <c r="O330" s="1"/>
      <c r="P330" s="5"/>
      <c r="Q330" s="3"/>
      <c r="R330" s="3"/>
      <c r="S330" s="7"/>
      <c r="T330" s="1"/>
      <c r="U330" s="1"/>
      <c r="V330" s="1"/>
      <c r="W330" s="1"/>
      <c r="X330" s="1"/>
      <c r="Y330" s="1"/>
      <c r="Z330" s="1"/>
    </row>
    <row r="331" spans="1:26" ht="27" customHeight="1">
      <c r="A331" s="1"/>
      <c r="B331" s="1"/>
      <c r="C331" s="2"/>
      <c r="D331" s="87"/>
      <c r="E331" s="87"/>
      <c r="F331" s="87"/>
      <c r="G331" s="1"/>
      <c r="H331" s="1"/>
      <c r="I331" s="1"/>
      <c r="J331" s="1"/>
      <c r="K331" s="1"/>
      <c r="L331" s="87"/>
      <c r="M331" s="87"/>
      <c r="N331" s="4"/>
      <c r="O331" s="1"/>
      <c r="P331" s="5"/>
      <c r="Q331" s="3"/>
      <c r="R331" s="3"/>
      <c r="S331" s="7"/>
      <c r="T331" s="1"/>
      <c r="U331" s="1"/>
      <c r="V331" s="1"/>
      <c r="W331" s="1"/>
      <c r="X331" s="1"/>
      <c r="Y331" s="1"/>
      <c r="Z331" s="1"/>
    </row>
    <row r="332" spans="1:26" ht="27" customHeight="1">
      <c r="A332" s="1"/>
      <c r="B332" s="1"/>
      <c r="C332" s="2"/>
      <c r="D332" s="87"/>
      <c r="E332" s="87"/>
      <c r="F332" s="87"/>
      <c r="G332" s="1"/>
      <c r="H332" s="1"/>
      <c r="I332" s="1"/>
      <c r="J332" s="1"/>
      <c r="K332" s="1"/>
      <c r="L332" s="87"/>
      <c r="M332" s="87"/>
      <c r="N332" s="4"/>
      <c r="O332" s="1"/>
      <c r="P332" s="5"/>
      <c r="Q332" s="3"/>
      <c r="R332" s="3"/>
      <c r="S332" s="7"/>
      <c r="T332" s="1"/>
      <c r="U332" s="1"/>
      <c r="V332" s="1"/>
      <c r="W332" s="1"/>
      <c r="X332" s="1"/>
      <c r="Y332" s="1"/>
      <c r="Z332" s="1"/>
    </row>
    <row r="333" spans="1:26" ht="27" customHeight="1">
      <c r="A333" s="1"/>
      <c r="B333" s="1"/>
      <c r="C333" s="2"/>
      <c r="D333" s="87"/>
      <c r="E333" s="87"/>
      <c r="F333" s="87"/>
      <c r="G333" s="1"/>
      <c r="H333" s="1"/>
      <c r="I333" s="1"/>
      <c r="J333" s="1"/>
      <c r="K333" s="1"/>
      <c r="L333" s="87"/>
      <c r="M333" s="87"/>
      <c r="N333" s="4"/>
      <c r="O333" s="1"/>
      <c r="P333" s="5"/>
      <c r="Q333" s="3"/>
      <c r="R333" s="3"/>
      <c r="S333" s="7"/>
      <c r="T333" s="1"/>
      <c r="U333" s="1"/>
      <c r="V333" s="1"/>
      <c r="W333" s="1"/>
      <c r="X333" s="1"/>
      <c r="Y333" s="1"/>
      <c r="Z333" s="1"/>
    </row>
    <row r="334" spans="1:26" ht="27" customHeight="1">
      <c r="A334" s="1"/>
      <c r="B334" s="1"/>
      <c r="C334" s="2"/>
      <c r="D334" s="87"/>
      <c r="E334" s="87"/>
      <c r="F334" s="87"/>
      <c r="G334" s="1"/>
      <c r="H334" s="1"/>
      <c r="I334" s="1"/>
      <c r="J334" s="1"/>
      <c r="K334" s="1"/>
      <c r="L334" s="87"/>
      <c r="M334" s="87"/>
      <c r="N334" s="4"/>
      <c r="O334" s="1"/>
      <c r="P334" s="5"/>
      <c r="Q334" s="3"/>
      <c r="R334" s="3"/>
      <c r="S334" s="7"/>
      <c r="T334" s="1"/>
      <c r="U334" s="1"/>
      <c r="V334" s="1"/>
      <c r="W334" s="1"/>
      <c r="X334" s="1"/>
      <c r="Y334" s="1"/>
      <c r="Z334" s="1"/>
    </row>
    <row r="335" spans="1:26" ht="27" customHeight="1">
      <c r="A335" s="1"/>
      <c r="B335" s="1"/>
      <c r="C335" s="2"/>
      <c r="D335" s="87"/>
      <c r="E335" s="87"/>
      <c r="F335" s="87"/>
      <c r="G335" s="1"/>
      <c r="H335" s="1"/>
      <c r="I335" s="1"/>
      <c r="J335" s="1"/>
      <c r="K335" s="1"/>
      <c r="L335" s="87"/>
      <c r="M335" s="87"/>
      <c r="N335" s="4"/>
      <c r="O335" s="1"/>
      <c r="P335" s="5"/>
      <c r="Q335" s="3"/>
      <c r="R335" s="3"/>
      <c r="S335" s="7"/>
      <c r="T335" s="1"/>
      <c r="U335" s="1"/>
      <c r="V335" s="1"/>
      <c r="W335" s="1"/>
      <c r="X335" s="1"/>
      <c r="Y335" s="1"/>
      <c r="Z335" s="1"/>
    </row>
    <row r="336" spans="1:26" ht="27" customHeight="1">
      <c r="A336" s="1"/>
      <c r="B336" s="1"/>
      <c r="C336" s="2"/>
      <c r="D336" s="87"/>
      <c r="E336" s="87"/>
      <c r="F336" s="87"/>
      <c r="G336" s="1"/>
      <c r="H336" s="1"/>
      <c r="I336" s="1"/>
      <c r="J336" s="1"/>
      <c r="K336" s="1"/>
      <c r="L336" s="87"/>
      <c r="M336" s="87"/>
      <c r="N336" s="4"/>
      <c r="O336" s="1"/>
      <c r="P336" s="5"/>
      <c r="Q336" s="3"/>
      <c r="R336" s="3"/>
      <c r="S336" s="7"/>
      <c r="T336" s="1"/>
      <c r="U336" s="1"/>
      <c r="V336" s="1"/>
      <c r="W336" s="1"/>
      <c r="X336" s="1"/>
      <c r="Y336" s="1"/>
      <c r="Z336" s="1"/>
    </row>
    <row r="337" spans="1:26" ht="27" customHeight="1">
      <c r="A337" s="1"/>
      <c r="B337" s="1"/>
      <c r="C337" s="2"/>
      <c r="D337" s="87"/>
      <c r="E337" s="87"/>
      <c r="F337" s="87"/>
      <c r="G337" s="1"/>
      <c r="H337" s="1"/>
      <c r="I337" s="1"/>
      <c r="J337" s="1"/>
      <c r="K337" s="1"/>
      <c r="L337" s="87"/>
      <c r="M337" s="87"/>
      <c r="N337" s="4"/>
      <c r="O337" s="1"/>
      <c r="P337" s="5"/>
      <c r="Q337" s="3"/>
      <c r="R337" s="3"/>
      <c r="S337" s="7"/>
      <c r="T337" s="1"/>
      <c r="U337" s="1"/>
      <c r="V337" s="1"/>
      <c r="W337" s="1"/>
      <c r="X337" s="1"/>
      <c r="Y337" s="1"/>
      <c r="Z337" s="1"/>
    </row>
    <row r="338" spans="1:26" ht="27" customHeight="1">
      <c r="A338" s="1"/>
      <c r="B338" s="1"/>
      <c r="C338" s="2"/>
      <c r="D338" s="87"/>
      <c r="E338" s="87"/>
      <c r="F338" s="87"/>
      <c r="G338" s="1"/>
      <c r="H338" s="1"/>
      <c r="I338" s="1"/>
      <c r="J338" s="1"/>
      <c r="K338" s="1"/>
      <c r="L338" s="87"/>
      <c r="M338" s="87"/>
      <c r="N338" s="4"/>
      <c r="O338" s="1"/>
      <c r="P338" s="5"/>
      <c r="Q338" s="3"/>
      <c r="R338" s="3"/>
      <c r="S338" s="7"/>
      <c r="T338" s="1"/>
      <c r="U338" s="1"/>
      <c r="V338" s="1"/>
      <c r="W338" s="1"/>
      <c r="X338" s="1"/>
      <c r="Y338" s="1"/>
      <c r="Z338" s="1"/>
    </row>
    <row r="339" spans="1:26" ht="27" customHeight="1">
      <c r="A339" s="1"/>
      <c r="B339" s="1"/>
      <c r="C339" s="2"/>
      <c r="D339" s="87"/>
      <c r="E339" s="87"/>
      <c r="F339" s="87"/>
      <c r="G339" s="1"/>
      <c r="H339" s="1"/>
      <c r="I339" s="1"/>
      <c r="J339" s="1"/>
      <c r="K339" s="1"/>
      <c r="L339" s="87"/>
      <c r="M339" s="87"/>
      <c r="N339" s="4"/>
      <c r="O339" s="1"/>
      <c r="P339" s="5"/>
      <c r="Q339" s="3"/>
      <c r="R339" s="3"/>
      <c r="S339" s="7"/>
      <c r="T339" s="1"/>
      <c r="U339" s="1"/>
      <c r="V339" s="1"/>
      <c r="W339" s="1"/>
      <c r="X339" s="1"/>
      <c r="Y339" s="1"/>
      <c r="Z339" s="1"/>
    </row>
    <row r="340" spans="1:26" ht="27" customHeight="1">
      <c r="A340" s="1"/>
      <c r="B340" s="1"/>
      <c r="C340" s="2"/>
      <c r="D340" s="87"/>
      <c r="E340" s="87"/>
      <c r="F340" s="87"/>
      <c r="G340" s="1"/>
      <c r="H340" s="1"/>
      <c r="I340" s="1"/>
      <c r="J340" s="1"/>
      <c r="K340" s="1"/>
      <c r="L340" s="87"/>
      <c r="M340" s="87"/>
      <c r="N340" s="4"/>
      <c r="O340" s="1"/>
      <c r="P340" s="5"/>
      <c r="Q340" s="3"/>
      <c r="R340" s="3"/>
      <c r="S340" s="7"/>
      <c r="T340" s="1"/>
      <c r="U340" s="1"/>
      <c r="V340" s="1"/>
      <c r="W340" s="1"/>
      <c r="X340" s="1"/>
      <c r="Y340" s="1"/>
      <c r="Z340" s="1"/>
    </row>
    <row r="341" spans="1:26" ht="27" customHeight="1">
      <c r="A341" s="1"/>
      <c r="B341" s="1"/>
      <c r="C341" s="2"/>
      <c r="D341" s="87"/>
      <c r="E341" s="87"/>
      <c r="F341" s="87"/>
      <c r="G341" s="1"/>
      <c r="H341" s="1"/>
      <c r="I341" s="1"/>
      <c r="J341" s="1"/>
      <c r="K341" s="1"/>
      <c r="L341" s="87"/>
      <c r="M341" s="87"/>
      <c r="N341" s="4"/>
      <c r="O341" s="1"/>
      <c r="P341" s="5"/>
      <c r="Q341" s="3"/>
      <c r="R341" s="3"/>
      <c r="S341" s="7"/>
      <c r="T341" s="1"/>
      <c r="U341" s="1"/>
      <c r="V341" s="1"/>
      <c r="W341" s="1"/>
      <c r="X341" s="1"/>
      <c r="Y341" s="1"/>
      <c r="Z341" s="1"/>
    </row>
    <row r="342" spans="1:26" ht="27" customHeight="1">
      <c r="A342" s="1"/>
      <c r="B342" s="1"/>
      <c r="C342" s="2"/>
      <c r="D342" s="87"/>
      <c r="E342" s="87"/>
      <c r="F342" s="87"/>
      <c r="G342" s="1"/>
      <c r="H342" s="1"/>
      <c r="I342" s="1"/>
      <c r="J342" s="1"/>
      <c r="K342" s="1"/>
      <c r="L342" s="87"/>
      <c r="M342" s="87"/>
      <c r="N342" s="4"/>
      <c r="O342" s="1"/>
      <c r="P342" s="5"/>
      <c r="Q342" s="3"/>
      <c r="R342" s="3"/>
      <c r="S342" s="7"/>
      <c r="T342" s="1"/>
      <c r="U342" s="1"/>
      <c r="V342" s="1"/>
      <c r="W342" s="1"/>
      <c r="X342" s="1"/>
      <c r="Y342" s="1"/>
      <c r="Z342" s="1"/>
    </row>
    <row r="343" spans="1:26" ht="27" customHeight="1">
      <c r="A343" s="1"/>
      <c r="B343" s="1"/>
      <c r="C343" s="2"/>
      <c r="D343" s="87"/>
      <c r="E343" s="87"/>
      <c r="F343" s="87"/>
      <c r="G343" s="1"/>
      <c r="H343" s="1"/>
      <c r="I343" s="1"/>
      <c r="J343" s="1"/>
      <c r="K343" s="1"/>
      <c r="L343" s="87"/>
      <c r="M343" s="87"/>
      <c r="N343" s="4"/>
      <c r="O343" s="1"/>
      <c r="P343" s="5"/>
      <c r="Q343" s="3"/>
      <c r="R343" s="3"/>
      <c r="S343" s="7"/>
      <c r="T343" s="1"/>
      <c r="U343" s="1"/>
      <c r="V343" s="1"/>
      <c r="W343" s="1"/>
      <c r="X343" s="1"/>
      <c r="Y343" s="1"/>
      <c r="Z343" s="1"/>
    </row>
    <row r="344" spans="1:26" ht="27" customHeight="1">
      <c r="A344" s="1"/>
      <c r="B344" s="1"/>
      <c r="C344" s="2"/>
      <c r="D344" s="87"/>
      <c r="E344" s="87"/>
      <c r="F344" s="87"/>
      <c r="G344" s="1"/>
      <c r="H344" s="1"/>
      <c r="I344" s="1"/>
      <c r="J344" s="1"/>
      <c r="K344" s="1"/>
      <c r="L344" s="87"/>
      <c r="M344" s="87"/>
      <c r="N344" s="4"/>
      <c r="O344" s="1"/>
      <c r="P344" s="5"/>
      <c r="Q344" s="3"/>
      <c r="R344" s="3"/>
      <c r="S344" s="7"/>
      <c r="T344" s="1"/>
      <c r="U344" s="1"/>
      <c r="V344" s="1"/>
      <c r="W344" s="1"/>
      <c r="X344" s="1"/>
      <c r="Y344" s="1"/>
      <c r="Z344" s="1"/>
    </row>
    <row r="345" spans="1:26" ht="27" customHeight="1">
      <c r="A345" s="1"/>
      <c r="B345" s="1"/>
      <c r="C345" s="2"/>
      <c r="D345" s="87"/>
      <c r="E345" s="87"/>
      <c r="F345" s="87"/>
      <c r="G345" s="1"/>
      <c r="H345" s="1"/>
      <c r="I345" s="1"/>
      <c r="J345" s="1"/>
      <c r="K345" s="1"/>
      <c r="L345" s="87"/>
      <c r="M345" s="87"/>
      <c r="N345" s="4"/>
      <c r="O345" s="1"/>
      <c r="P345" s="5"/>
      <c r="Q345" s="3"/>
      <c r="R345" s="3"/>
      <c r="S345" s="7"/>
      <c r="T345" s="1"/>
      <c r="U345" s="1"/>
      <c r="V345" s="1"/>
      <c r="W345" s="1"/>
      <c r="X345" s="1"/>
      <c r="Y345" s="1"/>
      <c r="Z345" s="1"/>
    </row>
    <row r="346" spans="1:26" ht="27" customHeight="1">
      <c r="A346" s="1"/>
      <c r="B346" s="1"/>
      <c r="C346" s="2"/>
      <c r="D346" s="87"/>
      <c r="E346" s="87"/>
      <c r="F346" s="87"/>
      <c r="G346" s="1"/>
      <c r="H346" s="1"/>
      <c r="I346" s="1"/>
      <c r="J346" s="1"/>
      <c r="K346" s="1"/>
      <c r="L346" s="87"/>
      <c r="M346" s="87"/>
      <c r="N346" s="4"/>
      <c r="O346" s="1"/>
      <c r="P346" s="5"/>
      <c r="Q346" s="3"/>
      <c r="R346" s="3"/>
      <c r="S346" s="7"/>
      <c r="T346" s="1"/>
      <c r="U346" s="1"/>
      <c r="V346" s="1"/>
      <c r="W346" s="1"/>
      <c r="X346" s="1"/>
      <c r="Y346" s="1"/>
      <c r="Z346" s="1"/>
    </row>
    <row r="347" spans="1:26" ht="27" customHeight="1">
      <c r="A347" s="1"/>
      <c r="B347" s="1"/>
      <c r="C347" s="2"/>
      <c r="D347" s="87"/>
      <c r="E347" s="87"/>
      <c r="F347" s="87"/>
      <c r="G347" s="1"/>
      <c r="H347" s="1"/>
      <c r="I347" s="1"/>
      <c r="J347" s="1"/>
      <c r="K347" s="1"/>
      <c r="L347" s="87"/>
      <c r="M347" s="87"/>
      <c r="N347" s="4"/>
      <c r="O347" s="1"/>
      <c r="P347" s="5"/>
      <c r="Q347" s="3"/>
      <c r="R347" s="3"/>
      <c r="S347" s="7"/>
      <c r="T347" s="1"/>
      <c r="U347" s="1"/>
      <c r="V347" s="1"/>
      <c r="W347" s="1"/>
      <c r="X347" s="1"/>
      <c r="Y347" s="1"/>
      <c r="Z347" s="1"/>
    </row>
    <row r="348" spans="1:26" ht="27" customHeight="1">
      <c r="A348" s="1"/>
      <c r="B348" s="1"/>
      <c r="C348" s="2"/>
      <c r="D348" s="87"/>
      <c r="E348" s="87"/>
      <c r="F348" s="87"/>
      <c r="G348" s="1"/>
      <c r="H348" s="1"/>
      <c r="I348" s="1"/>
      <c r="J348" s="1"/>
      <c r="K348" s="1"/>
      <c r="L348" s="87"/>
      <c r="M348" s="87"/>
      <c r="N348" s="4"/>
      <c r="O348" s="1"/>
      <c r="P348" s="5"/>
      <c r="Q348" s="3"/>
      <c r="R348" s="3"/>
      <c r="S348" s="7"/>
      <c r="T348" s="1"/>
      <c r="U348" s="1"/>
      <c r="V348" s="1"/>
      <c r="W348" s="1"/>
      <c r="X348" s="1"/>
      <c r="Y348" s="1"/>
      <c r="Z348" s="1"/>
    </row>
    <row r="349" spans="1:26" ht="27" customHeight="1">
      <c r="A349" s="1"/>
      <c r="B349" s="1"/>
      <c r="C349" s="2"/>
      <c r="D349" s="87"/>
      <c r="E349" s="87"/>
      <c r="F349" s="87"/>
      <c r="G349" s="1"/>
      <c r="H349" s="1"/>
      <c r="I349" s="1"/>
      <c r="J349" s="1"/>
      <c r="K349" s="1"/>
      <c r="L349" s="87"/>
      <c r="M349" s="87"/>
      <c r="N349" s="4"/>
      <c r="O349" s="1"/>
      <c r="P349" s="5"/>
      <c r="Q349" s="3"/>
      <c r="R349" s="3"/>
      <c r="S349" s="7"/>
      <c r="T349" s="1"/>
      <c r="U349" s="1"/>
      <c r="V349" s="1"/>
      <c r="W349" s="1"/>
      <c r="X349" s="1"/>
      <c r="Y349" s="1"/>
      <c r="Z349" s="1"/>
    </row>
    <row r="350" spans="1:26" ht="27" customHeight="1">
      <c r="A350" s="1"/>
      <c r="B350" s="1"/>
      <c r="C350" s="2"/>
      <c r="D350" s="87"/>
      <c r="E350" s="87"/>
      <c r="F350" s="87"/>
      <c r="G350" s="1"/>
      <c r="H350" s="1"/>
      <c r="I350" s="1"/>
      <c r="J350" s="1"/>
      <c r="K350" s="1"/>
      <c r="L350" s="87"/>
      <c r="M350" s="87"/>
      <c r="N350" s="4"/>
      <c r="O350" s="1"/>
      <c r="P350" s="5"/>
      <c r="Q350" s="3"/>
      <c r="R350" s="3"/>
      <c r="S350" s="7"/>
      <c r="T350" s="1"/>
      <c r="U350" s="1"/>
      <c r="V350" s="1"/>
      <c r="W350" s="1"/>
      <c r="X350" s="1"/>
      <c r="Y350" s="1"/>
      <c r="Z350" s="1"/>
    </row>
    <row r="351" spans="1:26" ht="27" customHeight="1">
      <c r="A351" s="1"/>
      <c r="B351" s="1"/>
      <c r="C351" s="2"/>
      <c r="D351" s="87"/>
      <c r="E351" s="87"/>
      <c r="F351" s="87"/>
      <c r="G351" s="1"/>
      <c r="H351" s="1"/>
      <c r="I351" s="1"/>
      <c r="J351" s="1"/>
      <c r="K351" s="1"/>
      <c r="L351" s="87"/>
      <c r="M351" s="87"/>
      <c r="N351" s="4"/>
      <c r="O351" s="1"/>
      <c r="P351" s="5"/>
      <c r="Q351" s="3"/>
      <c r="R351" s="3"/>
      <c r="S351" s="7"/>
      <c r="T351" s="1"/>
      <c r="U351" s="1"/>
      <c r="V351" s="1"/>
      <c r="W351" s="1"/>
      <c r="X351" s="1"/>
      <c r="Y351" s="1"/>
      <c r="Z351" s="1"/>
    </row>
    <row r="352" spans="1:26" ht="27" customHeight="1">
      <c r="A352" s="1"/>
      <c r="B352" s="1"/>
      <c r="C352" s="2"/>
      <c r="D352" s="87"/>
      <c r="E352" s="87"/>
      <c r="F352" s="87"/>
      <c r="G352" s="1"/>
      <c r="H352" s="1"/>
      <c r="I352" s="1"/>
      <c r="J352" s="1"/>
      <c r="K352" s="1"/>
      <c r="L352" s="87"/>
      <c r="M352" s="87"/>
      <c r="N352" s="4"/>
      <c r="O352" s="1"/>
      <c r="P352" s="5"/>
      <c r="Q352" s="3"/>
      <c r="R352" s="3"/>
      <c r="S352" s="7"/>
      <c r="T352" s="1"/>
      <c r="U352" s="1"/>
      <c r="V352" s="1"/>
      <c r="W352" s="1"/>
      <c r="X352" s="1"/>
      <c r="Y352" s="1"/>
      <c r="Z352" s="1"/>
    </row>
    <row r="353" spans="1:26" ht="27" customHeight="1">
      <c r="A353" s="1"/>
      <c r="B353" s="1"/>
      <c r="C353" s="2"/>
      <c r="D353" s="87"/>
      <c r="E353" s="87"/>
      <c r="F353" s="87"/>
      <c r="G353" s="1"/>
      <c r="H353" s="1"/>
      <c r="I353" s="1"/>
      <c r="J353" s="1"/>
      <c r="K353" s="1"/>
      <c r="L353" s="87"/>
      <c r="M353" s="87"/>
      <c r="N353" s="4"/>
      <c r="O353" s="1"/>
      <c r="P353" s="5"/>
      <c r="Q353" s="3"/>
      <c r="R353" s="3"/>
      <c r="S353" s="7"/>
      <c r="T353" s="1"/>
      <c r="U353" s="1"/>
      <c r="V353" s="1"/>
      <c r="W353" s="1"/>
      <c r="X353" s="1"/>
      <c r="Y353" s="1"/>
      <c r="Z353" s="1"/>
    </row>
    <row r="354" spans="1:26" ht="27" customHeight="1">
      <c r="A354" s="1"/>
      <c r="B354" s="1"/>
      <c r="C354" s="2"/>
      <c r="D354" s="87"/>
      <c r="E354" s="87"/>
      <c r="F354" s="87"/>
      <c r="G354" s="1"/>
      <c r="H354" s="1"/>
      <c r="I354" s="1"/>
      <c r="J354" s="1"/>
      <c r="K354" s="1"/>
      <c r="L354" s="87"/>
      <c r="M354" s="87"/>
      <c r="N354" s="4"/>
      <c r="O354" s="1"/>
      <c r="P354" s="5"/>
      <c r="Q354" s="3"/>
      <c r="R354" s="3"/>
      <c r="S354" s="7"/>
      <c r="T354" s="1"/>
      <c r="U354" s="1"/>
      <c r="V354" s="1"/>
      <c r="W354" s="1"/>
      <c r="X354" s="1"/>
      <c r="Y354" s="1"/>
      <c r="Z354" s="1"/>
    </row>
    <row r="355" spans="1:26" ht="27" customHeight="1">
      <c r="A355" s="1"/>
      <c r="B355" s="1"/>
      <c r="C355" s="2"/>
      <c r="D355" s="87"/>
      <c r="E355" s="87"/>
      <c r="F355" s="87"/>
      <c r="G355" s="1"/>
      <c r="H355" s="1"/>
      <c r="I355" s="1"/>
      <c r="J355" s="1"/>
      <c r="K355" s="1"/>
      <c r="L355" s="87"/>
      <c r="M355" s="87"/>
      <c r="N355" s="4"/>
      <c r="O355" s="1"/>
      <c r="P355" s="5"/>
      <c r="Q355" s="3"/>
      <c r="R355" s="3"/>
      <c r="S355" s="7"/>
      <c r="T355" s="1"/>
      <c r="U355" s="1"/>
      <c r="V355" s="1"/>
      <c r="W355" s="1"/>
      <c r="X355" s="1"/>
      <c r="Y355" s="1"/>
      <c r="Z355" s="1"/>
    </row>
    <row r="356" spans="1:26" ht="27" customHeight="1">
      <c r="A356" s="1"/>
      <c r="B356" s="1"/>
      <c r="C356" s="2"/>
      <c r="D356" s="87"/>
      <c r="E356" s="87"/>
      <c r="F356" s="87"/>
      <c r="G356" s="1"/>
      <c r="H356" s="1"/>
      <c r="I356" s="1"/>
      <c r="J356" s="1"/>
      <c r="K356" s="1"/>
      <c r="L356" s="87"/>
      <c r="M356" s="87"/>
      <c r="N356" s="4"/>
      <c r="O356" s="1"/>
      <c r="P356" s="5"/>
      <c r="Q356" s="3"/>
      <c r="R356" s="3"/>
      <c r="S356" s="7"/>
      <c r="T356" s="1"/>
      <c r="U356" s="1"/>
      <c r="V356" s="1"/>
      <c r="W356" s="1"/>
      <c r="X356" s="1"/>
      <c r="Y356" s="1"/>
      <c r="Z356" s="1"/>
    </row>
    <row r="357" spans="1:26" ht="27" customHeight="1">
      <c r="A357" s="1"/>
      <c r="B357" s="1"/>
      <c r="C357" s="2"/>
      <c r="D357" s="87"/>
      <c r="E357" s="87"/>
      <c r="F357" s="87"/>
      <c r="G357" s="1"/>
      <c r="H357" s="1"/>
      <c r="I357" s="1"/>
      <c r="J357" s="1"/>
      <c r="K357" s="1"/>
      <c r="L357" s="87"/>
      <c r="M357" s="87"/>
      <c r="N357" s="4"/>
      <c r="O357" s="1"/>
      <c r="P357" s="5"/>
      <c r="Q357" s="3"/>
      <c r="R357" s="3"/>
      <c r="S357" s="7"/>
      <c r="T357" s="1"/>
      <c r="U357" s="1"/>
      <c r="V357" s="1"/>
      <c r="W357" s="1"/>
      <c r="X357" s="1"/>
      <c r="Y357" s="1"/>
      <c r="Z357" s="1"/>
    </row>
    <row r="358" spans="1:26" ht="27" customHeight="1">
      <c r="A358" s="1"/>
      <c r="B358" s="1"/>
      <c r="C358" s="2"/>
      <c r="D358" s="87"/>
      <c r="E358" s="87"/>
      <c r="F358" s="87"/>
      <c r="G358" s="1"/>
      <c r="H358" s="1"/>
      <c r="I358" s="1"/>
      <c r="J358" s="1"/>
      <c r="K358" s="1"/>
      <c r="L358" s="87"/>
      <c r="M358" s="87"/>
      <c r="N358" s="4"/>
      <c r="O358" s="1"/>
      <c r="P358" s="5"/>
      <c r="Q358" s="3"/>
      <c r="R358" s="3"/>
      <c r="S358" s="7"/>
      <c r="T358" s="1"/>
      <c r="U358" s="1"/>
      <c r="V358" s="1"/>
      <c r="W358" s="1"/>
      <c r="X358" s="1"/>
      <c r="Y358" s="1"/>
      <c r="Z358" s="1"/>
    </row>
    <row r="359" spans="1:26" ht="27" customHeight="1">
      <c r="A359" s="1"/>
      <c r="B359" s="1"/>
      <c r="C359" s="2"/>
      <c r="D359" s="87"/>
      <c r="E359" s="87"/>
      <c r="F359" s="87"/>
      <c r="G359" s="1"/>
      <c r="H359" s="1"/>
      <c r="I359" s="1"/>
      <c r="J359" s="1"/>
      <c r="K359" s="1"/>
      <c r="L359" s="87"/>
      <c r="M359" s="87"/>
      <c r="N359" s="4"/>
      <c r="O359" s="1"/>
      <c r="P359" s="5"/>
      <c r="Q359" s="3"/>
      <c r="R359" s="3"/>
      <c r="S359" s="7"/>
      <c r="T359" s="1"/>
      <c r="U359" s="1"/>
      <c r="V359" s="1"/>
      <c r="W359" s="1"/>
      <c r="X359" s="1"/>
      <c r="Y359" s="1"/>
      <c r="Z359" s="1"/>
    </row>
    <row r="360" spans="1:26" ht="27" customHeight="1">
      <c r="A360" s="1"/>
      <c r="B360" s="1"/>
      <c r="C360" s="2"/>
      <c r="D360" s="87"/>
      <c r="E360" s="87"/>
      <c r="F360" s="87"/>
      <c r="G360" s="1"/>
      <c r="H360" s="1"/>
      <c r="I360" s="1"/>
      <c r="J360" s="1"/>
      <c r="K360" s="1"/>
      <c r="L360" s="87"/>
      <c r="M360" s="87"/>
      <c r="N360" s="4"/>
      <c r="O360" s="1"/>
      <c r="P360" s="5"/>
      <c r="Q360" s="3"/>
      <c r="R360" s="3"/>
      <c r="S360" s="7"/>
      <c r="T360" s="1"/>
      <c r="U360" s="1"/>
      <c r="V360" s="1"/>
      <c r="W360" s="1"/>
      <c r="X360" s="1"/>
      <c r="Y360" s="1"/>
      <c r="Z360" s="1"/>
    </row>
    <row r="361" spans="1:26" ht="27" customHeight="1">
      <c r="A361" s="1"/>
      <c r="B361" s="1"/>
      <c r="C361" s="2"/>
      <c r="D361" s="87"/>
      <c r="E361" s="87"/>
      <c r="F361" s="87"/>
      <c r="G361" s="1"/>
      <c r="H361" s="1"/>
      <c r="I361" s="1"/>
      <c r="J361" s="1"/>
      <c r="K361" s="1"/>
      <c r="L361" s="87"/>
      <c r="M361" s="87"/>
      <c r="N361" s="4"/>
      <c r="O361" s="1"/>
      <c r="P361" s="5"/>
      <c r="Q361" s="3"/>
      <c r="R361" s="3"/>
      <c r="S361" s="7"/>
      <c r="T361" s="1"/>
      <c r="U361" s="1"/>
      <c r="V361" s="1"/>
      <c r="W361" s="1"/>
      <c r="X361" s="1"/>
      <c r="Y361" s="1"/>
      <c r="Z361" s="1"/>
    </row>
    <row r="362" spans="1:26" ht="27" customHeight="1">
      <c r="A362" s="1"/>
      <c r="B362" s="1"/>
      <c r="C362" s="2"/>
      <c r="D362" s="87"/>
      <c r="E362" s="87"/>
      <c r="F362" s="87"/>
      <c r="G362" s="1"/>
      <c r="H362" s="1"/>
      <c r="I362" s="1"/>
      <c r="J362" s="1"/>
      <c r="K362" s="1"/>
      <c r="L362" s="87"/>
      <c r="M362" s="87"/>
      <c r="N362" s="4"/>
      <c r="O362" s="1"/>
      <c r="P362" s="5"/>
      <c r="Q362" s="3"/>
      <c r="R362" s="3"/>
      <c r="S362" s="7"/>
      <c r="T362" s="1"/>
      <c r="U362" s="1"/>
      <c r="V362" s="1"/>
      <c r="W362" s="1"/>
      <c r="X362" s="1"/>
      <c r="Y362" s="1"/>
      <c r="Z362" s="1"/>
    </row>
    <row r="363" spans="1:26" ht="27" customHeight="1">
      <c r="A363" s="1"/>
      <c r="B363" s="1"/>
      <c r="C363" s="2"/>
      <c r="D363" s="87"/>
      <c r="E363" s="87"/>
      <c r="F363" s="87"/>
      <c r="G363" s="1"/>
      <c r="H363" s="1"/>
      <c r="I363" s="1"/>
      <c r="J363" s="1"/>
      <c r="K363" s="1"/>
      <c r="L363" s="87"/>
      <c r="M363" s="87"/>
      <c r="N363" s="4"/>
      <c r="O363" s="1"/>
      <c r="P363" s="5"/>
      <c r="Q363" s="3"/>
      <c r="R363" s="3"/>
      <c r="S363" s="7"/>
      <c r="T363" s="1"/>
      <c r="U363" s="1"/>
      <c r="V363" s="1"/>
      <c r="W363" s="1"/>
      <c r="X363" s="1"/>
      <c r="Y363" s="1"/>
      <c r="Z363" s="1"/>
    </row>
    <row r="364" spans="1:26" ht="27" customHeight="1">
      <c r="A364" s="1"/>
      <c r="B364" s="1"/>
      <c r="C364" s="2"/>
      <c r="D364" s="87"/>
      <c r="E364" s="87"/>
      <c r="F364" s="87"/>
      <c r="G364" s="1"/>
      <c r="H364" s="1"/>
      <c r="I364" s="1"/>
      <c r="J364" s="1"/>
      <c r="K364" s="1"/>
      <c r="L364" s="87"/>
      <c r="M364" s="87"/>
      <c r="N364" s="4"/>
      <c r="O364" s="1"/>
      <c r="P364" s="5"/>
      <c r="Q364" s="3"/>
      <c r="R364" s="3"/>
      <c r="S364" s="7"/>
      <c r="T364" s="1"/>
      <c r="U364" s="1"/>
      <c r="V364" s="1"/>
      <c r="W364" s="1"/>
      <c r="X364" s="1"/>
      <c r="Y364" s="1"/>
      <c r="Z364" s="1"/>
    </row>
    <row r="365" spans="1:26" ht="27" customHeight="1">
      <c r="A365" s="1"/>
      <c r="B365" s="1"/>
      <c r="C365" s="2"/>
      <c r="D365" s="87"/>
      <c r="E365" s="87"/>
      <c r="F365" s="87"/>
      <c r="G365" s="1"/>
      <c r="H365" s="1"/>
      <c r="I365" s="1"/>
      <c r="J365" s="1"/>
      <c r="K365" s="1"/>
      <c r="L365" s="87"/>
      <c r="M365" s="87"/>
      <c r="N365" s="4"/>
      <c r="O365" s="1"/>
      <c r="P365" s="5"/>
      <c r="Q365" s="3"/>
      <c r="R365" s="3"/>
      <c r="S365" s="7"/>
      <c r="T365" s="1"/>
      <c r="U365" s="1"/>
      <c r="V365" s="1"/>
      <c r="W365" s="1"/>
      <c r="X365" s="1"/>
      <c r="Y365" s="1"/>
      <c r="Z365" s="1"/>
    </row>
    <row r="366" spans="1:26" ht="27" customHeight="1">
      <c r="A366" s="1"/>
      <c r="B366" s="1"/>
      <c r="C366" s="2"/>
      <c r="D366" s="87"/>
      <c r="E366" s="87"/>
      <c r="F366" s="87"/>
      <c r="G366" s="1"/>
      <c r="H366" s="1"/>
      <c r="I366" s="1"/>
      <c r="J366" s="1"/>
      <c r="K366" s="1"/>
      <c r="L366" s="87"/>
      <c r="M366" s="87"/>
      <c r="N366" s="4"/>
      <c r="O366" s="1"/>
      <c r="P366" s="5"/>
      <c r="Q366" s="3"/>
      <c r="R366" s="3"/>
      <c r="S366" s="7"/>
      <c r="T366" s="1"/>
      <c r="U366" s="1"/>
      <c r="V366" s="1"/>
      <c r="W366" s="1"/>
      <c r="X366" s="1"/>
      <c r="Y366" s="1"/>
      <c r="Z366" s="1"/>
    </row>
    <row r="367" spans="1:26" ht="27" customHeight="1">
      <c r="A367" s="1"/>
      <c r="B367" s="1"/>
      <c r="C367" s="2"/>
      <c r="D367" s="87"/>
      <c r="E367" s="87"/>
      <c r="F367" s="87"/>
      <c r="G367" s="1"/>
      <c r="H367" s="1"/>
      <c r="I367" s="1"/>
      <c r="J367" s="1"/>
      <c r="K367" s="1"/>
      <c r="L367" s="87"/>
      <c r="M367" s="87"/>
      <c r="N367" s="4"/>
      <c r="O367" s="1"/>
      <c r="P367" s="5"/>
      <c r="Q367" s="3"/>
      <c r="R367" s="3"/>
      <c r="S367" s="7"/>
      <c r="T367" s="1"/>
      <c r="U367" s="1"/>
      <c r="V367" s="1"/>
      <c r="W367" s="1"/>
      <c r="X367" s="1"/>
      <c r="Y367" s="1"/>
      <c r="Z367" s="1"/>
    </row>
    <row r="368" spans="1:26" ht="27" customHeight="1">
      <c r="A368" s="1"/>
      <c r="B368" s="1"/>
      <c r="C368" s="2"/>
      <c r="D368" s="87"/>
      <c r="E368" s="87"/>
      <c r="F368" s="87"/>
      <c r="G368" s="1"/>
      <c r="H368" s="1"/>
      <c r="I368" s="1"/>
      <c r="J368" s="1"/>
      <c r="K368" s="1"/>
      <c r="L368" s="87"/>
      <c r="M368" s="87"/>
      <c r="N368" s="4"/>
      <c r="O368" s="1"/>
      <c r="P368" s="5"/>
      <c r="Q368" s="3"/>
      <c r="R368" s="3"/>
      <c r="S368" s="7"/>
      <c r="T368" s="1"/>
      <c r="U368" s="1"/>
      <c r="V368" s="1"/>
      <c r="W368" s="1"/>
      <c r="X368" s="1"/>
      <c r="Y368" s="1"/>
      <c r="Z368" s="1"/>
    </row>
    <row r="369" spans="1:26" ht="27" customHeight="1">
      <c r="A369" s="1"/>
      <c r="B369" s="1"/>
      <c r="C369" s="2"/>
      <c r="D369" s="87"/>
      <c r="E369" s="87"/>
      <c r="F369" s="87"/>
      <c r="G369" s="1"/>
      <c r="H369" s="1"/>
      <c r="I369" s="1"/>
      <c r="J369" s="1"/>
      <c r="K369" s="1"/>
      <c r="L369" s="87"/>
      <c r="M369" s="87"/>
      <c r="N369" s="4"/>
      <c r="O369" s="1"/>
      <c r="P369" s="5"/>
      <c r="Q369" s="3"/>
      <c r="R369" s="3"/>
      <c r="S369" s="7"/>
      <c r="T369" s="1"/>
      <c r="U369" s="1"/>
      <c r="V369" s="1"/>
      <c r="W369" s="1"/>
      <c r="X369" s="1"/>
      <c r="Y369" s="1"/>
      <c r="Z369" s="1"/>
    </row>
    <row r="370" spans="1:26" ht="27" customHeight="1">
      <c r="A370" s="1"/>
      <c r="B370" s="1"/>
      <c r="C370" s="2"/>
      <c r="D370" s="87"/>
      <c r="E370" s="87"/>
      <c r="F370" s="87"/>
      <c r="G370" s="1"/>
      <c r="H370" s="1"/>
      <c r="I370" s="1"/>
      <c r="J370" s="1"/>
      <c r="K370" s="1"/>
      <c r="L370" s="87"/>
      <c r="M370" s="87"/>
      <c r="N370" s="4"/>
      <c r="O370" s="1"/>
      <c r="P370" s="5"/>
      <c r="Q370" s="3"/>
      <c r="R370" s="3"/>
      <c r="S370" s="7"/>
      <c r="T370" s="1"/>
      <c r="U370" s="1"/>
      <c r="V370" s="1"/>
      <c r="W370" s="1"/>
      <c r="X370" s="1"/>
      <c r="Y370" s="1"/>
      <c r="Z370" s="1"/>
    </row>
    <row r="371" spans="1:26" ht="27" customHeight="1">
      <c r="A371" s="1"/>
      <c r="B371" s="1"/>
      <c r="C371" s="2"/>
      <c r="D371" s="87"/>
      <c r="E371" s="87"/>
      <c r="F371" s="87"/>
      <c r="G371" s="1"/>
      <c r="H371" s="1"/>
      <c r="I371" s="1"/>
      <c r="J371" s="1"/>
      <c r="K371" s="1"/>
      <c r="L371" s="87"/>
      <c r="M371" s="87"/>
      <c r="N371" s="4"/>
      <c r="O371" s="1"/>
      <c r="P371" s="5"/>
      <c r="Q371" s="3"/>
      <c r="R371" s="3"/>
      <c r="S371" s="7"/>
      <c r="T371" s="1"/>
      <c r="U371" s="1"/>
      <c r="V371" s="1"/>
      <c r="W371" s="1"/>
      <c r="X371" s="1"/>
      <c r="Y371" s="1"/>
      <c r="Z371" s="1"/>
    </row>
    <row r="372" spans="1:26" ht="27" customHeight="1">
      <c r="A372" s="1"/>
      <c r="B372" s="1"/>
      <c r="C372" s="2"/>
      <c r="D372" s="87"/>
      <c r="E372" s="87"/>
      <c r="F372" s="87"/>
      <c r="G372" s="1"/>
      <c r="H372" s="1"/>
      <c r="I372" s="1"/>
      <c r="J372" s="1"/>
      <c r="K372" s="1"/>
      <c r="L372" s="87"/>
      <c r="M372" s="87"/>
      <c r="N372" s="4"/>
      <c r="O372" s="1"/>
      <c r="P372" s="5"/>
      <c r="Q372" s="3"/>
      <c r="R372" s="3"/>
      <c r="S372" s="7"/>
      <c r="T372" s="1"/>
      <c r="U372" s="1"/>
      <c r="V372" s="1"/>
      <c r="W372" s="1"/>
      <c r="X372" s="1"/>
      <c r="Y372" s="1"/>
      <c r="Z372" s="1"/>
    </row>
    <row r="373" spans="1:26" ht="27" customHeight="1">
      <c r="A373" s="1"/>
      <c r="B373" s="1"/>
      <c r="C373" s="2"/>
      <c r="D373" s="87"/>
      <c r="E373" s="87"/>
      <c r="F373" s="87"/>
      <c r="G373" s="1"/>
      <c r="H373" s="1"/>
      <c r="I373" s="1"/>
      <c r="J373" s="1"/>
      <c r="K373" s="1"/>
      <c r="L373" s="87"/>
      <c r="M373" s="87"/>
      <c r="N373" s="4"/>
      <c r="O373" s="1"/>
      <c r="P373" s="5"/>
      <c r="Q373" s="3"/>
      <c r="R373" s="3"/>
      <c r="S373" s="7"/>
      <c r="T373" s="1"/>
      <c r="U373" s="1"/>
      <c r="V373" s="1"/>
      <c r="W373" s="1"/>
      <c r="X373" s="1"/>
      <c r="Y373" s="1"/>
      <c r="Z373" s="1"/>
    </row>
    <row r="374" spans="1:26" ht="27" customHeight="1">
      <c r="A374" s="1"/>
      <c r="B374" s="1"/>
      <c r="C374" s="2"/>
      <c r="D374" s="87"/>
      <c r="E374" s="87"/>
      <c r="F374" s="87"/>
      <c r="G374" s="1"/>
      <c r="H374" s="1"/>
      <c r="I374" s="1"/>
      <c r="J374" s="1"/>
      <c r="K374" s="1"/>
      <c r="L374" s="87"/>
      <c r="M374" s="87"/>
      <c r="N374" s="4"/>
      <c r="O374" s="1"/>
      <c r="P374" s="5"/>
      <c r="Q374" s="3"/>
      <c r="R374" s="3"/>
      <c r="S374" s="7"/>
      <c r="T374" s="1"/>
      <c r="U374" s="1"/>
      <c r="V374" s="1"/>
      <c r="W374" s="1"/>
      <c r="X374" s="1"/>
      <c r="Y374" s="1"/>
      <c r="Z374" s="1"/>
    </row>
    <row r="375" spans="1:26" ht="27" customHeight="1">
      <c r="A375" s="1"/>
      <c r="B375" s="1"/>
      <c r="C375" s="2"/>
      <c r="D375" s="87"/>
      <c r="E375" s="87"/>
      <c r="F375" s="87"/>
      <c r="G375" s="1"/>
      <c r="H375" s="1"/>
      <c r="I375" s="1"/>
      <c r="J375" s="1"/>
      <c r="K375" s="1"/>
      <c r="L375" s="87"/>
      <c r="M375" s="87"/>
      <c r="N375" s="4"/>
      <c r="O375" s="1"/>
      <c r="P375" s="5"/>
      <c r="Q375" s="3"/>
      <c r="R375" s="3"/>
      <c r="S375" s="7"/>
      <c r="T375" s="1"/>
      <c r="U375" s="1"/>
      <c r="V375" s="1"/>
      <c r="W375" s="1"/>
      <c r="X375" s="1"/>
      <c r="Y375" s="1"/>
      <c r="Z375" s="1"/>
    </row>
    <row r="376" spans="1:26" ht="27" customHeight="1">
      <c r="A376" s="1"/>
      <c r="B376" s="1"/>
      <c r="C376" s="2"/>
      <c r="D376" s="87"/>
      <c r="E376" s="87"/>
      <c r="F376" s="87"/>
      <c r="G376" s="1"/>
      <c r="H376" s="1"/>
      <c r="I376" s="1"/>
      <c r="J376" s="1"/>
      <c r="K376" s="1"/>
      <c r="L376" s="87"/>
      <c r="M376" s="87"/>
      <c r="N376" s="4"/>
      <c r="O376" s="1"/>
      <c r="P376" s="5"/>
      <c r="Q376" s="3"/>
      <c r="R376" s="3"/>
      <c r="S376" s="7"/>
      <c r="T376" s="1"/>
      <c r="U376" s="1"/>
      <c r="V376" s="1"/>
      <c r="W376" s="1"/>
      <c r="X376" s="1"/>
      <c r="Y376" s="1"/>
      <c r="Z376" s="1"/>
    </row>
    <row r="377" spans="1:26" ht="27" customHeight="1">
      <c r="A377" s="1"/>
      <c r="B377" s="1"/>
      <c r="C377" s="2"/>
      <c r="D377" s="87"/>
      <c r="E377" s="87"/>
      <c r="F377" s="87"/>
      <c r="G377" s="1"/>
      <c r="H377" s="1"/>
      <c r="I377" s="1"/>
      <c r="J377" s="1"/>
      <c r="K377" s="1"/>
      <c r="L377" s="87"/>
      <c r="M377" s="87"/>
      <c r="N377" s="4"/>
      <c r="O377" s="1"/>
      <c r="P377" s="5"/>
      <c r="Q377" s="3"/>
      <c r="R377" s="3"/>
      <c r="S377" s="7"/>
      <c r="T377" s="1"/>
      <c r="U377" s="1"/>
      <c r="V377" s="1"/>
      <c r="W377" s="1"/>
      <c r="X377" s="1"/>
      <c r="Y377" s="1"/>
      <c r="Z377" s="1"/>
    </row>
    <row r="378" spans="1:26" ht="27" customHeight="1">
      <c r="A378" s="1"/>
      <c r="B378" s="1"/>
      <c r="C378" s="2"/>
      <c r="D378" s="87"/>
      <c r="E378" s="87"/>
      <c r="F378" s="87"/>
      <c r="G378" s="1"/>
      <c r="H378" s="1"/>
      <c r="I378" s="1"/>
      <c r="J378" s="1"/>
      <c r="K378" s="1"/>
      <c r="L378" s="87"/>
      <c r="M378" s="87"/>
      <c r="N378" s="4"/>
      <c r="O378" s="1"/>
      <c r="P378" s="5"/>
      <c r="Q378" s="3"/>
      <c r="R378" s="3"/>
      <c r="S378" s="7"/>
      <c r="T378" s="1"/>
      <c r="U378" s="1"/>
      <c r="V378" s="1"/>
      <c r="W378" s="1"/>
      <c r="X378" s="1"/>
      <c r="Y378" s="1"/>
      <c r="Z378" s="1"/>
    </row>
    <row r="379" spans="1:26" ht="27" customHeight="1">
      <c r="A379" s="1"/>
      <c r="B379" s="1"/>
      <c r="C379" s="2"/>
      <c r="D379" s="87"/>
      <c r="E379" s="87"/>
      <c r="F379" s="87"/>
      <c r="G379" s="1"/>
      <c r="H379" s="1"/>
      <c r="I379" s="1"/>
      <c r="J379" s="1"/>
      <c r="K379" s="1"/>
      <c r="L379" s="87"/>
      <c r="M379" s="87"/>
      <c r="N379" s="4"/>
      <c r="O379" s="1"/>
      <c r="P379" s="5"/>
      <c r="Q379" s="3"/>
      <c r="R379" s="3"/>
      <c r="S379" s="7"/>
      <c r="T379" s="1"/>
      <c r="U379" s="1"/>
      <c r="V379" s="1"/>
      <c r="W379" s="1"/>
      <c r="X379" s="1"/>
      <c r="Y379" s="1"/>
      <c r="Z379" s="1"/>
    </row>
    <row r="380" spans="1:26" ht="27" customHeight="1">
      <c r="A380" s="1"/>
      <c r="B380" s="1"/>
      <c r="C380" s="2"/>
      <c r="D380" s="87"/>
      <c r="E380" s="87"/>
      <c r="F380" s="87"/>
      <c r="G380" s="1"/>
      <c r="H380" s="1"/>
      <c r="I380" s="1"/>
      <c r="J380" s="1"/>
      <c r="K380" s="1"/>
      <c r="L380" s="87"/>
      <c r="M380" s="87"/>
      <c r="N380" s="4"/>
      <c r="O380" s="1"/>
      <c r="P380" s="5"/>
      <c r="Q380" s="3"/>
      <c r="R380" s="3"/>
      <c r="S380" s="7"/>
      <c r="T380" s="1"/>
      <c r="U380" s="1"/>
      <c r="V380" s="1"/>
      <c r="W380" s="1"/>
      <c r="X380" s="1"/>
      <c r="Y380" s="1"/>
      <c r="Z380" s="1"/>
    </row>
    <row r="381" spans="1:26" ht="27" customHeight="1">
      <c r="A381" s="1"/>
      <c r="B381" s="1"/>
      <c r="C381" s="2"/>
      <c r="D381" s="87"/>
      <c r="E381" s="87"/>
      <c r="F381" s="87"/>
      <c r="G381" s="1"/>
      <c r="H381" s="1"/>
      <c r="I381" s="1"/>
      <c r="J381" s="1"/>
      <c r="K381" s="1"/>
      <c r="L381" s="87"/>
      <c r="M381" s="87"/>
      <c r="N381" s="4"/>
      <c r="O381" s="1"/>
      <c r="P381" s="5"/>
      <c r="Q381" s="3"/>
      <c r="R381" s="3"/>
      <c r="S381" s="7"/>
      <c r="T381" s="1"/>
      <c r="U381" s="1"/>
      <c r="V381" s="1"/>
      <c r="W381" s="1"/>
      <c r="X381" s="1"/>
      <c r="Y381" s="1"/>
      <c r="Z381" s="1"/>
    </row>
    <row r="382" spans="1:26" ht="27" customHeight="1">
      <c r="A382" s="1"/>
      <c r="B382" s="1"/>
      <c r="C382" s="2"/>
      <c r="D382" s="87"/>
      <c r="E382" s="87"/>
      <c r="F382" s="87"/>
      <c r="G382" s="1"/>
      <c r="H382" s="1"/>
      <c r="I382" s="1"/>
      <c r="J382" s="1"/>
      <c r="K382" s="1"/>
      <c r="L382" s="87"/>
      <c r="M382" s="87"/>
      <c r="N382" s="4"/>
      <c r="O382" s="1"/>
      <c r="P382" s="5"/>
      <c r="Q382" s="3"/>
      <c r="R382" s="3"/>
      <c r="S382" s="7"/>
      <c r="T382" s="1"/>
      <c r="U382" s="1"/>
      <c r="V382" s="1"/>
      <c r="W382" s="1"/>
      <c r="X382" s="1"/>
      <c r="Y382" s="1"/>
      <c r="Z382" s="1"/>
    </row>
    <row r="383" spans="1:26" ht="27" customHeight="1">
      <c r="A383" s="1"/>
      <c r="B383" s="1"/>
      <c r="C383" s="2"/>
      <c r="D383" s="87"/>
      <c r="E383" s="87"/>
      <c r="F383" s="87"/>
      <c r="G383" s="1"/>
      <c r="H383" s="1"/>
      <c r="I383" s="1"/>
      <c r="J383" s="1"/>
      <c r="K383" s="1"/>
      <c r="L383" s="87"/>
      <c r="M383" s="87"/>
      <c r="N383" s="4"/>
      <c r="O383" s="1"/>
      <c r="P383" s="5"/>
      <c r="Q383" s="3"/>
      <c r="R383" s="3"/>
      <c r="S383" s="7"/>
      <c r="T383" s="1"/>
      <c r="U383" s="1"/>
      <c r="V383" s="1"/>
      <c r="W383" s="1"/>
      <c r="X383" s="1"/>
      <c r="Y383" s="1"/>
      <c r="Z383" s="1"/>
    </row>
    <row r="384" spans="1:26" ht="27" customHeight="1">
      <c r="A384" s="1"/>
      <c r="B384" s="1"/>
      <c r="C384" s="2"/>
      <c r="D384" s="87"/>
      <c r="E384" s="87"/>
      <c r="F384" s="87"/>
      <c r="G384" s="1"/>
      <c r="H384" s="1"/>
      <c r="I384" s="1"/>
      <c r="J384" s="1"/>
      <c r="K384" s="1"/>
      <c r="L384" s="87"/>
      <c r="M384" s="87"/>
      <c r="N384" s="4"/>
      <c r="O384" s="1"/>
      <c r="P384" s="5"/>
      <c r="Q384" s="3"/>
      <c r="R384" s="3"/>
      <c r="S384" s="7"/>
      <c r="T384" s="1"/>
      <c r="U384" s="1"/>
      <c r="V384" s="1"/>
      <c r="W384" s="1"/>
      <c r="X384" s="1"/>
      <c r="Y384" s="1"/>
      <c r="Z384" s="1"/>
    </row>
    <row r="385" spans="1:26" ht="27" customHeight="1">
      <c r="A385" s="1"/>
      <c r="B385" s="1"/>
      <c r="C385" s="2"/>
      <c r="D385" s="87"/>
      <c r="E385" s="87"/>
      <c r="F385" s="87"/>
      <c r="G385" s="1"/>
      <c r="H385" s="1"/>
      <c r="I385" s="1"/>
      <c r="J385" s="1"/>
      <c r="K385" s="1"/>
      <c r="L385" s="87"/>
      <c r="M385" s="87"/>
      <c r="N385" s="4"/>
      <c r="O385" s="1"/>
      <c r="P385" s="5"/>
      <c r="Q385" s="3"/>
      <c r="R385" s="3"/>
      <c r="S385" s="7"/>
      <c r="T385" s="1"/>
      <c r="U385" s="1"/>
      <c r="V385" s="1"/>
      <c r="W385" s="1"/>
      <c r="X385" s="1"/>
      <c r="Y385" s="1"/>
      <c r="Z385" s="1"/>
    </row>
    <row r="386" spans="1:26" ht="27" customHeight="1">
      <c r="A386" s="1"/>
      <c r="B386" s="1"/>
      <c r="C386" s="2"/>
      <c r="D386" s="87"/>
      <c r="E386" s="87"/>
      <c r="F386" s="87"/>
      <c r="G386" s="1"/>
      <c r="H386" s="1"/>
      <c r="I386" s="1"/>
      <c r="J386" s="1"/>
      <c r="K386" s="1"/>
      <c r="L386" s="87"/>
      <c r="M386" s="87"/>
      <c r="N386" s="4"/>
      <c r="O386" s="1"/>
      <c r="P386" s="5"/>
      <c r="Q386" s="3"/>
      <c r="R386" s="3"/>
      <c r="S386" s="7"/>
      <c r="T386" s="1"/>
      <c r="U386" s="1"/>
      <c r="V386" s="1"/>
      <c r="W386" s="1"/>
      <c r="X386" s="1"/>
      <c r="Y386" s="1"/>
      <c r="Z386" s="1"/>
    </row>
    <row r="387" spans="1:26" ht="27" customHeight="1">
      <c r="A387" s="1"/>
      <c r="B387" s="1"/>
      <c r="C387" s="2"/>
      <c r="D387" s="87"/>
      <c r="E387" s="87"/>
      <c r="F387" s="87"/>
      <c r="G387" s="1"/>
      <c r="H387" s="1"/>
      <c r="I387" s="1"/>
      <c r="J387" s="1"/>
      <c r="K387" s="1"/>
      <c r="L387" s="87"/>
      <c r="M387" s="87"/>
      <c r="N387" s="4"/>
      <c r="O387" s="1"/>
      <c r="P387" s="5"/>
      <c r="Q387" s="3"/>
      <c r="R387" s="3"/>
      <c r="S387" s="7"/>
      <c r="T387" s="1"/>
      <c r="U387" s="1"/>
      <c r="V387" s="1"/>
      <c r="W387" s="1"/>
      <c r="X387" s="1"/>
      <c r="Y387" s="1"/>
      <c r="Z387" s="1"/>
    </row>
    <row r="388" spans="1:26" ht="27" customHeight="1">
      <c r="A388" s="1"/>
      <c r="B388" s="1"/>
      <c r="C388" s="2"/>
      <c r="D388" s="87"/>
      <c r="E388" s="87"/>
      <c r="F388" s="87"/>
      <c r="G388" s="1"/>
      <c r="H388" s="1"/>
      <c r="I388" s="1"/>
      <c r="J388" s="1"/>
      <c r="K388" s="1"/>
      <c r="L388" s="87"/>
      <c r="M388" s="87"/>
      <c r="N388" s="4"/>
      <c r="O388" s="1"/>
      <c r="P388" s="5"/>
      <c r="Q388" s="3"/>
      <c r="R388" s="3"/>
      <c r="S388" s="7"/>
      <c r="T388" s="1"/>
      <c r="U388" s="1"/>
      <c r="V388" s="1"/>
      <c r="W388" s="1"/>
      <c r="X388" s="1"/>
      <c r="Y388" s="1"/>
      <c r="Z388" s="1"/>
    </row>
    <row r="389" spans="1:26" ht="27" customHeight="1">
      <c r="A389" s="1"/>
      <c r="B389" s="1"/>
      <c r="C389" s="2"/>
      <c r="D389" s="87"/>
      <c r="E389" s="87"/>
      <c r="F389" s="87"/>
      <c r="G389" s="1"/>
      <c r="H389" s="1"/>
      <c r="I389" s="1"/>
      <c r="J389" s="1"/>
      <c r="K389" s="1"/>
      <c r="L389" s="87"/>
      <c r="M389" s="87"/>
      <c r="N389" s="4"/>
      <c r="O389" s="1"/>
      <c r="P389" s="5"/>
      <c r="Q389" s="3"/>
      <c r="R389" s="3"/>
      <c r="S389" s="7"/>
      <c r="T389" s="1"/>
      <c r="U389" s="1"/>
      <c r="V389" s="1"/>
      <c r="W389" s="1"/>
      <c r="X389" s="1"/>
      <c r="Y389" s="1"/>
      <c r="Z389" s="1"/>
    </row>
    <row r="390" spans="1:26" ht="27" customHeight="1">
      <c r="A390" s="1"/>
      <c r="B390" s="1"/>
      <c r="C390" s="2"/>
      <c r="D390" s="87"/>
      <c r="E390" s="87"/>
      <c r="F390" s="87"/>
      <c r="G390" s="1"/>
      <c r="H390" s="1"/>
      <c r="I390" s="1"/>
      <c r="J390" s="1"/>
      <c r="K390" s="1"/>
      <c r="L390" s="87"/>
      <c r="M390" s="87"/>
      <c r="N390" s="4"/>
      <c r="O390" s="1"/>
      <c r="P390" s="5"/>
      <c r="Q390" s="3"/>
      <c r="R390" s="3"/>
      <c r="S390" s="7"/>
      <c r="T390" s="1"/>
      <c r="U390" s="1"/>
      <c r="V390" s="1"/>
      <c r="W390" s="1"/>
      <c r="X390" s="1"/>
      <c r="Y390" s="1"/>
      <c r="Z390" s="1"/>
    </row>
    <row r="391" spans="1:26" ht="27" customHeight="1">
      <c r="A391" s="1"/>
      <c r="B391" s="1"/>
      <c r="C391" s="2"/>
      <c r="D391" s="87"/>
      <c r="E391" s="87"/>
      <c r="F391" s="87"/>
      <c r="G391" s="1"/>
      <c r="H391" s="1"/>
      <c r="I391" s="1"/>
      <c r="J391" s="1"/>
      <c r="K391" s="1"/>
      <c r="L391" s="87"/>
      <c r="M391" s="87"/>
      <c r="N391" s="4"/>
      <c r="O391" s="1"/>
      <c r="P391" s="5"/>
      <c r="Q391" s="3"/>
      <c r="R391" s="3"/>
      <c r="S391" s="7"/>
      <c r="T391" s="1"/>
      <c r="U391" s="1"/>
      <c r="V391" s="1"/>
      <c r="W391" s="1"/>
      <c r="X391" s="1"/>
      <c r="Y391" s="1"/>
      <c r="Z391" s="1"/>
    </row>
    <row r="392" spans="1:26" ht="27" customHeight="1">
      <c r="A392" s="1"/>
      <c r="B392" s="1"/>
      <c r="C392" s="2"/>
      <c r="D392" s="87"/>
      <c r="E392" s="87"/>
      <c r="F392" s="87"/>
      <c r="G392" s="1"/>
      <c r="H392" s="1"/>
      <c r="I392" s="1"/>
      <c r="J392" s="1"/>
      <c r="K392" s="1"/>
      <c r="L392" s="87"/>
      <c r="M392" s="87"/>
      <c r="N392" s="4"/>
      <c r="O392" s="1"/>
      <c r="P392" s="5"/>
      <c r="Q392" s="3"/>
      <c r="R392" s="3"/>
      <c r="S392" s="7"/>
      <c r="T392" s="1"/>
      <c r="U392" s="1"/>
      <c r="V392" s="1"/>
      <c r="W392" s="1"/>
      <c r="X392" s="1"/>
      <c r="Y392" s="1"/>
      <c r="Z392" s="1"/>
    </row>
    <row r="393" spans="1:26" ht="27" customHeight="1">
      <c r="A393" s="1"/>
      <c r="B393" s="1"/>
      <c r="C393" s="2"/>
      <c r="D393" s="87"/>
      <c r="E393" s="87"/>
      <c r="F393" s="87"/>
      <c r="G393" s="1"/>
      <c r="H393" s="1"/>
      <c r="I393" s="1"/>
      <c r="J393" s="1"/>
      <c r="K393" s="1"/>
      <c r="L393" s="87"/>
      <c r="M393" s="87"/>
      <c r="N393" s="4"/>
      <c r="O393" s="1"/>
      <c r="P393" s="5"/>
      <c r="Q393" s="3"/>
      <c r="R393" s="3"/>
      <c r="S393" s="7"/>
      <c r="T393" s="1"/>
      <c r="U393" s="1"/>
      <c r="V393" s="1"/>
      <c r="W393" s="1"/>
      <c r="X393" s="1"/>
      <c r="Y393" s="1"/>
      <c r="Z393" s="1"/>
    </row>
    <row r="394" spans="1:26" ht="27" customHeight="1">
      <c r="A394" s="1"/>
      <c r="B394" s="1"/>
      <c r="C394" s="2"/>
      <c r="D394" s="87"/>
      <c r="E394" s="87"/>
      <c r="F394" s="87"/>
      <c r="G394" s="1"/>
      <c r="H394" s="1"/>
      <c r="I394" s="1"/>
      <c r="J394" s="1"/>
      <c r="K394" s="1"/>
      <c r="L394" s="87"/>
      <c r="M394" s="87"/>
      <c r="N394" s="4"/>
      <c r="O394" s="1"/>
      <c r="P394" s="5"/>
      <c r="Q394" s="3"/>
      <c r="R394" s="3"/>
      <c r="S394" s="7"/>
      <c r="T394" s="1"/>
      <c r="U394" s="1"/>
      <c r="V394" s="1"/>
      <c r="W394" s="1"/>
      <c r="X394" s="1"/>
      <c r="Y394" s="1"/>
      <c r="Z394" s="1"/>
    </row>
    <row r="395" spans="1:26" ht="27" customHeight="1">
      <c r="A395" s="1"/>
      <c r="B395" s="1"/>
      <c r="C395" s="2"/>
      <c r="D395" s="87"/>
      <c r="E395" s="87"/>
      <c r="F395" s="87"/>
      <c r="G395" s="1"/>
      <c r="H395" s="1"/>
      <c r="I395" s="1"/>
      <c r="J395" s="1"/>
      <c r="K395" s="1"/>
      <c r="L395" s="87"/>
      <c r="M395" s="87"/>
      <c r="N395" s="4"/>
      <c r="O395" s="1"/>
      <c r="P395" s="5"/>
      <c r="Q395" s="3"/>
      <c r="R395" s="3"/>
      <c r="S395" s="7"/>
      <c r="T395" s="1"/>
      <c r="U395" s="1"/>
      <c r="V395" s="1"/>
      <c r="W395" s="1"/>
      <c r="X395" s="1"/>
      <c r="Y395" s="1"/>
      <c r="Z395" s="1"/>
    </row>
    <row r="396" spans="1:26" ht="27" customHeight="1">
      <c r="A396" s="1"/>
      <c r="B396" s="1"/>
      <c r="C396" s="2"/>
      <c r="D396" s="87"/>
      <c r="E396" s="87"/>
      <c r="F396" s="87"/>
      <c r="G396" s="1"/>
      <c r="H396" s="1"/>
      <c r="I396" s="1"/>
      <c r="J396" s="1"/>
      <c r="K396" s="1"/>
      <c r="L396" s="87"/>
      <c r="M396" s="87"/>
      <c r="N396" s="4"/>
      <c r="O396" s="1"/>
      <c r="P396" s="5"/>
      <c r="Q396" s="3"/>
      <c r="R396" s="3"/>
      <c r="S396" s="7"/>
      <c r="T396" s="1"/>
      <c r="U396" s="1"/>
      <c r="V396" s="1"/>
      <c r="W396" s="1"/>
      <c r="X396" s="1"/>
      <c r="Y396" s="1"/>
      <c r="Z396" s="1"/>
    </row>
    <row r="397" spans="1:26" ht="27" customHeight="1">
      <c r="A397" s="1"/>
      <c r="B397" s="1"/>
      <c r="C397" s="2"/>
      <c r="D397" s="87"/>
      <c r="E397" s="87"/>
      <c r="F397" s="87"/>
      <c r="G397" s="1"/>
      <c r="H397" s="1"/>
      <c r="I397" s="1"/>
      <c r="J397" s="1"/>
      <c r="K397" s="1"/>
      <c r="L397" s="87"/>
      <c r="M397" s="87"/>
      <c r="N397" s="4"/>
      <c r="O397" s="1"/>
      <c r="P397" s="5"/>
      <c r="Q397" s="3"/>
      <c r="R397" s="3"/>
      <c r="S397" s="7"/>
      <c r="T397" s="1"/>
      <c r="U397" s="1"/>
      <c r="V397" s="1"/>
      <c r="W397" s="1"/>
      <c r="X397" s="1"/>
      <c r="Y397" s="1"/>
      <c r="Z397" s="1"/>
    </row>
    <row r="398" spans="1:26" ht="27" customHeight="1">
      <c r="A398" s="1"/>
      <c r="B398" s="1"/>
      <c r="C398" s="2"/>
      <c r="D398" s="87"/>
      <c r="E398" s="87"/>
      <c r="F398" s="87"/>
      <c r="G398" s="1"/>
      <c r="H398" s="1"/>
      <c r="I398" s="1"/>
      <c r="J398" s="1"/>
      <c r="K398" s="1"/>
      <c r="L398" s="87"/>
      <c r="M398" s="87"/>
      <c r="N398" s="4"/>
      <c r="O398" s="1"/>
      <c r="P398" s="5"/>
      <c r="Q398" s="3"/>
      <c r="R398" s="3"/>
      <c r="S398" s="7"/>
      <c r="T398" s="1"/>
      <c r="U398" s="1"/>
      <c r="V398" s="1"/>
      <c r="W398" s="1"/>
      <c r="X398" s="1"/>
      <c r="Y398" s="1"/>
      <c r="Z398" s="1"/>
    </row>
    <row r="399" spans="1:26" ht="27" customHeight="1">
      <c r="A399" s="1"/>
      <c r="B399" s="1"/>
      <c r="C399" s="2"/>
      <c r="D399" s="87"/>
      <c r="E399" s="87"/>
      <c r="F399" s="87"/>
      <c r="G399" s="1"/>
      <c r="H399" s="1"/>
      <c r="I399" s="1"/>
      <c r="J399" s="1"/>
      <c r="K399" s="1"/>
      <c r="L399" s="87"/>
      <c r="M399" s="87"/>
      <c r="N399" s="4"/>
      <c r="O399" s="1"/>
      <c r="P399" s="5"/>
      <c r="Q399" s="3"/>
      <c r="R399" s="3"/>
      <c r="S399" s="7"/>
      <c r="T399" s="1"/>
      <c r="U399" s="1"/>
      <c r="V399" s="1"/>
      <c r="W399" s="1"/>
      <c r="X399" s="1"/>
      <c r="Y399" s="1"/>
      <c r="Z399" s="1"/>
    </row>
    <row r="400" spans="1:26" ht="27" customHeight="1">
      <c r="A400" s="1"/>
      <c r="B400" s="1"/>
      <c r="C400" s="2"/>
      <c r="D400" s="87"/>
      <c r="E400" s="87"/>
      <c r="F400" s="87"/>
      <c r="G400" s="1"/>
      <c r="H400" s="1"/>
      <c r="I400" s="1"/>
      <c r="J400" s="1"/>
      <c r="K400" s="1"/>
      <c r="L400" s="87"/>
      <c r="M400" s="87"/>
      <c r="N400" s="4"/>
      <c r="O400" s="1"/>
      <c r="P400" s="5"/>
      <c r="Q400" s="3"/>
      <c r="R400" s="3"/>
      <c r="S400" s="7"/>
      <c r="T400" s="1"/>
      <c r="U400" s="1"/>
      <c r="V400" s="1"/>
      <c r="W400" s="1"/>
      <c r="X400" s="1"/>
      <c r="Y400" s="1"/>
      <c r="Z400" s="1"/>
    </row>
    <row r="401" spans="1:26" ht="27" customHeight="1">
      <c r="A401" s="1"/>
      <c r="B401" s="1"/>
      <c r="C401" s="2"/>
      <c r="D401" s="87"/>
      <c r="E401" s="87"/>
      <c r="F401" s="87"/>
      <c r="G401" s="1"/>
      <c r="H401" s="1"/>
      <c r="I401" s="1"/>
      <c r="J401" s="1"/>
      <c r="K401" s="1"/>
      <c r="L401" s="87"/>
      <c r="M401" s="87"/>
      <c r="N401" s="4"/>
      <c r="O401" s="1"/>
      <c r="P401" s="5"/>
      <c r="Q401" s="3"/>
      <c r="R401" s="3"/>
      <c r="S401" s="7"/>
      <c r="T401" s="1"/>
      <c r="U401" s="1"/>
      <c r="V401" s="1"/>
      <c r="W401" s="1"/>
      <c r="X401" s="1"/>
      <c r="Y401" s="1"/>
      <c r="Z401" s="1"/>
    </row>
    <row r="402" spans="1:26" ht="27" customHeight="1">
      <c r="A402" s="1"/>
      <c r="B402" s="1"/>
      <c r="C402" s="2"/>
      <c r="D402" s="87"/>
      <c r="E402" s="87"/>
      <c r="F402" s="87"/>
      <c r="G402" s="1"/>
      <c r="H402" s="1"/>
      <c r="I402" s="1"/>
      <c r="J402" s="1"/>
      <c r="K402" s="1"/>
      <c r="L402" s="87"/>
      <c r="M402" s="87"/>
      <c r="N402" s="4"/>
      <c r="O402" s="1"/>
      <c r="P402" s="5"/>
      <c r="Q402" s="3"/>
      <c r="R402" s="3"/>
      <c r="S402" s="7"/>
      <c r="T402" s="1"/>
      <c r="U402" s="1"/>
      <c r="V402" s="1"/>
      <c r="W402" s="1"/>
      <c r="X402" s="1"/>
      <c r="Y402" s="1"/>
      <c r="Z402" s="1"/>
    </row>
    <row r="403" spans="1:26" ht="27" customHeight="1">
      <c r="A403" s="1"/>
      <c r="B403" s="1"/>
      <c r="C403" s="2"/>
      <c r="D403" s="87"/>
      <c r="E403" s="87"/>
      <c r="F403" s="87"/>
      <c r="G403" s="1"/>
      <c r="H403" s="1"/>
      <c r="I403" s="1"/>
      <c r="J403" s="1"/>
      <c r="K403" s="1"/>
      <c r="L403" s="87"/>
      <c r="M403" s="87"/>
      <c r="N403" s="4"/>
      <c r="O403" s="1"/>
      <c r="P403" s="5"/>
      <c r="Q403" s="3"/>
      <c r="R403" s="3"/>
      <c r="S403" s="7"/>
      <c r="T403" s="1"/>
      <c r="U403" s="1"/>
      <c r="V403" s="1"/>
      <c r="W403" s="1"/>
      <c r="X403" s="1"/>
      <c r="Y403" s="1"/>
      <c r="Z403" s="1"/>
    </row>
    <row r="404" spans="1:26" ht="27" customHeight="1">
      <c r="A404" s="1"/>
      <c r="B404" s="1"/>
      <c r="C404" s="2"/>
      <c r="D404" s="87"/>
      <c r="E404" s="87"/>
      <c r="F404" s="87"/>
      <c r="G404" s="1"/>
      <c r="H404" s="1"/>
      <c r="I404" s="1"/>
      <c r="J404" s="1"/>
      <c r="K404" s="1"/>
      <c r="L404" s="87"/>
      <c r="M404" s="87"/>
      <c r="N404" s="4"/>
      <c r="O404" s="1"/>
      <c r="P404" s="5"/>
      <c r="Q404" s="3"/>
      <c r="R404" s="3"/>
      <c r="S404" s="7"/>
      <c r="T404" s="1"/>
      <c r="U404" s="1"/>
      <c r="V404" s="1"/>
      <c r="W404" s="1"/>
      <c r="X404" s="1"/>
      <c r="Y404" s="1"/>
      <c r="Z404" s="1"/>
    </row>
    <row r="405" spans="1:26" ht="27" customHeight="1">
      <c r="A405" s="1"/>
      <c r="B405" s="1"/>
      <c r="C405" s="2"/>
      <c r="D405" s="87"/>
      <c r="E405" s="87"/>
      <c r="F405" s="87"/>
      <c r="G405" s="1"/>
      <c r="H405" s="1"/>
      <c r="I405" s="1"/>
      <c r="J405" s="1"/>
      <c r="K405" s="1"/>
      <c r="L405" s="87"/>
      <c r="M405" s="87"/>
      <c r="N405" s="4"/>
      <c r="O405" s="1"/>
      <c r="P405" s="5"/>
      <c r="Q405" s="3"/>
      <c r="R405" s="3"/>
      <c r="S405" s="7"/>
      <c r="T405" s="1"/>
      <c r="U405" s="1"/>
      <c r="V405" s="1"/>
      <c r="W405" s="1"/>
      <c r="X405" s="1"/>
      <c r="Y405" s="1"/>
      <c r="Z405" s="1"/>
    </row>
    <row r="406" spans="1:26" ht="27" customHeight="1">
      <c r="A406" s="1"/>
      <c r="B406" s="1"/>
      <c r="C406" s="2"/>
      <c r="D406" s="87"/>
      <c r="E406" s="87"/>
      <c r="F406" s="87"/>
      <c r="G406" s="1"/>
      <c r="H406" s="1"/>
      <c r="I406" s="1"/>
      <c r="J406" s="1"/>
      <c r="K406" s="1"/>
      <c r="L406" s="87"/>
      <c r="M406" s="87"/>
      <c r="N406" s="4"/>
      <c r="O406" s="1"/>
      <c r="P406" s="5"/>
      <c r="Q406" s="3"/>
      <c r="R406" s="3"/>
      <c r="S406" s="7"/>
      <c r="T406" s="1"/>
      <c r="U406" s="1"/>
      <c r="V406" s="1"/>
      <c r="W406" s="1"/>
      <c r="X406" s="1"/>
      <c r="Y406" s="1"/>
      <c r="Z406" s="1"/>
    </row>
    <row r="407" spans="1:26" ht="27" customHeight="1">
      <c r="A407" s="1"/>
      <c r="B407" s="1"/>
      <c r="C407" s="2"/>
      <c r="D407" s="87"/>
      <c r="E407" s="87"/>
      <c r="F407" s="87"/>
      <c r="G407" s="1"/>
      <c r="H407" s="1"/>
      <c r="I407" s="1"/>
      <c r="J407" s="1"/>
      <c r="K407" s="1"/>
      <c r="L407" s="87"/>
      <c r="M407" s="87"/>
      <c r="N407" s="4"/>
      <c r="O407" s="1"/>
      <c r="P407" s="5"/>
      <c r="Q407" s="3"/>
      <c r="R407" s="3"/>
      <c r="S407" s="7"/>
      <c r="T407" s="1"/>
      <c r="U407" s="1"/>
      <c r="V407" s="1"/>
      <c r="W407" s="1"/>
      <c r="X407" s="1"/>
      <c r="Y407" s="1"/>
      <c r="Z407" s="1"/>
    </row>
    <row r="408" spans="1:26" ht="27" customHeight="1">
      <c r="A408" s="1"/>
      <c r="B408" s="1"/>
      <c r="C408" s="2"/>
      <c r="D408" s="87"/>
      <c r="E408" s="87"/>
      <c r="F408" s="87"/>
      <c r="G408" s="1"/>
      <c r="H408" s="1"/>
      <c r="I408" s="1"/>
      <c r="J408" s="1"/>
      <c r="K408" s="1"/>
      <c r="L408" s="87"/>
      <c r="M408" s="87"/>
      <c r="N408" s="4"/>
      <c r="O408" s="1"/>
      <c r="P408" s="5"/>
      <c r="Q408" s="3"/>
      <c r="R408" s="3"/>
      <c r="S408" s="7"/>
      <c r="T408" s="1"/>
      <c r="U408" s="1"/>
      <c r="V408" s="1"/>
      <c r="W408" s="1"/>
      <c r="X408" s="1"/>
      <c r="Y408" s="1"/>
      <c r="Z408" s="1"/>
    </row>
    <row r="409" spans="1:26" ht="27" customHeight="1">
      <c r="A409" s="1"/>
      <c r="B409" s="1"/>
      <c r="C409" s="2"/>
      <c r="D409" s="87"/>
      <c r="E409" s="87"/>
      <c r="F409" s="87"/>
      <c r="G409" s="1"/>
      <c r="H409" s="1"/>
      <c r="I409" s="1"/>
      <c r="J409" s="1"/>
      <c r="K409" s="1"/>
      <c r="L409" s="87"/>
      <c r="M409" s="87"/>
      <c r="N409" s="4"/>
      <c r="O409" s="1"/>
      <c r="P409" s="5"/>
      <c r="Q409" s="3"/>
      <c r="R409" s="3"/>
      <c r="S409" s="7"/>
      <c r="T409" s="1"/>
      <c r="U409" s="1"/>
      <c r="V409" s="1"/>
      <c r="W409" s="1"/>
      <c r="X409" s="1"/>
      <c r="Y409" s="1"/>
      <c r="Z409" s="1"/>
    </row>
    <row r="410" spans="1:26" ht="27" customHeight="1">
      <c r="A410" s="1"/>
      <c r="B410" s="1"/>
      <c r="C410" s="2"/>
      <c r="D410" s="87"/>
      <c r="E410" s="87"/>
      <c r="F410" s="87"/>
      <c r="G410" s="1"/>
      <c r="H410" s="1"/>
      <c r="I410" s="1"/>
      <c r="J410" s="1"/>
      <c r="K410" s="1"/>
      <c r="L410" s="87"/>
      <c r="M410" s="87"/>
      <c r="N410" s="4"/>
      <c r="O410" s="1"/>
      <c r="P410" s="5"/>
      <c r="Q410" s="3"/>
      <c r="R410" s="3"/>
      <c r="S410" s="7"/>
      <c r="T410" s="1"/>
      <c r="U410" s="1"/>
      <c r="V410" s="1"/>
      <c r="W410" s="1"/>
      <c r="X410" s="1"/>
      <c r="Y410" s="1"/>
      <c r="Z410" s="1"/>
    </row>
    <row r="411" spans="1:26" ht="27" customHeight="1">
      <c r="A411" s="1"/>
      <c r="B411" s="1"/>
      <c r="C411" s="2"/>
      <c r="D411" s="87"/>
      <c r="E411" s="87"/>
      <c r="F411" s="87"/>
      <c r="G411" s="1"/>
      <c r="H411" s="1"/>
      <c r="I411" s="1"/>
      <c r="J411" s="1"/>
      <c r="K411" s="1"/>
      <c r="L411" s="87"/>
      <c r="M411" s="87"/>
      <c r="N411" s="4"/>
      <c r="O411" s="1"/>
      <c r="P411" s="5"/>
      <c r="Q411" s="3"/>
      <c r="R411" s="3"/>
      <c r="S411" s="7"/>
      <c r="T411" s="1"/>
      <c r="U411" s="1"/>
      <c r="V411" s="1"/>
      <c r="W411" s="1"/>
      <c r="X411" s="1"/>
      <c r="Y411" s="1"/>
      <c r="Z411" s="1"/>
    </row>
    <row r="412" spans="1:26" ht="27" customHeight="1">
      <c r="A412" s="1"/>
      <c r="B412" s="1"/>
      <c r="C412" s="2"/>
      <c r="D412" s="87"/>
      <c r="E412" s="87"/>
      <c r="F412" s="87"/>
      <c r="G412" s="1"/>
      <c r="H412" s="1"/>
      <c r="I412" s="1"/>
      <c r="J412" s="1"/>
      <c r="K412" s="1"/>
      <c r="L412" s="87"/>
      <c r="M412" s="87"/>
      <c r="N412" s="4"/>
      <c r="O412" s="1"/>
      <c r="P412" s="5"/>
      <c r="Q412" s="3"/>
      <c r="R412" s="3"/>
      <c r="S412" s="7"/>
      <c r="T412" s="1"/>
      <c r="U412" s="1"/>
      <c r="V412" s="1"/>
      <c r="W412" s="1"/>
      <c r="X412" s="1"/>
      <c r="Y412" s="1"/>
      <c r="Z412" s="1"/>
    </row>
    <row r="413" spans="1:26" ht="27" customHeight="1">
      <c r="A413" s="1"/>
      <c r="B413" s="1"/>
      <c r="C413" s="2"/>
      <c r="D413" s="87"/>
      <c r="E413" s="87"/>
      <c r="F413" s="87"/>
      <c r="G413" s="1"/>
      <c r="H413" s="1"/>
      <c r="I413" s="1"/>
      <c r="J413" s="1"/>
      <c r="K413" s="1"/>
      <c r="L413" s="87"/>
      <c r="M413" s="87"/>
      <c r="N413" s="4"/>
      <c r="O413" s="1"/>
      <c r="P413" s="5"/>
      <c r="Q413" s="3"/>
      <c r="R413" s="3"/>
      <c r="S413" s="7"/>
      <c r="T413" s="1"/>
      <c r="U413" s="1"/>
      <c r="V413" s="1"/>
      <c r="W413" s="1"/>
      <c r="X413" s="1"/>
      <c r="Y413" s="1"/>
      <c r="Z413" s="1"/>
    </row>
    <row r="414" spans="1:26" ht="27" customHeight="1">
      <c r="A414" s="1"/>
      <c r="B414" s="1"/>
      <c r="C414" s="2"/>
      <c r="D414" s="87"/>
      <c r="E414" s="87"/>
      <c r="F414" s="87"/>
      <c r="G414" s="1"/>
      <c r="H414" s="1"/>
      <c r="I414" s="1"/>
      <c r="J414" s="1"/>
      <c r="K414" s="1"/>
      <c r="L414" s="87"/>
      <c r="M414" s="87"/>
      <c r="N414" s="4"/>
      <c r="O414" s="1"/>
      <c r="P414" s="5"/>
      <c r="Q414" s="3"/>
      <c r="R414" s="3"/>
      <c r="S414" s="7"/>
      <c r="T414" s="1"/>
      <c r="U414" s="1"/>
      <c r="V414" s="1"/>
      <c r="W414" s="1"/>
      <c r="X414" s="1"/>
      <c r="Y414" s="1"/>
      <c r="Z414" s="1"/>
    </row>
    <row r="415" spans="1:26" ht="27" customHeight="1">
      <c r="A415" s="1"/>
      <c r="B415" s="1"/>
      <c r="C415" s="2"/>
      <c r="D415" s="87"/>
      <c r="E415" s="87"/>
      <c r="F415" s="87"/>
      <c r="G415" s="1"/>
      <c r="H415" s="1"/>
      <c r="I415" s="1"/>
      <c r="J415" s="1"/>
      <c r="K415" s="1"/>
      <c r="L415" s="87"/>
      <c r="M415" s="87"/>
      <c r="N415" s="4"/>
      <c r="O415" s="1"/>
      <c r="P415" s="5"/>
      <c r="Q415" s="3"/>
      <c r="R415" s="3"/>
      <c r="S415" s="7"/>
      <c r="T415" s="1"/>
      <c r="U415" s="1"/>
      <c r="V415" s="1"/>
      <c r="W415" s="1"/>
      <c r="X415" s="1"/>
      <c r="Y415" s="1"/>
      <c r="Z415" s="1"/>
    </row>
    <row r="416" spans="1:26" ht="27" customHeight="1">
      <c r="A416" s="1"/>
      <c r="B416" s="1"/>
      <c r="C416" s="2"/>
      <c r="D416" s="87"/>
      <c r="E416" s="87"/>
      <c r="F416" s="87"/>
      <c r="G416" s="1"/>
      <c r="H416" s="1"/>
      <c r="I416" s="1"/>
      <c r="J416" s="1"/>
      <c r="K416" s="1"/>
      <c r="L416" s="87"/>
      <c r="M416" s="87"/>
      <c r="N416" s="4"/>
      <c r="O416" s="1"/>
      <c r="P416" s="5"/>
      <c r="Q416" s="3"/>
      <c r="R416" s="3"/>
      <c r="S416" s="7"/>
      <c r="T416" s="1"/>
      <c r="U416" s="1"/>
      <c r="V416" s="1"/>
      <c r="W416" s="1"/>
      <c r="X416" s="1"/>
      <c r="Y416" s="1"/>
      <c r="Z416" s="1"/>
    </row>
    <row r="417" spans="1:26" ht="27" customHeight="1">
      <c r="A417" s="1"/>
      <c r="B417" s="1"/>
      <c r="C417" s="2"/>
      <c r="D417" s="87"/>
      <c r="E417" s="87"/>
      <c r="F417" s="87"/>
      <c r="G417" s="1"/>
      <c r="H417" s="1"/>
      <c r="I417" s="1"/>
      <c r="J417" s="1"/>
      <c r="K417" s="1"/>
      <c r="L417" s="87"/>
      <c r="M417" s="87"/>
      <c r="N417" s="4"/>
      <c r="O417" s="1"/>
      <c r="P417" s="5"/>
      <c r="Q417" s="3"/>
      <c r="R417" s="3"/>
      <c r="S417" s="7"/>
      <c r="T417" s="1"/>
      <c r="U417" s="1"/>
      <c r="V417" s="1"/>
      <c r="W417" s="1"/>
      <c r="X417" s="1"/>
      <c r="Y417" s="1"/>
      <c r="Z417" s="1"/>
    </row>
    <row r="418" spans="1:26" ht="27" customHeight="1">
      <c r="A418" s="1"/>
      <c r="B418" s="1"/>
      <c r="C418" s="2"/>
      <c r="D418" s="87"/>
      <c r="E418" s="87"/>
      <c r="F418" s="87"/>
      <c r="G418" s="1"/>
      <c r="H418" s="1"/>
      <c r="I418" s="1"/>
      <c r="J418" s="1"/>
      <c r="K418" s="1"/>
      <c r="L418" s="87"/>
      <c r="M418" s="87"/>
      <c r="N418" s="4"/>
      <c r="O418" s="1"/>
      <c r="P418" s="5"/>
      <c r="Q418" s="3"/>
      <c r="R418" s="3"/>
      <c r="S418" s="7"/>
      <c r="T418" s="1"/>
      <c r="U418" s="1"/>
      <c r="V418" s="1"/>
      <c r="W418" s="1"/>
      <c r="X418" s="1"/>
      <c r="Y418" s="1"/>
      <c r="Z418" s="1"/>
    </row>
    <row r="419" spans="1:26" ht="27" customHeight="1">
      <c r="A419" s="1"/>
      <c r="B419" s="1"/>
      <c r="C419" s="2"/>
      <c r="D419" s="87"/>
      <c r="E419" s="87"/>
      <c r="F419" s="87"/>
      <c r="G419" s="1"/>
      <c r="H419" s="1"/>
      <c r="I419" s="1"/>
      <c r="J419" s="1"/>
      <c r="K419" s="1"/>
      <c r="L419" s="87"/>
      <c r="M419" s="87"/>
      <c r="N419" s="4"/>
      <c r="O419" s="1"/>
      <c r="P419" s="5"/>
      <c r="Q419" s="3"/>
      <c r="R419" s="3"/>
      <c r="S419" s="7"/>
      <c r="T419" s="1"/>
      <c r="U419" s="1"/>
      <c r="V419" s="1"/>
      <c r="W419" s="1"/>
      <c r="X419" s="1"/>
      <c r="Y419" s="1"/>
      <c r="Z419" s="1"/>
    </row>
    <row r="420" spans="1:26" ht="27" customHeight="1">
      <c r="A420" s="1"/>
      <c r="B420" s="1"/>
      <c r="C420" s="2"/>
      <c r="D420" s="87"/>
      <c r="E420" s="87"/>
      <c r="F420" s="87"/>
      <c r="G420" s="1"/>
      <c r="H420" s="1"/>
      <c r="I420" s="1"/>
      <c r="J420" s="1"/>
      <c r="K420" s="1"/>
      <c r="L420" s="87"/>
      <c r="M420" s="87"/>
      <c r="N420" s="4"/>
      <c r="O420" s="1"/>
      <c r="P420" s="5"/>
      <c r="Q420" s="3"/>
      <c r="R420" s="3"/>
      <c r="S420" s="7"/>
      <c r="T420" s="1"/>
      <c r="U420" s="1"/>
      <c r="V420" s="1"/>
      <c r="W420" s="1"/>
      <c r="X420" s="1"/>
      <c r="Y420" s="1"/>
      <c r="Z420" s="1"/>
    </row>
    <row r="421" spans="1:26" ht="27" customHeight="1">
      <c r="A421" s="1"/>
      <c r="B421" s="1"/>
      <c r="C421" s="2"/>
      <c r="D421" s="87"/>
      <c r="E421" s="87"/>
      <c r="F421" s="87"/>
      <c r="G421" s="1"/>
      <c r="H421" s="1"/>
      <c r="I421" s="1"/>
      <c r="J421" s="1"/>
      <c r="K421" s="1"/>
      <c r="L421" s="87"/>
      <c r="M421" s="87"/>
      <c r="N421" s="4"/>
      <c r="O421" s="1"/>
      <c r="P421" s="5"/>
      <c r="Q421" s="3"/>
      <c r="R421" s="3"/>
      <c r="S421" s="7"/>
      <c r="T421" s="1"/>
      <c r="U421" s="1"/>
      <c r="V421" s="1"/>
      <c r="W421" s="1"/>
      <c r="X421" s="1"/>
      <c r="Y421" s="1"/>
      <c r="Z421" s="1"/>
    </row>
    <row r="422" spans="1:26" ht="27" customHeight="1">
      <c r="A422" s="1"/>
      <c r="B422" s="1"/>
      <c r="C422" s="2"/>
      <c r="D422" s="87"/>
      <c r="E422" s="87"/>
      <c r="F422" s="87"/>
      <c r="G422" s="1"/>
      <c r="H422" s="1"/>
      <c r="I422" s="1"/>
      <c r="J422" s="1"/>
      <c r="K422" s="1"/>
      <c r="L422" s="87"/>
      <c r="M422" s="87"/>
      <c r="N422" s="4"/>
      <c r="O422" s="1"/>
      <c r="P422" s="5"/>
      <c r="Q422" s="3"/>
      <c r="R422" s="3"/>
      <c r="S422" s="7"/>
      <c r="T422" s="1"/>
      <c r="U422" s="1"/>
      <c r="V422" s="1"/>
      <c r="W422" s="1"/>
      <c r="X422" s="1"/>
      <c r="Y422" s="1"/>
      <c r="Z422" s="1"/>
    </row>
    <row r="423" spans="1:26" ht="27" customHeight="1">
      <c r="A423" s="1"/>
      <c r="B423" s="1"/>
      <c r="C423" s="2"/>
      <c r="D423" s="87"/>
      <c r="E423" s="87"/>
      <c r="F423" s="87"/>
      <c r="G423" s="1"/>
      <c r="H423" s="1"/>
      <c r="I423" s="1"/>
      <c r="J423" s="1"/>
      <c r="K423" s="1"/>
      <c r="L423" s="87"/>
      <c r="M423" s="87"/>
      <c r="N423" s="4"/>
      <c r="O423" s="1"/>
      <c r="P423" s="5"/>
      <c r="Q423" s="3"/>
      <c r="R423" s="3"/>
      <c r="S423" s="7"/>
      <c r="T423" s="1"/>
      <c r="U423" s="1"/>
      <c r="V423" s="1"/>
      <c r="W423" s="1"/>
      <c r="X423" s="1"/>
      <c r="Y423" s="1"/>
      <c r="Z423" s="1"/>
    </row>
    <row r="424" spans="1:26" ht="27" customHeight="1">
      <c r="A424" s="1"/>
      <c r="B424" s="1"/>
      <c r="C424" s="2"/>
      <c r="D424" s="87"/>
      <c r="E424" s="87"/>
      <c r="F424" s="87"/>
      <c r="G424" s="1"/>
      <c r="H424" s="1"/>
      <c r="I424" s="1"/>
      <c r="J424" s="1"/>
      <c r="K424" s="1"/>
      <c r="L424" s="87"/>
      <c r="M424" s="87"/>
      <c r="N424" s="4"/>
      <c r="O424" s="1"/>
      <c r="P424" s="5"/>
      <c r="Q424" s="3"/>
      <c r="R424" s="3"/>
      <c r="S424" s="7"/>
      <c r="T424" s="1"/>
      <c r="U424" s="1"/>
      <c r="V424" s="1"/>
      <c r="W424" s="1"/>
      <c r="X424" s="1"/>
      <c r="Y424" s="1"/>
      <c r="Z424" s="1"/>
    </row>
    <row r="425" spans="1:26" ht="27" customHeight="1">
      <c r="A425" s="1"/>
      <c r="B425" s="1"/>
      <c r="C425" s="2"/>
      <c r="D425" s="87"/>
      <c r="E425" s="87"/>
      <c r="F425" s="87"/>
      <c r="G425" s="1"/>
      <c r="H425" s="1"/>
      <c r="I425" s="1"/>
      <c r="J425" s="1"/>
      <c r="K425" s="1"/>
      <c r="L425" s="87"/>
      <c r="M425" s="87"/>
      <c r="N425" s="4"/>
      <c r="O425" s="1"/>
      <c r="P425" s="5"/>
      <c r="Q425" s="3"/>
      <c r="R425" s="3"/>
      <c r="S425" s="7"/>
      <c r="T425" s="1"/>
      <c r="U425" s="1"/>
      <c r="V425" s="1"/>
      <c r="W425" s="1"/>
      <c r="X425" s="1"/>
      <c r="Y425" s="1"/>
      <c r="Z425" s="1"/>
    </row>
    <row r="426" spans="1:26" ht="27" customHeight="1">
      <c r="A426" s="1"/>
      <c r="B426" s="1"/>
      <c r="C426" s="2"/>
      <c r="D426" s="87"/>
      <c r="E426" s="87"/>
      <c r="F426" s="87"/>
      <c r="G426" s="1"/>
      <c r="H426" s="1"/>
      <c r="I426" s="1"/>
      <c r="J426" s="1"/>
      <c r="K426" s="1"/>
      <c r="L426" s="87"/>
      <c r="M426" s="87"/>
      <c r="N426" s="4"/>
      <c r="O426" s="1"/>
      <c r="P426" s="5"/>
      <c r="Q426" s="3"/>
      <c r="R426" s="3"/>
      <c r="S426" s="7"/>
      <c r="T426" s="1"/>
      <c r="U426" s="1"/>
      <c r="V426" s="1"/>
      <c r="W426" s="1"/>
      <c r="X426" s="1"/>
      <c r="Y426" s="1"/>
      <c r="Z426" s="1"/>
    </row>
    <row r="427" spans="1:26" ht="27" customHeight="1">
      <c r="A427" s="1"/>
      <c r="B427" s="1"/>
      <c r="C427" s="2"/>
      <c r="D427" s="87"/>
      <c r="E427" s="87"/>
      <c r="F427" s="87"/>
      <c r="G427" s="1"/>
      <c r="H427" s="1"/>
      <c r="I427" s="1"/>
      <c r="J427" s="1"/>
      <c r="K427" s="1"/>
      <c r="L427" s="87"/>
      <c r="M427" s="87"/>
      <c r="N427" s="4"/>
      <c r="O427" s="1"/>
      <c r="P427" s="5"/>
      <c r="Q427" s="3"/>
      <c r="R427" s="3"/>
      <c r="S427" s="7"/>
      <c r="T427" s="1"/>
      <c r="U427" s="1"/>
      <c r="V427" s="1"/>
      <c r="W427" s="1"/>
      <c r="X427" s="1"/>
      <c r="Y427" s="1"/>
      <c r="Z427" s="1"/>
    </row>
    <row r="428" spans="1:26" ht="27" customHeight="1">
      <c r="A428" s="1"/>
      <c r="B428" s="1"/>
      <c r="C428" s="2"/>
      <c r="D428" s="87"/>
      <c r="E428" s="87"/>
      <c r="F428" s="87"/>
      <c r="G428" s="1"/>
      <c r="H428" s="1"/>
      <c r="I428" s="1"/>
      <c r="J428" s="1"/>
      <c r="K428" s="1"/>
      <c r="L428" s="87"/>
      <c r="M428" s="87"/>
      <c r="N428" s="4"/>
      <c r="O428" s="1"/>
      <c r="P428" s="5"/>
      <c r="Q428" s="3"/>
      <c r="R428" s="3"/>
      <c r="S428" s="7"/>
      <c r="T428" s="1"/>
      <c r="U428" s="1"/>
      <c r="V428" s="1"/>
      <c r="W428" s="1"/>
      <c r="X428" s="1"/>
      <c r="Y428" s="1"/>
      <c r="Z428" s="1"/>
    </row>
    <row r="429" spans="1:26" ht="27" customHeight="1">
      <c r="A429" s="1"/>
      <c r="B429" s="1"/>
      <c r="C429" s="2"/>
      <c r="D429" s="87"/>
      <c r="E429" s="87"/>
      <c r="F429" s="87"/>
      <c r="G429" s="1"/>
      <c r="H429" s="1"/>
      <c r="I429" s="1"/>
      <c r="J429" s="1"/>
      <c r="K429" s="1"/>
      <c r="L429" s="87"/>
      <c r="M429" s="87"/>
      <c r="N429" s="4"/>
      <c r="O429" s="1"/>
      <c r="P429" s="5"/>
      <c r="Q429" s="3"/>
      <c r="R429" s="3"/>
      <c r="S429" s="7"/>
      <c r="T429" s="1"/>
      <c r="U429" s="1"/>
      <c r="V429" s="1"/>
      <c r="W429" s="1"/>
      <c r="X429" s="1"/>
      <c r="Y429" s="1"/>
      <c r="Z429" s="1"/>
    </row>
    <row r="430" spans="1:26" ht="27" customHeight="1">
      <c r="A430" s="1"/>
      <c r="B430" s="1"/>
      <c r="C430" s="2"/>
      <c r="D430" s="87"/>
      <c r="E430" s="87"/>
      <c r="F430" s="87"/>
      <c r="G430" s="1"/>
      <c r="H430" s="1"/>
      <c r="I430" s="1"/>
      <c r="J430" s="1"/>
      <c r="K430" s="1"/>
      <c r="L430" s="87"/>
      <c r="M430" s="87"/>
      <c r="N430" s="4"/>
      <c r="O430" s="1"/>
      <c r="P430" s="5"/>
      <c r="Q430" s="3"/>
      <c r="R430" s="3"/>
      <c r="S430" s="7"/>
      <c r="T430" s="1"/>
      <c r="U430" s="1"/>
      <c r="V430" s="1"/>
      <c r="W430" s="1"/>
      <c r="X430" s="1"/>
      <c r="Y430" s="1"/>
      <c r="Z430" s="1"/>
    </row>
    <row r="431" spans="1:26" ht="27" customHeight="1">
      <c r="A431" s="1"/>
      <c r="B431" s="1"/>
      <c r="C431" s="2"/>
      <c r="D431" s="87"/>
      <c r="E431" s="87"/>
      <c r="F431" s="87"/>
      <c r="G431" s="1"/>
      <c r="H431" s="1"/>
      <c r="I431" s="1"/>
      <c r="J431" s="1"/>
      <c r="K431" s="1"/>
      <c r="L431" s="87"/>
      <c r="M431" s="87"/>
      <c r="N431" s="4"/>
      <c r="O431" s="1"/>
      <c r="P431" s="5"/>
      <c r="Q431" s="3"/>
      <c r="R431" s="3"/>
      <c r="S431" s="7"/>
      <c r="T431" s="1"/>
      <c r="U431" s="1"/>
      <c r="V431" s="1"/>
      <c r="W431" s="1"/>
      <c r="X431" s="1"/>
      <c r="Y431" s="1"/>
      <c r="Z431" s="1"/>
    </row>
    <row r="432" spans="1:26" ht="27" customHeight="1">
      <c r="A432" s="1"/>
      <c r="B432" s="1"/>
      <c r="C432" s="2"/>
      <c r="D432" s="87"/>
      <c r="E432" s="87"/>
      <c r="F432" s="87"/>
      <c r="G432" s="1"/>
      <c r="H432" s="1"/>
      <c r="I432" s="1"/>
      <c r="J432" s="1"/>
      <c r="K432" s="1"/>
      <c r="L432" s="87"/>
      <c r="M432" s="87"/>
      <c r="N432" s="4"/>
      <c r="O432" s="1"/>
      <c r="P432" s="5"/>
      <c r="Q432" s="3"/>
      <c r="R432" s="3"/>
      <c r="S432" s="7"/>
      <c r="T432" s="1"/>
      <c r="U432" s="1"/>
      <c r="V432" s="1"/>
      <c r="W432" s="1"/>
      <c r="X432" s="1"/>
      <c r="Y432" s="1"/>
      <c r="Z432" s="1"/>
    </row>
    <row r="433" spans="1:26" ht="27" customHeight="1">
      <c r="A433" s="1"/>
      <c r="B433" s="1"/>
      <c r="C433" s="2"/>
      <c r="D433" s="87"/>
      <c r="E433" s="87"/>
      <c r="F433" s="87"/>
      <c r="G433" s="1"/>
      <c r="H433" s="1"/>
      <c r="I433" s="1"/>
      <c r="J433" s="1"/>
      <c r="K433" s="1"/>
      <c r="L433" s="87"/>
      <c r="M433" s="87"/>
      <c r="N433" s="4"/>
      <c r="O433" s="1"/>
      <c r="P433" s="5"/>
      <c r="Q433" s="3"/>
      <c r="R433" s="3"/>
      <c r="S433" s="7"/>
      <c r="T433" s="1"/>
      <c r="U433" s="1"/>
      <c r="V433" s="1"/>
      <c r="W433" s="1"/>
      <c r="X433" s="1"/>
      <c r="Y433" s="1"/>
      <c r="Z433" s="1"/>
    </row>
    <row r="434" spans="1:26" ht="27" customHeight="1">
      <c r="A434" s="1"/>
      <c r="B434" s="1"/>
      <c r="C434" s="2"/>
      <c r="D434" s="87"/>
      <c r="E434" s="87"/>
      <c r="F434" s="87"/>
      <c r="G434" s="1"/>
      <c r="H434" s="1"/>
      <c r="I434" s="1"/>
      <c r="J434" s="1"/>
      <c r="K434" s="1"/>
      <c r="L434" s="87"/>
      <c r="M434" s="87"/>
      <c r="N434" s="4"/>
      <c r="O434" s="1"/>
      <c r="P434" s="5"/>
      <c r="Q434" s="3"/>
      <c r="R434" s="3"/>
      <c r="S434" s="7"/>
      <c r="T434" s="1"/>
      <c r="U434" s="1"/>
      <c r="V434" s="1"/>
      <c r="W434" s="1"/>
      <c r="X434" s="1"/>
      <c r="Y434" s="1"/>
      <c r="Z434" s="1"/>
    </row>
    <row r="435" spans="1:26" ht="27" customHeight="1">
      <c r="A435" s="1"/>
      <c r="B435" s="1"/>
      <c r="C435" s="2"/>
      <c r="D435" s="87"/>
      <c r="E435" s="87"/>
      <c r="F435" s="87"/>
      <c r="G435" s="1"/>
      <c r="H435" s="1"/>
      <c r="I435" s="1"/>
      <c r="J435" s="1"/>
      <c r="K435" s="1"/>
      <c r="L435" s="87"/>
      <c r="M435" s="87"/>
      <c r="N435" s="4"/>
      <c r="O435" s="1"/>
      <c r="P435" s="5"/>
      <c r="Q435" s="3"/>
      <c r="R435" s="3"/>
      <c r="S435" s="7"/>
      <c r="T435" s="1"/>
      <c r="U435" s="1"/>
      <c r="V435" s="1"/>
      <c r="W435" s="1"/>
      <c r="X435" s="1"/>
      <c r="Y435" s="1"/>
      <c r="Z435" s="1"/>
    </row>
    <row r="436" spans="1:26" ht="27" customHeight="1">
      <c r="A436" s="1"/>
      <c r="B436" s="1"/>
      <c r="C436" s="2"/>
      <c r="D436" s="87"/>
      <c r="E436" s="87"/>
      <c r="F436" s="87"/>
      <c r="G436" s="1"/>
      <c r="H436" s="1"/>
      <c r="I436" s="1"/>
      <c r="J436" s="1"/>
      <c r="K436" s="1"/>
      <c r="L436" s="87"/>
      <c r="M436" s="87"/>
      <c r="N436" s="4"/>
      <c r="O436" s="1"/>
      <c r="P436" s="5"/>
      <c r="Q436" s="3"/>
      <c r="R436" s="3"/>
      <c r="S436" s="7"/>
      <c r="T436" s="1"/>
      <c r="U436" s="1"/>
      <c r="V436" s="1"/>
      <c r="W436" s="1"/>
      <c r="X436" s="1"/>
      <c r="Y436" s="1"/>
      <c r="Z436" s="1"/>
    </row>
    <row r="437" spans="1:26" ht="27" customHeight="1">
      <c r="A437" s="1"/>
      <c r="B437" s="1"/>
      <c r="C437" s="2"/>
      <c r="D437" s="87"/>
      <c r="E437" s="87"/>
      <c r="F437" s="87"/>
      <c r="G437" s="1"/>
      <c r="H437" s="1"/>
      <c r="I437" s="1"/>
      <c r="J437" s="1"/>
      <c r="K437" s="1"/>
      <c r="L437" s="87"/>
      <c r="M437" s="87"/>
      <c r="N437" s="4"/>
      <c r="O437" s="1"/>
      <c r="P437" s="5"/>
      <c r="Q437" s="3"/>
      <c r="R437" s="3"/>
      <c r="S437" s="7"/>
      <c r="T437" s="1"/>
      <c r="U437" s="1"/>
      <c r="V437" s="1"/>
      <c r="W437" s="1"/>
      <c r="X437" s="1"/>
      <c r="Y437" s="1"/>
      <c r="Z437" s="1"/>
    </row>
    <row r="438" spans="1:26" ht="27" customHeight="1">
      <c r="A438" s="1"/>
      <c r="B438" s="1"/>
      <c r="C438" s="2"/>
      <c r="D438" s="87"/>
      <c r="E438" s="87"/>
      <c r="F438" s="87"/>
      <c r="G438" s="1"/>
      <c r="H438" s="1"/>
      <c r="I438" s="1"/>
      <c r="J438" s="1"/>
      <c r="K438" s="1"/>
      <c r="L438" s="87"/>
      <c r="M438" s="87"/>
      <c r="N438" s="4"/>
      <c r="O438" s="1"/>
      <c r="P438" s="5"/>
      <c r="Q438" s="3"/>
      <c r="R438" s="3"/>
      <c r="S438" s="7"/>
      <c r="T438" s="1"/>
      <c r="U438" s="1"/>
      <c r="V438" s="1"/>
      <c r="W438" s="1"/>
      <c r="X438" s="1"/>
      <c r="Y438" s="1"/>
      <c r="Z438" s="1"/>
    </row>
    <row r="439" spans="1:26" ht="27" customHeight="1">
      <c r="A439" s="1"/>
      <c r="B439" s="1"/>
      <c r="C439" s="2"/>
      <c r="D439" s="87"/>
      <c r="E439" s="87"/>
      <c r="F439" s="87"/>
      <c r="G439" s="1"/>
      <c r="H439" s="1"/>
      <c r="I439" s="1"/>
      <c r="J439" s="1"/>
      <c r="K439" s="1"/>
      <c r="L439" s="87"/>
      <c r="M439" s="87"/>
      <c r="N439" s="4"/>
      <c r="O439" s="1"/>
      <c r="P439" s="5"/>
      <c r="Q439" s="3"/>
      <c r="R439" s="3"/>
      <c r="S439" s="7"/>
      <c r="T439" s="1"/>
      <c r="U439" s="1"/>
      <c r="V439" s="1"/>
      <c r="W439" s="1"/>
      <c r="X439" s="1"/>
      <c r="Y439" s="1"/>
      <c r="Z439" s="1"/>
    </row>
    <row r="440" spans="1:26" ht="27" customHeight="1">
      <c r="A440" s="1"/>
      <c r="B440" s="1"/>
      <c r="C440" s="2"/>
      <c r="D440" s="87"/>
      <c r="E440" s="87"/>
      <c r="F440" s="87"/>
      <c r="G440" s="1"/>
      <c r="H440" s="1"/>
      <c r="I440" s="1"/>
      <c r="J440" s="1"/>
      <c r="K440" s="1"/>
      <c r="L440" s="87"/>
      <c r="M440" s="87"/>
      <c r="N440" s="4"/>
      <c r="O440" s="1"/>
      <c r="P440" s="5"/>
      <c r="Q440" s="3"/>
      <c r="R440" s="3"/>
      <c r="S440" s="7"/>
      <c r="T440" s="1"/>
      <c r="U440" s="1"/>
      <c r="V440" s="1"/>
      <c r="W440" s="1"/>
      <c r="X440" s="1"/>
      <c r="Y440" s="1"/>
      <c r="Z440" s="1"/>
    </row>
    <row r="441" spans="1:26" ht="27" customHeight="1">
      <c r="A441" s="1"/>
      <c r="B441" s="1"/>
      <c r="C441" s="2"/>
      <c r="D441" s="87"/>
      <c r="E441" s="87"/>
      <c r="F441" s="87"/>
      <c r="G441" s="1"/>
      <c r="H441" s="1"/>
      <c r="I441" s="1"/>
      <c r="J441" s="1"/>
      <c r="K441" s="1"/>
      <c r="L441" s="87"/>
      <c r="M441" s="87"/>
      <c r="N441" s="4"/>
      <c r="O441" s="1"/>
      <c r="P441" s="5"/>
      <c r="Q441" s="3"/>
      <c r="R441" s="3"/>
      <c r="S441" s="7"/>
      <c r="T441" s="1"/>
      <c r="U441" s="1"/>
      <c r="V441" s="1"/>
      <c r="W441" s="1"/>
      <c r="X441" s="1"/>
      <c r="Y441" s="1"/>
      <c r="Z441" s="1"/>
    </row>
    <row r="442" spans="1:26" ht="27" customHeight="1">
      <c r="A442" s="1"/>
      <c r="B442" s="1"/>
      <c r="C442" s="2"/>
      <c r="D442" s="87"/>
      <c r="E442" s="87"/>
      <c r="F442" s="87"/>
      <c r="G442" s="1"/>
      <c r="H442" s="1"/>
      <c r="I442" s="1"/>
      <c r="J442" s="1"/>
      <c r="K442" s="1"/>
      <c r="L442" s="87"/>
      <c r="M442" s="87"/>
      <c r="N442" s="4"/>
      <c r="O442" s="1"/>
      <c r="P442" s="5"/>
      <c r="Q442" s="3"/>
      <c r="R442" s="3"/>
      <c r="S442" s="7"/>
      <c r="T442" s="1"/>
      <c r="U442" s="1"/>
      <c r="V442" s="1"/>
      <c r="W442" s="1"/>
      <c r="X442" s="1"/>
      <c r="Y442" s="1"/>
      <c r="Z442" s="1"/>
    </row>
    <row r="443" spans="1:26" ht="27" customHeight="1">
      <c r="A443" s="1"/>
      <c r="B443" s="1"/>
      <c r="C443" s="2"/>
      <c r="D443" s="87"/>
      <c r="E443" s="87"/>
      <c r="F443" s="87"/>
      <c r="G443" s="1"/>
      <c r="H443" s="1"/>
      <c r="I443" s="1"/>
      <c r="J443" s="1"/>
      <c r="K443" s="1"/>
      <c r="L443" s="87"/>
      <c r="M443" s="87"/>
      <c r="N443" s="4"/>
      <c r="O443" s="1"/>
      <c r="P443" s="5"/>
      <c r="Q443" s="3"/>
      <c r="R443" s="3"/>
      <c r="S443" s="7"/>
      <c r="T443" s="1"/>
      <c r="U443" s="1"/>
      <c r="V443" s="1"/>
      <c r="W443" s="1"/>
      <c r="X443" s="1"/>
      <c r="Y443" s="1"/>
      <c r="Z443" s="1"/>
    </row>
    <row r="444" spans="1:26" ht="27" customHeight="1">
      <c r="A444" s="1"/>
      <c r="B444" s="1"/>
      <c r="C444" s="2"/>
      <c r="D444" s="87"/>
      <c r="E444" s="87"/>
      <c r="F444" s="87"/>
      <c r="G444" s="1"/>
      <c r="H444" s="1"/>
      <c r="I444" s="1"/>
      <c r="J444" s="1"/>
      <c r="K444" s="1"/>
      <c r="L444" s="87"/>
      <c r="M444" s="87"/>
      <c r="N444" s="4"/>
      <c r="O444" s="1"/>
      <c r="P444" s="5"/>
      <c r="Q444" s="3"/>
      <c r="R444" s="3"/>
      <c r="S444" s="7"/>
      <c r="T444" s="1"/>
      <c r="U444" s="1"/>
      <c r="V444" s="1"/>
      <c r="W444" s="1"/>
      <c r="X444" s="1"/>
      <c r="Y444" s="1"/>
      <c r="Z444" s="1"/>
    </row>
    <row r="445" spans="1:26" ht="27" customHeight="1">
      <c r="A445" s="1"/>
      <c r="B445" s="1"/>
      <c r="C445" s="2"/>
      <c r="D445" s="87"/>
      <c r="E445" s="87"/>
      <c r="F445" s="87"/>
      <c r="G445" s="1"/>
      <c r="H445" s="1"/>
      <c r="I445" s="1"/>
      <c r="J445" s="1"/>
      <c r="K445" s="1"/>
      <c r="L445" s="87"/>
      <c r="M445" s="87"/>
      <c r="N445" s="4"/>
      <c r="O445" s="1"/>
      <c r="P445" s="5"/>
      <c r="Q445" s="3"/>
      <c r="R445" s="3"/>
      <c r="S445" s="7"/>
      <c r="T445" s="1"/>
      <c r="U445" s="1"/>
      <c r="V445" s="1"/>
      <c r="W445" s="1"/>
      <c r="X445" s="1"/>
      <c r="Y445" s="1"/>
      <c r="Z445" s="1"/>
    </row>
    <row r="446" spans="1:26" ht="27" customHeight="1">
      <c r="A446" s="1"/>
      <c r="B446" s="1"/>
      <c r="C446" s="2"/>
      <c r="D446" s="87"/>
      <c r="E446" s="87"/>
      <c r="F446" s="87"/>
      <c r="G446" s="1"/>
      <c r="H446" s="1"/>
      <c r="I446" s="1"/>
      <c r="J446" s="1"/>
      <c r="K446" s="1"/>
      <c r="L446" s="87"/>
      <c r="M446" s="87"/>
      <c r="N446" s="4"/>
      <c r="O446" s="1"/>
      <c r="P446" s="5"/>
      <c r="Q446" s="3"/>
      <c r="R446" s="3"/>
      <c r="S446" s="7"/>
      <c r="T446" s="1"/>
      <c r="U446" s="1"/>
      <c r="V446" s="1"/>
      <c r="W446" s="1"/>
      <c r="X446" s="1"/>
      <c r="Y446" s="1"/>
      <c r="Z446" s="1"/>
    </row>
    <row r="447" spans="1:26" ht="27" customHeight="1">
      <c r="A447" s="1"/>
      <c r="B447" s="1"/>
      <c r="C447" s="2"/>
      <c r="D447" s="87"/>
      <c r="E447" s="87"/>
      <c r="F447" s="87"/>
      <c r="G447" s="1"/>
      <c r="H447" s="1"/>
      <c r="I447" s="1"/>
      <c r="J447" s="1"/>
      <c r="K447" s="1"/>
      <c r="L447" s="87"/>
      <c r="M447" s="87"/>
      <c r="N447" s="4"/>
      <c r="O447" s="1"/>
      <c r="P447" s="5"/>
      <c r="Q447" s="3"/>
      <c r="R447" s="3"/>
      <c r="S447" s="7"/>
      <c r="T447" s="1"/>
      <c r="U447" s="1"/>
      <c r="V447" s="1"/>
      <c r="W447" s="1"/>
      <c r="X447" s="1"/>
      <c r="Y447" s="1"/>
      <c r="Z447" s="1"/>
    </row>
    <row r="448" spans="1:26" ht="27" customHeight="1">
      <c r="A448" s="1"/>
      <c r="B448" s="1"/>
      <c r="C448" s="2"/>
      <c r="D448" s="87"/>
      <c r="E448" s="87"/>
      <c r="F448" s="87"/>
      <c r="G448" s="1"/>
      <c r="H448" s="1"/>
      <c r="I448" s="1"/>
      <c r="J448" s="1"/>
      <c r="K448" s="1"/>
      <c r="L448" s="87"/>
      <c r="M448" s="87"/>
      <c r="N448" s="4"/>
      <c r="O448" s="1"/>
      <c r="P448" s="5"/>
      <c r="Q448" s="3"/>
      <c r="R448" s="3"/>
      <c r="S448" s="7"/>
      <c r="T448" s="1"/>
      <c r="U448" s="1"/>
      <c r="V448" s="1"/>
      <c r="W448" s="1"/>
      <c r="X448" s="1"/>
      <c r="Y448" s="1"/>
      <c r="Z448" s="1"/>
    </row>
    <row r="449" spans="1:26" ht="27" customHeight="1">
      <c r="A449" s="1"/>
      <c r="B449" s="1"/>
      <c r="C449" s="2"/>
      <c r="D449" s="87"/>
      <c r="E449" s="87"/>
      <c r="F449" s="87"/>
      <c r="G449" s="1"/>
      <c r="H449" s="1"/>
      <c r="I449" s="1"/>
      <c r="J449" s="1"/>
      <c r="K449" s="1"/>
      <c r="L449" s="87"/>
      <c r="M449" s="87"/>
      <c r="N449" s="4"/>
      <c r="O449" s="1"/>
      <c r="P449" s="5"/>
      <c r="Q449" s="3"/>
      <c r="R449" s="3"/>
      <c r="S449" s="7"/>
      <c r="T449" s="1"/>
      <c r="U449" s="1"/>
      <c r="V449" s="1"/>
      <c r="W449" s="1"/>
      <c r="X449" s="1"/>
      <c r="Y449" s="1"/>
      <c r="Z449" s="1"/>
    </row>
    <row r="450" spans="1:26" ht="27" customHeight="1">
      <c r="A450" s="1"/>
      <c r="B450" s="1"/>
      <c r="C450" s="2"/>
      <c r="D450" s="87"/>
      <c r="E450" s="87"/>
      <c r="F450" s="87"/>
      <c r="G450" s="1"/>
      <c r="H450" s="1"/>
      <c r="I450" s="1"/>
      <c r="J450" s="1"/>
      <c r="K450" s="1"/>
      <c r="L450" s="87"/>
      <c r="M450" s="87"/>
      <c r="N450" s="4"/>
      <c r="O450" s="1"/>
      <c r="P450" s="5"/>
      <c r="Q450" s="3"/>
      <c r="R450" s="3"/>
      <c r="S450" s="7"/>
      <c r="T450" s="1"/>
      <c r="U450" s="1"/>
      <c r="V450" s="1"/>
      <c r="W450" s="1"/>
      <c r="X450" s="1"/>
      <c r="Y450" s="1"/>
      <c r="Z450" s="1"/>
    </row>
    <row r="451" spans="1:26" ht="27" customHeight="1">
      <c r="A451" s="1"/>
      <c r="B451" s="1"/>
      <c r="C451" s="2"/>
      <c r="D451" s="87"/>
      <c r="E451" s="87"/>
      <c r="F451" s="87"/>
      <c r="G451" s="1"/>
      <c r="H451" s="1"/>
      <c r="I451" s="1"/>
      <c r="J451" s="1"/>
      <c r="K451" s="1"/>
      <c r="L451" s="87"/>
      <c r="M451" s="87"/>
      <c r="N451" s="4"/>
      <c r="O451" s="1"/>
      <c r="P451" s="5"/>
      <c r="Q451" s="3"/>
      <c r="R451" s="3"/>
      <c r="S451" s="7"/>
      <c r="T451" s="1"/>
      <c r="U451" s="1"/>
      <c r="V451" s="1"/>
      <c r="W451" s="1"/>
      <c r="X451" s="1"/>
      <c r="Y451" s="1"/>
      <c r="Z451" s="1"/>
    </row>
    <row r="452" spans="1:26" ht="27" customHeight="1">
      <c r="A452" s="1"/>
      <c r="B452" s="1"/>
      <c r="C452" s="2"/>
      <c r="D452" s="87"/>
      <c r="E452" s="87"/>
      <c r="F452" s="87"/>
      <c r="G452" s="1"/>
      <c r="H452" s="1"/>
      <c r="I452" s="1"/>
      <c r="J452" s="1"/>
      <c r="K452" s="1"/>
      <c r="L452" s="87"/>
      <c r="M452" s="87"/>
      <c r="N452" s="4"/>
      <c r="O452" s="1"/>
      <c r="P452" s="5"/>
      <c r="Q452" s="3"/>
      <c r="R452" s="3"/>
      <c r="S452" s="7"/>
      <c r="T452" s="1"/>
      <c r="U452" s="1"/>
      <c r="V452" s="1"/>
      <c r="W452" s="1"/>
      <c r="X452" s="1"/>
      <c r="Y452" s="1"/>
      <c r="Z452" s="1"/>
    </row>
    <row r="453" spans="1:26" ht="27" customHeight="1">
      <c r="A453" s="1"/>
      <c r="B453" s="1"/>
      <c r="C453" s="2"/>
      <c r="D453" s="87"/>
      <c r="E453" s="87"/>
      <c r="F453" s="87"/>
      <c r="G453" s="1"/>
      <c r="H453" s="1"/>
      <c r="I453" s="1"/>
      <c r="J453" s="1"/>
      <c r="K453" s="1"/>
      <c r="L453" s="87"/>
      <c r="M453" s="87"/>
      <c r="N453" s="4"/>
      <c r="O453" s="1"/>
      <c r="P453" s="5"/>
      <c r="Q453" s="3"/>
      <c r="R453" s="3"/>
      <c r="S453" s="7"/>
      <c r="T453" s="1"/>
      <c r="U453" s="1"/>
      <c r="V453" s="1"/>
      <c r="W453" s="1"/>
      <c r="X453" s="1"/>
      <c r="Y453" s="1"/>
      <c r="Z453" s="1"/>
    </row>
    <row r="454" spans="1:26" ht="27" customHeight="1">
      <c r="A454" s="1"/>
      <c r="B454" s="1"/>
      <c r="C454" s="2"/>
      <c r="D454" s="87"/>
      <c r="E454" s="87"/>
      <c r="F454" s="87"/>
      <c r="G454" s="1"/>
      <c r="H454" s="1"/>
      <c r="I454" s="1"/>
      <c r="J454" s="1"/>
      <c r="K454" s="1"/>
      <c r="L454" s="87"/>
      <c r="M454" s="87"/>
      <c r="N454" s="4"/>
      <c r="O454" s="1"/>
      <c r="P454" s="5"/>
      <c r="Q454" s="3"/>
      <c r="R454" s="3"/>
      <c r="S454" s="7"/>
      <c r="T454" s="1"/>
      <c r="U454" s="1"/>
      <c r="V454" s="1"/>
      <c r="W454" s="1"/>
      <c r="X454" s="1"/>
      <c r="Y454" s="1"/>
      <c r="Z454" s="1"/>
    </row>
    <row r="455" spans="1:26" ht="27" customHeight="1">
      <c r="A455" s="1"/>
      <c r="B455" s="1"/>
      <c r="C455" s="2"/>
      <c r="D455" s="87"/>
      <c r="E455" s="87"/>
      <c r="F455" s="87"/>
      <c r="G455" s="1"/>
      <c r="H455" s="1"/>
      <c r="I455" s="1"/>
      <c r="J455" s="1"/>
      <c r="K455" s="1"/>
      <c r="L455" s="87"/>
      <c r="M455" s="87"/>
      <c r="N455" s="4"/>
      <c r="O455" s="1"/>
      <c r="P455" s="5"/>
      <c r="Q455" s="3"/>
      <c r="R455" s="3"/>
      <c r="S455" s="7"/>
      <c r="T455" s="1"/>
      <c r="U455" s="1"/>
      <c r="V455" s="1"/>
      <c r="W455" s="1"/>
      <c r="X455" s="1"/>
      <c r="Y455" s="1"/>
      <c r="Z455" s="1"/>
    </row>
    <row r="456" spans="1:26" ht="27" customHeight="1">
      <c r="A456" s="1"/>
      <c r="B456" s="1"/>
      <c r="C456" s="2"/>
      <c r="D456" s="87"/>
      <c r="E456" s="87"/>
      <c r="F456" s="87"/>
      <c r="G456" s="1"/>
      <c r="H456" s="1"/>
      <c r="I456" s="1"/>
      <c r="J456" s="1"/>
      <c r="K456" s="1"/>
      <c r="L456" s="87"/>
      <c r="M456" s="87"/>
      <c r="N456" s="4"/>
      <c r="O456" s="1"/>
      <c r="P456" s="5"/>
      <c r="Q456" s="3"/>
      <c r="R456" s="3"/>
      <c r="S456" s="7"/>
      <c r="T456" s="1"/>
      <c r="U456" s="1"/>
      <c r="V456" s="1"/>
      <c r="W456" s="1"/>
      <c r="X456" s="1"/>
      <c r="Y456" s="1"/>
      <c r="Z456" s="1"/>
    </row>
    <row r="457" spans="1:26" ht="27" customHeight="1">
      <c r="A457" s="1"/>
      <c r="B457" s="1"/>
      <c r="C457" s="2"/>
      <c r="D457" s="87"/>
      <c r="E457" s="87"/>
      <c r="F457" s="87"/>
      <c r="G457" s="1"/>
      <c r="H457" s="1"/>
      <c r="I457" s="1"/>
      <c r="J457" s="1"/>
      <c r="K457" s="1"/>
      <c r="L457" s="87"/>
      <c r="M457" s="87"/>
      <c r="N457" s="4"/>
      <c r="O457" s="1"/>
      <c r="P457" s="5"/>
      <c r="Q457" s="3"/>
      <c r="R457" s="3"/>
      <c r="S457" s="7"/>
      <c r="T457" s="1"/>
      <c r="U457" s="1"/>
      <c r="V457" s="1"/>
      <c r="W457" s="1"/>
      <c r="X457" s="1"/>
      <c r="Y457" s="1"/>
      <c r="Z457" s="1"/>
    </row>
    <row r="458" spans="1:26" ht="27" customHeight="1">
      <c r="A458" s="1"/>
      <c r="B458" s="1"/>
      <c r="C458" s="2"/>
      <c r="D458" s="87"/>
      <c r="E458" s="87"/>
      <c r="F458" s="87"/>
      <c r="G458" s="1"/>
      <c r="H458" s="1"/>
      <c r="I458" s="1"/>
      <c r="J458" s="1"/>
      <c r="K458" s="1"/>
      <c r="L458" s="87"/>
      <c r="M458" s="87"/>
      <c r="N458" s="4"/>
      <c r="O458" s="1"/>
      <c r="P458" s="5"/>
      <c r="Q458" s="3"/>
      <c r="R458" s="3"/>
      <c r="S458" s="7"/>
      <c r="T458" s="1"/>
      <c r="U458" s="1"/>
      <c r="V458" s="1"/>
      <c r="W458" s="1"/>
      <c r="X458" s="1"/>
      <c r="Y458" s="1"/>
      <c r="Z458" s="1"/>
    </row>
    <row r="459" spans="1:26" ht="27" customHeight="1">
      <c r="A459" s="1"/>
      <c r="B459" s="1"/>
      <c r="C459" s="2"/>
      <c r="D459" s="87"/>
      <c r="E459" s="87"/>
      <c r="F459" s="87"/>
      <c r="G459" s="1"/>
      <c r="H459" s="1"/>
      <c r="I459" s="1"/>
      <c r="J459" s="1"/>
      <c r="K459" s="1"/>
      <c r="L459" s="87"/>
      <c r="M459" s="87"/>
      <c r="N459" s="4"/>
      <c r="O459" s="1"/>
      <c r="P459" s="5"/>
      <c r="Q459" s="3"/>
      <c r="R459" s="3"/>
      <c r="S459" s="7"/>
      <c r="T459" s="1"/>
      <c r="U459" s="1"/>
      <c r="V459" s="1"/>
      <c r="W459" s="1"/>
      <c r="X459" s="1"/>
      <c r="Y459" s="1"/>
      <c r="Z459" s="1"/>
    </row>
    <row r="460" spans="1:26" ht="27" customHeight="1">
      <c r="A460" s="1"/>
      <c r="B460" s="1"/>
      <c r="C460" s="2"/>
      <c r="D460" s="87"/>
      <c r="E460" s="87"/>
      <c r="F460" s="87"/>
      <c r="G460" s="1"/>
      <c r="H460" s="1"/>
      <c r="I460" s="1"/>
      <c r="J460" s="1"/>
      <c r="K460" s="1"/>
      <c r="L460" s="87"/>
      <c r="M460" s="87"/>
      <c r="N460" s="4"/>
      <c r="O460" s="1"/>
      <c r="P460" s="5"/>
      <c r="Q460" s="3"/>
      <c r="R460" s="3"/>
      <c r="S460" s="7"/>
      <c r="T460" s="1"/>
      <c r="U460" s="1"/>
      <c r="V460" s="1"/>
      <c r="W460" s="1"/>
      <c r="X460" s="1"/>
      <c r="Y460" s="1"/>
      <c r="Z460" s="1"/>
    </row>
    <row r="461" spans="1:26" ht="27" customHeight="1">
      <c r="A461" s="1"/>
      <c r="B461" s="1"/>
      <c r="C461" s="2"/>
      <c r="D461" s="87"/>
      <c r="E461" s="87"/>
      <c r="F461" s="87"/>
      <c r="G461" s="1"/>
      <c r="H461" s="1"/>
      <c r="I461" s="1"/>
      <c r="J461" s="1"/>
      <c r="K461" s="1"/>
      <c r="L461" s="87"/>
      <c r="M461" s="87"/>
      <c r="N461" s="4"/>
      <c r="O461" s="1"/>
      <c r="P461" s="5"/>
      <c r="Q461" s="3"/>
      <c r="R461" s="3"/>
      <c r="S461" s="7"/>
      <c r="T461" s="1"/>
      <c r="U461" s="1"/>
      <c r="V461" s="1"/>
      <c r="W461" s="1"/>
      <c r="X461" s="1"/>
      <c r="Y461" s="1"/>
      <c r="Z461" s="1"/>
    </row>
    <row r="462" spans="1:26" ht="27" customHeight="1">
      <c r="A462" s="1"/>
      <c r="B462" s="1"/>
      <c r="C462" s="2"/>
      <c r="D462" s="87"/>
      <c r="E462" s="87"/>
      <c r="F462" s="87"/>
      <c r="G462" s="1"/>
      <c r="H462" s="1"/>
      <c r="I462" s="1"/>
      <c r="J462" s="1"/>
      <c r="K462" s="1"/>
      <c r="L462" s="87"/>
      <c r="M462" s="87"/>
      <c r="N462" s="4"/>
      <c r="O462" s="1"/>
      <c r="P462" s="5"/>
      <c r="Q462" s="3"/>
      <c r="R462" s="3"/>
      <c r="S462" s="7"/>
      <c r="T462" s="1"/>
      <c r="U462" s="1"/>
      <c r="V462" s="1"/>
      <c r="W462" s="1"/>
      <c r="X462" s="1"/>
      <c r="Y462" s="1"/>
      <c r="Z462" s="1"/>
    </row>
    <row r="463" spans="1:26" ht="27" customHeight="1">
      <c r="A463" s="1"/>
      <c r="B463" s="1"/>
      <c r="C463" s="2"/>
      <c r="D463" s="87"/>
      <c r="E463" s="87"/>
      <c r="F463" s="87"/>
      <c r="G463" s="1"/>
      <c r="H463" s="1"/>
      <c r="I463" s="1"/>
      <c r="J463" s="1"/>
      <c r="K463" s="1"/>
      <c r="L463" s="87"/>
      <c r="M463" s="87"/>
      <c r="N463" s="4"/>
      <c r="O463" s="1"/>
      <c r="P463" s="5"/>
      <c r="Q463" s="3"/>
      <c r="R463" s="3"/>
      <c r="S463" s="7"/>
      <c r="T463" s="1"/>
      <c r="U463" s="1"/>
      <c r="V463" s="1"/>
      <c r="W463" s="1"/>
      <c r="X463" s="1"/>
      <c r="Y463" s="1"/>
      <c r="Z463" s="1"/>
    </row>
    <row r="464" spans="1:26" ht="27" customHeight="1">
      <c r="A464" s="1"/>
      <c r="B464" s="1"/>
      <c r="C464" s="2"/>
      <c r="D464" s="87"/>
      <c r="E464" s="87"/>
      <c r="F464" s="87"/>
      <c r="G464" s="1"/>
      <c r="H464" s="1"/>
      <c r="I464" s="1"/>
      <c r="J464" s="1"/>
      <c r="K464" s="1"/>
      <c r="L464" s="87"/>
      <c r="M464" s="87"/>
      <c r="N464" s="4"/>
      <c r="O464" s="1"/>
      <c r="P464" s="5"/>
      <c r="Q464" s="3"/>
      <c r="R464" s="3"/>
      <c r="S464" s="7"/>
      <c r="T464" s="1"/>
      <c r="U464" s="1"/>
      <c r="V464" s="1"/>
      <c r="W464" s="1"/>
      <c r="X464" s="1"/>
      <c r="Y464" s="1"/>
      <c r="Z464" s="1"/>
    </row>
    <row r="465" spans="1:26" ht="27" customHeight="1">
      <c r="A465" s="1"/>
      <c r="B465" s="1"/>
      <c r="C465" s="2"/>
      <c r="D465" s="87"/>
      <c r="E465" s="87"/>
      <c r="F465" s="87"/>
      <c r="G465" s="1"/>
      <c r="H465" s="1"/>
      <c r="I465" s="1"/>
      <c r="J465" s="1"/>
      <c r="K465" s="1"/>
      <c r="L465" s="87"/>
      <c r="M465" s="87"/>
      <c r="N465" s="4"/>
      <c r="O465" s="1"/>
      <c r="P465" s="5"/>
      <c r="Q465" s="3"/>
      <c r="R465" s="3"/>
      <c r="S465" s="7"/>
      <c r="T465" s="1"/>
      <c r="U465" s="1"/>
      <c r="V465" s="1"/>
      <c r="W465" s="1"/>
      <c r="X465" s="1"/>
      <c r="Y465" s="1"/>
      <c r="Z465" s="1"/>
    </row>
    <row r="466" spans="1:26" ht="27" customHeight="1">
      <c r="A466" s="1"/>
      <c r="B466" s="1"/>
      <c r="C466" s="2"/>
      <c r="D466" s="87"/>
      <c r="E466" s="87"/>
      <c r="F466" s="87"/>
      <c r="G466" s="1"/>
      <c r="H466" s="1"/>
      <c r="I466" s="1"/>
      <c r="J466" s="1"/>
      <c r="K466" s="1"/>
      <c r="L466" s="87"/>
      <c r="M466" s="87"/>
      <c r="N466" s="4"/>
      <c r="O466" s="1"/>
      <c r="P466" s="5"/>
      <c r="Q466" s="3"/>
      <c r="R466" s="3"/>
      <c r="S466" s="7"/>
      <c r="T466" s="1"/>
      <c r="U466" s="1"/>
      <c r="V466" s="1"/>
      <c r="W466" s="1"/>
      <c r="X466" s="1"/>
      <c r="Y466" s="1"/>
      <c r="Z466" s="1"/>
    </row>
    <row r="467" spans="1:26" ht="27" customHeight="1">
      <c r="A467" s="1"/>
      <c r="B467" s="1"/>
      <c r="C467" s="2"/>
      <c r="D467" s="87"/>
      <c r="E467" s="87"/>
      <c r="F467" s="87"/>
      <c r="G467" s="1"/>
      <c r="H467" s="1"/>
      <c r="I467" s="1"/>
      <c r="J467" s="1"/>
      <c r="K467" s="1"/>
      <c r="L467" s="87"/>
      <c r="M467" s="87"/>
      <c r="N467" s="4"/>
      <c r="O467" s="1"/>
      <c r="P467" s="5"/>
      <c r="Q467" s="3"/>
      <c r="R467" s="3"/>
      <c r="S467" s="7"/>
      <c r="T467" s="1"/>
      <c r="U467" s="1"/>
      <c r="V467" s="1"/>
      <c r="W467" s="1"/>
      <c r="X467" s="1"/>
      <c r="Y467" s="1"/>
      <c r="Z467" s="1"/>
    </row>
    <row r="468" spans="1:26" ht="27" customHeight="1">
      <c r="A468" s="1"/>
      <c r="B468" s="1"/>
      <c r="C468" s="2"/>
      <c r="D468" s="87"/>
      <c r="E468" s="87"/>
      <c r="F468" s="87"/>
      <c r="G468" s="1"/>
      <c r="H468" s="1"/>
      <c r="I468" s="1"/>
      <c r="J468" s="1"/>
      <c r="K468" s="1"/>
      <c r="L468" s="87"/>
      <c r="M468" s="87"/>
      <c r="N468" s="4"/>
      <c r="O468" s="1"/>
      <c r="P468" s="5"/>
      <c r="Q468" s="3"/>
      <c r="R468" s="3"/>
      <c r="S468" s="7"/>
      <c r="T468" s="1"/>
      <c r="U468" s="1"/>
      <c r="V468" s="1"/>
      <c r="W468" s="1"/>
      <c r="X468" s="1"/>
      <c r="Y468" s="1"/>
      <c r="Z468" s="1"/>
    </row>
    <row r="469" spans="1:26" ht="27" customHeight="1">
      <c r="A469" s="1"/>
      <c r="B469" s="1"/>
      <c r="C469" s="2"/>
      <c r="D469" s="87"/>
      <c r="E469" s="87"/>
      <c r="F469" s="87"/>
      <c r="G469" s="1"/>
      <c r="H469" s="1"/>
      <c r="I469" s="1"/>
      <c r="J469" s="1"/>
      <c r="K469" s="1"/>
      <c r="L469" s="87"/>
      <c r="M469" s="87"/>
      <c r="N469" s="4"/>
      <c r="O469" s="1"/>
      <c r="P469" s="5"/>
      <c r="Q469" s="3"/>
      <c r="R469" s="3"/>
      <c r="S469" s="7"/>
      <c r="T469" s="1"/>
      <c r="U469" s="1"/>
      <c r="V469" s="1"/>
      <c r="W469" s="1"/>
      <c r="X469" s="1"/>
      <c r="Y469" s="1"/>
      <c r="Z469" s="1"/>
    </row>
    <row r="470" spans="1:26" ht="27" customHeight="1">
      <c r="A470" s="1"/>
      <c r="B470" s="1"/>
      <c r="C470" s="2"/>
      <c r="D470" s="87"/>
      <c r="E470" s="87"/>
      <c r="F470" s="87"/>
      <c r="G470" s="1"/>
      <c r="H470" s="1"/>
      <c r="I470" s="1"/>
      <c r="J470" s="1"/>
      <c r="K470" s="1"/>
      <c r="L470" s="87"/>
      <c r="M470" s="87"/>
      <c r="N470" s="4"/>
      <c r="O470" s="1"/>
      <c r="P470" s="5"/>
      <c r="Q470" s="3"/>
      <c r="R470" s="3"/>
      <c r="S470" s="7"/>
      <c r="T470" s="1"/>
      <c r="U470" s="1"/>
      <c r="V470" s="1"/>
      <c r="W470" s="1"/>
      <c r="X470" s="1"/>
      <c r="Y470" s="1"/>
      <c r="Z470" s="1"/>
    </row>
    <row r="471" spans="1:26" ht="27" customHeight="1">
      <c r="A471" s="1"/>
      <c r="B471" s="1"/>
      <c r="C471" s="2"/>
      <c r="D471" s="87"/>
      <c r="E471" s="87"/>
      <c r="F471" s="87"/>
      <c r="G471" s="1"/>
      <c r="H471" s="1"/>
      <c r="I471" s="1"/>
      <c r="J471" s="1"/>
      <c r="K471" s="1"/>
      <c r="L471" s="87"/>
      <c r="M471" s="87"/>
      <c r="N471" s="4"/>
      <c r="O471" s="1"/>
      <c r="P471" s="5"/>
      <c r="Q471" s="3"/>
      <c r="R471" s="3"/>
      <c r="S471" s="7"/>
      <c r="T471" s="1"/>
      <c r="U471" s="1"/>
      <c r="V471" s="1"/>
      <c r="W471" s="1"/>
      <c r="X471" s="1"/>
      <c r="Y471" s="1"/>
      <c r="Z471" s="1"/>
    </row>
    <row r="472" spans="1:26" ht="27" customHeight="1">
      <c r="A472" s="1"/>
      <c r="B472" s="1"/>
      <c r="C472" s="2"/>
      <c r="D472" s="87"/>
      <c r="E472" s="87"/>
      <c r="F472" s="87"/>
      <c r="G472" s="1"/>
      <c r="H472" s="1"/>
      <c r="I472" s="1"/>
      <c r="J472" s="1"/>
      <c r="K472" s="1"/>
      <c r="L472" s="87"/>
      <c r="M472" s="87"/>
      <c r="N472" s="4"/>
      <c r="O472" s="1"/>
      <c r="P472" s="5"/>
      <c r="Q472" s="3"/>
      <c r="R472" s="3"/>
      <c r="S472" s="7"/>
      <c r="T472" s="1"/>
      <c r="U472" s="1"/>
      <c r="V472" s="1"/>
      <c r="W472" s="1"/>
      <c r="X472" s="1"/>
      <c r="Y472" s="1"/>
      <c r="Z472" s="1"/>
    </row>
    <row r="473" spans="1:26" ht="27" customHeight="1">
      <c r="A473" s="1"/>
      <c r="B473" s="1"/>
      <c r="C473" s="2"/>
      <c r="D473" s="87"/>
      <c r="E473" s="87"/>
      <c r="F473" s="87"/>
      <c r="G473" s="1"/>
      <c r="H473" s="1"/>
      <c r="I473" s="1"/>
      <c r="J473" s="1"/>
      <c r="K473" s="1"/>
      <c r="L473" s="87"/>
      <c r="M473" s="87"/>
      <c r="N473" s="4"/>
      <c r="O473" s="1"/>
      <c r="P473" s="5"/>
      <c r="Q473" s="3"/>
      <c r="R473" s="3"/>
      <c r="S473" s="7"/>
      <c r="T473" s="1"/>
      <c r="U473" s="1"/>
      <c r="V473" s="1"/>
      <c r="W473" s="1"/>
      <c r="X473" s="1"/>
      <c r="Y473" s="1"/>
      <c r="Z473" s="1"/>
    </row>
    <row r="474" spans="1:26" ht="27" customHeight="1">
      <c r="A474" s="1"/>
      <c r="B474" s="1"/>
      <c r="C474" s="2"/>
      <c r="D474" s="87"/>
      <c r="E474" s="87"/>
      <c r="F474" s="87"/>
      <c r="G474" s="1"/>
      <c r="H474" s="1"/>
      <c r="I474" s="1"/>
      <c r="J474" s="1"/>
      <c r="K474" s="1"/>
      <c r="L474" s="87"/>
      <c r="M474" s="87"/>
      <c r="N474" s="4"/>
      <c r="O474" s="1"/>
      <c r="P474" s="5"/>
      <c r="Q474" s="3"/>
      <c r="R474" s="3"/>
      <c r="S474" s="7"/>
      <c r="T474" s="1"/>
      <c r="U474" s="1"/>
      <c r="V474" s="1"/>
      <c r="W474" s="1"/>
      <c r="X474" s="1"/>
      <c r="Y474" s="1"/>
      <c r="Z474" s="1"/>
    </row>
    <row r="475" spans="1:26" ht="27" customHeight="1">
      <c r="A475" s="1"/>
      <c r="B475" s="1"/>
      <c r="C475" s="2"/>
      <c r="D475" s="87"/>
      <c r="E475" s="87"/>
      <c r="F475" s="87"/>
      <c r="G475" s="1"/>
      <c r="H475" s="1"/>
      <c r="I475" s="1"/>
      <c r="J475" s="1"/>
      <c r="K475" s="1"/>
      <c r="L475" s="87"/>
      <c r="M475" s="87"/>
      <c r="N475" s="4"/>
      <c r="O475" s="1"/>
      <c r="P475" s="5"/>
      <c r="Q475" s="3"/>
      <c r="R475" s="3"/>
      <c r="S475" s="7"/>
      <c r="T475" s="1"/>
      <c r="U475" s="1"/>
      <c r="V475" s="1"/>
      <c r="W475" s="1"/>
      <c r="X475" s="1"/>
      <c r="Y475" s="1"/>
      <c r="Z475" s="1"/>
    </row>
    <row r="476" spans="1:26" ht="27" customHeight="1">
      <c r="A476" s="1"/>
      <c r="B476" s="1"/>
      <c r="C476" s="2"/>
      <c r="D476" s="87"/>
      <c r="E476" s="87"/>
      <c r="F476" s="87"/>
      <c r="G476" s="1"/>
      <c r="H476" s="1"/>
      <c r="I476" s="1"/>
      <c r="J476" s="1"/>
      <c r="K476" s="1"/>
      <c r="L476" s="87"/>
      <c r="M476" s="87"/>
      <c r="N476" s="4"/>
      <c r="O476" s="1"/>
      <c r="P476" s="5"/>
      <c r="Q476" s="3"/>
      <c r="R476" s="3"/>
      <c r="S476" s="7"/>
      <c r="T476" s="1"/>
      <c r="U476" s="1"/>
      <c r="V476" s="1"/>
      <c r="W476" s="1"/>
      <c r="X476" s="1"/>
      <c r="Y476" s="1"/>
      <c r="Z476" s="1"/>
    </row>
    <row r="477" spans="1:26" ht="27" customHeight="1">
      <c r="A477" s="1"/>
      <c r="B477" s="1"/>
      <c r="C477" s="2"/>
      <c r="D477" s="87"/>
      <c r="E477" s="87"/>
      <c r="F477" s="87"/>
      <c r="G477" s="1"/>
      <c r="H477" s="1"/>
      <c r="I477" s="1"/>
      <c r="J477" s="1"/>
      <c r="K477" s="1"/>
      <c r="L477" s="87"/>
      <c r="M477" s="87"/>
      <c r="N477" s="4"/>
      <c r="O477" s="1"/>
      <c r="P477" s="5"/>
      <c r="Q477" s="3"/>
      <c r="R477" s="3"/>
      <c r="S477" s="7"/>
      <c r="T477" s="1"/>
      <c r="U477" s="1"/>
      <c r="V477" s="1"/>
      <c r="W477" s="1"/>
      <c r="X477" s="1"/>
      <c r="Y477" s="1"/>
      <c r="Z477" s="1"/>
    </row>
    <row r="478" spans="1:26" ht="27" customHeight="1">
      <c r="A478" s="1"/>
      <c r="B478" s="1"/>
      <c r="C478" s="2"/>
      <c r="D478" s="87"/>
      <c r="E478" s="87"/>
      <c r="F478" s="87"/>
      <c r="G478" s="1"/>
      <c r="H478" s="1"/>
      <c r="I478" s="1"/>
      <c r="J478" s="1"/>
      <c r="K478" s="1"/>
      <c r="L478" s="87"/>
      <c r="M478" s="87"/>
      <c r="N478" s="4"/>
      <c r="O478" s="1"/>
      <c r="P478" s="5"/>
      <c r="Q478" s="3"/>
      <c r="R478" s="3"/>
      <c r="S478" s="7"/>
      <c r="T478" s="1"/>
      <c r="U478" s="1"/>
      <c r="V478" s="1"/>
      <c r="W478" s="1"/>
      <c r="X478" s="1"/>
      <c r="Y478" s="1"/>
      <c r="Z478" s="1"/>
    </row>
    <row r="479" spans="1:26" ht="27" customHeight="1">
      <c r="A479" s="1"/>
      <c r="B479" s="1"/>
      <c r="C479" s="2"/>
      <c r="D479" s="87"/>
      <c r="E479" s="87"/>
      <c r="F479" s="87"/>
      <c r="G479" s="1"/>
      <c r="H479" s="1"/>
      <c r="I479" s="1"/>
      <c r="J479" s="1"/>
      <c r="K479" s="1"/>
      <c r="L479" s="87"/>
      <c r="M479" s="87"/>
      <c r="N479" s="4"/>
      <c r="O479" s="1"/>
      <c r="P479" s="5"/>
      <c r="Q479" s="3"/>
      <c r="R479" s="3"/>
      <c r="S479" s="7"/>
      <c r="T479" s="1"/>
      <c r="U479" s="1"/>
      <c r="V479" s="1"/>
      <c r="W479" s="1"/>
      <c r="X479" s="1"/>
      <c r="Y479" s="1"/>
      <c r="Z479" s="1"/>
    </row>
    <row r="480" spans="1:26" ht="27" customHeight="1">
      <c r="A480" s="1"/>
      <c r="B480" s="1"/>
      <c r="C480" s="2"/>
      <c r="D480" s="87"/>
      <c r="E480" s="87"/>
      <c r="F480" s="87"/>
      <c r="G480" s="1"/>
      <c r="H480" s="1"/>
      <c r="I480" s="1"/>
      <c r="J480" s="1"/>
      <c r="K480" s="1"/>
      <c r="L480" s="87"/>
      <c r="M480" s="87"/>
      <c r="N480" s="4"/>
      <c r="O480" s="1"/>
      <c r="P480" s="5"/>
      <c r="Q480" s="3"/>
      <c r="R480" s="3"/>
      <c r="S480" s="7"/>
      <c r="T480" s="1"/>
      <c r="U480" s="1"/>
      <c r="V480" s="1"/>
      <c r="W480" s="1"/>
      <c r="X480" s="1"/>
      <c r="Y480" s="1"/>
      <c r="Z480" s="1"/>
    </row>
    <row r="481" spans="1:26" ht="27" customHeight="1">
      <c r="A481" s="1"/>
      <c r="B481" s="1"/>
      <c r="C481" s="2"/>
      <c r="D481" s="87"/>
      <c r="E481" s="87"/>
      <c r="F481" s="87"/>
      <c r="G481" s="1"/>
      <c r="H481" s="1"/>
      <c r="I481" s="1"/>
      <c r="J481" s="1"/>
      <c r="K481" s="1"/>
      <c r="L481" s="87"/>
      <c r="M481" s="87"/>
      <c r="N481" s="4"/>
      <c r="O481" s="1"/>
      <c r="P481" s="5"/>
      <c r="Q481" s="3"/>
      <c r="R481" s="3"/>
      <c r="S481" s="7"/>
      <c r="T481" s="1"/>
      <c r="U481" s="1"/>
      <c r="V481" s="1"/>
      <c r="W481" s="1"/>
      <c r="X481" s="1"/>
      <c r="Y481" s="1"/>
      <c r="Z481" s="1"/>
    </row>
    <row r="482" spans="1:26" ht="27" customHeight="1">
      <c r="A482" s="1"/>
      <c r="B482" s="1"/>
      <c r="C482" s="2"/>
      <c r="D482" s="87"/>
      <c r="E482" s="87"/>
      <c r="F482" s="87"/>
      <c r="G482" s="1"/>
      <c r="H482" s="1"/>
      <c r="I482" s="1"/>
      <c r="J482" s="1"/>
      <c r="K482" s="1"/>
      <c r="L482" s="87"/>
      <c r="M482" s="87"/>
      <c r="N482" s="4"/>
      <c r="O482" s="1"/>
      <c r="P482" s="5"/>
      <c r="Q482" s="3"/>
      <c r="R482" s="3"/>
      <c r="S482" s="7"/>
      <c r="T482" s="1"/>
      <c r="U482" s="1"/>
      <c r="V482" s="1"/>
      <c r="W482" s="1"/>
      <c r="X482" s="1"/>
      <c r="Y482" s="1"/>
      <c r="Z482" s="1"/>
    </row>
    <row r="483" spans="1:26" ht="27" customHeight="1">
      <c r="A483" s="1"/>
      <c r="B483" s="1"/>
      <c r="C483" s="2"/>
      <c r="D483" s="87"/>
      <c r="E483" s="87"/>
      <c r="F483" s="87"/>
      <c r="G483" s="1"/>
      <c r="H483" s="1"/>
      <c r="I483" s="1"/>
      <c r="J483" s="1"/>
      <c r="K483" s="1"/>
      <c r="L483" s="87"/>
      <c r="M483" s="87"/>
      <c r="N483" s="4"/>
      <c r="O483" s="1"/>
      <c r="P483" s="5"/>
      <c r="Q483" s="3"/>
      <c r="R483" s="3"/>
      <c r="S483" s="7"/>
      <c r="T483" s="1"/>
      <c r="U483" s="1"/>
      <c r="V483" s="1"/>
      <c r="W483" s="1"/>
      <c r="X483" s="1"/>
      <c r="Y483" s="1"/>
      <c r="Z483" s="1"/>
    </row>
    <row r="484" spans="1:26" ht="27" customHeight="1">
      <c r="A484" s="1"/>
      <c r="B484" s="1"/>
      <c r="C484" s="2"/>
      <c r="D484" s="87"/>
      <c r="E484" s="87"/>
      <c r="F484" s="87"/>
      <c r="G484" s="1"/>
      <c r="H484" s="1"/>
      <c r="I484" s="1"/>
      <c r="J484" s="1"/>
      <c r="K484" s="1"/>
      <c r="L484" s="87"/>
      <c r="M484" s="87"/>
      <c r="N484" s="4"/>
      <c r="O484" s="1"/>
      <c r="P484" s="5"/>
      <c r="Q484" s="3"/>
      <c r="R484" s="3"/>
      <c r="S484" s="7"/>
      <c r="T484" s="1"/>
      <c r="U484" s="1"/>
      <c r="V484" s="1"/>
      <c r="W484" s="1"/>
      <c r="X484" s="1"/>
      <c r="Y484" s="1"/>
      <c r="Z484" s="1"/>
    </row>
    <row r="485" spans="1:26" ht="27" customHeight="1">
      <c r="A485" s="1"/>
      <c r="B485" s="1"/>
      <c r="C485" s="2"/>
      <c r="D485" s="87"/>
      <c r="E485" s="87"/>
      <c r="F485" s="87"/>
      <c r="G485" s="1"/>
      <c r="H485" s="1"/>
      <c r="I485" s="1"/>
      <c r="J485" s="1"/>
      <c r="K485" s="1"/>
      <c r="L485" s="87"/>
      <c r="M485" s="87"/>
      <c r="N485" s="4"/>
      <c r="O485" s="1"/>
      <c r="P485" s="5"/>
      <c r="Q485" s="3"/>
      <c r="R485" s="3"/>
      <c r="S485" s="7"/>
      <c r="T485" s="1"/>
      <c r="U485" s="1"/>
      <c r="V485" s="1"/>
      <c r="W485" s="1"/>
      <c r="X485" s="1"/>
      <c r="Y485" s="1"/>
      <c r="Z485" s="1"/>
    </row>
    <row r="486" spans="1:26" ht="27" customHeight="1">
      <c r="A486" s="1"/>
      <c r="B486" s="1"/>
      <c r="C486" s="2"/>
      <c r="D486" s="87"/>
      <c r="E486" s="87"/>
      <c r="F486" s="87"/>
      <c r="G486" s="1"/>
      <c r="H486" s="1"/>
      <c r="I486" s="1"/>
      <c r="J486" s="1"/>
      <c r="K486" s="1"/>
      <c r="L486" s="87"/>
      <c r="M486" s="87"/>
      <c r="N486" s="4"/>
      <c r="O486" s="1"/>
      <c r="P486" s="5"/>
      <c r="Q486" s="3"/>
      <c r="R486" s="3"/>
      <c r="S486" s="7"/>
      <c r="T486" s="1"/>
      <c r="U486" s="1"/>
      <c r="V486" s="1"/>
      <c r="W486" s="1"/>
      <c r="X486" s="1"/>
      <c r="Y486" s="1"/>
      <c r="Z486" s="1"/>
    </row>
    <row r="487" spans="1:26" ht="27" customHeight="1">
      <c r="A487" s="1"/>
      <c r="B487" s="1"/>
      <c r="C487" s="2"/>
      <c r="D487" s="87"/>
      <c r="E487" s="87"/>
      <c r="F487" s="87"/>
      <c r="G487" s="1"/>
      <c r="H487" s="1"/>
      <c r="I487" s="1"/>
      <c r="J487" s="1"/>
      <c r="K487" s="1"/>
      <c r="L487" s="87"/>
      <c r="M487" s="87"/>
      <c r="N487" s="4"/>
      <c r="O487" s="1"/>
      <c r="P487" s="5"/>
      <c r="Q487" s="3"/>
      <c r="R487" s="3"/>
      <c r="S487" s="7"/>
      <c r="T487" s="1"/>
      <c r="U487" s="1"/>
      <c r="V487" s="1"/>
      <c r="W487" s="1"/>
      <c r="X487" s="1"/>
      <c r="Y487" s="1"/>
      <c r="Z487" s="1"/>
    </row>
    <row r="488" spans="1:26" ht="27" customHeight="1">
      <c r="A488" s="1"/>
      <c r="B488" s="1"/>
      <c r="C488" s="2"/>
      <c r="D488" s="87"/>
      <c r="E488" s="87"/>
      <c r="F488" s="87"/>
      <c r="G488" s="1"/>
      <c r="H488" s="1"/>
      <c r="I488" s="1"/>
      <c r="J488" s="1"/>
      <c r="K488" s="1"/>
      <c r="L488" s="87"/>
      <c r="M488" s="87"/>
      <c r="N488" s="4"/>
      <c r="O488" s="1"/>
      <c r="P488" s="5"/>
      <c r="Q488" s="3"/>
      <c r="R488" s="3"/>
      <c r="S488" s="7"/>
      <c r="T488" s="1"/>
      <c r="U488" s="1"/>
      <c r="V488" s="1"/>
      <c r="W488" s="1"/>
      <c r="X488" s="1"/>
      <c r="Y488" s="1"/>
      <c r="Z488" s="1"/>
    </row>
    <row r="489" spans="1:26" ht="27" customHeight="1">
      <c r="A489" s="1"/>
      <c r="B489" s="1"/>
      <c r="C489" s="2"/>
      <c r="D489" s="87"/>
      <c r="E489" s="87"/>
      <c r="F489" s="87"/>
      <c r="G489" s="1"/>
      <c r="H489" s="1"/>
      <c r="I489" s="1"/>
      <c r="J489" s="1"/>
      <c r="K489" s="1"/>
      <c r="L489" s="87"/>
      <c r="M489" s="87"/>
      <c r="N489" s="4"/>
      <c r="O489" s="1"/>
      <c r="P489" s="5"/>
      <c r="Q489" s="3"/>
      <c r="R489" s="3"/>
      <c r="S489" s="7"/>
      <c r="T489" s="1"/>
      <c r="U489" s="1"/>
      <c r="V489" s="1"/>
      <c r="W489" s="1"/>
      <c r="X489" s="1"/>
      <c r="Y489" s="1"/>
      <c r="Z489" s="1"/>
    </row>
    <row r="490" spans="1:26" ht="27" customHeight="1">
      <c r="A490" s="1"/>
      <c r="B490" s="1"/>
      <c r="C490" s="2"/>
      <c r="D490" s="87"/>
      <c r="E490" s="87"/>
      <c r="F490" s="87"/>
      <c r="G490" s="1"/>
      <c r="H490" s="1"/>
      <c r="I490" s="1"/>
      <c r="J490" s="1"/>
      <c r="K490" s="1"/>
      <c r="L490" s="87"/>
      <c r="M490" s="87"/>
      <c r="N490" s="4"/>
      <c r="O490" s="1"/>
      <c r="P490" s="5"/>
      <c r="Q490" s="3"/>
      <c r="R490" s="3"/>
      <c r="S490" s="7"/>
      <c r="T490" s="1"/>
      <c r="U490" s="1"/>
      <c r="V490" s="1"/>
      <c r="W490" s="1"/>
      <c r="X490" s="1"/>
      <c r="Y490" s="1"/>
      <c r="Z490" s="1"/>
    </row>
    <row r="491" spans="1:26" ht="27" customHeight="1">
      <c r="A491" s="1"/>
      <c r="B491" s="1"/>
      <c r="C491" s="2"/>
      <c r="D491" s="87"/>
      <c r="E491" s="87"/>
      <c r="F491" s="87"/>
      <c r="G491" s="1"/>
      <c r="H491" s="1"/>
      <c r="I491" s="1"/>
      <c r="J491" s="1"/>
      <c r="K491" s="1"/>
      <c r="L491" s="87"/>
      <c r="M491" s="87"/>
      <c r="N491" s="4"/>
      <c r="O491" s="1"/>
      <c r="P491" s="5"/>
      <c r="Q491" s="3"/>
      <c r="R491" s="3"/>
      <c r="S491" s="7"/>
      <c r="T491" s="1"/>
      <c r="U491" s="1"/>
      <c r="V491" s="1"/>
      <c r="W491" s="1"/>
      <c r="X491" s="1"/>
      <c r="Y491" s="1"/>
      <c r="Z491" s="1"/>
    </row>
    <row r="492" spans="1:26" ht="27" customHeight="1">
      <c r="A492" s="1"/>
      <c r="B492" s="1"/>
      <c r="C492" s="2"/>
      <c r="D492" s="87"/>
      <c r="E492" s="87"/>
      <c r="F492" s="87"/>
      <c r="G492" s="1"/>
      <c r="H492" s="1"/>
      <c r="I492" s="1"/>
      <c r="J492" s="1"/>
      <c r="K492" s="1"/>
      <c r="L492" s="87"/>
      <c r="M492" s="87"/>
      <c r="N492" s="4"/>
      <c r="O492" s="1"/>
      <c r="P492" s="5"/>
      <c r="Q492" s="3"/>
      <c r="R492" s="3"/>
      <c r="S492" s="7"/>
      <c r="T492" s="1"/>
      <c r="U492" s="1"/>
      <c r="V492" s="1"/>
      <c r="W492" s="1"/>
      <c r="X492" s="1"/>
      <c r="Y492" s="1"/>
      <c r="Z492" s="1"/>
    </row>
    <row r="493" spans="1:26" ht="27" customHeight="1">
      <c r="A493" s="1"/>
      <c r="B493" s="1"/>
      <c r="C493" s="2"/>
      <c r="D493" s="87"/>
      <c r="E493" s="87"/>
      <c r="F493" s="87"/>
      <c r="G493" s="1"/>
      <c r="H493" s="1"/>
      <c r="I493" s="1"/>
      <c r="J493" s="1"/>
      <c r="K493" s="1"/>
      <c r="L493" s="87"/>
      <c r="M493" s="87"/>
      <c r="N493" s="4"/>
      <c r="O493" s="1"/>
      <c r="P493" s="5"/>
      <c r="Q493" s="3"/>
      <c r="R493" s="3"/>
      <c r="S493" s="7"/>
      <c r="T493" s="1"/>
      <c r="U493" s="1"/>
      <c r="V493" s="1"/>
      <c r="W493" s="1"/>
      <c r="X493" s="1"/>
      <c r="Y493" s="1"/>
      <c r="Z493" s="1"/>
    </row>
    <row r="494" spans="1:26" ht="27" customHeight="1">
      <c r="A494" s="1"/>
      <c r="B494" s="1"/>
      <c r="C494" s="2"/>
      <c r="D494" s="87"/>
      <c r="E494" s="87"/>
      <c r="F494" s="87"/>
      <c r="G494" s="1"/>
      <c r="H494" s="1"/>
      <c r="I494" s="1"/>
      <c r="J494" s="1"/>
      <c r="K494" s="1"/>
      <c r="L494" s="87"/>
      <c r="M494" s="87"/>
      <c r="N494" s="4"/>
      <c r="O494" s="1"/>
      <c r="P494" s="5"/>
      <c r="Q494" s="3"/>
      <c r="R494" s="3"/>
      <c r="S494" s="7"/>
      <c r="T494" s="1"/>
      <c r="U494" s="1"/>
      <c r="V494" s="1"/>
      <c r="W494" s="1"/>
      <c r="X494" s="1"/>
      <c r="Y494" s="1"/>
      <c r="Z494" s="1"/>
    </row>
    <row r="495" spans="1:26" ht="27" customHeight="1">
      <c r="A495" s="1"/>
      <c r="B495" s="1"/>
      <c r="C495" s="2"/>
      <c r="D495" s="87"/>
      <c r="E495" s="87"/>
      <c r="F495" s="87"/>
      <c r="G495" s="1"/>
      <c r="H495" s="1"/>
      <c r="I495" s="1"/>
      <c r="J495" s="1"/>
      <c r="K495" s="1"/>
      <c r="L495" s="87"/>
      <c r="M495" s="87"/>
      <c r="N495" s="4"/>
      <c r="O495" s="1"/>
      <c r="P495" s="5"/>
      <c r="Q495" s="3"/>
      <c r="R495" s="3"/>
      <c r="S495" s="7"/>
      <c r="T495" s="1"/>
      <c r="U495" s="1"/>
      <c r="V495" s="1"/>
      <c r="W495" s="1"/>
      <c r="X495" s="1"/>
      <c r="Y495" s="1"/>
      <c r="Z495" s="1"/>
    </row>
    <row r="496" spans="1:26" ht="27" customHeight="1">
      <c r="A496" s="1"/>
      <c r="B496" s="1"/>
      <c r="C496" s="2"/>
      <c r="D496" s="87"/>
      <c r="E496" s="87"/>
      <c r="F496" s="87"/>
      <c r="G496" s="1"/>
      <c r="H496" s="1"/>
      <c r="I496" s="1"/>
      <c r="J496" s="1"/>
      <c r="K496" s="1"/>
      <c r="L496" s="87"/>
      <c r="M496" s="87"/>
      <c r="N496" s="4"/>
      <c r="O496" s="1"/>
      <c r="P496" s="5"/>
      <c r="Q496" s="3"/>
      <c r="R496" s="3"/>
      <c r="S496" s="7"/>
      <c r="T496" s="1"/>
      <c r="U496" s="1"/>
      <c r="V496" s="1"/>
      <c r="W496" s="1"/>
      <c r="X496" s="1"/>
      <c r="Y496" s="1"/>
      <c r="Z496" s="1"/>
    </row>
    <row r="497" spans="1:26" ht="27" customHeight="1">
      <c r="A497" s="1"/>
      <c r="B497" s="1"/>
      <c r="C497" s="2"/>
      <c r="D497" s="87"/>
      <c r="E497" s="87"/>
      <c r="F497" s="87"/>
      <c r="G497" s="1"/>
      <c r="H497" s="1"/>
      <c r="I497" s="1"/>
      <c r="J497" s="1"/>
      <c r="K497" s="1"/>
      <c r="L497" s="87"/>
      <c r="M497" s="87"/>
      <c r="N497" s="4"/>
      <c r="O497" s="1"/>
      <c r="P497" s="5"/>
      <c r="Q497" s="3"/>
      <c r="R497" s="3"/>
      <c r="S497" s="7"/>
      <c r="T497" s="1"/>
      <c r="U497" s="1"/>
      <c r="V497" s="1"/>
      <c r="W497" s="1"/>
      <c r="X497" s="1"/>
      <c r="Y497" s="1"/>
      <c r="Z497" s="1"/>
    </row>
    <row r="498" spans="1:26" ht="27" customHeight="1">
      <c r="A498" s="1"/>
      <c r="B498" s="1"/>
      <c r="C498" s="2"/>
      <c r="D498" s="87"/>
      <c r="E498" s="87"/>
      <c r="F498" s="87"/>
      <c r="G498" s="1"/>
      <c r="H498" s="1"/>
      <c r="I498" s="1"/>
      <c r="J498" s="1"/>
      <c r="K498" s="1"/>
      <c r="L498" s="87"/>
      <c r="M498" s="87"/>
      <c r="N498" s="4"/>
      <c r="O498" s="1"/>
      <c r="P498" s="5"/>
      <c r="Q498" s="3"/>
      <c r="R498" s="3"/>
      <c r="S498" s="7"/>
      <c r="T498" s="1"/>
      <c r="U498" s="1"/>
      <c r="V498" s="1"/>
      <c r="W498" s="1"/>
      <c r="X498" s="1"/>
      <c r="Y498" s="1"/>
      <c r="Z498" s="1"/>
    </row>
    <row r="499" spans="1:26" ht="27" customHeight="1">
      <c r="A499" s="1"/>
      <c r="B499" s="1"/>
      <c r="C499" s="2"/>
      <c r="D499" s="87"/>
      <c r="E499" s="87"/>
      <c r="F499" s="87"/>
      <c r="G499" s="1"/>
      <c r="H499" s="1"/>
      <c r="I499" s="1"/>
      <c r="J499" s="1"/>
      <c r="K499" s="1"/>
      <c r="L499" s="87"/>
      <c r="M499" s="87"/>
      <c r="N499" s="4"/>
      <c r="O499" s="1"/>
      <c r="P499" s="5"/>
      <c r="Q499" s="3"/>
      <c r="R499" s="3"/>
      <c r="S499" s="7"/>
      <c r="T499" s="1"/>
      <c r="U499" s="1"/>
      <c r="V499" s="1"/>
      <c r="W499" s="1"/>
      <c r="X499" s="1"/>
      <c r="Y499" s="1"/>
      <c r="Z499" s="1"/>
    </row>
    <row r="500" spans="1:26" ht="27" customHeight="1">
      <c r="A500" s="1"/>
      <c r="B500" s="1"/>
      <c r="C500" s="2"/>
      <c r="D500" s="87"/>
      <c r="E500" s="87"/>
      <c r="F500" s="87"/>
      <c r="G500" s="1"/>
      <c r="H500" s="1"/>
      <c r="I500" s="1"/>
      <c r="J500" s="1"/>
      <c r="K500" s="1"/>
      <c r="L500" s="87"/>
      <c r="M500" s="87"/>
      <c r="N500" s="4"/>
      <c r="O500" s="1"/>
      <c r="P500" s="5"/>
      <c r="Q500" s="3"/>
      <c r="R500" s="3"/>
      <c r="S500" s="7"/>
      <c r="T500" s="1"/>
      <c r="U500" s="1"/>
      <c r="V500" s="1"/>
      <c r="W500" s="1"/>
      <c r="X500" s="1"/>
      <c r="Y500" s="1"/>
      <c r="Z500" s="1"/>
    </row>
    <row r="501" spans="1:26" ht="27" customHeight="1">
      <c r="A501" s="1"/>
      <c r="B501" s="1"/>
      <c r="C501" s="2"/>
      <c r="D501" s="87"/>
      <c r="E501" s="87"/>
      <c r="F501" s="87"/>
      <c r="G501" s="1"/>
      <c r="H501" s="1"/>
      <c r="I501" s="1"/>
      <c r="J501" s="1"/>
      <c r="K501" s="1"/>
      <c r="L501" s="87"/>
      <c r="M501" s="87"/>
      <c r="N501" s="4"/>
      <c r="O501" s="1"/>
      <c r="P501" s="5"/>
      <c r="Q501" s="3"/>
      <c r="R501" s="3"/>
      <c r="S501" s="7"/>
      <c r="T501" s="1"/>
      <c r="U501" s="1"/>
      <c r="V501" s="1"/>
      <c r="W501" s="1"/>
      <c r="X501" s="1"/>
      <c r="Y501" s="1"/>
      <c r="Z501" s="1"/>
    </row>
    <row r="502" spans="1:26" ht="27" customHeight="1">
      <c r="A502" s="1"/>
      <c r="B502" s="1"/>
      <c r="C502" s="2"/>
      <c r="D502" s="87"/>
      <c r="E502" s="87"/>
      <c r="F502" s="87"/>
      <c r="G502" s="1"/>
      <c r="H502" s="1"/>
      <c r="I502" s="1"/>
      <c r="J502" s="1"/>
      <c r="K502" s="1"/>
      <c r="L502" s="87"/>
      <c r="M502" s="87"/>
      <c r="N502" s="4"/>
      <c r="O502" s="1"/>
      <c r="P502" s="5"/>
      <c r="Q502" s="3"/>
      <c r="R502" s="3"/>
      <c r="S502" s="7"/>
      <c r="T502" s="1"/>
      <c r="U502" s="1"/>
      <c r="V502" s="1"/>
      <c r="W502" s="1"/>
      <c r="X502" s="1"/>
      <c r="Y502" s="1"/>
      <c r="Z502" s="1"/>
    </row>
    <row r="503" spans="1:26" ht="27" customHeight="1">
      <c r="A503" s="1"/>
      <c r="B503" s="1"/>
      <c r="C503" s="2"/>
      <c r="D503" s="87"/>
      <c r="E503" s="87"/>
      <c r="F503" s="87"/>
      <c r="G503" s="1"/>
      <c r="H503" s="1"/>
      <c r="I503" s="1"/>
      <c r="J503" s="1"/>
      <c r="K503" s="1"/>
      <c r="L503" s="87"/>
      <c r="M503" s="87"/>
      <c r="N503" s="4"/>
      <c r="O503" s="1"/>
      <c r="P503" s="5"/>
      <c r="Q503" s="3"/>
      <c r="R503" s="3"/>
      <c r="S503" s="7"/>
      <c r="T503" s="1"/>
      <c r="U503" s="1"/>
      <c r="V503" s="1"/>
      <c r="W503" s="1"/>
      <c r="X503" s="1"/>
      <c r="Y503" s="1"/>
      <c r="Z503" s="1"/>
    </row>
    <row r="504" spans="1:26" ht="27" customHeight="1">
      <c r="A504" s="1"/>
      <c r="B504" s="1"/>
      <c r="C504" s="2"/>
      <c r="D504" s="87"/>
      <c r="E504" s="87"/>
      <c r="F504" s="87"/>
      <c r="G504" s="1"/>
      <c r="H504" s="1"/>
      <c r="I504" s="1"/>
      <c r="J504" s="1"/>
      <c r="K504" s="1"/>
      <c r="L504" s="87"/>
      <c r="M504" s="87"/>
      <c r="N504" s="4"/>
      <c r="O504" s="1"/>
      <c r="P504" s="5"/>
      <c r="Q504" s="3"/>
      <c r="R504" s="3"/>
      <c r="S504" s="7"/>
      <c r="T504" s="1"/>
      <c r="U504" s="1"/>
      <c r="V504" s="1"/>
      <c r="W504" s="1"/>
      <c r="X504" s="1"/>
      <c r="Y504" s="1"/>
      <c r="Z504" s="1"/>
    </row>
    <row r="505" spans="1:26" ht="27" customHeight="1">
      <c r="A505" s="1"/>
      <c r="B505" s="1"/>
      <c r="C505" s="2"/>
      <c r="D505" s="87"/>
      <c r="E505" s="87"/>
      <c r="F505" s="87"/>
      <c r="G505" s="1"/>
      <c r="H505" s="1"/>
      <c r="I505" s="1"/>
      <c r="J505" s="1"/>
      <c r="K505" s="1"/>
      <c r="L505" s="87"/>
      <c r="M505" s="87"/>
      <c r="N505" s="4"/>
      <c r="O505" s="1"/>
      <c r="P505" s="5"/>
      <c r="Q505" s="3"/>
      <c r="R505" s="3"/>
      <c r="S505" s="7"/>
      <c r="T505" s="1"/>
      <c r="U505" s="1"/>
      <c r="V505" s="1"/>
      <c r="W505" s="1"/>
      <c r="X505" s="1"/>
      <c r="Y505" s="1"/>
      <c r="Z505" s="1"/>
    </row>
    <row r="506" spans="1:26" ht="27" customHeight="1">
      <c r="A506" s="1"/>
      <c r="B506" s="1"/>
      <c r="C506" s="2"/>
      <c r="D506" s="87"/>
      <c r="E506" s="87"/>
      <c r="F506" s="87"/>
      <c r="G506" s="1"/>
      <c r="H506" s="1"/>
      <c r="I506" s="1"/>
      <c r="J506" s="1"/>
      <c r="K506" s="1"/>
      <c r="L506" s="87"/>
      <c r="M506" s="87"/>
      <c r="N506" s="4"/>
      <c r="O506" s="1"/>
      <c r="P506" s="5"/>
      <c r="Q506" s="3"/>
      <c r="R506" s="3"/>
      <c r="S506" s="7"/>
      <c r="T506" s="1"/>
      <c r="U506" s="1"/>
      <c r="V506" s="1"/>
      <c r="W506" s="1"/>
      <c r="X506" s="1"/>
      <c r="Y506" s="1"/>
      <c r="Z506" s="1"/>
    </row>
    <row r="507" spans="1:26" ht="27" customHeight="1">
      <c r="A507" s="1"/>
      <c r="B507" s="1"/>
      <c r="C507" s="2"/>
      <c r="D507" s="87"/>
      <c r="E507" s="87"/>
      <c r="F507" s="87"/>
      <c r="G507" s="1"/>
      <c r="H507" s="1"/>
      <c r="I507" s="1"/>
      <c r="J507" s="1"/>
      <c r="K507" s="1"/>
      <c r="L507" s="87"/>
      <c r="M507" s="87"/>
      <c r="N507" s="4"/>
      <c r="O507" s="1"/>
      <c r="P507" s="5"/>
      <c r="Q507" s="3"/>
      <c r="R507" s="3"/>
      <c r="S507" s="7"/>
      <c r="T507" s="1"/>
      <c r="U507" s="1"/>
      <c r="V507" s="1"/>
      <c r="W507" s="1"/>
      <c r="X507" s="1"/>
      <c r="Y507" s="1"/>
      <c r="Z507" s="1"/>
    </row>
    <row r="508" spans="1:26" ht="27" customHeight="1">
      <c r="A508" s="1"/>
      <c r="B508" s="1"/>
      <c r="C508" s="2"/>
      <c r="D508" s="87"/>
      <c r="E508" s="87"/>
      <c r="F508" s="87"/>
      <c r="G508" s="1"/>
      <c r="H508" s="1"/>
      <c r="I508" s="1"/>
      <c r="J508" s="1"/>
      <c r="K508" s="1"/>
      <c r="L508" s="87"/>
      <c r="M508" s="87"/>
      <c r="N508" s="4"/>
      <c r="O508" s="1"/>
      <c r="P508" s="5"/>
      <c r="Q508" s="3"/>
      <c r="R508" s="3"/>
      <c r="S508" s="7"/>
      <c r="T508" s="1"/>
      <c r="U508" s="1"/>
      <c r="V508" s="1"/>
      <c r="W508" s="1"/>
      <c r="X508" s="1"/>
      <c r="Y508" s="1"/>
      <c r="Z508" s="1"/>
    </row>
    <row r="509" spans="1:26" ht="27" customHeight="1">
      <c r="A509" s="1"/>
      <c r="B509" s="1"/>
      <c r="C509" s="2"/>
      <c r="D509" s="87"/>
      <c r="E509" s="87"/>
      <c r="F509" s="87"/>
      <c r="G509" s="1"/>
      <c r="H509" s="1"/>
      <c r="I509" s="1"/>
      <c r="J509" s="1"/>
      <c r="K509" s="1"/>
      <c r="L509" s="87"/>
      <c r="M509" s="87"/>
      <c r="N509" s="4"/>
      <c r="O509" s="1"/>
      <c r="P509" s="5"/>
      <c r="Q509" s="3"/>
      <c r="R509" s="3"/>
      <c r="S509" s="7"/>
      <c r="T509" s="1"/>
      <c r="U509" s="1"/>
      <c r="V509" s="1"/>
      <c r="W509" s="1"/>
      <c r="X509" s="1"/>
      <c r="Y509" s="1"/>
      <c r="Z509" s="1"/>
    </row>
    <row r="510" spans="1:26" ht="27" customHeight="1">
      <c r="A510" s="1"/>
      <c r="B510" s="1"/>
      <c r="C510" s="2"/>
      <c r="D510" s="87"/>
      <c r="E510" s="87"/>
      <c r="F510" s="87"/>
      <c r="G510" s="1"/>
      <c r="H510" s="1"/>
      <c r="I510" s="1"/>
      <c r="J510" s="1"/>
      <c r="K510" s="1"/>
      <c r="L510" s="87"/>
      <c r="M510" s="87"/>
      <c r="N510" s="4"/>
      <c r="O510" s="1"/>
      <c r="P510" s="5"/>
      <c r="Q510" s="3"/>
      <c r="R510" s="3"/>
      <c r="S510" s="7"/>
      <c r="T510" s="1"/>
      <c r="U510" s="1"/>
      <c r="V510" s="1"/>
      <c r="W510" s="1"/>
      <c r="X510" s="1"/>
      <c r="Y510" s="1"/>
      <c r="Z510" s="1"/>
    </row>
    <row r="511" spans="1:26" ht="27" customHeight="1">
      <c r="A511" s="1"/>
      <c r="B511" s="1"/>
      <c r="C511" s="2"/>
      <c r="D511" s="87"/>
      <c r="E511" s="87"/>
      <c r="F511" s="87"/>
      <c r="G511" s="1"/>
      <c r="H511" s="1"/>
      <c r="I511" s="1"/>
      <c r="J511" s="1"/>
      <c r="K511" s="1"/>
      <c r="L511" s="87"/>
      <c r="M511" s="87"/>
      <c r="N511" s="4"/>
      <c r="O511" s="1"/>
      <c r="P511" s="5"/>
      <c r="Q511" s="3"/>
      <c r="R511" s="3"/>
      <c r="S511" s="7"/>
      <c r="T511" s="1"/>
      <c r="U511" s="1"/>
      <c r="V511" s="1"/>
      <c r="W511" s="1"/>
      <c r="X511" s="1"/>
      <c r="Y511" s="1"/>
      <c r="Z511" s="1"/>
    </row>
    <row r="512" spans="1:26" ht="27" customHeight="1">
      <c r="A512" s="1"/>
      <c r="B512" s="1"/>
      <c r="C512" s="2"/>
      <c r="D512" s="87"/>
      <c r="E512" s="87"/>
      <c r="F512" s="87"/>
      <c r="G512" s="1"/>
      <c r="H512" s="1"/>
      <c r="I512" s="1"/>
      <c r="J512" s="1"/>
      <c r="K512" s="1"/>
      <c r="L512" s="87"/>
      <c r="M512" s="87"/>
      <c r="N512" s="4"/>
      <c r="O512" s="1"/>
      <c r="P512" s="5"/>
      <c r="Q512" s="3"/>
      <c r="R512" s="3"/>
      <c r="S512" s="7"/>
      <c r="T512" s="1"/>
      <c r="U512" s="1"/>
      <c r="V512" s="1"/>
      <c r="W512" s="1"/>
      <c r="X512" s="1"/>
      <c r="Y512" s="1"/>
      <c r="Z512" s="1"/>
    </row>
    <row r="513" spans="1:26" ht="27" customHeight="1">
      <c r="A513" s="1"/>
      <c r="B513" s="1"/>
      <c r="C513" s="2"/>
      <c r="D513" s="87"/>
      <c r="E513" s="87"/>
      <c r="F513" s="87"/>
      <c r="G513" s="1"/>
      <c r="H513" s="1"/>
      <c r="I513" s="1"/>
      <c r="J513" s="1"/>
      <c r="K513" s="1"/>
      <c r="L513" s="87"/>
      <c r="M513" s="87"/>
      <c r="N513" s="4"/>
      <c r="O513" s="1"/>
      <c r="P513" s="5"/>
      <c r="Q513" s="3"/>
      <c r="R513" s="3"/>
      <c r="S513" s="7"/>
      <c r="T513" s="1"/>
      <c r="U513" s="1"/>
      <c r="V513" s="1"/>
      <c r="W513" s="1"/>
      <c r="X513" s="1"/>
      <c r="Y513" s="1"/>
      <c r="Z513" s="1"/>
    </row>
    <row r="514" spans="1:26" ht="27" customHeight="1">
      <c r="A514" s="1"/>
      <c r="B514" s="1"/>
      <c r="C514" s="2"/>
      <c r="D514" s="87"/>
      <c r="E514" s="87"/>
      <c r="F514" s="87"/>
      <c r="G514" s="1"/>
      <c r="H514" s="1"/>
      <c r="I514" s="1"/>
      <c r="J514" s="1"/>
      <c r="K514" s="1"/>
      <c r="L514" s="87"/>
      <c r="M514" s="87"/>
      <c r="N514" s="4"/>
      <c r="O514" s="1"/>
      <c r="P514" s="5"/>
      <c r="Q514" s="3"/>
      <c r="R514" s="3"/>
      <c r="S514" s="7"/>
      <c r="T514" s="1"/>
      <c r="U514" s="1"/>
      <c r="V514" s="1"/>
      <c r="W514" s="1"/>
      <c r="X514" s="1"/>
      <c r="Y514" s="1"/>
      <c r="Z514" s="1"/>
    </row>
    <row r="515" spans="1:26" ht="27" customHeight="1">
      <c r="A515" s="1"/>
      <c r="B515" s="1"/>
      <c r="C515" s="2"/>
      <c r="D515" s="87"/>
      <c r="E515" s="87"/>
      <c r="F515" s="87"/>
      <c r="G515" s="1"/>
      <c r="H515" s="1"/>
      <c r="I515" s="1"/>
      <c r="J515" s="1"/>
      <c r="K515" s="1"/>
      <c r="L515" s="87"/>
      <c r="M515" s="87"/>
      <c r="N515" s="4"/>
      <c r="O515" s="1"/>
      <c r="P515" s="5"/>
      <c r="Q515" s="3"/>
      <c r="R515" s="3"/>
      <c r="S515" s="7"/>
      <c r="T515" s="1"/>
      <c r="U515" s="1"/>
      <c r="V515" s="1"/>
      <c r="W515" s="1"/>
      <c r="X515" s="1"/>
      <c r="Y515" s="1"/>
      <c r="Z515" s="1"/>
    </row>
    <row r="516" spans="1:26" ht="27" customHeight="1">
      <c r="A516" s="1"/>
      <c r="B516" s="1"/>
      <c r="C516" s="2"/>
      <c r="D516" s="87"/>
      <c r="E516" s="87"/>
      <c r="F516" s="87"/>
      <c r="G516" s="1"/>
      <c r="H516" s="1"/>
      <c r="I516" s="1"/>
      <c r="J516" s="1"/>
      <c r="K516" s="1"/>
      <c r="L516" s="87"/>
      <c r="M516" s="87"/>
      <c r="N516" s="4"/>
      <c r="O516" s="1"/>
      <c r="P516" s="5"/>
      <c r="Q516" s="3"/>
      <c r="R516" s="3"/>
      <c r="S516" s="7"/>
      <c r="T516" s="1"/>
      <c r="U516" s="1"/>
      <c r="V516" s="1"/>
      <c r="W516" s="1"/>
      <c r="X516" s="1"/>
      <c r="Y516" s="1"/>
      <c r="Z516" s="1"/>
    </row>
    <row r="517" spans="1:26" ht="27" customHeight="1">
      <c r="A517" s="1"/>
      <c r="B517" s="1"/>
      <c r="C517" s="2"/>
      <c r="D517" s="87"/>
      <c r="E517" s="87"/>
      <c r="F517" s="87"/>
      <c r="G517" s="1"/>
      <c r="H517" s="1"/>
      <c r="I517" s="1"/>
      <c r="J517" s="1"/>
      <c r="K517" s="1"/>
      <c r="L517" s="87"/>
      <c r="M517" s="87"/>
      <c r="N517" s="4"/>
      <c r="O517" s="1"/>
      <c r="P517" s="5"/>
      <c r="Q517" s="3"/>
      <c r="R517" s="3"/>
      <c r="S517" s="7"/>
      <c r="T517" s="1"/>
      <c r="U517" s="1"/>
      <c r="V517" s="1"/>
      <c r="W517" s="1"/>
      <c r="X517" s="1"/>
      <c r="Y517" s="1"/>
      <c r="Z517" s="1"/>
    </row>
    <row r="518" spans="1:26" ht="27" customHeight="1">
      <c r="A518" s="1"/>
      <c r="B518" s="1"/>
      <c r="C518" s="2"/>
      <c r="D518" s="87"/>
      <c r="E518" s="87"/>
      <c r="F518" s="87"/>
      <c r="G518" s="1"/>
      <c r="H518" s="1"/>
      <c r="I518" s="1"/>
      <c r="J518" s="1"/>
      <c r="K518" s="1"/>
      <c r="L518" s="87"/>
      <c r="M518" s="87"/>
      <c r="N518" s="4"/>
      <c r="O518" s="1"/>
      <c r="P518" s="5"/>
      <c r="Q518" s="3"/>
      <c r="R518" s="3"/>
      <c r="S518" s="7"/>
      <c r="T518" s="1"/>
      <c r="U518" s="1"/>
      <c r="V518" s="1"/>
      <c r="W518" s="1"/>
      <c r="X518" s="1"/>
      <c r="Y518" s="1"/>
      <c r="Z518" s="1"/>
    </row>
    <row r="519" spans="1:26" ht="27" customHeight="1">
      <c r="A519" s="1"/>
      <c r="B519" s="1"/>
      <c r="C519" s="2"/>
      <c r="D519" s="87"/>
      <c r="E519" s="87"/>
      <c r="F519" s="87"/>
      <c r="G519" s="1"/>
      <c r="H519" s="1"/>
      <c r="I519" s="1"/>
      <c r="J519" s="1"/>
      <c r="K519" s="1"/>
      <c r="L519" s="87"/>
      <c r="M519" s="87"/>
      <c r="N519" s="4"/>
      <c r="O519" s="1"/>
      <c r="P519" s="5"/>
      <c r="Q519" s="3"/>
      <c r="R519" s="3"/>
      <c r="S519" s="7"/>
      <c r="T519" s="1"/>
      <c r="U519" s="1"/>
      <c r="V519" s="1"/>
      <c r="W519" s="1"/>
      <c r="X519" s="1"/>
      <c r="Y519" s="1"/>
      <c r="Z519" s="1"/>
    </row>
    <row r="520" spans="1:26" ht="27" customHeight="1">
      <c r="A520" s="1"/>
      <c r="B520" s="1"/>
      <c r="C520" s="2"/>
      <c r="D520" s="87"/>
      <c r="E520" s="87"/>
      <c r="F520" s="87"/>
      <c r="G520" s="1"/>
      <c r="H520" s="1"/>
      <c r="I520" s="1"/>
      <c r="J520" s="1"/>
      <c r="K520" s="1"/>
      <c r="L520" s="87"/>
      <c r="M520" s="87"/>
      <c r="N520" s="4"/>
      <c r="O520" s="1"/>
      <c r="P520" s="5"/>
      <c r="Q520" s="3"/>
      <c r="R520" s="3"/>
      <c r="S520" s="7"/>
      <c r="T520" s="1"/>
      <c r="U520" s="1"/>
      <c r="V520" s="1"/>
      <c r="W520" s="1"/>
      <c r="X520" s="1"/>
      <c r="Y520" s="1"/>
      <c r="Z520" s="1"/>
    </row>
    <row r="521" spans="1:26" ht="27" customHeight="1">
      <c r="A521" s="1"/>
      <c r="B521" s="1"/>
      <c r="C521" s="2"/>
      <c r="D521" s="87"/>
      <c r="E521" s="87"/>
      <c r="F521" s="87"/>
      <c r="G521" s="1"/>
      <c r="H521" s="1"/>
      <c r="I521" s="1"/>
      <c r="J521" s="1"/>
      <c r="K521" s="1"/>
      <c r="L521" s="87"/>
      <c r="M521" s="87"/>
      <c r="N521" s="4"/>
      <c r="O521" s="1"/>
      <c r="P521" s="5"/>
      <c r="Q521" s="3"/>
      <c r="R521" s="3"/>
      <c r="S521" s="7"/>
      <c r="T521" s="1"/>
      <c r="U521" s="1"/>
      <c r="V521" s="1"/>
      <c r="W521" s="1"/>
      <c r="X521" s="1"/>
      <c r="Y521" s="1"/>
      <c r="Z521" s="1"/>
    </row>
    <row r="522" spans="1:26" ht="27" customHeight="1">
      <c r="A522" s="1"/>
      <c r="B522" s="1"/>
      <c r="C522" s="2"/>
      <c r="D522" s="87"/>
      <c r="E522" s="87"/>
      <c r="F522" s="87"/>
      <c r="G522" s="1"/>
      <c r="H522" s="1"/>
      <c r="I522" s="1"/>
      <c r="J522" s="1"/>
      <c r="K522" s="1"/>
      <c r="L522" s="87"/>
      <c r="M522" s="87"/>
      <c r="N522" s="4"/>
      <c r="O522" s="1"/>
      <c r="P522" s="5"/>
      <c r="Q522" s="3"/>
      <c r="R522" s="3"/>
      <c r="S522" s="7"/>
      <c r="T522" s="1"/>
      <c r="U522" s="1"/>
      <c r="V522" s="1"/>
      <c r="W522" s="1"/>
      <c r="X522" s="1"/>
      <c r="Y522" s="1"/>
      <c r="Z522" s="1"/>
    </row>
    <row r="523" spans="1:26" ht="27" customHeight="1">
      <c r="A523" s="1"/>
      <c r="B523" s="1"/>
      <c r="C523" s="2"/>
      <c r="D523" s="87"/>
      <c r="E523" s="87"/>
      <c r="F523" s="87"/>
      <c r="G523" s="1"/>
      <c r="H523" s="1"/>
      <c r="I523" s="1"/>
      <c r="J523" s="1"/>
      <c r="K523" s="1"/>
      <c r="L523" s="87"/>
      <c r="M523" s="87"/>
      <c r="N523" s="4"/>
      <c r="O523" s="1"/>
      <c r="P523" s="5"/>
      <c r="Q523" s="3"/>
      <c r="R523" s="3"/>
      <c r="S523" s="7"/>
      <c r="T523" s="1"/>
      <c r="U523" s="1"/>
      <c r="V523" s="1"/>
      <c r="W523" s="1"/>
      <c r="X523" s="1"/>
      <c r="Y523" s="1"/>
      <c r="Z523" s="1"/>
    </row>
    <row r="524" spans="1:26" ht="27" customHeight="1">
      <c r="A524" s="1"/>
      <c r="B524" s="1"/>
      <c r="C524" s="2"/>
      <c r="D524" s="87"/>
      <c r="E524" s="87"/>
      <c r="F524" s="87"/>
      <c r="G524" s="1"/>
      <c r="H524" s="1"/>
      <c r="I524" s="1"/>
      <c r="J524" s="1"/>
      <c r="K524" s="1"/>
      <c r="L524" s="87"/>
      <c r="M524" s="87"/>
      <c r="N524" s="4"/>
      <c r="O524" s="1"/>
      <c r="P524" s="5"/>
      <c r="Q524" s="3"/>
      <c r="R524" s="3"/>
      <c r="S524" s="7"/>
      <c r="T524" s="1"/>
      <c r="U524" s="1"/>
      <c r="V524" s="1"/>
      <c r="W524" s="1"/>
      <c r="X524" s="1"/>
      <c r="Y524" s="1"/>
      <c r="Z524" s="1"/>
    </row>
    <row r="525" spans="1:26" ht="27" customHeight="1">
      <c r="A525" s="1"/>
      <c r="B525" s="1"/>
      <c r="C525" s="2"/>
      <c r="D525" s="87"/>
      <c r="E525" s="87"/>
      <c r="F525" s="87"/>
      <c r="G525" s="1"/>
      <c r="H525" s="1"/>
      <c r="I525" s="1"/>
      <c r="J525" s="1"/>
      <c r="K525" s="1"/>
      <c r="L525" s="87"/>
      <c r="M525" s="87"/>
      <c r="N525" s="4"/>
      <c r="O525" s="1"/>
      <c r="P525" s="5"/>
      <c r="Q525" s="3"/>
      <c r="R525" s="3"/>
      <c r="S525" s="7"/>
      <c r="T525" s="1"/>
      <c r="U525" s="1"/>
      <c r="V525" s="1"/>
      <c r="W525" s="1"/>
      <c r="X525" s="1"/>
      <c r="Y525" s="1"/>
      <c r="Z525" s="1"/>
    </row>
    <row r="526" spans="1:26" ht="27" customHeight="1">
      <c r="A526" s="1"/>
      <c r="B526" s="1"/>
      <c r="C526" s="2"/>
      <c r="D526" s="87"/>
      <c r="E526" s="87"/>
      <c r="F526" s="87"/>
      <c r="G526" s="1"/>
      <c r="H526" s="1"/>
      <c r="I526" s="1"/>
      <c r="J526" s="1"/>
      <c r="K526" s="1"/>
      <c r="L526" s="87"/>
      <c r="M526" s="87"/>
      <c r="N526" s="4"/>
      <c r="O526" s="1"/>
      <c r="P526" s="5"/>
      <c r="Q526" s="3"/>
      <c r="R526" s="3"/>
      <c r="S526" s="7"/>
      <c r="T526" s="1"/>
      <c r="U526" s="1"/>
      <c r="V526" s="1"/>
      <c r="W526" s="1"/>
      <c r="X526" s="1"/>
      <c r="Y526" s="1"/>
      <c r="Z526" s="1"/>
    </row>
    <row r="527" spans="1:26" ht="27" customHeight="1">
      <c r="A527" s="1"/>
      <c r="B527" s="1"/>
      <c r="C527" s="2"/>
      <c r="D527" s="87"/>
      <c r="E527" s="87"/>
      <c r="F527" s="87"/>
      <c r="G527" s="1"/>
      <c r="H527" s="1"/>
      <c r="I527" s="1"/>
      <c r="J527" s="1"/>
      <c r="K527" s="1"/>
      <c r="L527" s="87"/>
      <c r="M527" s="87"/>
      <c r="N527" s="4"/>
      <c r="O527" s="1"/>
      <c r="P527" s="5"/>
      <c r="Q527" s="3"/>
      <c r="R527" s="3"/>
      <c r="S527" s="7"/>
      <c r="T527" s="1"/>
      <c r="U527" s="1"/>
      <c r="V527" s="1"/>
      <c r="W527" s="1"/>
      <c r="X527" s="1"/>
      <c r="Y527" s="1"/>
      <c r="Z527" s="1"/>
    </row>
    <row r="528" spans="1:26" ht="27" customHeight="1">
      <c r="A528" s="1"/>
      <c r="B528" s="1"/>
      <c r="C528" s="2"/>
      <c r="D528" s="87"/>
      <c r="E528" s="87"/>
      <c r="F528" s="87"/>
      <c r="G528" s="1"/>
      <c r="H528" s="1"/>
      <c r="I528" s="1"/>
      <c r="J528" s="1"/>
      <c r="K528" s="1"/>
      <c r="L528" s="87"/>
      <c r="M528" s="87"/>
      <c r="N528" s="4"/>
      <c r="O528" s="1"/>
      <c r="P528" s="5"/>
      <c r="Q528" s="3"/>
      <c r="R528" s="3"/>
      <c r="S528" s="7"/>
      <c r="T528" s="1"/>
      <c r="U528" s="1"/>
      <c r="V528" s="1"/>
      <c r="W528" s="1"/>
      <c r="X528" s="1"/>
      <c r="Y528" s="1"/>
      <c r="Z528" s="1"/>
    </row>
    <row r="529" spans="1:26" ht="27" customHeight="1">
      <c r="A529" s="1"/>
      <c r="B529" s="1"/>
      <c r="C529" s="2"/>
      <c r="D529" s="87"/>
      <c r="E529" s="87"/>
      <c r="F529" s="87"/>
      <c r="G529" s="1"/>
      <c r="H529" s="1"/>
      <c r="I529" s="1"/>
      <c r="J529" s="1"/>
      <c r="K529" s="1"/>
      <c r="L529" s="87"/>
      <c r="M529" s="87"/>
      <c r="N529" s="4"/>
      <c r="O529" s="1"/>
      <c r="P529" s="5"/>
      <c r="Q529" s="3"/>
      <c r="R529" s="3"/>
      <c r="S529" s="7"/>
      <c r="T529" s="1"/>
      <c r="U529" s="1"/>
      <c r="V529" s="1"/>
      <c r="W529" s="1"/>
      <c r="X529" s="1"/>
      <c r="Y529" s="1"/>
      <c r="Z529" s="1"/>
    </row>
    <row r="530" spans="1:26" ht="27" customHeight="1">
      <c r="A530" s="1"/>
      <c r="B530" s="1"/>
      <c r="C530" s="2"/>
      <c r="D530" s="87"/>
      <c r="E530" s="87"/>
      <c r="F530" s="87"/>
      <c r="G530" s="1"/>
      <c r="H530" s="1"/>
      <c r="I530" s="1"/>
      <c r="J530" s="1"/>
      <c r="K530" s="1"/>
      <c r="L530" s="87"/>
      <c r="M530" s="87"/>
      <c r="N530" s="4"/>
      <c r="O530" s="1"/>
      <c r="P530" s="5"/>
      <c r="Q530" s="3"/>
      <c r="R530" s="3"/>
      <c r="S530" s="7"/>
      <c r="T530" s="1"/>
      <c r="U530" s="1"/>
      <c r="V530" s="1"/>
      <c r="W530" s="1"/>
      <c r="X530" s="1"/>
      <c r="Y530" s="1"/>
      <c r="Z530" s="1"/>
    </row>
    <row r="531" spans="1:26" ht="27" customHeight="1">
      <c r="A531" s="1"/>
      <c r="B531" s="1"/>
      <c r="C531" s="2"/>
      <c r="D531" s="87"/>
      <c r="E531" s="87"/>
      <c r="F531" s="87"/>
      <c r="G531" s="1"/>
      <c r="H531" s="1"/>
      <c r="I531" s="1"/>
      <c r="J531" s="1"/>
      <c r="K531" s="1"/>
      <c r="L531" s="87"/>
      <c r="M531" s="87"/>
      <c r="N531" s="4"/>
      <c r="O531" s="1"/>
      <c r="P531" s="5"/>
      <c r="Q531" s="3"/>
      <c r="R531" s="3"/>
      <c r="S531" s="7"/>
      <c r="T531" s="1"/>
      <c r="U531" s="1"/>
      <c r="V531" s="1"/>
      <c r="W531" s="1"/>
      <c r="X531" s="1"/>
      <c r="Y531" s="1"/>
      <c r="Z531" s="1"/>
    </row>
    <row r="532" spans="1:26" ht="27" customHeight="1">
      <c r="A532" s="1"/>
      <c r="B532" s="1"/>
      <c r="C532" s="2"/>
      <c r="D532" s="87"/>
      <c r="E532" s="87"/>
      <c r="F532" s="87"/>
      <c r="G532" s="1"/>
      <c r="H532" s="1"/>
      <c r="I532" s="1"/>
      <c r="J532" s="1"/>
      <c r="K532" s="1"/>
      <c r="L532" s="87"/>
      <c r="M532" s="87"/>
      <c r="N532" s="4"/>
      <c r="O532" s="1"/>
      <c r="P532" s="5"/>
      <c r="Q532" s="3"/>
      <c r="R532" s="3"/>
      <c r="S532" s="7"/>
      <c r="T532" s="1"/>
      <c r="U532" s="1"/>
      <c r="V532" s="1"/>
      <c r="W532" s="1"/>
      <c r="X532" s="1"/>
      <c r="Y532" s="1"/>
      <c r="Z532" s="1"/>
    </row>
    <row r="533" spans="1:26" ht="27" customHeight="1">
      <c r="A533" s="1"/>
      <c r="B533" s="1"/>
      <c r="C533" s="2"/>
      <c r="D533" s="87"/>
      <c r="E533" s="87"/>
      <c r="F533" s="87"/>
      <c r="G533" s="1"/>
      <c r="H533" s="1"/>
      <c r="I533" s="1"/>
      <c r="J533" s="1"/>
      <c r="K533" s="1"/>
      <c r="L533" s="87"/>
      <c r="M533" s="87"/>
      <c r="N533" s="4"/>
      <c r="O533" s="1"/>
      <c r="P533" s="5"/>
      <c r="Q533" s="3"/>
      <c r="R533" s="3"/>
      <c r="S533" s="7"/>
      <c r="T533" s="1"/>
      <c r="U533" s="1"/>
      <c r="V533" s="1"/>
      <c r="W533" s="1"/>
      <c r="X533" s="1"/>
      <c r="Y533" s="1"/>
      <c r="Z533" s="1"/>
    </row>
    <row r="534" spans="1:26" ht="27" customHeight="1">
      <c r="A534" s="1"/>
      <c r="B534" s="1"/>
      <c r="C534" s="2"/>
      <c r="D534" s="87"/>
      <c r="E534" s="87"/>
      <c r="F534" s="87"/>
      <c r="G534" s="1"/>
      <c r="H534" s="1"/>
      <c r="I534" s="1"/>
      <c r="J534" s="1"/>
      <c r="K534" s="1"/>
      <c r="L534" s="87"/>
      <c r="M534" s="87"/>
      <c r="N534" s="4"/>
      <c r="O534" s="1"/>
      <c r="P534" s="5"/>
      <c r="Q534" s="3"/>
      <c r="R534" s="3"/>
      <c r="S534" s="7"/>
      <c r="T534" s="1"/>
      <c r="U534" s="1"/>
      <c r="V534" s="1"/>
      <c r="W534" s="1"/>
      <c r="X534" s="1"/>
      <c r="Y534" s="1"/>
      <c r="Z534" s="1"/>
    </row>
    <row r="535" spans="1:26" ht="27" customHeight="1">
      <c r="A535" s="1"/>
      <c r="B535" s="1"/>
      <c r="C535" s="2"/>
      <c r="D535" s="87"/>
      <c r="E535" s="87"/>
      <c r="F535" s="87"/>
      <c r="G535" s="1"/>
      <c r="H535" s="1"/>
      <c r="I535" s="1"/>
      <c r="J535" s="1"/>
      <c r="K535" s="1"/>
      <c r="L535" s="87"/>
      <c r="M535" s="87"/>
      <c r="N535" s="4"/>
      <c r="O535" s="1"/>
      <c r="P535" s="5"/>
      <c r="Q535" s="3"/>
      <c r="R535" s="3"/>
      <c r="S535" s="7"/>
      <c r="T535" s="1"/>
      <c r="U535" s="1"/>
      <c r="V535" s="1"/>
      <c r="W535" s="1"/>
      <c r="X535" s="1"/>
      <c r="Y535" s="1"/>
      <c r="Z535" s="1"/>
    </row>
    <row r="536" spans="1:26" ht="27" customHeight="1">
      <c r="A536" s="1"/>
      <c r="B536" s="1"/>
      <c r="C536" s="2"/>
      <c r="D536" s="87"/>
      <c r="E536" s="87"/>
      <c r="F536" s="87"/>
      <c r="G536" s="1"/>
      <c r="H536" s="1"/>
      <c r="I536" s="1"/>
      <c r="J536" s="1"/>
      <c r="K536" s="1"/>
      <c r="L536" s="87"/>
      <c r="M536" s="87"/>
      <c r="N536" s="4"/>
      <c r="O536" s="1"/>
      <c r="P536" s="5"/>
      <c r="Q536" s="3"/>
      <c r="R536" s="3"/>
      <c r="S536" s="7"/>
      <c r="T536" s="1"/>
      <c r="U536" s="1"/>
      <c r="V536" s="1"/>
      <c r="W536" s="1"/>
      <c r="X536" s="1"/>
      <c r="Y536" s="1"/>
      <c r="Z536" s="1"/>
    </row>
    <row r="537" spans="1:26" ht="27" customHeight="1">
      <c r="A537" s="1"/>
      <c r="B537" s="1"/>
      <c r="C537" s="2"/>
      <c r="D537" s="87"/>
      <c r="E537" s="87"/>
      <c r="F537" s="87"/>
      <c r="G537" s="1"/>
      <c r="H537" s="1"/>
      <c r="I537" s="1"/>
      <c r="J537" s="1"/>
      <c r="K537" s="1"/>
      <c r="L537" s="87"/>
      <c r="M537" s="87"/>
      <c r="N537" s="4"/>
      <c r="O537" s="1"/>
      <c r="P537" s="5"/>
      <c r="Q537" s="3"/>
      <c r="R537" s="3"/>
      <c r="S537" s="7"/>
      <c r="T537" s="1"/>
      <c r="U537" s="1"/>
      <c r="V537" s="1"/>
      <c r="W537" s="1"/>
      <c r="X537" s="1"/>
      <c r="Y537" s="1"/>
      <c r="Z537" s="1"/>
    </row>
    <row r="538" spans="1:26" ht="27" customHeight="1">
      <c r="A538" s="1"/>
      <c r="B538" s="1"/>
      <c r="C538" s="2"/>
      <c r="D538" s="87"/>
      <c r="E538" s="87"/>
      <c r="F538" s="87"/>
      <c r="G538" s="1"/>
      <c r="H538" s="1"/>
      <c r="I538" s="1"/>
      <c r="J538" s="1"/>
      <c r="K538" s="1"/>
      <c r="L538" s="87"/>
      <c r="M538" s="87"/>
      <c r="N538" s="4"/>
      <c r="O538" s="1"/>
      <c r="P538" s="5"/>
      <c r="Q538" s="3"/>
      <c r="R538" s="3"/>
      <c r="S538" s="7"/>
      <c r="T538" s="1"/>
      <c r="U538" s="1"/>
      <c r="V538" s="1"/>
      <c r="W538" s="1"/>
      <c r="X538" s="1"/>
      <c r="Y538" s="1"/>
      <c r="Z538" s="1"/>
    </row>
    <row r="539" spans="1:26" ht="27" customHeight="1">
      <c r="A539" s="1"/>
      <c r="B539" s="1"/>
      <c r="C539" s="2"/>
      <c r="D539" s="87"/>
      <c r="E539" s="87"/>
      <c r="F539" s="87"/>
      <c r="G539" s="1"/>
      <c r="H539" s="1"/>
      <c r="I539" s="1"/>
      <c r="J539" s="1"/>
      <c r="K539" s="1"/>
      <c r="L539" s="87"/>
      <c r="M539" s="87"/>
      <c r="N539" s="4"/>
      <c r="O539" s="1"/>
      <c r="P539" s="5"/>
      <c r="Q539" s="3"/>
      <c r="R539" s="3"/>
      <c r="S539" s="7"/>
      <c r="T539" s="1"/>
      <c r="U539" s="1"/>
      <c r="V539" s="1"/>
      <c r="W539" s="1"/>
      <c r="X539" s="1"/>
      <c r="Y539" s="1"/>
      <c r="Z539" s="1"/>
    </row>
    <row r="540" spans="1:26" ht="27" customHeight="1">
      <c r="A540" s="1"/>
      <c r="B540" s="1"/>
      <c r="C540" s="2"/>
      <c r="D540" s="87"/>
      <c r="E540" s="87"/>
      <c r="F540" s="87"/>
      <c r="G540" s="1"/>
      <c r="H540" s="1"/>
      <c r="I540" s="1"/>
      <c r="J540" s="1"/>
      <c r="K540" s="1"/>
      <c r="L540" s="87"/>
      <c r="M540" s="87"/>
      <c r="N540" s="4"/>
      <c r="O540" s="1"/>
      <c r="P540" s="5"/>
      <c r="Q540" s="3"/>
      <c r="R540" s="3"/>
      <c r="S540" s="7"/>
      <c r="T540" s="1"/>
      <c r="U540" s="1"/>
      <c r="V540" s="1"/>
      <c r="W540" s="1"/>
      <c r="X540" s="1"/>
      <c r="Y540" s="1"/>
      <c r="Z540" s="1"/>
    </row>
    <row r="541" spans="1:26" ht="27" customHeight="1">
      <c r="A541" s="1"/>
      <c r="B541" s="1"/>
      <c r="C541" s="2"/>
      <c r="D541" s="87"/>
      <c r="E541" s="87"/>
      <c r="F541" s="87"/>
      <c r="G541" s="1"/>
      <c r="H541" s="1"/>
      <c r="I541" s="1"/>
      <c r="J541" s="1"/>
      <c r="K541" s="1"/>
      <c r="L541" s="87"/>
      <c r="M541" s="87"/>
      <c r="N541" s="4"/>
      <c r="O541" s="1"/>
      <c r="P541" s="5"/>
      <c r="Q541" s="3"/>
      <c r="R541" s="3"/>
      <c r="S541" s="7"/>
      <c r="T541" s="1"/>
      <c r="U541" s="1"/>
      <c r="V541" s="1"/>
      <c r="W541" s="1"/>
      <c r="X541" s="1"/>
      <c r="Y541" s="1"/>
      <c r="Z541" s="1"/>
    </row>
    <row r="542" spans="1:26" ht="27" customHeight="1">
      <c r="A542" s="1"/>
      <c r="B542" s="1"/>
      <c r="C542" s="2"/>
      <c r="D542" s="87"/>
      <c r="E542" s="87"/>
      <c r="F542" s="87"/>
      <c r="G542" s="1"/>
      <c r="H542" s="1"/>
      <c r="I542" s="1"/>
      <c r="J542" s="1"/>
      <c r="K542" s="1"/>
      <c r="L542" s="87"/>
      <c r="M542" s="87"/>
      <c r="N542" s="4"/>
      <c r="O542" s="1"/>
      <c r="P542" s="5"/>
      <c r="Q542" s="3"/>
      <c r="R542" s="3"/>
      <c r="S542" s="7"/>
      <c r="T542" s="1"/>
      <c r="U542" s="1"/>
      <c r="V542" s="1"/>
      <c r="W542" s="1"/>
      <c r="X542" s="1"/>
      <c r="Y542" s="1"/>
      <c r="Z542" s="1"/>
    </row>
    <row r="543" spans="1:26" ht="27" customHeight="1">
      <c r="A543" s="1"/>
      <c r="B543" s="1"/>
      <c r="C543" s="2"/>
      <c r="D543" s="87"/>
      <c r="E543" s="87"/>
      <c r="F543" s="87"/>
      <c r="G543" s="1"/>
      <c r="H543" s="1"/>
      <c r="I543" s="1"/>
      <c r="J543" s="1"/>
      <c r="K543" s="1"/>
      <c r="L543" s="87"/>
      <c r="M543" s="87"/>
      <c r="N543" s="4"/>
      <c r="O543" s="1"/>
      <c r="P543" s="5"/>
      <c r="Q543" s="3"/>
      <c r="R543" s="3"/>
      <c r="S543" s="7"/>
      <c r="T543" s="1"/>
      <c r="U543" s="1"/>
      <c r="V543" s="1"/>
      <c r="W543" s="1"/>
      <c r="X543" s="1"/>
      <c r="Y543" s="1"/>
      <c r="Z543" s="1"/>
    </row>
    <row r="544" spans="1:26" ht="27" customHeight="1">
      <c r="A544" s="1"/>
      <c r="B544" s="1"/>
      <c r="C544" s="2"/>
      <c r="D544" s="87"/>
      <c r="E544" s="87"/>
      <c r="F544" s="87"/>
      <c r="G544" s="1"/>
      <c r="H544" s="1"/>
      <c r="I544" s="1"/>
      <c r="J544" s="1"/>
      <c r="K544" s="1"/>
      <c r="L544" s="87"/>
      <c r="M544" s="87"/>
      <c r="N544" s="4"/>
      <c r="O544" s="1"/>
      <c r="P544" s="5"/>
      <c r="Q544" s="3"/>
      <c r="R544" s="3"/>
      <c r="S544" s="7"/>
      <c r="T544" s="1"/>
      <c r="U544" s="1"/>
      <c r="V544" s="1"/>
      <c r="W544" s="1"/>
      <c r="X544" s="1"/>
      <c r="Y544" s="1"/>
      <c r="Z544" s="1"/>
    </row>
    <row r="545" spans="1:26" ht="27" customHeight="1">
      <c r="A545" s="1"/>
      <c r="B545" s="1"/>
      <c r="C545" s="2"/>
      <c r="D545" s="87"/>
      <c r="E545" s="87"/>
      <c r="F545" s="87"/>
      <c r="G545" s="1"/>
      <c r="H545" s="1"/>
      <c r="I545" s="1"/>
      <c r="J545" s="1"/>
      <c r="K545" s="1"/>
      <c r="L545" s="87"/>
      <c r="M545" s="87"/>
      <c r="N545" s="4"/>
      <c r="O545" s="1"/>
      <c r="P545" s="5"/>
      <c r="Q545" s="3"/>
      <c r="R545" s="3"/>
      <c r="S545" s="7"/>
      <c r="T545" s="1"/>
      <c r="U545" s="1"/>
      <c r="V545" s="1"/>
      <c r="W545" s="1"/>
      <c r="X545" s="1"/>
      <c r="Y545" s="1"/>
      <c r="Z545" s="1"/>
    </row>
    <row r="546" spans="1:26" ht="27" customHeight="1">
      <c r="A546" s="1"/>
      <c r="B546" s="1"/>
      <c r="C546" s="2"/>
      <c r="D546" s="87"/>
      <c r="E546" s="87"/>
      <c r="F546" s="87"/>
      <c r="G546" s="1"/>
      <c r="H546" s="1"/>
      <c r="I546" s="1"/>
      <c r="J546" s="1"/>
      <c r="K546" s="1"/>
      <c r="L546" s="87"/>
      <c r="M546" s="87"/>
      <c r="N546" s="4"/>
      <c r="O546" s="1"/>
      <c r="P546" s="5"/>
      <c r="Q546" s="3"/>
      <c r="R546" s="3"/>
      <c r="S546" s="7"/>
      <c r="T546" s="1"/>
      <c r="U546" s="1"/>
      <c r="V546" s="1"/>
      <c r="W546" s="1"/>
      <c r="X546" s="1"/>
      <c r="Y546" s="1"/>
      <c r="Z546" s="1"/>
    </row>
    <row r="547" spans="1:26" ht="27" customHeight="1">
      <c r="A547" s="1"/>
      <c r="B547" s="1"/>
      <c r="C547" s="2"/>
      <c r="D547" s="87"/>
      <c r="E547" s="87"/>
      <c r="F547" s="87"/>
      <c r="G547" s="1"/>
      <c r="H547" s="1"/>
      <c r="I547" s="1"/>
      <c r="J547" s="1"/>
      <c r="K547" s="1"/>
      <c r="L547" s="87"/>
      <c r="M547" s="87"/>
      <c r="N547" s="4"/>
      <c r="O547" s="1"/>
      <c r="P547" s="5"/>
      <c r="Q547" s="3"/>
      <c r="R547" s="3"/>
      <c r="S547" s="7"/>
      <c r="T547" s="1"/>
      <c r="U547" s="1"/>
      <c r="V547" s="1"/>
      <c r="W547" s="1"/>
      <c r="X547" s="1"/>
      <c r="Y547" s="1"/>
      <c r="Z547" s="1"/>
    </row>
    <row r="548" spans="1:26" ht="27" customHeight="1">
      <c r="A548" s="1"/>
      <c r="B548" s="1"/>
      <c r="C548" s="2"/>
      <c r="D548" s="87"/>
      <c r="E548" s="87"/>
      <c r="F548" s="87"/>
      <c r="G548" s="1"/>
      <c r="H548" s="1"/>
      <c r="I548" s="1"/>
      <c r="J548" s="1"/>
      <c r="K548" s="1"/>
      <c r="L548" s="87"/>
      <c r="M548" s="87"/>
      <c r="N548" s="4"/>
      <c r="O548" s="1"/>
      <c r="P548" s="5"/>
      <c r="Q548" s="3"/>
      <c r="R548" s="3"/>
      <c r="S548" s="7"/>
      <c r="T548" s="1"/>
      <c r="U548" s="1"/>
      <c r="V548" s="1"/>
      <c r="W548" s="1"/>
      <c r="X548" s="1"/>
      <c r="Y548" s="1"/>
      <c r="Z548" s="1"/>
    </row>
    <row r="549" spans="1:26" ht="27" customHeight="1">
      <c r="A549" s="1"/>
      <c r="B549" s="1"/>
      <c r="C549" s="2"/>
      <c r="D549" s="87"/>
      <c r="E549" s="87"/>
      <c r="F549" s="87"/>
      <c r="G549" s="1"/>
      <c r="H549" s="1"/>
      <c r="I549" s="1"/>
      <c r="J549" s="1"/>
      <c r="K549" s="1"/>
      <c r="L549" s="87"/>
      <c r="M549" s="87"/>
      <c r="N549" s="4"/>
      <c r="O549" s="1"/>
      <c r="P549" s="5"/>
      <c r="Q549" s="3"/>
      <c r="R549" s="3"/>
      <c r="S549" s="7"/>
      <c r="T549" s="1"/>
      <c r="U549" s="1"/>
      <c r="V549" s="1"/>
      <c r="W549" s="1"/>
      <c r="X549" s="1"/>
      <c r="Y549" s="1"/>
      <c r="Z549" s="1"/>
    </row>
    <row r="550" spans="1:26" ht="27" customHeight="1">
      <c r="A550" s="1"/>
      <c r="B550" s="1"/>
      <c r="C550" s="2"/>
      <c r="D550" s="87"/>
      <c r="E550" s="87"/>
      <c r="F550" s="87"/>
      <c r="G550" s="1"/>
      <c r="H550" s="1"/>
      <c r="I550" s="1"/>
      <c r="J550" s="1"/>
      <c r="K550" s="1"/>
      <c r="L550" s="87"/>
      <c r="M550" s="87"/>
      <c r="N550" s="4"/>
      <c r="O550" s="1"/>
      <c r="P550" s="5"/>
      <c r="Q550" s="3"/>
      <c r="R550" s="3"/>
      <c r="S550" s="7"/>
      <c r="T550" s="1"/>
      <c r="U550" s="1"/>
      <c r="V550" s="1"/>
      <c r="W550" s="1"/>
      <c r="X550" s="1"/>
      <c r="Y550" s="1"/>
      <c r="Z550" s="1"/>
    </row>
    <row r="551" spans="1:26" ht="27" customHeight="1">
      <c r="A551" s="1"/>
      <c r="B551" s="1"/>
      <c r="C551" s="2"/>
      <c r="D551" s="87"/>
      <c r="E551" s="87"/>
      <c r="F551" s="87"/>
      <c r="G551" s="1"/>
      <c r="H551" s="1"/>
      <c r="I551" s="1"/>
      <c r="J551" s="1"/>
      <c r="K551" s="1"/>
      <c r="L551" s="87"/>
      <c r="M551" s="87"/>
      <c r="N551" s="4"/>
      <c r="O551" s="1"/>
      <c r="P551" s="5"/>
      <c r="Q551" s="3"/>
      <c r="R551" s="3"/>
      <c r="S551" s="7"/>
      <c r="T551" s="1"/>
      <c r="U551" s="1"/>
      <c r="V551" s="1"/>
      <c r="W551" s="1"/>
      <c r="X551" s="1"/>
      <c r="Y551" s="1"/>
      <c r="Z551" s="1"/>
    </row>
    <row r="552" spans="1:26" ht="27" customHeight="1">
      <c r="A552" s="1"/>
      <c r="B552" s="1"/>
      <c r="C552" s="2"/>
      <c r="D552" s="87"/>
      <c r="E552" s="87"/>
      <c r="F552" s="87"/>
      <c r="G552" s="1"/>
      <c r="H552" s="1"/>
      <c r="I552" s="1"/>
      <c r="J552" s="1"/>
      <c r="K552" s="1"/>
      <c r="L552" s="87"/>
      <c r="M552" s="87"/>
      <c r="N552" s="4"/>
      <c r="O552" s="1"/>
      <c r="P552" s="5"/>
      <c r="Q552" s="3"/>
      <c r="R552" s="3"/>
      <c r="S552" s="7"/>
      <c r="T552" s="1"/>
      <c r="U552" s="1"/>
      <c r="V552" s="1"/>
      <c r="W552" s="1"/>
      <c r="X552" s="1"/>
      <c r="Y552" s="1"/>
      <c r="Z552" s="1"/>
    </row>
    <row r="553" spans="1:26" ht="27" customHeight="1">
      <c r="A553" s="1"/>
      <c r="B553" s="1"/>
      <c r="C553" s="2"/>
      <c r="D553" s="87"/>
      <c r="E553" s="87"/>
      <c r="F553" s="87"/>
      <c r="G553" s="1"/>
      <c r="H553" s="1"/>
      <c r="I553" s="1"/>
      <c r="J553" s="1"/>
      <c r="K553" s="1"/>
      <c r="L553" s="87"/>
      <c r="M553" s="87"/>
      <c r="N553" s="4"/>
      <c r="O553" s="1"/>
      <c r="P553" s="5"/>
      <c r="Q553" s="3"/>
      <c r="R553" s="3"/>
      <c r="S553" s="7"/>
      <c r="T553" s="1"/>
      <c r="U553" s="1"/>
      <c r="V553" s="1"/>
      <c r="W553" s="1"/>
      <c r="X553" s="1"/>
      <c r="Y553" s="1"/>
      <c r="Z553" s="1"/>
    </row>
    <row r="554" spans="1:26" ht="27" customHeight="1">
      <c r="A554" s="1"/>
      <c r="B554" s="1"/>
      <c r="C554" s="2"/>
      <c r="D554" s="87"/>
      <c r="E554" s="87"/>
      <c r="F554" s="87"/>
      <c r="G554" s="1"/>
      <c r="H554" s="1"/>
      <c r="I554" s="1"/>
      <c r="J554" s="1"/>
      <c r="K554" s="1"/>
      <c r="L554" s="87"/>
      <c r="M554" s="87"/>
      <c r="N554" s="4"/>
      <c r="O554" s="1"/>
      <c r="P554" s="5"/>
      <c r="Q554" s="3"/>
      <c r="R554" s="3"/>
      <c r="S554" s="7"/>
      <c r="T554" s="1"/>
      <c r="U554" s="1"/>
      <c r="V554" s="1"/>
      <c r="W554" s="1"/>
      <c r="X554" s="1"/>
      <c r="Y554" s="1"/>
      <c r="Z554" s="1"/>
    </row>
    <row r="555" spans="1:26" ht="27" customHeight="1">
      <c r="A555" s="1"/>
      <c r="B555" s="1"/>
      <c r="C555" s="2"/>
      <c r="D555" s="87"/>
      <c r="E555" s="87"/>
      <c r="F555" s="87"/>
      <c r="G555" s="1"/>
      <c r="H555" s="1"/>
      <c r="I555" s="1"/>
      <c r="J555" s="1"/>
      <c r="K555" s="1"/>
      <c r="L555" s="87"/>
      <c r="M555" s="87"/>
      <c r="N555" s="4"/>
      <c r="O555" s="1"/>
      <c r="P555" s="5"/>
      <c r="Q555" s="3"/>
      <c r="R555" s="3"/>
      <c r="S555" s="7"/>
      <c r="T555" s="1"/>
      <c r="U555" s="1"/>
      <c r="V555" s="1"/>
      <c r="W555" s="1"/>
      <c r="X555" s="1"/>
      <c r="Y555" s="1"/>
      <c r="Z555" s="1"/>
    </row>
    <row r="556" spans="1:26" ht="27" customHeight="1">
      <c r="A556" s="1"/>
      <c r="B556" s="1"/>
      <c r="C556" s="2"/>
      <c r="D556" s="87"/>
      <c r="E556" s="87"/>
      <c r="F556" s="87"/>
      <c r="G556" s="1"/>
      <c r="H556" s="1"/>
      <c r="I556" s="1"/>
      <c r="J556" s="1"/>
      <c r="K556" s="1"/>
      <c r="L556" s="87"/>
      <c r="M556" s="87"/>
      <c r="N556" s="4"/>
      <c r="O556" s="1"/>
      <c r="P556" s="5"/>
      <c r="Q556" s="3"/>
      <c r="R556" s="3"/>
      <c r="S556" s="7"/>
      <c r="T556" s="1"/>
      <c r="U556" s="1"/>
      <c r="V556" s="1"/>
      <c r="W556" s="1"/>
      <c r="X556" s="1"/>
      <c r="Y556" s="1"/>
      <c r="Z556" s="1"/>
    </row>
    <row r="557" spans="1:26" ht="27" customHeight="1">
      <c r="A557" s="1"/>
      <c r="B557" s="1"/>
      <c r="C557" s="2"/>
      <c r="D557" s="87"/>
      <c r="E557" s="87"/>
      <c r="F557" s="87"/>
      <c r="G557" s="1"/>
      <c r="H557" s="1"/>
      <c r="I557" s="1"/>
      <c r="J557" s="1"/>
      <c r="K557" s="1"/>
      <c r="L557" s="87"/>
      <c r="M557" s="87"/>
      <c r="N557" s="4"/>
      <c r="O557" s="1"/>
      <c r="P557" s="5"/>
      <c r="Q557" s="3"/>
      <c r="R557" s="3"/>
      <c r="S557" s="7"/>
      <c r="T557" s="1"/>
      <c r="U557" s="1"/>
      <c r="V557" s="1"/>
      <c r="W557" s="1"/>
      <c r="X557" s="1"/>
      <c r="Y557" s="1"/>
      <c r="Z557" s="1"/>
    </row>
    <row r="558" spans="1:26" ht="27" customHeight="1">
      <c r="A558" s="1"/>
      <c r="B558" s="1"/>
      <c r="C558" s="2"/>
      <c r="D558" s="87"/>
      <c r="E558" s="87"/>
      <c r="F558" s="87"/>
      <c r="G558" s="1"/>
      <c r="H558" s="1"/>
      <c r="I558" s="1"/>
      <c r="J558" s="1"/>
      <c r="K558" s="1"/>
      <c r="L558" s="87"/>
      <c r="M558" s="87"/>
      <c r="N558" s="4"/>
      <c r="O558" s="1"/>
      <c r="P558" s="5"/>
      <c r="Q558" s="3"/>
      <c r="R558" s="3"/>
      <c r="S558" s="7"/>
      <c r="T558" s="1"/>
      <c r="U558" s="1"/>
      <c r="V558" s="1"/>
      <c r="W558" s="1"/>
      <c r="X558" s="1"/>
      <c r="Y558" s="1"/>
      <c r="Z558" s="1"/>
    </row>
    <row r="559" spans="1:26" ht="27" customHeight="1">
      <c r="A559" s="1"/>
      <c r="B559" s="1"/>
      <c r="C559" s="2"/>
      <c r="D559" s="87"/>
      <c r="E559" s="87"/>
      <c r="F559" s="87"/>
      <c r="G559" s="1"/>
      <c r="H559" s="1"/>
      <c r="I559" s="1"/>
      <c r="J559" s="1"/>
      <c r="K559" s="1"/>
      <c r="L559" s="87"/>
      <c r="M559" s="87"/>
      <c r="N559" s="4"/>
      <c r="O559" s="1"/>
      <c r="P559" s="5"/>
      <c r="Q559" s="3"/>
      <c r="R559" s="3"/>
      <c r="S559" s="7"/>
      <c r="T559" s="1"/>
      <c r="U559" s="1"/>
      <c r="V559" s="1"/>
      <c r="W559" s="1"/>
      <c r="X559" s="1"/>
      <c r="Y559" s="1"/>
      <c r="Z559" s="1"/>
    </row>
    <row r="560" spans="1:26" ht="27" customHeight="1">
      <c r="A560" s="1"/>
      <c r="B560" s="1"/>
      <c r="C560" s="2"/>
      <c r="D560" s="87"/>
      <c r="E560" s="87"/>
      <c r="F560" s="87"/>
      <c r="G560" s="1"/>
      <c r="H560" s="1"/>
      <c r="I560" s="1"/>
      <c r="J560" s="1"/>
      <c r="K560" s="1"/>
      <c r="L560" s="87"/>
      <c r="M560" s="87"/>
      <c r="N560" s="4"/>
      <c r="O560" s="1"/>
      <c r="P560" s="5"/>
      <c r="Q560" s="3"/>
      <c r="R560" s="3"/>
      <c r="S560" s="7"/>
      <c r="T560" s="1"/>
      <c r="U560" s="1"/>
      <c r="V560" s="1"/>
      <c r="W560" s="1"/>
      <c r="X560" s="1"/>
      <c r="Y560" s="1"/>
      <c r="Z560" s="1"/>
    </row>
    <row r="561" spans="1:26" ht="27" customHeight="1">
      <c r="A561" s="1"/>
      <c r="B561" s="1"/>
      <c r="C561" s="2"/>
      <c r="D561" s="87"/>
      <c r="E561" s="87"/>
      <c r="F561" s="87"/>
      <c r="G561" s="1"/>
      <c r="H561" s="1"/>
      <c r="I561" s="1"/>
      <c r="J561" s="1"/>
      <c r="K561" s="1"/>
      <c r="L561" s="87"/>
      <c r="M561" s="87"/>
      <c r="N561" s="4"/>
      <c r="O561" s="1"/>
      <c r="P561" s="5"/>
      <c r="Q561" s="3"/>
      <c r="R561" s="3"/>
      <c r="S561" s="7"/>
      <c r="T561" s="1"/>
      <c r="U561" s="1"/>
      <c r="V561" s="1"/>
      <c r="W561" s="1"/>
      <c r="X561" s="1"/>
      <c r="Y561" s="1"/>
      <c r="Z561" s="1"/>
    </row>
    <row r="562" spans="1:26" ht="27" customHeight="1">
      <c r="A562" s="1"/>
      <c r="B562" s="1"/>
      <c r="C562" s="2"/>
      <c r="D562" s="87"/>
      <c r="E562" s="87"/>
      <c r="F562" s="87"/>
      <c r="G562" s="1"/>
      <c r="H562" s="1"/>
      <c r="I562" s="1"/>
      <c r="J562" s="1"/>
      <c r="K562" s="1"/>
      <c r="L562" s="87"/>
      <c r="M562" s="87"/>
      <c r="N562" s="4"/>
      <c r="O562" s="1"/>
      <c r="P562" s="5"/>
      <c r="Q562" s="3"/>
      <c r="R562" s="3"/>
      <c r="S562" s="7"/>
      <c r="T562" s="1"/>
      <c r="U562" s="1"/>
      <c r="V562" s="1"/>
      <c r="W562" s="1"/>
      <c r="X562" s="1"/>
      <c r="Y562" s="1"/>
      <c r="Z562" s="1"/>
    </row>
    <row r="563" spans="1:26" ht="27" customHeight="1">
      <c r="A563" s="1"/>
      <c r="B563" s="1"/>
      <c r="C563" s="2"/>
      <c r="D563" s="87"/>
      <c r="E563" s="87"/>
      <c r="F563" s="87"/>
      <c r="G563" s="1"/>
      <c r="H563" s="1"/>
      <c r="I563" s="1"/>
      <c r="J563" s="1"/>
      <c r="K563" s="1"/>
      <c r="L563" s="87"/>
      <c r="M563" s="87"/>
      <c r="N563" s="4"/>
      <c r="O563" s="1"/>
      <c r="P563" s="5"/>
      <c r="Q563" s="3"/>
      <c r="R563" s="3"/>
      <c r="S563" s="7"/>
      <c r="T563" s="1"/>
      <c r="U563" s="1"/>
      <c r="V563" s="1"/>
      <c r="W563" s="1"/>
      <c r="X563" s="1"/>
      <c r="Y563" s="1"/>
      <c r="Z563" s="1"/>
    </row>
    <row r="564" spans="1:26" ht="27" customHeight="1">
      <c r="A564" s="1"/>
      <c r="B564" s="1"/>
      <c r="C564" s="2"/>
      <c r="D564" s="87"/>
      <c r="E564" s="87"/>
      <c r="F564" s="87"/>
      <c r="G564" s="1"/>
      <c r="H564" s="1"/>
      <c r="I564" s="1"/>
      <c r="J564" s="1"/>
      <c r="K564" s="1"/>
      <c r="L564" s="87"/>
      <c r="M564" s="87"/>
      <c r="N564" s="4"/>
      <c r="O564" s="1"/>
      <c r="P564" s="5"/>
      <c r="Q564" s="3"/>
      <c r="R564" s="3"/>
      <c r="S564" s="7"/>
      <c r="T564" s="1"/>
      <c r="U564" s="1"/>
      <c r="V564" s="1"/>
      <c r="W564" s="1"/>
      <c r="X564" s="1"/>
      <c r="Y564" s="1"/>
      <c r="Z564" s="1"/>
    </row>
    <row r="565" spans="1:26" ht="27" customHeight="1">
      <c r="A565" s="1"/>
      <c r="B565" s="1"/>
      <c r="C565" s="2"/>
      <c r="D565" s="87"/>
      <c r="E565" s="87"/>
      <c r="F565" s="87"/>
      <c r="G565" s="1"/>
      <c r="H565" s="1"/>
      <c r="I565" s="1"/>
      <c r="J565" s="1"/>
      <c r="K565" s="1"/>
      <c r="L565" s="87"/>
      <c r="M565" s="87"/>
      <c r="N565" s="4"/>
      <c r="O565" s="1"/>
      <c r="P565" s="5"/>
      <c r="Q565" s="3"/>
      <c r="R565" s="3"/>
      <c r="S565" s="7"/>
      <c r="T565" s="1"/>
      <c r="U565" s="1"/>
      <c r="V565" s="1"/>
      <c r="W565" s="1"/>
      <c r="X565" s="1"/>
      <c r="Y565" s="1"/>
      <c r="Z565" s="1"/>
    </row>
    <row r="566" spans="1:26" ht="27" customHeight="1">
      <c r="A566" s="1"/>
      <c r="B566" s="1"/>
      <c r="C566" s="2"/>
      <c r="D566" s="87"/>
      <c r="E566" s="87"/>
      <c r="F566" s="87"/>
      <c r="G566" s="1"/>
      <c r="H566" s="1"/>
      <c r="I566" s="1"/>
      <c r="J566" s="1"/>
      <c r="K566" s="1"/>
      <c r="L566" s="87"/>
      <c r="M566" s="87"/>
      <c r="N566" s="4"/>
      <c r="O566" s="1"/>
      <c r="P566" s="5"/>
      <c r="Q566" s="3"/>
      <c r="R566" s="3"/>
      <c r="S566" s="7"/>
      <c r="T566" s="1"/>
      <c r="U566" s="1"/>
      <c r="V566" s="1"/>
      <c r="W566" s="1"/>
      <c r="X566" s="1"/>
      <c r="Y566" s="1"/>
      <c r="Z566" s="1"/>
    </row>
    <row r="567" spans="1:26" ht="27" customHeight="1">
      <c r="A567" s="1"/>
      <c r="B567" s="1"/>
      <c r="C567" s="2"/>
      <c r="D567" s="87"/>
      <c r="E567" s="87"/>
      <c r="F567" s="87"/>
      <c r="G567" s="1"/>
      <c r="H567" s="1"/>
      <c r="I567" s="1"/>
      <c r="J567" s="1"/>
      <c r="K567" s="1"/>
      <c r="L567" s="87"/>
      <c r="M567" s="87"/>
      <c r="N567" s="4"/>
      <c r="O567" s="1"/>
      <c r="P567" s="5"/>
      <c r="Q567" s="3"/>
      <c r="R567" s="3"/>
      <c r="S567" s="7"/>
      <c r="T567" s="1"/>
      <c r="U567" s="1"/>
      <c r="V567" s="1"/>
      <c r="W567" s="1"/>
      <c r="X567" s="1"/>
      <c r="Y567" s="1"/>
      <c r="Z567" s="1"/>
    </row>
    <row r="568" spans="1:26" ht="27" customHeight="1">
      <c r="A568" s="1"/>
      <c r="B568" s="1"/>
      <c r="C568" s="2"/>
      <c r="D568" s="87"/>
      <c r="E568" s="87"/>
      <c r="F568" s="87"/>
      <c r="G568" s="1"/>
      <c r="H568" s="1"/>
      <c r="I568" s="1"/>
      <c r="J568" s="1"/>
      <c r="K568" s="1"/>
      <c r="L568" s="87"/>
      <c r="M568" s="87"/>
      <c r="N568" s="4"/>
      <c r="O568" s="1"/>
      <c r="P568" s="5"/>
      <c r="Q568" s="3"/>
      <c r="R568" s="3"/>
      <c r="S568" s="7"/>
      <c r="T568" s="1"/>
      <c r="U568" s="1"/>
      <c r="V568" s="1"/>
      <c r="W568" s="1"/>
      <c r="X568" s="1"/>
      <c r="Y568" s="1"/>
      <c r="Z568" s="1"/>
    </row>
    <row r="569" spans="1:26" ht="27" customHeight="1">
      <c r="A569" s="1"/>
      <c r="B569" s="1"/>
      <c r="C569" s="2"/>
      <c r="D569" s="87"/>
      <c r="E569" s="87"/>
      <c r="F569" s="87"/>
      <c r="G569" s="1"/>
      <c r="H569" s="1"/>
      <c r="I569" s="1"/>
      <c r="J569" s="1"/>
      <c r="K569" s="1"/>
      <c r="L569" s="87"/>
      <c r="M569" s="87"/>
      <c r="N569" s="4"/>
      <c r="O569" s="1"/>
      <c r="P569" s="5"/>
      <c r="Q569" s="3"/>
      <c r="R569" s="3"/>
      <c r="S569" s="7"/>
      <c r="T569" s="1"/>
      <c r="U569" s="1"/>
      <c r="V569" s="1"/>
      <c r="W569" s="1"/>
      <c r="X569" s="1"/>
      <c r="Y569" s="1"/>
      <c r="Z569" s="1"/>
    </row>
    <row r="570" spans="1:26" ht="27" customHeight="1">
      <c r="A570" s="1"/>
      <c r="B570" s="1"/>
      <c r="C570" s="2"/>
      <c r="D570" s="87"/>
      <c r="E570" s="87"/>
      <c r="F570" s="87"/>
      <c r="G570" s="1"/>
      <c r="H570" s="1"/>
      <c r="I570" s="1"/>
      <c r="J570" s="1"/>
      <c r="K570" s="1"/>
      <c r="L570" s="87"/>
      <c r="M570" s="87"/>
      <c r="N570" s="4"/>
      <c r="O570" s="1"/>
      <c r="P570" s="5"/>
      <c r="Q570" s="3"/>
      <c r="R570" s="3"/>
      <c r="S570" s="7"/>
      <c r="T570" s="1"/>
      <c r="U570" s="1"/>
      <c r="V570" s="1"/>
      <c r="W570" s="1"/>
      <c r="X570" s="1"/>
      <c r="Y570" s="1"/>
      <c r="Z570" s="1"/>
    </row>
    <row r="571" spans="1:26" ht="27" customHeight="1">
      <c r="A571" s="1"/>
      <c r="B571" s="1"/>
      <c r="C571" s="2"/>
      <c r="D571" s="87"/>
      <c r="E571" s="87"/>
      <c r="F571" s="87"/>
      <c r="G571" s="1"/>
      <c r="H571" s="1"/>
      <c r="I571" s="1"/>
      <c r="J571" s="1"/>
      <c r="K571" s="1"/>
      <c r="L571" s="87"/>
      <c r="M571" s="87"/>
      <c r="N571" s="4"/>
      <c r="O571" s="1"/>
      <c r="P571" s="5"/>
      <c r="Q571" s="3"/>
      <c r="R571" s="3"/>
      <c r="S571" s="7"/>
      <c r="T571" s="1"/>
      <c r="U571" s="1"/>
      <c r="V571" s="1"/>
      <c r="W571" s="1"/>
      <c r="X571" s="1"/>
      <c r="Y571" s="1"/>
      <c r="Z571" s="1"/>
    </row>
    <row r="572" spans="1:26" ht="27" customHeight="1">
      <c r="A572" s="1"/>
      <c r="B572" s="1"/>
      <c r="C572" s="2"/>
      <c r="D572" s="87"/>
      <c r="E572" s="87"/>
      <c r="F572" s="87"/>
      <c r="G572" s="1"/>
      <c r="H572" s="1"/>
      <c r="I572" s="1"/>
      <c r="J572" s="1"/>
      <c r="K572" s="1"/>
      <c r="L572" s="87"/>
      <c r="M572" s="87"/>
      <c r="N572" s="4"/>
      <c r="O572" s="1"/>
      <c r="P572" s="5"/>
      <c r="Q572" s="3"/>
      <c r="R572" s="3"/>
      <c r="S572" s="7"/>
      <c r="T572" s="1"/>
      <c r="U572" s="1"/>
      <c r="V572" s="1"/>
      <c r="W572" s="1"/>
      <c r="X572" s="1"/>
      <c r="Y572" s="1"/>
      <c r="Z572" s="1"/>
    </row>
    <row r="573" spans="1:26" ht="27" customHeight="1">
      <c r="A573" s="1"/>
      <c r="B573" s="1"/>
      <c r="C573" s="2"/>
      <c r="D573" s="87"/>
      <c r="E573" s="87"/>
      <c r="F573" s="87"/>
      <c r="G573" s="1"/>
      <c r="H573" s="1"/>
      <c r="I573" s="1"/>
      <c r="J573" s="1"/>
      <c r="K573" s="1"/>
      <c r="L573" s="87"/>
      <c r="M573" s="87"/>
      <c r="N573" s="4"/>
      <c r="O573" s="1"/>
      <c r="P573" s="5"/>
      <c r="Q573" s="3"/>
      <c r="R573" s="3"/>
      <c r="S573" s="7"/>
      <c r="T573" s="1"/>
      <c r="U573" s="1"/>
      <c r="V573" s="1"/>
      <c r="W573" s="1"/>
      <c r="X573" s="1"/>
      <c r="Y573" s="1"/>
      <c r="Z573" s="1"/>
    </row>
    <row r="574" spans="1:26" ht="27" customHeight="1">
      <c r="A574" s="1"/>
      <c r="B574" s="1"/>
      <c r="C574" s="2"/>
      <c r="D574" s="87"/>
      <c r="E574" s="87"/>
      <c r="F574" s="87"/>
      <c r="G574" s="1"/>
      <c r="H574" s="1"/>
      <c r="I574" s="1"/>
      <c r="J574" s="1"/>
      <c r="K574" s="1"/>
      <c r="L574" s="87"/>
      <c r="M574" s="87"/>
      <c r="N574" s="4"/>
      <c r="O574" s="1"/>
      <c r="P574" s="5"/>
      <c r="Q574" s="3"/>
      <c r="R574" s="3"/>
      <c r="S574" s="7"/>
      <c r="T574" s="1"/>
      <c r="U574" s="1"/>
      <c r="V574" s="1"/>
      <c r="W574" s="1"/>
      <c r="X574" s="1"/>
      <c r="Y574" s="1"/>
      <c r="Z574" s="1"/>
    </row>
    <row r="575" spans="1:26" ht="27" customHeight="1">
      <c r="A575" s="1"/>
      <c r="B575" s="1"/>
      <c r="C575" s="2"/>
      <c r="D575" s="87"/>
      <c r="E575" s="87"/>
      <c r="F575" s="87"/>
      <c r="G575" s="1"/>
      <c r="H575" s="1"/>
      <c r="I575" s="1"/>
      <c r="J575" s="1"/>
      <c r="K575" s="1"/>
      <c r="L575" s="87"/>
      <c r="M575" s="87"/>
      <c r="N575" s="4"/>
      <c r="O575" s="1"/>
      <c r="P575" s="5"/>
      <c r="Q575" s="3"/>
      <c r="R575" s="3"/>
      <c r="S575" s="7"/>
      <c r="T575" s="1"/>
      <c r="U575" s="1"/>
      <c r="V575" s="1"/>
      <c r="W575" s="1"/>
      <c r="X575" s="1"/>
      <c r="Y575" s="1"/>
      <c r="Z575" s="1"/>
    </row>
    <row r="576" spans="1:26" ht="27" customHeight="1">
      <c r="A576" s="1"/>
      <c r="B576" s="1"/>
      <c r="C576" s="2"/>
      <c r="D576" s="87"/>
      <c r="E576" s="87"/>
      <c r="F576" s="87"/>
      <c r="G576" s="1"/>
      <c r="H576" s="1"/>
      <c r="I576" s="1"/>
      <c r="J576" s="1"/>
      <c r="K576" s="1"/>
      <c r="L576" s="87"/>
      <c r="M576" s="87"/>
      <c r="N576" s="4"/>
      <c r="O576" s="1"/>
      <c r="P576" s="5"/>
      <c r="Q576" s="3"/>
      <c r="R576" s="3"/>
      <c r="S576" s="7"/>
      <c r="T576" s="1"/>
      <c r="U576" s="1"/>
      <c r="V576" s="1"/>
      <c r="W576" s="1"/>
      <c r="X576" s="1"/>
      <c r="Y576" s="1"/>
      <c r="Z576" s="1"/>
    </row>
    <row r="577" spans="1:26" ht="27" customHeight="1">
      <c r="A577" s="1"/>
      <c r="B577" s="1"/>
      <c r="C577" s="2"/>
      <c r="D577" s="87"/>
      <c r="E577" s="87"/>
      <c r="F577" s="87"/>
      <c r="G577" s="1"/>
      <c r="H577" s="1"/>
      <c r="I577" s="1"/>
      <c r="J577" s="1"/>
      <c r="K577" s="1"/>
      <c r="L577" s="87"/>
      <c r="M577" s="87"/>
      <c r="N577" s="4"/>
      <c r="O577" s="1"/>
      <c r="P577" s="5"/>
      <c r="Q577" s="3"/>
      <c r="R577" s="3"/>
      <c r="S577" s="7"/>
      <c r="T577" s="1"/>
      <c r="U577" s="1"/>
      <c r="V577" s="1"/>
      <c r="W577" s="1"/>
      <c r="X577" s="1"/>
      <c r="Y577" s="1"/>
      <c r="Z577" s="1"/>
    </row>
    <row r="578" spans="1:26" ht="27" customHeight="1">
      <c r="A578" s="1"/>
      <c r="B578" s="1"/>
      <c r="C578" s="2"/>
      <c r="D578" s="87"/>
      <c r="E578" s="87"/>
      <c r="F578" s="87"/>
      <c r="G578" s="1"/>
      <c r="H578" s="1"/>
      <c r="I578" s="1"/>
      <c r="J578" s="1"/>
      <c r="K578" s="1"/>
      <c r="L578" s="87"/>
      <c r="M578" s="87"/>
      <c r="N578" s="4"/>
      <c r="O578" s="1"/>
      <c r="P578" s="5"/>
      <c r="Q578" s="3"/>
      <c r="R578" s="3"/>
      <c r="S578" s="7"/>
      <c r="T578" s="1"/>
      <c r="U578" s="1"/>
      <c r="V578" s="1"/>
      <c r="W578" s="1"/>
      <c r="X578" s="1"/>
      <c r="Y578" s="1"/>
      <c r="Z578" s="1"/>
    </row>
    <row r="579" spans="1:26" ht="27" customHeight="1">
      <c r="A579" s="1"/>
      <c r="B579" s="1"/>
      <c r="C579" s="2"/>
      <c r="D579" s="87"/>
      <c r="E579" s="87"/>
      <c r="F579" s="87"/>
      <c r="G579" s="1"/>
      <c r="H579" s="1"/>
      <c r="I579" s="1"/>
      <c r="J579" s="1"/>
      <c r="K579" s="1"/>
      <c r="L579" s="87"/>
      <c r="M579" s="87"/>
      <c r="N579" s="4"/>
      <c r="O579" s="1"/>
      <c r="P579" s="5"/>
      <c r="Q579" s="3"/>
      <c r="R579" s="3"/>
      <c r="S579" s="7"/>
      <c r="T579" s="1"/>
      <c r="U579" s="1"/>
      <c r="V579" s="1"/>
      <c r="W579" s="1"/>
      <c r="X579" s="1"/>
      <c r="Y579" s="1"/>
      <c r="Z579" s="1"/>
    </row>
    <row r="580" spans="1:26" ht="27" customHeight="1">
      <c r="A580" s="1"/>
      <c r="B580" s="1"/>
      <c r="C580" s="2"/>
      <c r="D580" s="87"/>
      <c r="E580" s="87"/>
      <c r="F580" s="87"/>
      <c r="G580" s="1"/>
      <c r="H580" s="1"/>
      <c r="I580" s="1"/>
      <c r="J580" s="1"/>
      <c r="K580" s="1"/>
      <c r="L580" s="87"/>
      <c r="M580" s="87"/>
      <c r="N580" s="4"/>
      <c r="O580" s="1"/>
      <c r="P580" s="5"/>
      <c r="Q580" s="3"/>
      <c r="R580" s="3"/>
      <c r="S580" s="7"/>
      <c r="T580" s="1"/>
      <c r="U580" s="1"/>
      <c r="V580" s="1"/>
      <c r="W580" s="1"/>
      <c r="X580" s="1"/>
      <c r="Y580" s="1"/>
      <c r="Z580" s="1"/>
    </row>
    <row r="581" spans="1:26" ht="27" customHeight="1">
      <c r="A581" s="1"/>
      <c r="B581" s="1"/>
      <c r="C581" s="2"/>
      <c r="D581" s="87"/>
      <c r="E581" s="87"/>
      <c r="F581" s="87"/>
      <c r="G581" s="1"/>
      <c r="H581" s="1"/>
      <c r="I581" s="1"/>
      <c r="J581" s="1"/>
      <c r="K581" s="1"/>
      <c r="L581" s="87"/>
      <c r="M581" s="87"/>
      <c r="N581" s="4"/>
      <c r="O581" s="1"/>
      <c r="P581" s="5"/>
      <c r="Q581" s="3"/>
      <c r="R581" s="3"/>
      <c r="S581" s="7"/>
      <c r="T581" s="1"/>
      <c r="U581" s="1"/>
      <c r="V581" s="1"/>
      <c r="W581" s="1"/>
      <c r="X581" s="1"/>
      <c r="Y581" s="1"/>
      <c r="Z581" s="1"/>
    </row>
    <row r="582" spans="1:26" ht="27" customHeight="1">
      <c r="A582" s="1"/>
      <c r="B582" s="1"/>
      <c r="C582" s="2"/>
      <c r="D582" s="87"/>
      <c r="E582" s="87"/>
      <c r="F582" s="87"/>
      <c r="G582" s="1"/>
      <c r="H582" s="1"/>
      <c r="I582" s="1"/>
      <c r="J582" s="1"/>
      <c r="K582" s="1"/>
      <c r="L582" s="87"/>
      <c r="M582" s="87"/>
      <c r="N582" s="4"/>
      <c r="O582" s="1"/>
      <c r="P582" s="5"/>
      <c r="Q582" s="3"/>
      <c r="R582" s="3"/>
      <c r="S582" s="7"/>
      <c r="T582" s="1"/>
      <c r="U582" s="1"/>
      <c r="V582" s="1"/>
      <c r="W582" s="1"/>
      <c r="X582" s="1"/>
      <c r="Y582" s="1"/>
      <c r="Z582" s="1"/>
    </row>
    <row r="583" spans="1:26" ht="27" customHeight="1">
      <c r="A583" s="1"/>
      <c r="B583" s="1"/>
      <c r="C583" s="2"/>
      <c r="D583" s="87"/>
      <c r="E583" s="87"/>
      <c r="F583" s="87"/>
      <c r="G583" s="1"/>
      <c r="H583" s="1"/>
      <c r="I583" s="1"/>
      <c r="J583" s="1"/>
      <c r="K583" s="1"/>
      <c r="L583" s="87"/>
      <c r="M583" s="87"/>
      <c r="N583" s="4"/>
      <c r="O583" s="1"/>
      <c r="P583" s="5"/>
      <c r="Q583" s="3"/>
      <c r="R583" s="3"/>
      <c r="S583" s="7"/>
      <c r="T583" s="1"/>
      <c r="U583" s="1"/>
      <c r="V583" s="1"/>
      <c r="W583" s="1"/>
      <c r="X583" s="1"/>
      <c r="Y583" s="1"/>
      <c r="Z583" s="1"/>
    </row>
    <row r="584" spans="1:26" ht="27" customHeight="1">
      <c r="A584" s="1"/>
      <c r="B584" s="1"/>
      <c r="C584" s="2"/>
      <c r="D584" s="87"/>
      <c r="E584" s="87"/>
      <c r="F584" s="87"/>
      <c r="G584" s="1"/>
      <c r="H584" s="1"/>
      <c r="I584" s="1"/>
      <c r="J584" s="1"/>
      <c r="K584" s="1"/>
      <c r="L584" s="87"/>
      <c r="M584" s="87"/>
      <c r="N584" s="4"/>
      <c r="O584" s="1"/>
      <c r="P584" s="5"/>
      <c r="Q584" s="3"/>
      <c r="R584" s="3"/>
      <c r="S584" s="7"/>
      <c r="T584" s="1"/>
      <c r="U584" s="1"/>
      <c r="V584" s="1"/>
      <c r="W584" s="1"/>
      <c r="X584" s="1"/>
      <c r="Y584" s="1"/>
      <c r="Z584" s="1"/>
    </row>
    <row r="585" spans="1:26" ht="27" customHeight="1">
      <c r="A585" s="1"/>
      <c r="B585" s="1"/>
      <c r="C585" s="2"/>
      <c r="D585" s="87"/>
      <c r="E585" s="87"/>
      <c r="F585" s="87"/>
      <c r="G585" s="1"/>
      <c r="H585" s="1"/>
      <c r="I585" s="1"/>
      <c r="J585" s="1"/>
      <c r="K585" s="1"/>
      <c r="L585" s="87"/>
      <c r="M585" s="87"/>
      <c r="N585" s="4"/>
      <c r="O585" s="1"/>
      <c r="P585" s="5"/>
      <c r="Q585" s="3"/>
      <c r="R585" s="3"/>
      <c r="S585" s="7"/>
      <c r="T585" s="1"/>
      <c r="U585" s="1"/>
      <c r="V585" s="1"/>
      <c r="W585" s="1"/>
      <c r="X585" s="1"/>
      <c r="Y585" s="1"/>
      <c r="Z585" s="1"/>
    </row>
    <row r="586" spans="1:26" ht="27" customHeight="1">
      <c r="A586" s="1"/>
      <c r="B586" s="1"/>
      <c r="C586" s="2"/>
      <c r="D586" s="87"/>
      <c r="E586" s="87"/>
      <c r="F586" s="87"/>
      <c r="G586" s="1"/>
      <c r="H586" s="1"/>
      <c r="I586" s="1"/>
      <c r="J586" s="1"/>
      <c r="K586" s="1"/>
      <c r="L586" s="87"/>
      <c r="M586" s="87"/>
      <c r="N586" s="4"/>
      <c r="O586" s="1"/>
      <c r="P586" s="5"/>
      <c r="Q586" s="3"/>
      <c r="R586" s="3"/>
      <c r="S586" s="7"/>
      <c r="T586" s="1"/>
      <c r="U586" s="1"/>
      <c r="V586" s="1"/>
      <c r="W586" s="1"/>
      <c r="X586" s="1"/>
      <c r="Y586" s="1"/>
      <c r="Z586" s="1"/>
    </row>
    <row r="587" spans="1:26" ht="27" customHeight="1">
      <c r="A587" s="1"/>
      <c r="B587" s="1"/>
      <c r="C587" s="2"/>
      <c r="D587" s="87"/>
      <c r="E587" s="87"/>
      <c r="F587" s="87"/>
      <c r="G587" s="1"/>
      <c r="H587" s="1"/>
      <c r="I587" s="1"/>
      <c r="J587" s="1"/>
      <c r="K587" s="1"/>
      <c r="L587" s="87"/>
      <c r="M587" s="87"/>
      <c r="N587" s="4"/>
      <c r="O587" s="1"/>
      <c r="P587" s="5"/>
      <c r="Q587" s="3"/>
      <c r="R587" s="3"/>
      <c r="S587" s="7"/>
      <c r="T587" s="1"/>
      <c r="U587" s="1"/>
      <c r="V587" s="1"/>
      <c r="W587" s="1"/>
      <c r="X587" s="1"/>
      <c r="Y587" s="1"/>
      <c r="Z587" s="1"/>
    </row>
    <row r="588" spans="1:26" ht="27" customHeight="1">
      <c r="A588" s="1"/>
      <c r="B588" s="1"/>
      <c r="C588" s="2"/>
      <c r="D588" s="87"/>
      <c r="E588" s="87"/>
      <c r="F588" s="87"/>
      <c r="G588" s="1"/>
      <c r="H588" s="1"/>
      <c r="I588" s="1"/>
      <c r="J588" s="1"/>
      <c r="K588" s="1"/>
      <c r="L588" s="87"/>
      <c r="M588" s="87"/>
      <c r="N588" s="4"/>
      <c r="O588" s="1"/>
      <c r="P588" s="5"/>
      <c r="Q588" s="3"/>
      <c r="R588" s="3"/>
      <c r="S588" s="7"/>
      <c r="T588" s="1"/>
      <c r="U588" s="1"/>
      <c r="V588" s="1"/>
      <c r="W588" s="1"/>
      <c r="X588" s="1"/>
      <c r="Y588" s="1"/>
      <c r="Z588" s="1"/>
    </row>
    <row r="589" spans="1:26" ht="27" customHeight="1">
      <c r="A589" s="1"/>
      <c r="B589" s="1"/>
      <c r="C589" s="2"/>
      <c r="D589" s="87"/>
      <c r="E589" s="87"/>
      <c r="F589" s="87"/>
      <c r="G589" s="1"/>
      <c r="H589" s="1"/>
      <c r="I589" s="1"/>
      <c r="J589" s="1"/>
      <c r="K589" s="1"/>
      <c r="L589" s="87"/>
      <c r="M589" s="87"/>
      <c r="N589" s="4"/>
      <c r="O589" s="1"/>
      <c r="P589" s="5"/>
      <c r="Q589" s="3"/>
      <c r="R589" s="3"/>
      <c r="S589" s="7"/>
      <c r="T589" s="1"/>
      <c r="U589" s="1"/>
      <c r="V589" s="1"/>
      <c r="W589" s="1"/>
      <c r="X589" s="1"/>
      <c r="Y589" s="1"/>
      <c r="Z589" s="1"/>
    </row>
    <row r="590" spans="1:26" ht="27" customHeight="1">
      <c r="A590" s="1"/>
      <c r="B590" s="1"/>
      <c r="C590" s="2"/>
      <c r="D590" s="87"/>
      <c r="E590" s="87"/>
      <c r="F590" s="87"/>
      <c r="G590" s="1"/>
      <c r="H590" s="1"/>
      <c r="I590" s="1"/>
      <c r="J590" s="1"/>
      <c r="K590" s="1"/>
      <c r="L590" s="87"/>
      <c r="M590" s="87"/>
      <c r="N590" s="4"/>
      <c r="O590" s="1"/>
      <c r="P590" s="5"/>
      <c r="Q590" s="3"/>
      <c r="R590" s="3"/>
      <c r="S590" s="7"/>
      <c r="T590" s="1"/>
      <c r="U590" s="1"/>
      <c r="V590" s="1"/>
      <c r="W590" s="1"/>
      <c r="X590" s="1"/>
      <c r="Y590" s="1"/>
      <c r="Z590" s="1"/>
    </row>
    <row r="591" spans="1:26" ht="27" customHeight="1">
      <c r="A591" s="1"/>
      <c r="B591" s="1"/>
      <c r="C591" s="2"/>
      <c r="D591" s="87"/>
      <c r="E591" s="87"/>
      <c r="F591" s="87"/>
      <c r="G591" s="1"/>
      <c r="H591" s="1"/>
      <c r="I591" s="1"/>
      <c r="J591" s="1"/>
      <c r="K591" s="1"/>
      <c r="L591" s="87"/>
      <c r="M591" s="87"/>
      <c r="N591" s="4"/>
      <c r="O591" s="1"/>
      <c r="P591" s="5"/>
      <c r="Q591" s="3"/>
      <c r="R591" s="3"/>
      <c r="S591" s="7"/>
      <c r="T591" s="1"/>
      <c r="U591" s="1"/>
      <c r="V591" s="1"/>
      <c r="W591" s="1"/>
      <c r="X591" s="1"/>
      <c r="Y591" s="1"/>
      <c r="Z591" s="1"/>
    </row>
    <row r="592" spans="1:26" ht="27" customHeight="1">
      <c r="A592" s="1"/>
      <c r="B592" s="1"/>
      <c r="C592" s="2"/>
      <c r="D592" s="87"/>
      <c r="E592" s="87"/>
      <c r="F592" s="87"/>
      <c r="G592" s="1"/>
      <c r="H592" s="1"/>
      <c r="I592" s="1"/>
      <c r="J592" s="1"/>
      <c r="K592" s="1"/>
      <c r="L592" s="87"/>
      <c r="M592" s="87"/>
      <c r="N592" s="4"/>
      <c r="O592" s="1"/>
      <c r="P592" s="5"/>
      <c r="Q592" s="3"/>
      <c r="R592" s="3"/>
      <c r="S592" s="7"/>
      <c r="T592" s="1"/>
      <c r="U592" s="1"/>
      <c r="V592" s="1"/>
      <c r="W592" s="1"/>
      <c r="X592" s="1"/>
      <c r="Y592" s="1"/>
      <c r="Z592" s="1"/>
    </row>
    <row r="593" spans="1:26" ht="27" customHeight="1">
      <c r="A593" s="1"/>
      <c r="B593" s="1"/>
      <c r="C593" s="2"/>
      <c r="D593" s="87"/>
      <c r="E593" s="87"/>
      <c r="F593" s="87"/>
      <c r="G593" s="1"/>
      <c r="H593" s="1"/>
      <c r="I593" s="1"/>
      <c r="J593" s="1"/>
      <c r="K593" s="1"/>
      <c r="L593" s="87"/>
      <c r="M593" s="87"/>
      <c r="N593" s="4"/>
      <c r="O593" s="1"/>
      <c r="P593" s="5"/>
      <c r="Q593" s="3"/>
      <c r="R593" s="3"/>
      <c r="S593" s="7"/>
      <c r="T593" s="1"/>
      <c r="U593" s="1"/>
      <c r="V593" s="1"/>
      <c r="W593" s="1"/>
      <c r="X593" s="1"/>
      <c r="Y593" s="1"/>
      <c r="Z593" s="1"/>
    </row>
    <row r="594" spans="1:26" ht="27" customHeight="1">
      <c r="A594" s="1"/>
      <c r="B594" s="1"/>
      <c r="C594" s="2"/>
      <c r="D594" s="87"/>
      <c r="E594" s="87"/>
      <c r="F594" s="87"/>
      <c r="G594" s="1"/>
      <c r="H594" s="1"/>
      <c r="I594" s="1"/>
      <c r="J594" s="1"/>
      <c r="K594" s="1"/>
      <c r="L594" s="87"/>
      <c r="M594" s="87"/>
      <c r="N594" s="4"/>
      <c r="O594" s="1"/>
      <c r="P594" s="5"/>
      <c r="Q594" s="3"/>
      <c r="R594" s="3"/>
      <c r="S594" s="7"/>
      <c r="T594" s="1"/>
      <c r="U594" s="1"/>
      <c r="V594" s="1"/>
      <c r="W594" s="1"/>
      <c r="X594" s="1"/>
      <c r="Y594" s="1"/>
      <c r="Z594" s="1"/>
    </row>
    <row r="595" spans="1:26" ht="27" customHeight="1">
      <c r="A595" s="1"/>
      <c r="B595" s="1"/>
      <c r="C595" s="2"/>
      <c r="D595" s="87"/>
      <c r="E595" s="87"/>
      <c r="F595" s="87"/>
      <c r="G595" s="1"/>
      <c r="H595" s="1"/>
      <c r="I595" s="1"/>
      <c r="J595" s="1"/>
      <c r="K595" s="1"/>
      <c r="L595" s="87"/>
      <c r="M595" s="87"/>
      <c r="N595" s="4"/>
      <c r="O595" s="1"/>
      <c r="P595" s="5"/>
      <c r="Q595" s="3"/>
      <c r="R595" s="3"/>
      <c r="S595" s="7"/>
      <c r="T595" s="1"/>
      <c r="U595" s="1"/>
      <c r="V595" s="1"/>
      <c r="W595" s="1"/>
      <c r="X595" s="1"/>
      <c r="Y595" s="1"/>
      <c r="Z595" s="1"/>
    </row>
    <row r="596" spans="1:26" ht="27" customHeight="1">
      <c r="A596" s="1"/>
      <c r="B596" s="1"/>
      <c r="C596" s="2"/>
      <c r="D596" s="87"/>
      <c r="E596" s="87"/>
      <c r="F596" s="87"/>
      <c r="G596" s="1"/>
      <c r="H596" s="1"/>
      <c r="I596" s="1"/>
      <c r="J596" s="1"/>
      <c r="K596" s="1"/>
      <c r="L596" s="87"/>
      <c r="M596" s="87"/>
      <c r="N596" s="4"/>
      <c r="O596" s="1"/>
      <c r="P596" s="5"/>
      <c r="Q596" s="3"/>
      <c r="R596" s="3"/>
      <c r="S596" s="7"/>
      <c r="T596" s="1"/>
      <c r="U596" s="1"/>
      <c r="V596" s="1"/>
      <c r="W596" s="1"/>
      <c r="X596" s="1"/>
      <c r="Y596" s="1"/>
      <c r="Z596" s="1"/>
    </row>
    <row r="597" spans="1:26" ht="27" customHeight="1">
      <c r="A597" s="1"/>
      <c r="B597" s="1"/>
      <c r="C597" s="2"/>
      <c r="D597" s="87"/>
      <c r="E597" s="87"/>
      <c r="F597" s="87"/>
      <c r="G597" s="1"/>
      <c r="H597" s="1"/>
      <c r="I597" s="1"/>
      <c r="J597" s="1"/>
      <c r="K597" s="1"/>
      <c r="L597" s="87"/>
      <c r="M597" s="87"/>
      <c r="N597" s="4"/>
      <c r="O597" s="1"/>
      <c r="P597" s="5"/>
      <c r="Q597" s="3"/>
      <c r="R597" s="3"/>
      <c r="S597" s="7"/>
      <c r="T597" s="1"/>
      <c r="U597" s="1"/>
      <c r="V597" s="1"/>
      <c r="W597" s="1"/>
      <c r="X597" s="1"/>
      <c r="Y597" s="1"/>
      <c r="Z597" s="1"/>
    </row>
    <row r="598" spans="1:26" ht="27" customHeight="1">
      <c r="A598" s="1"/>
      <c r="B598" s="1"/>
      <c r="C598" s="2"/>
      <c r="D598" s="87"/>
      <c r="E598" s="87"/>
      <c r="F598" s="87"/>
      <c r="G598" s="1"/>
      <c r="H598" s="1"/>
      <c r="I598" s="1"/>
      <c r="J598" s="1"/>
      <c r="K598" s="1"/>
      <c r="L598" s="87"/>
      <c r="M598" s="87"/>
      <c r="N598" s="4"/>
      <c r="O598" s="1"/>
      <c r="P598" s="5"/>
      <c r="Q598" s="3"/>
      <c r="R598" s="3"/>
      <c r="S598" s="7"/>
      <c r="T598" s="1"/>
      <c r="U598" s="1"/>
      <c r="V598" s="1"/>
      <c r="W598" s="1"/>
      <c r="X598" s="1"/>
      <c r="Y598" s="1"/>
      <c r="Z598" s="1"/>
    </row>
    <row r="599" spans="1:26" ht="27" customHeight="1">
      <c r="A599" s="1"/>
      <c r="B599" s="1"/>
      <c r="C599" s="2"/>
      <c r="D599" s="87"/>
      <c r="E599" s="87"/>
      <c r="F599" s="87"/>
      <c r="G599" s="1"/>
      <c r="H599" s="1"/>
      <c r="I599" s="1"/>
      <c r="J599" s="1"/>
      <c r="K599" s="1"/>
      <c r="L599" s="87"/>
      <c r="M599" s="87"/>
      <c r="N599" s="4"/>
      <c r="O599" s="1"/>
      <c r="P599" s="5"/>
      <c r="Q599" s="3"/>
      <c r="R599" s="3"/>
      <c r="S599" s="7"/>
      <c r="T599" s="1"/>
      <c r="U599" s="1"/>
      <c r="V599" s="1"/>
      <c r="W599" s="1"/>
      <c r="X599" s="1"/>
      <c r="Y599" s="1"/>
      <c r="Z599" s="1"/>
    </row>
    <row r="600" spans="1:26" ht="27" customHeight="1">
      <c r="A600" s="1"/>
      <c r="B600" s="1"/>
      <c r="C600" s="2"/>
      <c r="D600" s="87"/>
      <c r="E600" s="87"/>
      <c r="F600" s="87"/>
      <c r="G600" s="1"/>
      <c r="H600" s="1"/>
      <c r="I600" s="1"/>
      <c r="J600" s="1"/>
      <c r="K600" s="1"/>
      <c r="L600" s="87"/>
      <c r="M600" s="87"/>
      <c r="N600" s="4"/>
      <c r="O600" s="1"/>
      <c r="P600" s="5"/>
      <c r="Q600" s="3"/>
      <c r="R600" s="3"/>
      <c r="S600" s="7"/>
      <c r="T600" s="1"/>
      <c r="U600" s="1"/>
      <c r="V600" s="1"/>
      <c r="W600" s="1"/>
      <c r="X600" s="1"/>
      <c r="Y600" s="1"/>
      <c r="Z600" s="1"/>
    </row>
    <row r="601" spans="1:26" ht="27" customHeight="1">
      <c r="A601" s="1"/>
      <c r="B601" s="1"/>
      <c r="C601" s="2"/>
      <c r="D601" s="87"/>
      <c r="E601" s="87"/>
      <c r="F601" s="87"/>
      <c r="G601" s="1"/>
      <c r="H601" s="1"/>
      <c r="I601" s="1"/>
      <c r="J601" s="1"/>
      <c r="K601" s="1"/>
      <c r="L601" s="87"/>
      <c r="M601" s="87"/>
      <c r="N601" s="4"/>
      <c r="O601" s="1"/>
      <c r="P601" s="5"/>
      <c r="Q601" s="3"/>
      <c r="R601" s="3"/>
      <c r="S601" s="7"/>
      <c r="T601" s="1"/>
      <c r="U601" s="1"/>
      <c r="V601" s="1"/>
      <c r="W601" s="1"/>
      <c r="X601" s="1"/>
      <c r="Y601" s="1"/>
      <c r="Z601" s="1"/>
    </row>
    <row r="602" spans="1:26" ht="27" customHeight="1">
      <c r="A602" s="1"/>
      <c r="B602" s="1"/>
      <c r="C602" s="2"/>
      <c r="D602" s="87"/>
      <c r="E602" s="87"/>
      <c r="F602" s="87"/>
      <c r="G602" s="1"/>
      <c r="H602" s="1"/>
      <c r="I602" s="1"/>
      <c r="J602" s="1"/>
      <c r="K602" s="1"/>
      <c r="L602" s="87"/>
      <c r="M602" s="87"/>
      <c r="N602" s="4"/>
      <c r="O602" s="1"/>
      <c r="P602" s="5"/>
      <c r="Q602" s="3"/>
      <c r="R602" s="3"/>
      <c r="S602" s="7"/>
      <c r="T602" s="1"/>
      <c r="U602" s="1"/>
      <c r="V602" s="1"/>
      <c r="W602" s="1"/>
      <c r="X602" s="1"/>
      <c r="Y602" s="1"/>
      <c r="Z602" s="1"/>
    </row>
    <row r="603" spans="1:26" ht="27" customHeight="1">
      <c r="A603" s="1"/>
      <c r="B603" s="1"/>
      <c r="C603" s="2"/>
      <c r="D603" s="87"/>
      <c r="E603" s="87"/>
      <c r="F603" s="87"/>
      <c r="G603" s="1"/>
      <c r="H603" s="1"/>
      <c r="I603" s="1"/>
      <c r="J603" s="1"/>
      <c r="K603" s="1"/>
      <c r="L603" s="87"/>
      <c r="M603" s="87"/>
      <c r="N603" s="4"/>
      <c r="O603" s="1"/>
      <c r="P603" s="5"/>
      <c r="Q603" s="3"/>
      <c r="R603" s="3"/>
      <c r="S603" s="7"/>
      <c r="T603" s="1"/>
      <c r="U603" s="1"/>
      <c r="V603" s="1"/>
      <c r="W603" s="1"/>
      <c r="X603" s="1"/>
      <c r="Y603" s="1"/>
      <c r="Z603" s="1"/>
    </row>
    <row r="604" spans="1:26" ht="27" customHeight="1">
      <c r="A604" s="1"/>
      <c r="B604" s="1"/>
      <c r="C604" s="2"/>
      <c r="D604" s="87"/>
      <c r="E604" s="87"/>
      <c r="F604" s="87"/>
      <c r="G604" s="1"/>
      <c r="H604" s="1"/>
      <c r="I604" s="1"/>
      <c r="J604" s="1"/>
      <c r="K604" s="1"/>
      <c r="L604" s="87"/>
      <c r="M604" s="87"/>
      <c r="N604" s="4"/>
      <c r="O604" s="1"/>
      <c r="P604" s="5"/>
      <c r="Q604" s="3"/>
      <c r="R604" s="3"/>
      <c r="S604" s="7"/>
      <c r="T604" s="1"/>
      <c r="U604" s="1"/>
      <c r="V604" s="1"/>
      <c r="W604" s="1"/>
      <c r="X604" s="1"/>
      <c r="Y604" s="1"/>
      <c r="Z604" s="1"/>
    </row>
    <row r="605" spans="1:26" ht="27" customHeight="1">
      <c r="A605" s="1"/>
      <c r="B605" s="1"/>
      <c r="C605" s="2"/>
      <c r="D605" s="87"/>
      <c r="E605" s="87"/>
      <c r="F605" s="87"/>
      <c r="G605" s="1"/>
      <c r="H605" s="1"/>
      <c r="I605" s="1"/>
      <c r="J605" s="1"/>
      <c r="K605" s="1"/>
      <c r="L605" s="87"/>
      <c r="M605" s="87"/>
      <c r="N605" s="4"/>
      <c r="O605" s="1"/>
      <c r="P605" s="5"/>
      <c r="Q605" s="3"/>
      <c r="R605" s="3"/>
      <c r="S605" s="7"/>
      <c r="T605" s="1"/>
      <c r="U605" s="1"/>
      <c r="V605" s="1"/>
      <c r="W605" s="1"/>
      <c r="X605" s="1"/>
      <c r="Y605" s="1"/>
      <c r="Z605" s="1"/>
    </row>
    <row r="606" spans="1:26" ht="27" customHeight="1">
      <c r="A606" s="1"/>
      <c r="B606" s="1"/>
      <c r="C606" s="2"/>
      <c r="D606" s="87"/>
      <c r="E606" s="87"/>
      <c r="F606" s="87"/>
      <c r="G606" s="1"/>
      <c r="H606" s="1"/>
      <c r="I606" s="1"/>
      <c r="J606" s="1"/>
      <c r="K606" s="1"/>
      <c r="L606" s="87"/>
      <c r="M606" s="87"/>
      <c r="N606" s="4"/>
      <c r="O606" s="1"/>
      <c r="P606" s="5"/>
      <c r="Q606" s="3"/>
      <c r="R606" s="3"/>
      <c r="S606" s="7"/>
      <c r="T606" s="1"/>
      <c r="U606" s="1"/>
      <c r="V606" s="1"/>
      <c r="W606" s="1"/>
      <c r="X606" s="1"/>
      <c r="Y606" s="1"/>
      <c r="Z606" s="1"/>
    </row>
    <row r="607" spans="1:26" ht="27" customHeight="1">
      <c r="A607" s="1"/>
      <c r="B607" s="1"/>
      <c r="C607" s="2"/>
      <c r="D607" s="87"/>
      <c r="E607" s="87"/>
      <c r="F607" s="87"/>
      <c r="G607" s="1"/>
      <c r="H607" s="1"/>
      <c r="I607" s="1"/>
      <c r="J607" s="1"/>
      <c r="K607" s="1"/>
      <c r="L607" s="87"/>
      <c r="M607" s="87"/>
      <c r="N607" s="4"/>
      <c r="O607" s="1"/>
      <c r="P607" s="5"/>
      <c r="Q607" s="3"/>
      <c r="R607" s="3"/>
      <c r="S607" s="7"/>
      <c r="T607" s="1"/>
      <c r="U607" s="1"/>
      <c r="V607" s="1"/>
      <c r="W607" s="1"/>
      <c r="X607" s="1"/>
      <c r="Y607" s="1"/>
      <c r="Z607" s="1"/>
    </row>
    <row r="608" spans="1:26" ht="27" customHeight="1">
      <c r="A608" s="1"/>
      <c r="B608" s="1"/>
      <c r="C608" s="2"/>
      <c r="D608" s="87"/>
      <c r="E608" s="87"/>
      <c r="F608" s="87"/>
      <c r="G608" s="1"/>
      <c r="H608" s="1"/>
      <c r="I608" s="1"/>
      <c r="J608" s="1"/>
      <c r="K608" s="1"/>
      <c r="L608" s="87"/>
      <c r="M608" s="87"/>
      <c r="N608" s="4"/>
      <c r="O608" s="1"/>
      <c r="P608" s="5"/>
      <c r="Q608" s="3"/>
      <c r="R608" s="3"/>
      <c r="S608" s="7"/>
      <c r="T608" s="1"/>
      <c r="U608" s="1"/>
      <c r="V608" s="1"/>
      <c r="W608" s="1"/>
      <c r="X608" s="1"/>
      <c r="Y608" s="1"/>
      <c r="Z608" s="1"/>
    </row>
    <row r="609" spans="1:26" ht="27" customHeight="1">
      <c r="A609" s="1"/>
      <c r="B609" s="1"/>
      <c r="C609" s="2"/>
      <c r="D609" s="87"/>
      <c r="E609" s="87"/>
      <c r="F609" s="87"/>
      <c r="G609" s="1"/>
      <c r="H609" s="1"/>
      <c r="I609" s="1"/>
      <c r="J609" s="1"/>
      <c r="K609" s="1"/>
      <c r="L609" s="87"/>
      <c r="M609" s="87"/>
      <c r="N609" s="4"/>
      <c r="O609" s="1"/>
      <c r="P609" s="5"/>
      <c r="Q609" s="3"/>
      <c r="R609" s="3"/>
      <c r="S609" s="7"/>
      <c r="T609" s="1"/>
      <c r="U609" s="1"/>
      <c r="V609" s="1"/>
      <c r="W609" s="1"/>
      <c r="X609" s="1"/>
      <c r="Y609" s="1"/>
      <c r="Z609" s="1"/>
    </row>
    <row r="610" spans="1:26" ht="27" customHeight="1">
      <c r="A610" s="1"/>
      <c r="B610" s="1"/>
      <c r="C610" s="2"/>
      <c r="D610" s="87"/>
      <c r="E610" s="87"/>
      <c r="F610" s="87"/>
      <c r="G610" s="1"/>
      <c r="H610" s="1"/>
      <c r="I610" s="1"/>
      <c r="J610" s="1"/>
      <c r="K610" s="1"/>
      <c r="L610" s="87"/>
      <c r="M610" s="87"/>
      <c r="N610" s="4"/>
      <c r="O610" s="1"/>
      <c r="P610" s="5"/>
      <c r="Q610" s="3"/>
      <c r="R610" s="3"/>
      <c r="S610" s="7"/>
      <c r="T610" s="1"/>
      <c r="U610" s="1"/>
      <c r="V610" s="1"/>
      <c r="W610" s="1"/>
      <c r="X610" s="1"/>
      <c r="Y610" s="1"/>
      <c r="Z610" s="1"/>
    </row>
    <row r="611" spans="1:26" ht="27" customHeight="1">
      <c r="A611" s="1"/>
      <c r="B611" s="1"/>
      <c r="C611" s="2"/>
      <c r="D611" s="87"/>
      <c r="E611" s="87"/>
      <c r="F611" s="87"/>
      <c r="G611" s="1"/>
      <c r="H611" s="1"/>
      <c r="I611" s="1"/>
      <c r="J611" s="1"/>
      <c r="K611" s="1"/>
      <c r="L611" s="87"/>
      <c r="M611" s="87"/>
      <c r="N611" s="4"/>
      <c r="O611" s="1"/>
      <c r="P611" s="5"/>
      <c r="Q611" s="3"/>
      <c r="R611" s="3"/>
      <c r="S611" s="7"/>
      <c r="T611" s="1"/>
      <c r="U611" s="1"/>
      <c r="V611" s="1"/>
      <c r="W611" s="1"/>
      <c r="X611" s="1"/>
      <c r="Y611" s="1"/>
      <c r="Z611" s="1"/>
    </row>
    <row r="612" spans="1:26" ht="27" customHeight="1">
      <c r="A612" s="1"/>
      <c r="B612" s="1"/>
      <c r="C612" s="2"/>
      <c r="D612" s="87"/>
      <c r="E612" s="87"/>
      <c r="F612" s="87"/>
      <c r="G612" s="1"/>
      <c r="H612" s="1"/>
      <c r="I612" s="1"/>
      <c r="J612" s="1"/>
      <c r="K612" s="1"/>
      <c r="L612" s="87"/>
      <c r="M612" s="87"/>
      <c r="N612" s="4"/>
      <c r="O612" s="1"/>
      <c r="P612" s="5"/>
      <c r="Q612" s="3"/>
      <c r="R612" s="3"/>
      <c r="S612" s="7"/>
      <c r="T612" s="1"/>
      <c r="U612" s="1"/>
      <c r="V612" s="1"/>
      <c r="W612" s="1"/>
      <c r="X612" s="1"/>
      <c r="Y612" s="1"/>
      <c r="Z612" s="1"/>
    </row>
    <row r="613" spans="1:26" ht="27" customHeight="1">
      <c r="A613" s="1"/>
      <c r="B613" s="1"/>
      <c r="C613" s="2"/>
      <c r="D613" s="87"/>
      <c r="E613" s="87"/>
      <c r="F613" s="87"/>
      <c r="G613" s="1"/>
      <c r="H613" s="1"/>
      <c r="I613" s="1"/>
      <c r="J613" s="1"/>
      <c r="K613" s="1"/>
      <c r="L613" s="87"/>
      <c r="M613" s="87"/>
      <c r="N613" s="4"/>
      <c r="O613" s="1"/>
      <c r="P613" s="5"/>
      <c r="Q613" s="3"/>
      <c r="R613" s="3"/>
      <c r="S613" s="7"/>
      <c r="T613" s="1"/>
      <c r="U613" s="1"/>
      <c r="V613" s="1"/>
      <c r="W613" s="1"/>
      <c r="X613" s="1"/>
      <c r="Y613" s="1"/>
      <c r="Z613" s="1"/>
    </row>
    <row r="614" spans="1:26" ht="27" customHeight="1">
      <c r="A614" s="1"/>
      <c r="B614" s="1"/>
      <c r="C614" s="2"/>
      <c r="D614" s="87"/>
      <c r="E614" s="87"/>
      <c r="F614" s="87"/>
      <c r="G614" s="1"/>
      <c r="H614" s="1"/>
      <c r="I614" s="1"/>
      <c r="J614" s="1"/>
      <c r="K614" s="1"/>
      <c r="L614" s="87"/>
      <c r="M614" s="87"/>
      <c r="N614" s="4"/>
      <c r="O614" s="1"/>
      <c r="P614" s="5"/>
      <c r="Q614" s="3"/>
      <c r="R614" s="3"/>
      <c r="S614" s="7"/>
      <c r="T614" s="1"/>
      <c r="U614" s="1"/>
      <c r="V614" s="1"/>
      <c r="W614" s="1"/>
      <c r="X614" s="1"/>
      <c r="Y614" s="1"/>
      <c r="Z614" s="1"/>
    </row>
    <row r="615" spans="1:26" ht="27" customHeight="1">
      <c r="A615" s="1"/>
      <c r="B615" s="1"/>
      <c r="C615" s="2"/>
      <c r="D615" s="87"/>
      <c r="E615" s="87"/>
      <c r="F615" s="87"/>
      <c r="G615" s="1"/>
      <c r="H615" s="1"/>
      <c r="I615" s="1"/>
      <c r="J615" s="1"/>
      <c r="K615" s="1"/>
      <c r="L615" s="87"/>
      <c r="M615" s="87"/>
      <c r="N615" s="4"/>
      <c r="O615" s="1"/>
      <c r="P615" s="5"/>
      <c r="Q615" s="3"/>
      <c r="R615" s="3"/>
      <c r="S615" s="7"/>
      <c r="T615" s="1"/>
      <c r="U615" s="1"/>
      <c r="V615" s="1"/>
      <c r="W615" s="1"/>
      <c r="X615" s="1"/>
      <c r="Y615" s="1"/>
      <c r="Z615" s="1"/>
    </row>
    <row r="616" spans="1:26" ht="27" customHeight="1">
      <c r="A616" s="1"/>
      <c r="B616" s="1"/>
      <c r="C616" s="2"/>
      <c r="D616" s="87"/>
      <c r="E616" s="87"/>
      <c r="F616" s="87"/>
      <c r="G616" s="1"/>
      <c r="H616" s="1"/>
      <c r="I616" s="1"/>
      <c r="J616" s="1"/>
      <c r="K616" s="1"/>
      <c r="L616" s="87"/>
      <c r="M616" s="87"/>
      <c r="N616" s="4"/>
      <c r="O616" s="1"/>
      <c r="P616" s="5"/>
      <c r="Q616" s="3"/>
      <c r="R616" s="3"/>
      <c r="S616" s="7"/>
      <c r="T616" s="1"/>
      <c r="U616" s="1"/>
      <c r="V616" s="1"/>
      <c r="W616" s="1"/>
      <c r="X616" s="1"/>
      <c r="Y616" s="1"/>
      <c r="Z616" s="1"/>
    </row>
    <row r="617" spans="1:26" ht="27" customHeight="1">
      <c r="A617" s="1"/>
      <c r="B617" s="1"/>
      <c r="C617" s="2"/>
      <c r="D617" s="87"/>
      <c r="E617" s="87"/>
      <c r="F617" s="87"/>
      <c r="G617" s="1"/>
      <c r="H617" s="1"/>
      <c r="I617" s="1"/>
      <c r="J617" s="1"/>
      <c r="K617" s="1"/>
      <c r="L617" s="87"/>
      <c r="M617" s="87"/>
      <c r="N617" s="4"/>
      <c r="O617" s="1"/>
      <c r="P617" s="5"/>
      <c r="Q617" s="3"/>
      <c r="R617" s="3"/>
      <c r="S617" s="7"/>
      <c r="T617" s="1"/>
      <c r="U617" s="1"/>
      <c r="V617" s="1"/>
      <c r="W617" s="1"/>
      <c r="X617" s="1"/>
      <c r="Y617" s="1"/>
      <c r="Z617" s="1"/>
    </row>
    <row r="618" spans="1:26" ht="27" customHeight="1">
      <c r="A618" s="1"/>
      <c r="B618" s="1"/>
      <c r="C618" s="2"/>
      <c r="D618" s="87"/>
      <c r="E618" s="87"/>
      <c r="F618" s="87"/>
      <c r="G618" s="1"/>
      <c r="H618" s="1"/>
      <c r="I618" s="1"/>
      <c r="J618" s="1"/>
      <c r="K618" s="1"/>
      <c r="L618" s="87"/>
      <c r="M618" s="87"/>
      <c r="N618" s="4"/>
      <c r="O618" s="1"/>
      <c r="P618" s="5"/>
      <c r="Q618" s="3"/>
      <c r="R618" s="3"/>
      <c r="S618" s="7"/>
      <c r="T618" s="1"/>
      <c r="U618" s="1"/>
      <c r="V618" s="1"/>
      <c r="W618" s="1"/>
      <c r="X618" s="1"/>
      <c r="Y618" s="1"/>
      <c r="Z618" s="1"/>
    </row>
    <row r="619" spans="1:26" ht="27" customHeight="1">
      <c r="A619" s="1"/>
      <c r="B619" s="1"/>
      <c r="C619" s="2"/>
      <c r="D619" s="87"/>
      <c r="E619" s="87"/>
      <c r="F619" s="87"/>
      <c r="G619" s="1"/>
      <c r="H619" s="1"/>
      <c r="I619" s="1"/>
      <c r="J619" s="1"/>
      <c r="K619" s="1"/>
      <c r="L619" s="87"/>
      <c r="M619" s="87"/>
      <c r="N619" s="4"/>
      <c r="O619" s="1"/>
      <c r="P619" s="5"/>
      <c r="Q619" s="3"/>
      <c r="R619" s="3"/>
      <c r="S619" s="7"/>
      <c r="T619" s="1"/>
      <c r="U619" s="1"/>
      <c r="V619" s="1"/>
      <c r="W619" s="1"/>
      <c r="X619" s="1"/>
      <c r="Y619" s="1"/>
      <c r="Z619" s="1"/>
    </row>
    <row r="620" spans="1:26" ht="27" customHeight="1">
      <c r="A620" s="1"/>
      <c r="B620" s="1"/>
      <c r="C620" s="2"/>
      <c r="D620" s="87"/>
      <c r="E620" s="87"/>
      <c r="F620" s="87"/>
      <c r="G620" s="1"/>
      <c r="H620" s="1"/>
      <c r="I620" s="1"/>
      <c r="J620" s="1"/>
      <c r="K620" s="1"/>
      <c r="L620" s="87"/>
      <c r="M620" s="87"/>
      <c r="N620" s="4"/>
      <c r="O620" s="1"/>
      <c r="P620" s="5"/>
      <c r="Q620" s="3"/>
      <c r="R620" s="3"/>
      <c r="S620" s="7"/>
      <c r="T620" s="1"/>
      <c r="U620" s="1"/>
      <c r="V620" s="1"/>
      <c r="W620" s="1"/>
      <c r="X620" s="1"/>
      <c r="Y620" s="1"/>
      <c r="Z620" s="1"/>
    </row>
    <row r="621" spans="1:26" ht="27" customHeight="1">
      <c r="A621" s="1"/>
      <c r="B621" s="1"/>
      <c r="C621" s="2"/>
      <c r="D621" s="87"/>
      <c r="E621" s="87"/>
      <c r="F621" s="87"/>
      <c r="G621" s="1"/>
      <c r="H621" s="1"/>
      <c r="I621" s="1"/>
      <c r="J621" s="1"/>
      <c r="K621" s="1"/>
      <c r="L621" s="87"/>
      <c r="M621" s="87"/>
      <c r="N621" s="4"/>
      <c r="O621" s="1"/>
      <c r="P621" s="5"/>
      <c r="Q621" s="3"/>
      <c r="R621" s="3"/>
      <c r="S621" s="7"/>
      <c r="T621" s="1"/>
      <c r="U621" s="1"/>
      <c r="V621" s="1"/>
      <c r="W621" s="1"/>
      <c r="X621" s="1"/>
      <c r="Y621" s="1"/>
      <c r="Z621" s="1"/>
    </row>
    <row r="622" spans="1:26" ht="27" customHeight="1">
      <c r="A622" s="1"/>
      <c r="B622" s="1"/>
      <c r="C622" s="2"/>
      <c r="D622" s="87"/>
      <c r="E622" s="87"/>
      <c r="F622" s="87"/>
      <c r="G622" s="1"/>
      <c r="H622" s="1"/>
      <c r="I622" s="1"/>
      <c r="J622" s="1"/>
      <c r="K622" s="1"/>
      <c r="L622" s="87"/>
      <c r="M622" s="87"/>
      <c r="N622" s="4"/>
      <c r="O622" s="1"/>
      <c r="P622" s="5"/>
      <c r="Q622" s="3"/>
      <c r="R622" s="3"/>
      <c r="S622" s="7"/>
      <c r="T622" s="1"/>
      <c r="U622" s="1"/>
      <c r="V622" s="1"/>
      <c r="W622" s="1"/>
      <c r="X622" s="1"/>
      <c r="Y622" s="1"/>
      <c r="Z622" s="1"/>
    </row>
    <row r="623" spans="1:26" ht="27" customHeight="1">
      <c r="A623" s="1"/>
      <c r="B623" s="1"/>
      <c r="C623" s="2"/>
      <c r="D623" s="87"/>
      <c r="E623" s="87"/>
      <c r="F623" s="87"/>
      <c r="G623" s="1"/>
      <c r="H623" s="1"/>
      <c r="I623" s="1"/>
      <c r="J623" s="1"/>
      <c r="K623" s="1"/>
      <c r="L623" s="87"/>
      <c r="M623" s="87"/>
      <c r="N623" s="4"/>
      <c r="O623" s="1"/>
      <c r="P623" s="5"/>
      <c r="Q623" s="3"/>
      <c r="R623" s="3"/>
      <c r="S623" s="7"/>
      <c r="T623" s="1"/>
      <c r="U623" s="1"/>
      <c r="V623" s="1"/>
      <c r="W623" s="1"/>
      <c r="X623" s="1"/>
      <c r="Y623" s="1"/>
      <c r="Z623" s="1"/>
    </row>
    <row r="624" spans="1:26" ht="27" customHeight="1">
      <c r="A624" s="1"/>
      <c r="B624" s="1"/>
      <c r="C624" s="2"/>
      <c r="D624" s="87"/>
      <c r="E624" s="87"/>
      <c r="F624" s="87"/>
      <c r="G624" s="1"/>
      <c r="H624" s="1"/>
      <c r="I624" s="1"/>
      <c r="J624" s="1"/>
      <c r="K624" s="1"/>
      <c r="L624" s="87"/>
      <c r="M624" s="87"/>
      <c r="N624" s="4"/>
      <c r="O624" s="1"/>
      <c r="P624" s="5"/>
      <c r="Q624" s="3"/>
      <c r="R624" s="3"/>
      <c r="S624" s="7"/>
      <c r="T624" s="1"/>
      <c r="U624" s="1"/>
      <c r="V624" s="1"/>
      <c r="W624" s="1"/>
      <c r="X624" s="1"/>
      <c r="Y624" s="1"/>
      <c r="Z624" s="1"/>
    </row>
    <row r="625" spans="1:26" ht="27" customHeight="1">
      <c r="A625" s="1"/>
      <c r="B625" s="1"/>
      <c r="C625" s="2"/>
      <c r="D625" s="87"/>
      <c r="E625" s="87"/>
      <c r="F625" s="87"/>
      <c r="G625" s="1"/>
      <c r="H625" s="1"/>
      <c r="I625" s="1"/>
      <c r="J625" s="1"/>
      <c r="K625" s="1"/>
      <c r="L625" s="87"/>
      <c r="M625" s="87"/>
      <c r="N625" s="4"/>
      <c r="O625" s="1"/>
      <c r="P625" s="5"/>
      <c r="Q625" s="3"/>
      <c r="R625" s="3"/>
      <c r="S625" s="7"/>
      <c r="T625" s="1"/>
      <c r="U625" s="1"/>
      <c r="V625" s="1"/>
      <c r="W625" s="1"/>
      <c r="X625" s="1"/>
      <c r="Y625" s="1"/>
      <c r="Z625" s="1"/>
    </row>
    <row r="626" spans="1:26" ht="27" customHeight="1">
      <c r="A626" s="1"/>
      <c r="B626" s="1"/>
      <c r="C626" s="2"/>
      <c r="D626" s="87"/>
      <c r="E626" s="87"/>
      <c r="F626" s="87"/>
      <c r="G626" s="1"/>
      <c r="H626" s="1"/>
      <c r="I626" s="1"/>
      <c r="J626" s="1"/>
      <c r="K626" s="1"/>
      <c r="L626" s="87"/>
      <c r="M626" s="87"/>
      <c r="N626" s="4"/>
      <c r="O626" s="1"/>
      <c r="P626" s="5"/>
      <c r="Q626" s="3"/>
      <c r="R626" s="3"/>
      <c r="S626" s="7"/>
      <c r="T626" s="1"/>
      <c r="U626" s="1"/>
      <c r="V626" s="1"/>
      <c r="W626" s="1"/>
      <c r="X626" s="1"/>
      <c r="Y626" s="1"/>
      <c r="Z626" s="1"/>
    </row>
    <row r="627" spans="1:26" ht="27" customHeight="1">
      <c r="A627" s="1"/>
      <c r="B627" s="1"/>
      <c r="C627" s="2"/>
      <c r="D627" s="87"/>
      <c r="E627" s="87"/>
      <c r="F627" s="87"/>
      <c r="G627" s="1"/>
      <c r="H627" s="1"/>
      <c r="I627" s="1"/>
      <c r="J627" s="1"/>
      <c r="K627" s="1"/>
      <c r="L627" s="87"/>
      <c r="M627" s="87"/>
      <c r="N627" s="4"/>
      <c r="O627" s="1"/>
      <c r="P627" s="5"/>
      <c r="Q627" s="3"/>
      <c r="R627" s="3"/>
      <c r="S627" s="7"/>
      <c r="T627" s="1"/>
      <c r="U627" s="1"/>
      <c r="V627" s="1"/>
      <c r="W627" s="1"/>
      <c r="X627" s="1"/>
      <c r="Y627" s="1"/>
      <c r="Z627" s="1"/>
    </row>
    <row r="628" spans="1:26" ht="27" customHeight="1">
      <c r="A628" s="1"/>
      <c r="B628" s="1"/>
      <c r="C628" s="2"/>
      <c r="D628" s="87"/>
      <c r="E628" s="87"/>
      <c r="F628" s="87"/>
      <c r="G628" s="1"/>
      <c r="H628" s="1"/>
      <c r="I628" s="1"/>
      <c r="J628" s="1"/>
      <c r="K628" s="1"/>
      <c r="L628" s="87"/>
      <c r="M628" s="87"/>
      <c r="N628" s="4"/>
      <c r="O628" s="1"/>
      <c r="P628" s="5"/>
      <c r="Q628" s="3"/>
      <c r="R628" s="3"/>
      <c r="S628" s="7"/>
      <c r="T628" s="1"/>
      <c r="U628" s="1"/>
      <c r="V628" s="1"/>
      <c r="W628" s="1"/>
      <c r="X628" s="1"/>
      <c r="Y628" s="1"/>
      <c r="Z628" s="1"/>
    </row>
    <row r="629" spans="1:26" ht="27" customHeight="1">
      <c r="A629" s="1"/>
      <c r="B629" s="1"/>
      <c r="C629" s="2"/>
      <c r="D629" s="87"/>
      <c r="E629" s="87"/>
      <c r="F629" s="87"/>
      <c r="G629" s="1"/>
      <c r="H629" s="1"/>
      <c r="I629" s="1"/>
      <c r="J629" s="1"/>
      <c r="K629" s="1"/>
      <c r="L629" s="87"/>
      <c r="M629" s="87"/>
      <c r="N629" s="4"/>
      <c r="O629" s="1"/>
      <c r="P629" s="5"/>
      <c r="Q629" s="3"/>
      <c r="R629" s="3"/>
      <c r="S629" s="7"/>
      <c r="T629" s="1"/>
      <c r="U629" s="1"/>
      <c r="V629" s="1"/>
      <c r="W629" s="1"/>
      <c r="X629" s="1"/>
      <c r="Y629" s="1"/>
      <c r="Z629" s="1"/>
    </row>
    <row r="630" spans="1:26" ht="27" customHeight="1">
      <c r="A630" s="1"/>
      <c r="B630" s="1"/>
      <c r="C630" s="2"/>
      <c r="D630" s="87"/>
      <c r="E630" s="87"/>
      <c r="F630" s="87"/>
      <c r="G630" s="1"/>
      <c r="H630" s="1"/>
      <c r="I630" s="1"/>
      <c r="J630" s="1"/>
      <c r="K630" s="1"/>
      <c r="L630" s="87"/>
      <c r="M630" s="87"/>
      <c r="N630" s="4"/>
      <c r="O630" s="1"/>
      <c r="P630" s="5"/>
      <c r="Q630" s="3"/>
      <c r="R630" s="3"/>
      <c r="S630" s="7"/>
      <c r="T630" s="1"/>
      <c r="U630" s="1"/>
      <c r="V630" s="1"/>
      <c r="W630" s="1"/>
      <c r="X630" s="1"/>
      <c r="Y630" s="1"/>
      <c r="Z630" s="1"/>
    </row>
    <row r="631" spans="1:26" ht="27" customHeight="1">
      <c r="A631" s="1"/>
      <c r="B631" s="1"/>
      <c r="C631" s="2"/>
      <c r="D631" s="87"/>
      <c r="E631" s="87"/>
      <c r="F631" s="87"/>
      <c r="G631" s="1"/>
      <c r="H631" s="1"/>
      <c r="I631" s="1"/>
      <c r="J631" s="1"/>
      <c r="K631" s="1"/>
      <c r="L631" s="87"/>
      <c r="M631" s="87"/>
      <c r="N631" s="4"/>
      <c r="O631" s="1"/>
      <c r="P631" s="5"/>
      <c r="Q631" s="3"/>
      <c r="R631" s="3"/>
      <c r="S631" s="7"/>
      <c r="T631" s="1"/>
      <c r="U631" s="1"/>
      <c r="V631" s="1"/>
      <c r="W631" s="1"/>
      <c r="X631" s="1"/>
      <c r="Y631" s="1"/>
      <c r="Z631" s="1"/>
    </row>
    <row r="632" spans="1:26" ht="27" customHeight="1">
      <c r="A632" s="1"/>
      <c r="B632" s="1"/>
      <c r="C632" s="2"/>
      <c r="D632" s="87"/>
      <c r="E632" s="87"/>
      <c r="F632" s="87"/>
      <c r="G632" s="1"/>
      <c r="H632" s="1"/>
      <c r="I632" s="1"/>
      <c r="J632" s="1"/>
      <c r="K632" s="1"/>
      <c r="L632" s="87"/>
      <c r="M632" s="87"/>
      <c r="N632" s="4"/>
      <c r="O632" s="1"/>
      <c r="P632" s="5"/>
      <c r="Q632" s="3"/>
      <c r="R632" s="3"/>
      <c r="S632" s="7"/>
      <c r="T632" s="1"/>
      <c r="U632" s="1"/>
      <c r="V632" s="1"/>
      <c r="W632" s="1"/>
      <c r="X632" s="1"/>
      <c r="Y632" s="1"/>
      <c r="Z632" s="1"/>
    </row>
    <row r="633" spans="1:26" ht="27" customHeight="1">
      <c r="A633" s="1"/>
      <c r="B633" s="1"/>
      <c r="C633" s="2"/>
      <c r="D633" s="87"/>
      <c r="E633" s="87"/>
      <c r="F633" s="87"/>
      <c r="G633" s="1"/>
      <c r="H633" s="1"/>
      <c r="I633" s="1"/>
      <c r="J633" s="1"/>
      <c r="K633" s="1"/>
      <c r="L633" s="87"/>
      <c r="M633" s="87"/>
      <c r="N633" s="4"/>
      <c r="O633" s="1"/>
      <c r="P633" s="5"/>
      <c r="Q633" s="3"/>
      <c r="R633" s="3"/>
      <c r="S633" s="7"/>
      <c r="T633" s="1"/>
      <c r="U633" s="1"/>
      <c r="V633" s="1"/>
      <c r="W633" s="1"/>
      <c r="X633" s="1"/>
      <c r="Y633" s="1"/>
      <c r="Z633" s="1"/>
    </row>
    <row r="634" spans="1:26" ht="27" customHeight="1">
      <c r="A634" s="1"/>
      <c r="B634" s="1"/>
      <c r="C634" s="2"/>
      <c r="D634" s="87"/>
      <c r="E634" s="87"/>
      <c r="F634" s="87"/>
      <c r="G634" s="1"/>
      <c r="H634" s="1"/>
      <c r="I634" s="1"/>
      <c r="J634" s="1"/>
      <c r="K634" s="1"/>
      <c r="L634" s="87"/>
      <c r="M634" s="87"/>
      <c r="N634" s="4"/>
      <c r="O634" s="1"/>
      <c r="P634" s="5"/>
      <c r="Q634" s="3"/>
      <c r="R634" s="3"/>
      <c r="S634" s="7"/>
      <c r="T634" s="1"/>
      <c r="U634" s="1"/>
      <c r="V634" s="1"/>
      <c r="W634" s="1"/>
      <c r="X634" s="1"/>
      <c r="Y634" s="1"/>
      <c r="Z634" s="1"/>
    </row>
    <row r="635" spans="1:26" ht="27" customHeight="1">
      <c r="A635" s="1"/>
      <c r="B635" s="1"/>
      <c r="C635" s="2"/>
      <c r="D635" s="87"/>
      <c r="E635" s="87"/>
      <c r="F635" s="87"/>
      <c r="G635" s="1"/>
      <c r="H635" s="1"/>
      <c r="I635" s="1"/>
      <c r="J635" s="1"/>
      <c r="K635" s="1"/>
      <c r="L635" s="87"/>
      <c r="M635" s="87"/>
      <c r="N635" s="4"/>
      <c r="O635" s="1"/>
      <c r="P635" s="5"/>
      <c r="Q635" s="3"/>
      <c r="R635" s="3"/>
      <c r="S635" s="7"/>
      <c r="T635" s="1"/>
      <c r="U635" s="1"/>
      <c r="V635" s="1"/>
      <c r="W635" s="1"/>
      <c r="X635" s="1"/>
      <c r="Y635" s="1"/>
      <c r="Z635" s="1"/>
    </row>
    <row r="636" spans="1:26" ht="27" customHeight="1">
      <c r="A636" s="1"/>
      <c r="B636" s="1"/>
      <c r="C636" s="2"/>
      <c r="D636" s="87"/>
      <c r="E636" s="87"/>
      <c r="F636" s="87"/>
      <c r="G636" s="1"/>
      <c r="H636" s="1"/>
      <c r="I636" s="1"/>
      <c r="J636" s="1"/>
      <c r="K636" s="1"/>
      <c r="L636" s="87"/>
      <c r="M636" s="87"/>
      <c r="N636" s="4"/>
      <c r="O636" s="1"/>
      <c r="P636" s="5"/>
      <c r="Q636" s="3"/>
      <c r="R636" s="3"/>
      <c r="S636" s="7"/>
      <c r="T636" s="1"/>
      <c r="U636" s="1"/>
      <c r="V636" s="1"/>
      <c r="W636" s="1"/>
      <c r="X636" s="1"/>
      <c r="Y636" s="1"/>
      <c r="Z636" s="1"/>
    </row>
    <row r="637" spans="1:26" ht="27" customHeight="1">
      <c r="A637" s="1"/>
      <c r="B637" s="1"/>
      <c r="C637" s="2"/>
      <c r="D637" s="87"/>
      <c r="E637" s="87"/>
      <c r="F637" s="87"/>
      <c r="G637" s="1"/>
      <c r="H637" s="1"/>
      <c r="I637" s="1"/>
      <c r="J637" s="1"/>
      <c r="K637" s="1"/>
      <c r="L637" s="87"/>
      <c r="M637" s="87"/>
      <c r="N637" s="4"/>
      <c r="O637" s="1"/>
      <c r="P637" s="5"/>
      <c r="Q637" s="3"/>
      <c r="R637" s="3"/>
      <c r="S637" s="7"/>
      <c r="T637" s="1"/>
      <c r="U637" s="1"/>
      <c r="V637" s="1"/>
      <c r="W637" s="1"/>
      <c r="X637" s="1"/>
      <c r="Y637" s="1"/>
      <c r="Z637" s="1"/>
    </row>
    <row r="638" spans="1:26" ht="27" customHeight="1">
      <c r="A638" s="1"/>
      <c r="B638" s="1"/>
      <c r="C638" s="2"/>
      <c r="D638" s="87"/>
      <c r="E638" s="87"/>
      <c r="F638" s="87"/>
      <c r="G638" s="1"/>
      <c r="H638" s="1"/>
      <c r="I638" s="1"/>
      <c r="J638" s="1"/>
      <c r="K638" s="1"/>
      <c r="L638" s="87"/>
      <c r="M638" s="87"/>
      <c r="N638" s="4"/>
      <c r="O638" s="1"/>
      <c r="P638" s="5"/>
      <c r="Q638" s="3"/>
      <c r="R638" s="3"/>
      <c r="S638" s="7"/>
      <c r="T638" s="1"/>
      <c r="U638" s="1"/>
      <c r="V638" s="1"/>
      <c r="W638" s="1"/>
      <c r="X638" s="1"/>
      <c r="Y638" s="1"/>
      <c r="Z638" s="1"/>
    </row>
    <row r="639" spans="1:26" ht="27" customHeight="1">
      <c r="A639" s="1"/>
      <c r="B639" s="1"/>
      <c r="C639" s="2"/>
      <c r="D639" s="87"/>
      <c r="E639" s="87"/>
      <c r="F639" s="87"/>
      <c r="G639" s="1"/>
      <c r="H639" s="1"/>
      <c r="I639" s="1"/>
      <c r="J639" s="1"/>
      <c r="K639" s="1"/>
      <c r="L639" s="87"/>
      <c r="M639" s="87"/>
      <c r="N639" s="4"/>
      <c r="O639" s="1"/>
      <c r="P639" s="5"/>
      <c r="Q639" s="3"/>
      <c r="R639" s="3"/>
      <c r="S639" s="7"/>
      <c r="T639" s="1"/>
      <c r="U639" s="1"/>
      <c r="V639" s="1"/>
      <c r="W639" s="1"/>
      <c r="X639" s="1"/>
      <c r="Y639" s="1"/>
      <c r="Z639" s="1"/>
    </row>
    <row r="640" spans="1:26" ht="27" customHeight="1">
      <c r="A640" s="1"/>
      <c r="B640" s="1"/>
      <c r="C640" s="2"/>
      <c r="D640" s="87"/>
      <c r="E640" s="87"/>
      <c r="F640" s="87"/>
      <c r="G640" s="1"/>
      <c r="H640" s="1"/>
      <c r="I640" s="1"/>
      <c r="J640" s="1"/>
      <c r="K640" s="1"/>
      <c r="L640" s="87"/>
      <c r="M640" s="87"/>
      <c r="N640" s="4"/>
      <c r="O640" s="1"/>
      <c r="P640" s="5"/>
      <c r="Q640" s="3"/>
      <c r="R640" s="3"/>
      <c r="S640" s="7"/>
      <c r="T640" s="1"/>
      <c r="U640" s="1"/>
      <c r="V640" s="1"/>
      <c r="W640" s="1"/>
      <c r="X640" s="1"/>
      <c r="Y640" s="1"/>
      <c r="Z640" s="1"/>
    </row>
    <row r="641" spans="1:26" ht="27" customHeight="1">
      <c r="A641" s="1"/>
      <c r="B641" s="1"/>
      <c r="C641" s="2"/>
      <c r="D641" s="87"/>
      <c r="E641" s="87"/>
      <c r="F641" s="87"/>
      <c r="G641" s="1"/>
      <c r="H641" s="1"/>
      <c r="I641" s="1"/>
      <c r="J641" s="1"/>
      <c r="K641" s="1"/>
      <c r="L641" s="87"/>
      <c r="M641" s="87"/>
      <c r="N641" s="4"/>
      <c r="O641" s="1"/>
      <c r="P641" s="5"/>
      <c r="Q641" s="3"/>
      <c r="R641" s="3"/>
      <c r="S641" s="7"/>
      <c r="T641" s="1"/>
      <c r="U641" s="1"/>
      <c r="V641" s="1"/>
      <c r="W641" s="1"/>
      <c r="X641" s="1"/>
      <c r="Y641" s="1"/>
      <c r="Z641" s="1"/>
    </row>
    <row r="642" spans="1:26" ht="27" customHeight="1">
      <c r="A642" s="1"/>
      <c r="B642" s="1"/>
      <c r="C642" s="2"/>
      <c r="D642" s="87"/>
      <c r="E642" s="87"/>
      <c r="F642" s="87"/>
      <c r="G642" s="1"/>
      <c r="H642" s="1"/>
      <c r="I642" s="1"/>
      <c r="J642" s="1"/>
      <c r="K642" s="1"/>
      <c r="L642" s="87"/>
      <c r="M642" s="87"/>
      <c r="N642" s="4"/>
      <c r="O642" s="1"/>
      <c r="P642" s="5"/>
      <c r="Q642" s="3"/>
      <c r="R642" s="3"/>
      <c r="S642" s="7"/>
      <c r="T642" s="1"/>
      <c r="U642" s="1"/>
      <c r="V642" s="1"/>
      <c r="W642" s="1"/>
      <c r="X642" s="1"/>
      <c r="Y642" s="1"/>
      <c r="Z642" s="1"/>
    </row>
    <row r="643" spans="1:26" ht="27" customHeight="1">
      <c r="A643" s="1"/>
      <c r="B643" s="1"/>
      <c r="C643" s="2"/>
      <c r="D643" s="87"/>
      <c r="E643" s="87"/>
      <c r="F643" s="87"/>
      <c r="G643" s="1"/>
      <c r="H643" s="1"/>
      <c r="I643" s="1"/>
      <c r="J643" s="1"/>
      <c r="K643" s="1"/>
      <c r="L643" s="87"/>
      <c r="M643" s="87"/>
      <c r="N643" s="4"/>
      <c r="O643" s="1"/>
      <c r="P643" s="5"/>
      <c r="Q643" s="3"/>
      <c r="R643" s="3"/>
      <c r="S643" s="7"/>
      <c r="T643" s="1"/>
      <c r="U643" s="1"/>
      <c r="V643" s="1"/>
      <c r="W643" s="1"/>
      <c r="X643" s="1"/>
      <c r="Y643" s="1"/>
      <c r="Z643" s="1"/>
    </row>
    <row r="644" spans="1:26" ht="27" customHeight="1">
      <c r="A644" s="1"/>
      <c r="B644" s="1"/>
      <c r="C644" s="2"/>
      <c r="D644" s="87"/>
      <c r="E644" s="87"/>
      <c r="F644" s="87"/>
      <c r="G644" s="1"/>
      <c r="H644" s="1"/>
      <c r="I644" s="1"/>
      <c r="J644" s="1"/>
      <c r="K644" s="1"/>
      <c r="L644" s="87"/>
      <c r="M644" s="87"/>
      <c r="N644" s="4"/>
      <c r="O644" s="1"/>
      <c r="P644" s="5"/>
      <c r="Q644" s="3"/>
      <c r="R644" s="3"/>
      <c r="S644" s="7"/>
      <c r="T644" s="1"/>
      <c r="U644" s="1"/>
      <c r="V644" s="1"/>
      <c r="W644" s="1"/>
      <c r="X644" s="1"/>
      <c r="Y644" s="1"/>
      <c r="Z644" s="1"/>
    </row>
    <row r="645" spans="1:26" ht="27" customHeight="1">
      <c r="A645" s="1"/>
      <c r="B645" s="1"/>
      <c r="C645" s="2"/>
      <c r="D645" s="87"/>
      <c r="E645" s="87"/>
      <c r="F645" s="87"/>
      <c r="G645" s="1"/>
      <c r="H645" s="1"/>
      <c r="I645" s="1"/>
      <c r="J645" s="1"/>
      <c r="K645" s="1"/>
      <c r="L645" s="87"/>
      <c r="M645" s="87"/>
      <c r="N645" s="4"/>
      <c r="O645" s="1"/>
      <c r="P645" s="5"/>
      <c r="Q645" s="3"/>
      <c r="R645" s="3"/>
      <c r="S645" s="7"/>
      <c r="T645" s="1"/>
      <c r="U645" s="1"/>
      <c r="V645" s="1"/>
      <c r="W645" s="1"/>
      <c r="X645" s="1"/>
      <c r="Y645" s="1"/>
      <c r="Z645" s="1"/>
    </row>
    <row r="646" spans="1:26" ht="27" customHeight="1">
      <c r="A646" s="1"/>
      <c r="B646" s="1"/>
      <c r="C646" s="2"/>
      <c r="D646" s="87"/>
      <c r="E646" s="87"/>
      <c r="F646" s="87"/>
      <c r="G646" s="1"/>
      <c r="H646" s="1"/>
      <c r="I646" s="1"/>
      <c r="J646" s="1"/>
      <c r="K646" s="1"/>
      <c r="L646" s="87"/>
      <c r="M646" s="87"/>
      <c r="N646" s="4"/>
      <c r="O646" s="1"/>
      <c r="P646" s="5"/>
      <c r="Q646" s="3"/>
      <c r="R646" s="3"/>
      <c r="S646" s="7"/>
      <c r="T646" s="1"/>
      <c r="U646" s="1"/>
      <c r="V646" s="1"/>
      <c r="W646" s="1"/>
      <c r="X646" s="1"/>
      <c r="Y646" s="1"/>
      <c r="Z646" s="1"/>
    </row>
    <row r="647" spans="1:26" ht="27" customHeight="1">
      <c r="A647" s="1"/>
      <c r="B647" s="1"/>
      <c r="C647" s="2"/>
      <c r="D647" s="87"/>
      <c r="E647" s="87"/>
      <c r="F647" s="87"/>
      <c r="G647" s="1"/>
      <c r="H647" s="1"/>
      <c r="I647" s="1"/>
      <c r="J647" s="1"/>
      <c r="K647" s="1"/>
      <c r="L647" s="87"/>
      <c r="M647" s="87"/>
      <c r="N647" s="4"/>
      <c r="O647" s="1"/>
      <c r="P647" s="5"/>
      <c r="Q647" s="3"/>
      <c r="R647" s="3"/>
      <c r="S647" s="7"/>
      <c r="T647" s="1"/>
      <c r="U647" s="1"/>
      <c r="V647" s="1"/>
      <c r="W647" s="1"/>
      <c r="X647" s="1"/>
      <c r="Y647" s="1"/>
      <c r="Z647" s="1"/>
    </row>
    <row r="648" spans="1:26" ht="27" customHeight="1">
      <c r="A648" s="1"/>
      <c r="B648" s="1"/>
      <c r="C648" s="2"/>
      <c r="D648" s="87"/>
      <c r="E648" s="87"/>
      <c r="F648" s="87"/>
      <c r="G648" s="1"/>
      <c r="H648" s="1"/>
      <c r="I648" s="1"/>
      <c r="J648" s="1"/>
      <c r="K648" s="1"/>
      <c r="L648" s="87"/>
      <c r="M648" s="87"/>
      <c r="N648" s="4"/>
      <c r="O648" s="1"/>
      <c r="P648" s="5"/>
      <c r="Q648" s="3"/>
      <c r="R648" s="3"/>
      <c r="S648" s="7"/>
      <c r="T648" s="1"/>
      <c r="U648" s="1"/>
      <c r="V648" s="1"/>
      <c r="W648" s="1"/>
      <c r="X648" s="1"/>
      <c r="Y648" s="1"/>
      <c r="Z648" s="1"/>
    </row>
    <row r="649" spans="1:26" ht="27" customHeight="1">
      <c r="A649" s="1"/>
      <c r="B649" s="1"/>
      <c r="C649" s="2"/>
      <c r="D649" s="87"/>
      <c r="E649" s="87"/>
      <c r="F649" s="87"/>
      <c r="G649" s="1"/>
      <c r="H649" s="1"/>
      <c r="I649" s="1"/>
      <c r="J649" s="1"/>
      <c r="K649" s="1"/>
      <c r="L649" s="87"/>
      <c r="M649" s="87"/>
      <c r="N649" s="4"/>
      <c r="O649" s="1"/>
      <c r="P649" s="5"/>
      <c r="Q649" s="3"/>
      <c r="R649" s="3"/>
      <c r="S649" s="7"/>
      <c r="T649" s="1"/>
      <c r="U649" s="1"/>
      <c r="V649" s="1"/>
      <c r="W649" s="1"/>
      <c r="X649" s="1"/>
      <c r="Y649" s="1"/>
      <c r="Z649" s="1"/>
    </row>
    <row r="650" spans="1:26" ht="27" customHeight="1">
      <c r="A650" s="1"/>
      <c r="B650" s="1"/>
      <c r="C650" s="2"/>
      <c r="D650" s="87"/>
      <c r="E650" s="87"/>
      <c r="F650" s="87"/>
      <c r="G650" s="1"/>
      <c r="H650" s="1"/>
      <c r="I650" s="1"/>
      <c r="J650" s="1"/>
      <c r="K650" s="1"/>
      <c r="L650" s="87"/>
      <c r="M650" s="87"/>
      <c r="N650" s="4"/>
      <c r="O650" s="1"/>
      <c r="P650" s="5"/>
      <c r="Q650" s="3"/>
      <c r="R650" s="3"/>
      <c r="S650" s="7"/>
      <c r="T650" s="1"/>
      <c r="U650" s="1"/>
      <c r="V650" s="1"/>
      <c r="W650" s="1"/>
      <c r="X650" s="1"/>
      <c r="Y650" s="1"/>
      <c r="Z650" s="1"/>
    </row>
    <row r="651" spans="1:26" ht="27" customHeight="1">
      <c r="A651" s="1"/>
      <c r="B651" s="1"/>
      <c r="C651" s="2"/>
      <c r="D651" s="87"/>
      <c r="E651" s="87"/>
      <c r="F651" s="87"/>
      <c r="G651" s="1"/>
      <c r="H651" s="1"/>
      <c r="I651" s="1"/>
      <c r="J651" s="1"/>
      <c r="K651" s="1"/>
      <c r="L651" s="87"/>
      <c r="M651" s="87"/>
      <c r="N651" s="4"/>
      <c r="O651" s="1"/>
      <c r="P651" s="5"/>
      <c r="Q651" s="3"/>
      <c r="R651" s="3"/>
      <c r="S651" s="7"/>
      <c r="T651" s="1"/>
      <c r="U651" s="1"/>
      <c r="V651" s="1"/>
      <c r="W651" s="1"/>
      <c r="X651" s="1"/>
      <c r="Y651" s="1"/>
      <c r="Z651" s="1"/>
    </row>
    <row r="652" spans="1:26" ht="27" customHeight="1">
      <c r="A652" s="1"/>
      <c r="B652" s="1"/>
      <c r="C652" s="2"/>
      <c r="D652" s="87"/>
      <c r="E652" s="87"/>
      <c r="F652" s="87"/>
      <c r="G652" s="1"/>
      <c r="H652" s="1"/>
      <c r="I652" s="1"/>
      <c r="J652" s="1"/>
      <c r="K652" s="1"/>
      <c r="L652" s="87"/>
      <c r="M652" s="87"/>
      <c r="N652" s="4"/>
      <c r="O652" s="1"/>
      <c r="P652" s="5"/>
      <c r="Q652" s="3"/>
      <c r="R652" s="3"/>
      <c r="S652" s="7"/>
      <c r="T652" s="1"/>
      <c r="U652" s="1"/>
      <c r="V652" s="1"/>
      <c r="W652" s="1"/>
      <c r="X652" s="1"/>
      <c r="Y652" s="1"/>
      <c r="Z652" s="1"/>
    </row>
    <row r="653" spans="1:26" ht="27" customHeight="1">
      <c r="A653" s="1"/>
      <c r="B653" s="1"/>
      <c r="C653" s="2"/>
      <c r="D653" s="87"/>
      <c r="E653" s="87"/>
      <c r="F653" s="87"/>
      <c r="G653" s="1"/>
      <c r="H653" s="1"/>
      <c r="I653" s="1"/>
      <c r="J653" s="1"/>
      <c r="K653" s="1"/>
      <c r="L653" s="87"/>
      <c r="M653" s="87"/>
      <c r="N653" s="4"/>
      <c r="O653" s="1"/>
      <c r="P653" s="5"/>
      <c r="Q653" s="3"/>
      <c r="R653" s="3"/>
      <c r="S653" s="7"/>
      <c r="T653" s="1"/>
      <c r="U653" s="1"/>
      <c r="V653" s="1"/>
      <c r="W653" s="1"/>
      <c r="X653" s="1"/>
      <c r="Y653" s="1"/>
      <c r="Z653" s="1"/>
    </row>
    <row r="654" spans="1:26" ht="27" customHeight="1">
      <c r="A654" s="1"/>
      <c r="B654" s="1"/>
      <c r="C654" s="2"/>
      <c r="D654" s="87"/>
      <c r="E654" s="87"/>
      <c r="F654" s="87"/>
      <c r="G654" s="1"/>
      <c r="H654" s="1"/>
      <c r="I654" s="1"/>
      <c r="J654" s="1"/>
      <c r="K654" s="1"/>
      <c r="L654" s="87"/>
      <c r="M654" s="87"/>
      <c r="N654" s="4"/>
      <c r="O654" s="1"/>
      <c r="P654" s="5"/>
      <c r="Q654" s="3"/>
      <c r="R654" s="3"/>
      <c r="S654" s="7"/>
      <c r="T654" s="1"/>
      <c r="U654" s="1"/>
      <c r="V654" s="1"/>
      <c r="W654" s="1"/>
      <c r="X654" s="1"/>
      <c r="Y654" s="1"/>
      <c r="Z654" s="1"/>
    </row>
    <row r="655" spans="1:26" ht="27" customHeight="1">
      <c r="A655" s="1"/>
      <c r="B655" s="1"/>
      <c r="C655" s="2"/>
      <c r="D655" s="87"/>
      <c r="E655" s="87"/>
      <c r="F655" s="87"/>
      <c r="G655" s="1"/>
      <c r="H655" s="1"/>
      <c r="I655" s="1"/>
      <c r="J655" s="1"/>
      <c r="K655" s="1"/>
      <c r="L655" s="87"/>
      <c r="M655" s="87"/>
      <c r="N655" s="4"/>
      <c r="O655" s="1"/>
      <c r="P655" s="5"/>
      <c r="Q655" s="3"/>
      <c r="R655" s="3"/>
      <c r="S655" s="7"/>
      <c r="T655" s="1"/>
      <c r="U655" s="1"/>
      <c r="V655" s="1"/>
      <c r="W655" s="1"/>
      <c r="X655" s="1"/>
      <c r="Y655" s="1"/>
      <c r="Z655" s="1"/>
    </row>
    <row r="656" spans="1:26" ht="27" customHeight="1">
      <c r="A656" s="1"/>
      <c r="B656" s="1"/>
      <c r="C656" s="2"/>
      <c r="D656" s="87"/>
      <c r="E656" s="87"/>
      <c r="F656" s="87"/>
      <c r="G656" s="1"/>
      <c r="H656" s="1"/>
      <c r="I656" s="1"/>
      <c r="J656" s="1"/>
      <c r="K656" s="1"/>
      <c r="L656" s="87"/>
      <c r="M656" s="87"/>
      <c r="N656" s="4"/>
      <c r="O656" s="1"/>
      <c r="P656" s="5"/>
      <c r="Q656" s="3"/>
      <c r="R656" s="3"/>
      <c r="S656" s="7"/>
      <c r="T656" s="1"/>
      <c r="U656" s="1"/>
      <c r="V656" s="1"/>
      <c r="W656" s="1"/>
      <c r="X656" s="1"/>
      <c r="Y656" s="1"/>
      <c r="Z656" s="1"/>
    </row>
    <row r="657" spans="1:26" ht="27" customHeight="1">
      <c r="A657" s="1"/>
      <c r="B657" s="1"/>
      <c r="C657" s="2"/>
      <c r="D657" s="87"/>
      <c r="E657" s="87"/>
      <c r="F657" s="87"/>
      <c r="G657" s="1"/>
      <c r="H657" s="1"/>
      <c r="I657" s="1"/>
      <c r="J657" s="1"/>
      <c r="K657" s="1"/>
      <c r="L657" s="87"/>
      <c r="M657" s="87"/>
      <c r="N657" s="4"/>
      <c r="O657" s="1"/>
      <c r="P657" s="5"/>
      <c r="Q657" s="3"/>
      <c r="R657" s="3"/>
      <c r="S657" s="7"/>
      <c r="T657" s="1"/>
      <c r="U657" s="1"/>
      <c r="V657" s="1"/>
      <c r="W657" s="1"/>
      <c r="X657" s="1"/>
      <c r="Y657" s="1"/>
      <c r="Z657" s="1"/>
    </row>
    <row r="658" spans="1:26" ht="27" customHeight="1">
      <c r="A658" s="1"/>
      <c r="B658" s="1"/>
      <c r="C658" s="2"/>
      <c r="D658" s="87"/>
      <c r="E658" s="87"/>
      <c r="F658" s="87"/>
      <c r="G658" s="1"/>
      <c r="H658" s="1"/>
      <c r="I658" s="1"/>
      <c r="J658" s="1"/>
      <c r="K658" s="1"/>
      <c r="L658" s="87"/>
      <c r="M658" s="87"/>
      <c r="N658" s="4"/>
      <c r="O658" s="1"/>
      <c r="P658" s="5"/>
      <c r="Q658" s="3"/>
      <c r="R658" s="3"/>
      <c r="S658" s="7"/>
      <c r="T658" s="1"/>
      <c r="U658" s="1"/>
      <c r="V658" s="1"/>
      <c r="W658" s="1"/>
      <c r="X658" s="1"/>
      <c r="Y658" s="1"/>
      <c r="Z658" s="1"/>
    </row>
    <row r="659" spans="1:26" ht="27" customHeight="1">
      <c r="A659" s="1"/>
      <c r="B659" s="1"/>
      <c r="C659" s="2"/>
      <c r="D659" s="87"/>
      <c r="E659" s="87"/>
      <c r="F659" s="87"/>
      <c r="G659" s="1"/>
      <c r="H659" s="1"/>
      <c r="I659" s="1"/>
      <c r="J659" s="1"/>
      <c r="K659" s="1"/>
      <c r="L659" s="87"/>
      <c r="M659" s="87"/>
      <c r="N659" s="4"/>
      <c r="O659" s="1"/>
      <c r="P659" s="5"/>
      <c r="Q659" s="3"/>
      <c r="R659" s="3"/>
      <c r="S659" s="7"/>
      <c r="T659" s="1"/>
      <c r="U659" s="1"/>
      <c r="V659" s="1"/>
      <c r="W659" s="1"/>
      <c r="X659" s="1"/>
      <c r="Y659" s="1"/>
      <c r="Z659" s="1"/>
    </row>
    <row r="660" spans="1:26" ht="27" customHeight="1">
      <c r="A660" s="1"/>
      <c r="B660" s="1"/>
      <c r="C660" s="2"/>
      <c r="D660" s="87"/>
      <c r="E660" s="87"/>
      <c r="F660" s="87"/>
      <c r="G660" s="1"/>
      <c r="H660" s="1"/>
      <c r="I660" s="1"/>
      <c r="J660" s="1"/>
      <c r="K660" s="1"/>
      <c r="L660" s="87"/>
      <c r="M660" s="87"/>
      <c r="N660" s="4"/>
      <c r="O660" s="1"/>
      <c r="P660" s="5"/>
      <c r="Q660" s="3"/>
      <c r="R660" s="3"/>
      <c r="S660" s="7"/>
      <c r="T660" s="1"/>
      <c r="U660" s="1"/>
      <c r="V660" s="1"/>
      <c r="W660" s="1"/>
      <c r="X660" s="1"/>
      <c r="Y660" s="1"/>
      <c r="Z660" s="1"/>
    </row>
    <row r="661" spans="1:26" ht="27" customHeight="1">
      <c r="A661" s="1"/>
      <c r="B661" s="1"/>
      <c r="C661" s="2"/>
      <c r="D661" s="87"/>
      <c r="E661" s="87"/>
      <c r="F661" s="87"/>
      <c r="G661" s="1"/>
      <c r="H661" s="1"/>
      <c r="I661" s="1"/>
      <c r="J661" s="1"/>
      <c r="K661" s="1"/>
      <c r="L661" s="87"/>
      <c r="M661" s="87"/>
      <c r="N661" s="4"/>
      <c r="O661" s="1"/>
      <c r="P661" s="5"/>
      <c r="Q661" s="3"/>
      <c r="R661" s="3"/>
      <c r="S661" s="7"/>
      <c r="T661" s="1"/>
      <c r="U661" s="1"/>
      <c r="V661" s="1"/>
      <c r="W661" s="1"/>
      <c r="X661" s="1"/>
      <c r="Y661" s="1"/>
      <c r="Z661" s="1"/>
    </row>
    <row r="662" spans="1:26" ht="27" customHeight="1">
      <c r="A662" s="1"/>
      <c r="B662" s="1"/>
      <c r="C662" s="2"/>
      <c r="D662" s="87"/>
      <c r="E662" s="87"/>
      <c r="F662" s="87"/>
      <c r="G662" s="1"/>
      <c r="H662" s="1"/>
      <c r="I662" s="1"/>
      <c r="J662" s="1"/>
      <c r="K662" s="1"/>
      <c r="L662" s="87"/>
      <c r="M662" s="87"/>
      <c r="N662" s="4"/>
      <c r="O662" s="1"/>
      <c r="P662" s="5"/>
      <c r="Q662" s="3"/>
      <c r="R662" s="3"/>
      <c r="S662" s="7"/>
      <c r="T662" s="1"/>
      <c r="U662" s="1"/>
      <c r="V662" s="1"/>
      <c r="W662" s="1"/>
      <c r="X662" s="1"/>
      <c r="Y662" s="1"/>
      <c r="Z662" s="1"/>
    </row>
    <row r="663" spans="1:26" ht="27" customHeight="1">
      <c r="A663" s="1"/>
      <c r="B663" s="1"/>
      <c r="C663" s="2"/>
      <c r="D663" s="87"/>
      <c r="E663" s="87"/>
      <c r="F663" s="87"/>
      <c r="G663" s="1"/>
      <c r="H663" s="1"/>
      <c r="I663" s="1"/>
      <c r="J663" s="1"/>
      <c r="K663" s="1"/>
      <c r="L663" s="87"/>
      <c r="M663" s="87"/>
      <c r="N663" s="4"/>
      <c r="O663" s="1"/>
      <c r="P663" s="5"/>
      <c r="Q663" s="3"/>
      <c r="R663" s="3"/>
      <c r="S663" s="7"/>
      <c r="T663" s="1"/>
      <c r="U663" s="1"/>
      <c r="V663" s="1"/>
      <c r="W663" s="1"/>
      <c r="X663" s="1"/>
      <c r="Y663" s="1"/>
      <c r="Z663" s="1"/>
    </row>
    <row r="664" spans="1:26" ht="27" customHeight="1">
      <c r="A664" s="1"/>
      <c r="B664" s="1"/>
      <c r="C664" s="2"/>
      <c r="D664" s="87"/>
      <c r="E664" s="87"/>
      <c r="F664" s="87"/>
      <c r="G664" s="1"/>
      <c r="H664" s="1"/>
      <c r="I664" s="1"/>
      <c r="J664" s="1"/>
      <c r="K664" s="1"/>
      <c r="L664" s="87"/>
      <c r="M664" s="87"/>
      <c r="N664" s="4"/>
      <c r="O664" s="1"/>
      <c r="P664" s="5"/>
      <c r="Q664" s="3"/>
      <c r="R664" s="3"/>
      <c r="S664" s="7"/>
      <c r="T664" s="1"/>
      <c r="U664" s="1"/>
      <c r="V664" s="1"/>
      <c r="W664" s="1"/>
      <c r="X664" s="1"/>
      <c r="Y664" s="1"/>
      <c r="Z664" s="1"/>
    </row>
    <row r="665" spans="1:26" ht="27" customHeight="1">
      <c r="A665" s="1"/>
      <c r="B665" s="1"/>
      <c r="C665" s="2"/>
      <c r="D665" s="87"/>
      <c r="E665" s="87"/>
      <c r="F665" s="87"/>
      <c r="G665" s="1"/>
      <c r="H665" s="1"/>
      <c r="I665" s="1"/>
      <c r="J665" s="1"/>
      <c r="K665" s="1"/>
      <c r="L665" s="87"/>
      <c r="M665" s="87"/>
      <c r="N665" s="4"/>
      <c r="O665" s="1"/>
      <c r="P665" s="5"/>
      <c r="Q665" s="3"/>
      <c r="R665" s="3"/>
      <c r="S665" s="7"/>
      <c r="T665" s="1"/>
      <c r="U665" s="1"/>
      <c r="V665" s="1"/>
      <c r="W665" s="1"/>
      <c r="X665" s="1"/>
      <c r="Y665" s="1"/>
      <c r="Z665" s="1"/>
    </row>
    <row r="666" spans="1:26" ht="27" customHeight="1">
      <c r="A666" s="1"/>
      <c r="B666" s="1"/>
      <c r="C666" s="2"/>
      <c r="D666" s="87"/>
      <c r="E666" s="87"/>
      <c r="F666" s="87"/>
      <c r="G666" s="1"/>
      <c r="H666" s="1"/>
      <c r="I666" s="1"/>
      <c r="J666" s="1"/>
      <c r="K666" s="1"/>
      <c r="L666" s="87"/>
      <c r="M666" s="87"/>
      <c r="N666" s="4"/>
      <c r="O666" s="1"/>
      <c r="P666" s="5"/>
      <c r="Q666" s="3"/>
      <c r="R666" s="3"/>
      <c r="S666" s="7"/>
      <c r="T666" s="1"/>
      <c r="U666" s="1"/>
      <c r="V666" s="1"/>
      <c r="W666" s="1"/>
      <c r="X666" s="1"/>
      <c r="Y666" s="1"/>
      <c r="Z666" s="1"/>
    </row>
    <row r="667" spans="1:26" ht="27" customHeight="1">
      <c r="A667" s="1"/>
      <c r="B667" s="1"/>
      <c r="C667" s="2"/>
      <c r="D667" s="87"/>
      <c r="E667" s="87"/>
      <c r="F667" s="87"/>
      <c r="G667" s="1"/>
      <c r="H667" s="1"/>
      <c r="I667" s="1"/>
      <c r="J667" s="1"/>
      <c r="K667" s="1"/>
      <c r="L667" s="87"/>
      <c r="M667" s="87"/>
      <c r="N667" s="4"/>
      <c r="O667" s="1"/>
      <c r="P667" s="5"/>
      <c r="Q667" s="3"/>
      <c r="R667" s="3"/>
      <c r="S667" s="7"/>
      <c r="T667" s="1"/>
      <c r="U667" s="1"/>
      <c r="V667" s="1"/>
      <c r="W667" s="1"/>
      <c r="X667" s="1"/>
      <c r="Y667" s="1"/>
      <c r="Z667" s="1"/>
    </row>
    <row r="668" spans="1:26" ht="27" customHeight="1">
      <c r="A668" s="1"/>
      <c r="B668" s="1"/>
      <c r="C668" s="2"/>
      <c r="D668" s="87"/>
      <c r="E668" s="87"/>
      <c r="F668" s="87"/>
      <c r="G668" s="1"/>
      <c r="H668" s="1"/>
      <c r="I668" s="1"/>
      <c r="J668" s="1"/>
      <c r="K668" s="1"/>
      <c r="L668" s="87"/>
      <c r="M668" s="87"/>
      <c r="N668" s="4"/>
      <c r="O668" s="1"/>
      <c r="P668" s="5"/>
      <c r="Q668" s="3"/>
      <c r="R668" s="3"/>
      <c r="S668" s="7"/>
      <c r="T668" s="1"/>
      <c r="U668" s="1"/>
      <c r="V668" s="1"/>
      <c r="W668" s="1"/>
      <c r="X668" s="1"/>
      <c r="Y668" s="1"/>
      <c r="Z668" s="1"/>
    </row>
    <row r="669" spans="1:26" ht="27" customHeight="1">
      <c r="A669" s="1"/>
      <c r="B669" s="1"/>
      <c r="C669" s="2"/>
      <c r="D669" s="87"/>
      <c r="E669" s="87"/>
      <c r="F669" s="87"/>
      <c r="G669" s="1"/>
      <c r="H669" s="1"/>
      <c r="I669" s="1"/>
      <c r="J669" s="1"/>
      <c r="K669" s="1"/>
      <c r="L669" s="87"/>
      <c r="M669" s="87"/>
      <c r="N669" s="4"/>
      <c r="O669" s="1"/>
      <c r="P669" s="5"/>
      <c r="Q669" s="3"/>
      <c r="R669" s="3"/>
      <c r="S669" s="7"/>
      <c r="T669" s="1"/>
      <c r="U669" s="1"/>
      <c r="V669" s="1"/>
      <c r="W669" s="1"/>
      <c r="X669" s="1"/>
      <c r="Y669" s="1"/>
      <c r="Z669" s="1"/>
    </row>
    <row r="670" spans="1:26" ht="27" customHeight="1">
      <c r="A670" s="1"/>
      <c r="B670" s="1"/>
      <c r="C670" s="2"/>
      <c r="D670" s="87"/>
      <c r="E670" s="87"/>
      <c r="F670" s="87"/>
      <c r="G670" s="1"/>
      <c r="H670" s="1"/>
      <c r="I670" s="1"/>
      <c r="J670" s="1"/>
      <c r="K670" s="1"/>
      <c r="L670" s="87"/>
      <c r="M670" s="87"/>
      <c r="N670" s="4"/>
      <c r="O670" s="1"/>
      <c r="P670" s="5"/>
      <c r="Q670" s="3"/>
      <c r="R670" s="3"/>
      <c r="S670" s="7"/>
      <c r="T670" s="1"/>
      <c r="U670" s="1"/>
      <c r="V670" s="1"/>
      <c r="W670" s="1"/>
      <c r="X670" s="1"/>
      <c r="Y670" s="1"/>
      <c r="Z670" s="1"/>
    </row>
    <row r="671" spans="1:26" ht="27" customHeight="1">
      <c r="A671" s="1"/>
      <c r="B671" s="1"/>
      <c r="C671" s="2"/>
      <c r="D671" s="87"/>
      <c r="E671" s="87"/>
      <c r="F671" s="87"/>
      <c r="G671" s="1"/>
      <c r="H671" s="1"/>
      <c r="I671" s="1"/>
      <c r="J671" s="1"/>
      <c r="K671" s="1"/>
      <c r="L671" s="87"/>
      <c r="M671" s="87"/>
      <c r="N671" s="4"/>
      <c r="O671" s="1"/>
      <c r="P671" s="5"/>
      <c r="Q671" s="3"/>
      <c r="R671" s="3"/>
      <c r="S671" s="7"/>
      <c r="T671" s="1"/>
      <c r="U671" s="1"/>
      <c r="V671" s="1"/>
      <c r="W671" s="1"/>
      <c r="X671" s="1"/>
      <c r="Y671" s="1"/>
      <c r="Z671" s="1"/>
    </row>
    <row r="672" spans="1:26" ht="27" customHeight="1">
      <c r="A672" s="1"/>
      <c r="B672" s="1"/>
      <c r="C672" s="2"/>
      <c r="D672" s="87"/>
      <c r="E672" s="87"/>
      <c r="F672" s="87"/>
      <c r="G672" s="1"/>
      <c r="H672" s="1"/>
      <c r="I672" s="1"/>
      <c r="J672" s="1"/>
      <c r="K672" s="1"/>
      <c r="L672" s="87"/>
      <c r="M672" s="87"/>
      <c r="N672" s="4"/>
      <c r="O672" s="1"/>
      <c r="P672" s="5"/>
      <c r="Q672" s="3"/>
      <c r="R672" s="3"/>
      <c r="S672" s="7"/>
      <c r="T672" s="1"/>
      <c r="U672" s="1"/>
      <c r="V672" s="1"/>
      <c r="W672" s="1"/>
      <c r="X672" s="1"/>
      <c r="Y672" s="1"/>
      <c r="Z672" s="1"/>
    </row>
    <row r="673" spans="1:26" ht="27" customHeight="1">
      <c r="A673" s="1"/>
      <c r="B673" s="1"/>
      <c r="C673" s="2"/>
      <c r="D673" s="87"/>
      <c r="E673" s="87"/>
      <c r="F673" s="87"/>
      <c r="G673" s="1"/>
      <c r="H673" s="1"/>
      <c r="I673" s="1"/>
      <c r="J673" s="1"/>
      <c r="K673" s="1"/>
      <c r="L673" s="87"/>
      <c r="M673" s="87"/>
      <c r="N673" s="4"/>
      <c r="O673" s="1"/>
      <c r="P673" s="5"/>
      <c r="Q673" s="3"/>
      <c r="R673" s="3"/>
      <c r="S673" s="7"/>
      <c r="T673" s="1"/>
      <c r="U673" s="1"/>
      <c r="V673" s="1"/>
      <c r="W673" s="1"/>
      <c r="X673" s="1"/>
      <c r="Y673" s="1"/>
      <c r="Z673" s="1"/>
    </row>
    <row r="674" spans="1:26" ht="27" customHeight="1">
      <c r="A674" s="1"/>
      <c r="B674" s="1"/>
      <c r="C674" s="2"/>
      <c r="D674" s="87"/>
      <c r="E674" s="87"/>
      <c r="F674" s="87"/>
      <c r="G674" s="1"/>
      <c r="H674" s="1"/>
      <c r="I674" s="1"/>
      <c r="J674" s="1"/>
      <c r="K674" s="1"/>
      <c r="L674" s="87"/>
      <c r="M674" s="87"/>
      <c r="N674" s="4"/>
      <c r="O674" s="1"/>
      <c r="P674" s="5"/>
      <c r="Q674" s="3"/>
      <c r="R674" s="3"/>
      <c r="S674" s="7"/>
      <c r="T674" s="1"/>
      <c r="U674" s="1"/>
      <c r="V674" s="1"/>
      <c r="W674" s="1"/>
      <c r="X674" s="1"/>
      <c r="Y674" s="1"/>
      <c r="Z674" s="1"/>
    </row>
    <row r="675" spans="1:26" ht="27" customHeight="1">
      <c r="A675" s="1"/>
      <c r="B675" s="1"/>
      <c r="C675" s="2"/>
      <c r="D675" s="87"/>
      <c r="E675" s="87"/>
      <c r="F675" s="87"/>
      <c r="G675" s="1"/>
      <c r="H675" s="1"/>
      <c r="I675" s="1"/>
      <c r="J675" s="1"/>
      <c r="K675" s="1"/>
      <c r="L675" s="87"/>
      <c r="M675" s="87"/>
      <c r="N675" s="4"/>
      <c r="O675" s="1"/>
      <c r="P675" s="5"/>
      <c r="Q675" s="3"/>
      <c r="R675" s="3"/>
      <c r="S675" s="7"/>
      <c r="T675" s="1"/>
      <c r="U675" s="1"/>
      <c r="V675" s="1"/>
      <c r="W675" s="1"/>
      <c r="X675" s="1"/>
      <c r="Y675" s="1"/>
      <c r="Z675" s="1"/>
    </row>
    <row r="676" spans="1:26" ht="27" customHeight="1">
      <c r="A676" s="1"/>
      <c r="B676" s="1"/>
      <c r="C676" s="2"/>
      <c r="D676" s="87"/>
      <c r="E676" s="87"/>
      <c r="F676" s="87"/>
      <c r="G676" s="1"/>
      <c r="H676" s="1"/>
      <c r="I676" s="1"/>
      <c r="J676" s="1"/>
      <c r="K676" s="1"/>
      <c r="L676" s="87"/>
      <c r="M676" s="87"/>
      <c r="N676" s="4"/>
      <c r="O676" s="1"/>
      <c r="P676" s="5"/>
      <c r="Q676" s="3"/>
      <c r="R676" s="3"/>
      <c r="S676" s="7"/>
      <c r="T676" s="1"/>
      <c r="U676" s="1"/>
      <c r="V676" s="1"/>
      <c r="W676" s="1"/>
      <c r="X676" s="1"/>
      <c r="Y676" s="1"/>
      <c r="Z676" s="1"/>
    </row>
    <row r="677" spans="1:26" ht="27" customHeight="1">
      <c r="A677" s="1"/>
      <c r="B677" s="1"/>
      <c r="C677" s="2"/>
      <c r="D677" s="87"/>
      <c r="E677" s="87"/>
      <c r="F677" s="87"/>
      <c r="G677" s="1"/>
      <c r="H677" s="1"/>
      <c r="I677" s="1"/>
      <c r="J677" s="1"/>
      <c r="K677" s="1"/>
      <c r="L677" s="87"/>
      <c r="M677" s="87"/>
      <c r="N677" s="4"/>
      <c r="O677" s="1"/>
      <c r="P677" s="5"/>
      <c r="Q677" s="3"/>
      <c r="R677" s="3"/>
      <c r="S677" s="7"/>
      <c r="T677" s="1"/>
      <c r="U677" s="1"/>
      <c r="V677" s="1"/>
      <c r="W677" s="1"/>
      <c r="X677" s="1"/>
      <c r="Y677" s="1"/>
      <c r="Z677" s="1"/>
    </row>
    <row r="678" spans="1:26" ht="27" customHeight="1">
      <c r="A678" s="1"/>
      <c r="B678" s="1"/>
      <c r="C678" s="2"/>
      <c r="D678" s="87"/>
      <c r="E678" s="87"/>
      <c r="F678" s="87"/>
      <c r="G678" s="1"/>
      <c r="H678" s="1"/>
      <c r="I678" s="1"/>
      <c r="J678" s="1"/>
      <c r="K678" s="1"/>
      <c r="L678" s="87"/>
      <c r="M678" s="87"/>
      <c r="N678" s="4"/>
      <c r="O678" s="1"/>
      <c r="P678" s="5"/>
      <c r="Q678" s="3"/>
      <c r="R678" s="3"/>
      <c r="S678" s="7"/>
      <c r="T678" s="1"/>
      <c r="U678" s="1"/>
      <c r="V678" s="1"/>
      <c r="W678" s="1"/>
      <c r="X678" s="1"/>
      <c r="Y678" s="1"/>
      <c r="Z678" s="1"/>
    </row>
    <row r="679" spans="1:26" ht="27" customHeight="1">
      <c r="A679" s="1"/>
      <c r="B679" s="1"/>
      <c r="C679" s="2"/>
      <c r="D679" s="87"/>
      <c r="E679" s="87"/>
      <c r="F679" s="87"/>
      <c r="G679" s="1"/>
      <c r="H679" s="1"/>
      <c r="I679" s="1"/>
      <c r="J679" s="1"/>
      <c r="K679" s="1"/>
      <c r="L679" s="87"/>
      <c r="M679" s="87"/>
      <c r="N679" s="4"/>
      <c r="O679" s="1"/>
      <c r="P679" s="5"/>
      <c r="Q679" s="3"/>
      <c r="R679" s="3"/>
      <c r="S679" s="7"/>
      <c r="T679" s="1"/>
      <c r="U679" s="1"/>
      <c r="V679" s="1"/>
      <c r="W679" s="1"/>
      <c r="X679" s="1"/>
      <c r="Y679" s="1"/>
      <c r="Z679" s="1"/>
    </row>
    <row r="680" spans="1:26" ht="27" customHeight="1">
      <c r="A680" s="1"/>
      <c r="B680" s="1"/>
      <c r="C680" s="2"/>
      <c r="D680" s="87"/>
      <c r="E680" s="87"/>
      <c r="F680" s="87"/>
      <c r="G680" s="1"/>
      <c r="H680" s="1"/>
      <c r="I680" s="1"/>
      <c r="J680" s="1"/>
      <c r="K680" s="1"/>
      <c r="L680" s="87"/>
      <c r="M680" s="87"/>
      <c r="N680" s="4"/>
      <c r="O680" s="1"/>
      <c r="P680" s="5"/>
      <c r="Q680" s="3"/>
      <c r="R680" s="3"/>
      <c r="S680" s="7"/>
      <c r="T680" s="1"/>
      <c r="U680" s="1"/>
      <c r="V680" s="1"/>
      <c r="W680" s="1"/>
      <c r="X680" s="1"/>
      <c r="Y680" s="1"/>
      <c r="Z680" s="1"/>
    </row>
    <row r="681" spans="1:26" ht="27" customHeight="1">
      <c r="A681" s="1"/>
      <c r="B681" s="1"/>
      <c r="C681" s="2"/>
      <c r="D681" s="87"/>
      <c r="E681" s="87"/>
      <c r="F681" s="87"/>
      <c r="G681" s="1"/>
      <c r="H681" s="1"/>
      <c r="I681" s="1"/>
      <c r="J681" s="1"/>
      <c r="K681" s="1"/>
      <c r="L681" s="87"/>
      <c r="M681" s="87"/>
      <c r="N681" s="4"/>
      <c r="O681" s="1"/>
      <c r="P681" s="5"/>
      <c r="Q681" s="3"/>
      <c r="R681" s="3"/>
      <c r="S681" s="7"/>
      <c r="T681" s="1"/>
      <c r="U681" s="1"/>
      <c r="V681" s="1"/>
      <c r="W681" s="1"/>
      <c r="X681" s="1"/>
      <c r="Y681" s="1"/>
      <c r="Z681" s="1"/>
    </row>
    <row r="682" spans="1:26" ht="27" customHeight="1">
      <c r="A682" s="1"/>
      <c r="B682" s="1"/>
      <c r="C682" s="2"/>
      <c r="D682" s="87"/>
      <c r="E682" s="87"/>
      <c r="F682" s="87"/>
      <c r="G682" s="1"/>
      <c r="H682" s="1"/>
      <c r="I682" s="1"/>
      <c r="J682" s="1"/>
      <c r="K682" s="1"/>
      <c r="L682" s="87"/>
      <c r="M682" s="87"/>
      <c r="N682" s="4"/>
      <c r="O682" s="1"/>
      <c r="P682" s="5"/>
      <c r="Q682" s="3"/>
      <c r="R682" s="3"/>
      <c r="S682" s="7"/>
      <c r="T682" s="1"/>
      <c r="U682" s="1"/>
      <c r="V682" s="1"/>
      <c r="W682" s="1"/>
      <c r="X682" s="1"/>
      <c r="Y682" s="1"/>
      <c r="Z682" s="1"/>
    </row>
    <row r="683" spans="1:26" ht="27" customHeight="1">
      <c r="A683" s="1"/>
      <c r="B683" s="1"/>
      <c r="C683" s="2"/>
      <c r="D683" s="87"/>
      <c r="E683" s="87"/>
      <c r="F683" s="87"/>
      <c r="G683" s="1"/>
      <c r="H683" s="1"/>
      <c r="I683" s="1"/>
      <c r="J683" s="1"/>
      <c r="K683" s="1"/>
      <c r="L683" s="87"/>
      <c r="M683" s="87"/>
      <c r="N683" s="4"/>
      <c r="O683" s="1"/>
      <c r="P683" s="5"/>
      <c r="Q683" s="3"/>
      <c r="R683" s="3"/>
      <c r="S683" s="7"/>
      <c r="T683" s="1"/>
      <c r="U683" s="1"/>
      <c r="V683" s="1"/>
      <c r="W683" s="1"/>
      <c r="X683" s="1"/>
      <c r="Y683" s="1"/>
      <c r="Z683" s="1"/>
    </row>
    <row r="684" spans="1:26" ht="27" customHeight="1">
      <c r="A684" s="1"/>
      <c r="B684" s="1"/>
      <c r="C684" s="2"/>
      <c r="D684" s="87"/>
      <c r="E684" s="87"/>
      <c r="F684" s="87"/>
      <c r="G684" s="1"/>
      <c r="H684" s="1"/>
      <c r="I684" s="1"/>
      <c r="J684" s="1"/>
      <c r="K684" s="1"/>
      <c r="L684" s="87"/>
      <c r="M684" s="87"/>
      <c r="N684" s="4"/>
      <c r="O684" s="1"/>
      <c r="P684" s="5"/>
      <c r="Q684" s="3"/>
      <c r="R684" s="3"/>
      <c r="S684" s="7"/>
      <c r="T684" s="1"/>
      <c r="U684" s="1"/>
      <c r="V684" s="1"/>
      <c r="W684" s="1"/>
      <c r="X684" s="1"/>
      <c r="Y684" s="1"/>
      <c r="Z684" s="1"/>
    </row>
    <row r="685" spans="1:26" ht="27" customHeight="1">
      <c r="A685" s="1"/>
      <c r="B685" s="1"/>
      <c r="C685" s="2"/>
      <c r="D685" s="87"/>
      <c r="E685" s="87"/>
      <c r="F685" s="87"/>
      <c r="G685" s="1"/>
      <c r="H685" s="1"/>
      <c r="I685" s="1"/>
      <c r="J685" s="1"/>
      <c r="K685" s="1"/>
      <c r="L685" s="87"/>
      <c r="M685" s="87"/>
      <c r="N685" s="4"/>
      <c r="O685" s="1"/>
      <c r="P685" s="5"/>
      <c r="Q685" s="3"/>
      <c r="R685" s="3"/>
      <c r="S685" s="7"/>
      <c r="T685" s="1"/>
      <c r="U685" s="1"/>
      <c r="V685" s="1"/>
      <c r="W685" s="1"/>
      <c r="X685" s="1"/>
      <c r="Y685" s="1"/>
      <c r="Z685" s="1"/>
    </row>
    <row r="686" spans="1:26" ht="27" customHeight="1">
      <c r="A686" s="1"/>
      <c r="B686" s="1"/>
      <c r="C686" s="2"/>
      <c r="D686" s="87"/>
      <c r="E686" s="87"/>
      <c r="F686" s="87"/>
      <c r="G686" s="1"/>
      <c r="H686" s="1"/>
      <c r="I686" s="1"/>
      <c r="J686" s="1"/>
      <c r="K686" s="1"/>
      <c r="L686" s="87"/>
      <c r="M686" s="87"/>
      <c r="N686" s="4"/>
      <c r="O686" s="1"/>
      <c r="P686" s="5"/>
      <c r="Q686" s="3"/>
      <c r="R686" s="3"/>
      <c r="S686" s="7"/>
      <c r="T686" s="1"/>
      <c r="U686" s="1"/>
      <c r="V686" s="1"/>
      <c r="W686" s="1"/>
      <c r="X686" s="1"/>
      <c r="Y686" s="1"/>
      <c r="Z686" s="1"/>
    </row>
    <row r="687" spans="1:26" ht="27" customHeight="1">
      <c r="A687" s="1"/>
      <c r="B687" s="1"/>
      <c r="C687" s="2"/>
      <c r="D687" s="87"/>
      <c r="E687" s="87"/>
      <c r="F687" s="87"/>
      <c r="G687" s="1"/>
      <c r="H687" s="1"/>
      <c r="I687" s="1"/>
      <c r="J687" s="1"/>
      <c r="K687" s="1"/>
      <c r="L687" s="87"/>
      <c r="M687" s="87"/>
      <c r="N687" s="4"/>
      <c r="O687" s="1"/>
      <c r="P687" s="5"/>
      <c r="Q687" s="3"/>
      <c r="R687" s="3"/>
      <c r="S687" s="7"/>
      <c r="T687" s="1"/>
      <c r="U687" s="1"/>
      <c r="V687" s="1"/>
      <c r="W687" s="1"/>
      <c r="X687" s="1"/>
      <c r="Y687" s="1"/>
      <c r="Z687" s="1"/>
    </row>
    <row r="688" spans="1:26" ht="27" customHeight="1">
      <c r="A688" s="1"/>
      <c r="B688" s="1"/>
      <c r="C688" s="2"/>
      <c r="D688" s="87"/>
      <c r="E688" s="87"/>
      <c r="F688" s="87"/>
      <c r="G688" s="1"/>
      <c r="H688" s="1"/>
      <c r="I688" s="1"/>
      <c r="J688" s="1"/>
      <c r="K688" s="1"/>
      <c r="L688" s="87"/>
      <c r="M688" s="87"/>
      <c r="N688" s="4"/>
      <c r="O688" s="1"/>
      <c r="P688" s="5"/>
      <c r="Q688" s="3"/>
      <c r="R688" s="3"/>
      <c r="S688" s="7"/>
      <c r="T688" s="1"/>
      <c r="U688" s="1"/>
      <c r="V688" s="1"/>
      <c r="W688" s="1"/>
      <c r="X688" s="1"/>
      <c r="Y688" s="1"/>
      <c r="Z688" s="1"/>
    </row>
    <row r="689" spans="1:26" ht="27" customHeight="1">
      <c r="A689" s="1"/>
      <c r="B689" s="1"/>
      <c r="C689" s="2"/>
      <c r="D689" s="87"/>
      <c r="E689" s="87"/>
      <c r="F689" s="87"/>
      <c r="G689" s="1"/>
      <c r="H689" s="1"/>
      <c r="I689" s="1"/>
      <c r="J689" s="1"/>
      <c r="K689" s="1"/>
      <c r="L689" s="87"/>
      <c r="M689" s="87"/>
      <c r="N689" s="4"/>
      <c r="O689" s="1"/>
      <c r="P689" s="5"/>
      <c r="Q689" s="3"/>
      <c r="R689" s="3"/>
      <c r="S689" s="7"/>
      <c r="T689" s="1"/>
      <c r="U689" s="1"/>
      <c r="V689" s="1"/>
      <c r="W689" s="1"/>
      <c r="X689" s="1"/>
      <c r="Y689" s="1"/>
      <c r="Z689" s="1"/>
    </row>
    <row r="690" spans="1:26" ht="27" customHeight="1">
      <c r="A690" s="1"/>
      <c r="B690" s="1"/>
      <c r="C690" s="2"/>
      <c r="D690" s="87"/>
      <c r="E690" s="87"/>
      <c r="F690" s="87"/>
      <c r="G690" s="1"/>
      <c r="H690" s="1"/>
      <c r="I690" s="1"/>
      <c r="J690" s="1"/>
      <c r="K690" s="1"/>
      <c r="L690" s="87"/>
      <c r="M690" s="87"/>
      <c r="N690" s="4"/>
      <c r="O690" s="1"/>
      <c r="P690" s="5"/>
      <c r="Q690" s="3"/>
      <c r="R690" s="3"/>
      <c r="S690" s="7"/>
      <c r="T690" s="1"/>
      <c r="U690" s="1"/>
      <c r="V690" s="1"/>
      <c r="W690" s="1"/>
      <c r="X690" s="1"/>
      <c r="Y690" s="1"/>
      <c r="Z690" s="1"/>
    </row>
    <row r="691" spans="1:26" ht="27" customHeight="1">
      <c r="A691" s="1"/>
      <c r="B691" s="1"/>
      <c r="C691" s="2"/>
      <c r="D691" s="87"/>
      <c r="E691" s="87"/>
      <c r="F691" s="87"/>
      <c r="G691" s="1"/>
      <c r="H691" s="1"/>
      <c r="I691" s="1"/>
      <c r="J691" s="1"/>
      <c r="K691" s="1"/>
      <c r="L691" s="87"/>
      <c r="M691" s="87"/>
      <c r="N691" s="4"/>
      <c r="O691" s="1"/>
      <c r="P691" s="5"/>
      <c r="Q691" s="3"/>
      <c r="R691" s="3"/>
      <c r="S691" s="7"/>
      <c r="T691" s="1"/>
      <c r="U691" s="1"/>
      <c r="V691" s="1"/>
      <c r="W691" s="1"/>
      <c r="X691" s="1"/>
      <c r="Y691" s="1"/>
      <c r="Z691" s="1"/>
    </row>
    <row r="692" spans="1:26" ht="27" customHeight="1">
      <c r="A692" s="1"/>
      <c r="B692" s="1"/>
      <c r="C692" s="2"/>
      <c r="D692" s="87"/>
      <c r="E692" s="87"/>
      <c r="F692" s="87"/>
      <c r="G692" s="1"/>
      <c r="H692" s="1"/>
      <c r="I692" s="1"/>
      <c r="J692" s="1"/>
      <c r="K692" s="1"/>
      <c r="L692" s="87"/>
      <c r="M692" s="87"/>
      <c r="N692" s="4"/>
      <c r="O692" s="1"/>
      <c r="P692" s="5"/>
      <c r="Q692" s="3"/>
      <c r="R692" s="3"/>
      <c r="S692" s="7"/>
      <c r="T692" s="1"/>
      <c r="U692" s="1"/>
      <c r="V692" s="1"/>
      <c r="W692" s="1"/>
      <c r="X692" s="1"/>
      <c r="Y692" s="1"/>
      <c r="Z692" s="1"/>
    </row>
    <row r="693" spans="1:26" ht="27" customHeight="1">
      <c r="A693" s="1"/>
      <c r="B693" s="1"/>
      <c r="C693" s="2"/>
      <c r="D693" s="87"/>
      <c r="E693" s="87"/>
      <c r="F693" s="87"/>
      <c r="G693" s="1"/>
      <c r="H693" s="1"/>
      <c r="I693" s="1"/>
      <c r="J693" s="1"/>
      <c r="K693" s="1"/>
      <c r="L693" s="87"/>
      <c r="M693" s="87"/>
      <c r="N693" s="4"/>
      <c r="O693" s="1"/>
      <c r="P693" s="5"/>
      <c r="Q693" s="3"/>
      <c r="R693" s="3"/>
      <c r="S693" s="7"/>
      <c r="T693" s="1"/>
      <c r="U693" s="1"/>
      <c r="V693" s="1"/>
      <c r="W693" s="1"/>
      <c r="X693" s="1"/>
      <c r="Y693" s="1"/>
      <c r="Z693" s="1"/>
    </row>
    <row r="694" spans="1:26" ht="27" customHeight="1">
      <c r="A694" s="1"/>
      <c r="B694" s="1"/>
      <c r="C694" s="2"/>
      <c r="D694" s="87"/>
      <c r="E694" s="87"/>
      <c r="F694" s="87"/>
      <c r="G694" s="1"/>
      <c r="H694" s="1"/>
      <c r="I694" s="1"/>
      <c r="J694" s="1"/>
      <c r="K694" s="1"/>
      <c r="L694" s="87"/>
      <c r="M694" s="87"/>
      <c r="N694" s="4"/>
      <c r="O694" s="1"/>
      <c r="P694" s="5"/>
      <c r="Q694" s="3"/>
      <c r="R694" s="3"/>
      <c r="S694" s="7"/>
      <c r="T694" s="1"/>
      <c r="U694" s="1"/>
      <c r="V694" s="1"/>
      <c r="W694" s="1"/>
      <c r="X694" s="1"/>
      <c r="Y694" s="1"/>
      <c r="Z694" s="1"/>
    </row>
    <row r="695" spans="1:26" ht="27" customHeight="1">
      <c r="A695" s="1"/>
      <c r="B695" s="1"/>
      <c r="C695" s="2"/>
      <c r="D695" s="87"/>
      <c r="E695" s="87"/>
      <c r="F695" s="87"/>
      <c r="G695" s="1"/>
      <c r="H695" s="1"/>
      <c r="I695" s="1"/>
      <c r="J695" s="1"/>
      <c r="K695" s="1"/>
      <c r="L695" s="87"/>
      <c r="M695" s="87"/>
      <c r="N695" s="4"/>
      <c r="O695" s="1"/>
      <c r="P695" s="5"/>
      <c r="Q695" s="3"/>
      <c r="R695" s="3"/>
      <c r="S695" s="7"/>
      <c r="T695" s="1"/>
      <c r="U695" s="1"/>
      <c r="V695" s="1"/>
      <c r="W695" s="1"/>
      <c r="X695" s="1"/>
      <c r="Y695" s="1"/>
      <c r="Z695" s="1"/>
    </row>
    <row r="696" spans="1:26" ht="27" customHeight="1">
      <c r="A696" s="1"/>
      <c r="B696" s="1"/>
      <c r="C696" s="2"/>
      <c r="D696" s="87"/>
      <c r="E696" s="87"/>
      <c r="F696" s="87"/>
      <c r="G696" s="1"/>
      <c r="H696" s="1"/>
      <c r="I696" s="1"/>
      <c r="J696" s="1"/>
      <c r="K696" s="1"/>
      <c r="L696" s="87"/>
      <c r="M696" s="87"/>
      <c r="N696" s="4"/>
      <c r="O696" s="1"/>
      <c r="P696" s="5"/>
      <c r="Q696" s="3"/>
      <c r="R696" s="3"/>
      <c r="S696" s="7"/>
      <c r="T696" s="1"/>
      <c r="U696" s="1"/>
      <c r="V696" s="1"/>
      <c r="W696" s="1"/>
      <c r="X696" s="1"/>
      <c r="Y696" s="1"/>
      <c r="Z696" s="1"/>
    </row>
    <row r="697" spans="1:26" ht="27" customHeight="1">
      <c r="A697" s="1"/>
      <c r="B697" s="1"/>
      <c r="C697" s="2"/>
      <c r="D697" s="87"/>
      <c r="E697" s="87"/>
      <c r="F697" s="87"/>
      <c r="G697" s="1"/>
      <c r="H697" s="1"/>
      <c r="I697" s="1"/>
      <c r="J697" s="1"/>
      <c r="K697" s="1"/>
      <c r="L697" s="87"/>
      <c r="M697" s="87"/>
      <c r="N697" s="4"/>
      <c r="O697" s="1"/>
      <c r="P697" s="5"/>
      <c r="Q697" s="3"/>
      <c r="R697" s="3"/>
      <c r="S697" s="7"/>
      <c r="T697" s="1"/>
      <c r="U697" s="1"/>
      <c r="V697" s="1"/>
      <c r="W697" s="1"/>
      <c r="X697" s="1"/>
      <c r="Y697" s="1"/>
      <c r="Z697" s="1"/>
    </row>
    <row r="698" spans="1:26" ht="27" customHeight="1">
      <c r="A698" s="1"/>
      <c r="B698" s="1"/>
      <c r="C698" s="2"/>
      <c r="D698" s="87"/>
      <c r="E698" s="87"/>
      <c r="F698" s="87"/>
      <c r="G698" s="1"/>
      <c r="H698" s="1"/>
      <c r="I698" s="1"/>
      <c r="J698" s="1"/>
      <c r="K698" s="1"/>
      <c r="L698" s="87"/>
      <c r="M698" s="87"/>
      <c r="N698" s="4"/>
      <c r="O698" s="1"/>
      <c r="P698" s="5"/>
      <c r="Q698" s="3"/>
      <c r="R698" s="3"/>
      <c r="S698" s="7"/>
      <c r="T698" s="1"/>
      <c r="U698" s="1"/>
      <c r="V698" s="1"/>
      <c r="W698" s="1"/>
      <c r="X698" s="1"/>
      <c r="Y698" s="1"/>
      <c r="Z698" s="1"/>
    </row>
    <row r="699" spans="1:26" ht="27" customHeight="1">
      <c r="A699" s="1"/>
      <c r="B699" s="1"/>
      <c r="C699" s="2"/>
      <c r="D699" s="87"/>
      <c r="E699" s="87"/>
      <c r="F699" s="87"/>
      <c r="G699" s="1"/>
      <c r="H699" s="1"/>
      <c r="I699" s="1"/>
      <c r="J699" s="1"/>
      <c r="K699" s="1"/>
      <c r="L699" s="87"/>
      <c r="M699" s="87"/>
      <c r="N699" s="4"/>
      <c r="O699" s="1"/>
      <c r="P699" s="5"/>
      <c r="Q699" s="3"/>
      <c r="R699" s="3"/>
      <c r="S699" s="7"/>
      <c r="T699" s="1"/>
      <c r="U699" s="1"/>
      <c r="V699" s="1"/>
      <c r="W699" s="1"/>
      <c r="X699" s="1"/>
      <c r="Y699" s="1"/>
      <c r="Z699" s="1"/>
    </row>
    <row r="700" spans="1:26" ht="27" customHeight="1">
      <c r="A700" s="1"/>
      <c r="B700" s="1"/>
      <c r="C700" s="2"/>
      <c r="D700" s="87"/>
      <c r="E700" s="87"/>
      <c r="F700" s="87"/>
      <c r="G700" s="1"/>
      <c r="H700" s="1"/>
      <c r="I700" s="1"/>
      <c r="J700" s="1"/>
      <c r="K700" s="1"/>
      <c r="L700" s="87"/>
      <c r="M700" s="87"/>
      <c r="N700" s="4"/>
      <c r="O700" s="1"/>
      <c r="P700" s="5"/>
      <c r="Q700" s="3"/>
      <c r="R700" s="3"/>
      <c r="S700" s="7"/>
      <c r="T700" s="1"/>
      <c r="U700" s="1"/>
      <c r="V700" s="1"/>
      <c r="W700" s="1"/>
      <c r="X700" s="1"/>
      <c r="Y700" s="1"/>
      <c r="Z700" s="1"/>
    </row>
    <row r="701" spans="1:26" ht="27" customHeight="1">
      <c r="A701" s="1"/>
      <c r="B701" s="1"/>
      <c r="C701" s="2"/>
      <c r="D701" s="87"/>
      <c r="E701" s="87"/>
      <c r="F701" s="87"/>
      <c r="G701" s="1"/>
      <c r="H701" s="1"/>
      <c r="I701" s="1"/>
      <c r="J701" s="1"/>
      <c r="K701" s="1"/>
      <c r="L701" s="87"/>
      <c r="M701" s="87"/>
      <c r="N701" s="4"/>
      <c r="O701" s="1"/>
      <c r="P701" s="5"/>
      <c r="Q701" s="3"/>
      <c r="R701" s="3"/>
      <c r="S701" s="7"/>
      <c r="T701" s="1"/>
      <c r="U701" s="1"/>
      <c r="V701" s="1"/>
      <c r="W701" s="1"/>
      <c r="X701" s="1"/>
      <c r="Y701" s="1"/>
      <c r="Z701" s="1"/>
    </row>
    <row r="702" spans="1:26" ht="27" customHeight="1">
      <c r="A702" s="1"/>
      <c r="B702" s="1"/>
      <c r="C702" s="2"/>
      <c r="D702" s="87"/>
      <c r="E702" s="87"/>
      <c r="F702" s="87"/>
      <c r="G702" s="1"/>
      <c r="H702" s="1"/>
      <c r="I702" s="1"/>
      <c r="J702" s="1"/>
      <c r="K702" s="1"/>
      <c r="L702" s="87"/>
      <c r="M702" s="87"/>
      <c r="N702" s="4"/>
      <c r="O702" s="1"/>
      <c r="P702" s="5"/>
      <c r="Q702" s="3"/>
      <c r="R702" s="3"/>
      <c r="S702" s="7"/>
      <c r="T702" s="1"/>
      <c r="U702" s="1"/>
      <c r="V702" s="1"/>
      <c r="W702" s="1"/>
      <c r="X702" s="1"/>
      <c r="Y702" s="1"/>
      <c r="Z702" s="1"/>
    </row>
    <row r="703" spans="1:26" ht="27" customHeight="1">
      <c r="A703" s="1"/>
      <c r="B703" s="1"/>
      <c r="C703" s="2"/>
      <c r="D703" s="87"/>
      <c r="E703" s="87"/>
      <c r="F703" s="87"/>
      <c r="G703" s="1"/>
      <c r="H703" s="1"/>
      <c r="I703" s="1"/>
      <c r="J703" s="1"/>
      <c r="K703" s="1"/>
      <c r="L703" s="87"/>
      <c r="M703" s="87"/>
      <c r="N703" s="4"/>
      <c r="O703" s="1"/>
      <c r="P703" s="5"/>
      <c r="Q703" s="3"/>
      <c r="R703" s="3"/>
      <c r="S703" s="7"/>
      <c r="T703" s="1"/>
      <c r="U703" s="1"/>
      <c r="V703" s="1"/>
      <c r="W703" s="1"/>
      <c r="X703" s="1"/>
      <c r="Y703" s="1"/>
      <c r="Z703" s="1"/>
    </row>
    <row r="704" spans="1:26" ht="27" customHeight="1">
      <c r="A704" s="1"/>
      <c r="B704" s="1"/>
      <c r="C704" s="2"/>
      <c r="D704" s="87"/>
      <c r="E704" s="87"/>
      <c r="F704" s="87"/>
      <c r="G704" s="1"/>
      <c r="H704" s="1"/>
      <c r="I704" s="1"/>
      <c r="J704" s="1"/>
      <c r="K704" s="1"/>
      <c r="L704" s="87"/>
      <c r="M704" s="87"/>
      <c r="N704" s="4"/>
      <c r="O704" s="1"/>
      <c r="P704" s="5"/>
      <c r="Q704" s="3"/>
      <c r="R704" s="3"/>
      <c r="S704" s="7"/>
      <c r="T704" s="1"/>
      <c r="U704" s="1"/>
      <c r="V704" s="1"/>
      <c r="W704" s="1"/>
      <c r="X704" s="1"/>
      <c r="Y704" s="1"/>
      <c r="Z704" s="1"/>
    </row>
    <row r="705" spans="1:26" ht="27" customHeight="1">
      <c r="A705" s="1"/>
      <c r="B705" s="1"/>
      <c r="C705" s="2"/>
      <c r="D705" s="87"/>
      <c r="E705" s="87"/>
      <c r="F705" s="87"/>
      <c r="G705" s="1"/>
      <c r="H705" s="1"/>
      <c r="I705" s="1"/>
      <c r="J705" s="1"/>
      <c r="K705" s="1"/>
      <c r="L705" s="87"/>
      <c r="M705" s="87"/>
      <c r="N705" s="4"/>
      <c r="O705" s="1"/>
      <c r="P705" s="5"/>
      <c r="Q705" s="3"/>
      <c r="R705" s="3"/>
      <c r="S705" s="7"/>
      <c r="T705" s="1"/>
      <c r="U705" s="1"/>
      <c r="V705" s="1"/>
      <c r="W705" s="1"/>
      <c r="X705" s="1"/>
      <c r="Y705" s="1"/>
      <c r="Z705" s="1"/>
    </row>
    <row r="706" spans="1:26" ht="27" customHeight="1">
      <c r="A706" s="1"/>
      <c r="B706" s="1"/>
      <c r="C706" s="2"/>
      <c r="D706" s="87"/>
      <c r="E706" s="87"/>
      <c r="F706" s="87"/>
      <c r="G706" s="1"/>
      <c r="H706" s="1"/>
      <c r="I706" s="1"/>
      <c r="J706" s="1"/>
      <c r="K706" s="1"/>
      <c r="L706" s="87"/>
      <c r="M706" s="87"/>
      <c r="N706" s="4"/>
      <c r="O706" s="1"/>
      <c r="P706" s="5"/>
      <c r="Q706" s="3"/>
      <c r="R706" s="3"/>
      <c r="S706" s="7"/>
      <c r="T706" s="1"/>
      <c r="U706" s="1"/>
      <c r="V706" s="1"/>
      <c r="W706" s="1"/>
      <c r="X706" s="1"/>
      <c r="Y706" s="1"/>
      <c r="Z706" s="1"/>
    </row>
    <row r="707" spans="1:26" ht="27" customHeight="1">
      <c r="A707" s="1"/>
      <c r="B707" s="1"/>
      <c r="C707" s="2"/>
      <c r="D707" s="87"/>
      <c r="E707" s="87"/>
      <c r="F707" s="87"/>
      <c r="G707" s="1"/>
      <c r="H707" s="1"/>
      <c r="I707" s="1"/>
      <c r="J707" s="1"/>
      <c r="K707" s="1"/>
      <c r="L707" s="87"/>
      <c r="M707" s="87"/>
      <c r="N707" s="4"/>
      <c r="O707" s="1"/>
      <c r="P707" s="5"/>
      <c r="Q707" s="3"/>
      <c r="R707" s="3"/>
      <c r="S707" s="7"/>
      <c r="T707" s="1"/>
      <c r="U707" s="1"/>
      <c r="V707" s="1"/>
      <c r="W707" s="1"/>
      <c r="X707" s="1"/>
      <c r="Y707" s="1"/>
      <c r="Z707" s="1"/>
    </row>
    <row r="708" spans="1:26" ht="27" customHeight="1">
      <c r="A708" s="1"/>
      <c r="B708" s="1"/>
      <c r="C708" s="2"/>
      <c r="D708" s="87"/>
      <c r="E708" s="87"/>
      <c r="F708" s="87"/>
      <c r="G708" s="1"/>
      <c r="H708" s="1"/>
      <c r="I708" s="1"/>
      <c r="J708" s="1"/>
      <c r="K708" s="1"/>
      <c r="L708" s="87"/>
      <c r="M708" s="87"/>
      <c r="N708" s="4"/>
      <c r="O708" s="1"/>
      <c r="P708" s="5"/>
      <c r="Q708" s="3"/>
      <c r="R708" s="3"/>
      <c r="S708" s="7"/>
      <c r="T708" s="1"/>
      <c r="U708" s="1"/>
      <c r="V708" s="1"/>
      <c r="W708" s="1"/>
      <c r="X708" s="1"/>
      <c r="Y708" s="1"/>
      <c r="Z708" s="1"/>
    </row>
    <row r="709" spans="1:26" ht="27" customHeight="1">
      <c r="A709" s="1"/>
      <c r="B709" s="1"/>
      <c r="C709" s="2"/>
      <c r="D709" s="87"/>
      <c r="E709" s="87"/>
      <c r="F709" s="87"/>
      <c r="G709" s="1"/>
      <c r="H709" s="1"/>
      <c r="I709" s="1"/>
      <c r="J709" s="1"/>
      <c r="K709" s="1"/>
      <c r="L709" s="87"/>
      <c r="M709" s="87"/>
      <c r="N709" s="4"/>
      <c r="O709" s="1"/>
      <c r="P709" s="5"/>
      <c r="Q709" s="3"/>
      <c r="R709" s="3"/>
      <c r="S709" s="7"/>
      <c r="T709" s="1"/>
      <c r="U709" s="1"/>
      <c r="V709" s="1"/>
      <c r="W709" s="1"/>
      <c r="X709" s="1"/>
      <c r="Y709" s="1"/>
      <c r="Z709" s="1"/>
    </row>
    <row r="710" spans="1:26" ht="27" customHeight="1">
      <c r="A710" s="1"/>
      <c r="B710" s="1"/>
      <c r="C710" s="2"/>
      <c r="D710" s="87"/>
      <c r="E710" s="87"/>
      <c r="F710" s="87"/>
      <c r="G710" s="1"/>
      <c r="H710" s="1"/>
      <c r="I710" s="1"/>
      <c r="J710" s="1"/>
      <c r="K710" s="1"/>
      <c r="L710" s="87"/>
      <c r="M710" s="87"/>
      <c r="N710" s="4"/>
      <c r="O710" s="1"/>
      <c r="P710" s="5"/>
      <c r="Q710" s="3"/>
      <c r="R710" s="3"/>
      <c r="S710" s="7"/>
      <c r="T710" s="1"/>
      <c r="U710" s="1"/>
      <c r="V710" s="1"/>
      <c r="W710" s="1"/>
      <c r="X710" s="1"/>
      <c r="Y710" s="1"/>
      <c r="Z710" s="1"/>
    </row>
    <row r="711" spans="1:26" ht="27" customHeight="1">
      <c r="A711" s="1"/>
      <c r="B711" s="1"/>
      <c r="C711" s="2"/>
      <c r="D711" s="87"/>
      <c r="E711" s="87"/>
      <c r="F711" s="87"/>
      <c r="G711" s="1"/>
      <c r="H711" s="1"/>
      <c r="I711" s="1"/>
      <c r="J711" s="1"/>
      <c r="K711" s="1"/>
      <c r="L711" s="87"/>
      <c r="M711" s="87"/>
      <c r="N711" s="4"/>
      <c r="O711" s="1"/>
      <c r="P711" s="5"/>
      <c r="Q711" s="3"/>
      <c r="R711" s="3"/>
      <c r="S711" s="7"/>
      <c r="T711" s="1"/>
      <c r="U711" s="1"/>
      <c r="V711" s="1"/>
      <c r="W711" s="1"/>
      <c r="X711" s="1"/>
      <c r="Y711" s="1"/>
      <c r="Z711" s="1"/>
    </row>
    <row r="712" spans="1:26" ht="27" customHeight="1">
      <c r="A712" s="1"/>
      <c r="B712" s="1"/>
      <c r="C712" s="2"/>
      <c r="D712" s="87"/>
      <c r="E712" s="87"/>
      <c r="F712" s="87"/>
      <c r="G712" s="1"/>
      <c r="H712" s="1"/>
      <c r="I712" s="1"/>
      <c r="J712" s="1"/>
      <c r="K712" s="1"/>
      <c r="L712" s="87"/>
      <c r="M712" s="87"/>
      <c r="N712" s="4"/>
      <c r="O712" s="1"/>
      <c r="P712" s="5"/>
      <c r="Q712" s="3"/>
      <c r="R712" s="3"/>
      <c r="S712" s="7"/>
      <c r="T712" s="1"/>
      <c r="U712" s="1"/>
      <c r="V712" s="1"/>
      <c r="W712" s="1"/>
      <c r="X712" s="1"/>
      <c r="Y712" s="1"/>
      <c r="Z712" s="1"/>
    </row>
    <row r="713" spans="1:26" ht="27" customHeight="1">
      <c r="A713" s="1"/>
      <c r="B713" s="1"/>
      <c r="C713" s="2"/>
      <c r="D713" s="87"/>
      <c r="E713" s="87"/>
      <c r="F713" s="87"/>
      <c r="G713" s="1"/>
      <c r="H713" s="1"/>
      <c r="I713" s="1"/>
      <c r="J713" s="1"/>
      <c r="K713" s="1"/>
      <c r="L713" s="87"/>
      <c r="M713" s="87"/>
      <c r="N713" s="4"/>
      <c r="O713" s="1"/>
      <c r="P713" s="5"/>
      <c r="Q713" s="3"/>
      <c r="R713" s="3"/>
      <c r="S713" s="7"/>
      <c r="T713" s="1"/>
      <c r="U713" s="1"/>
      <c r="V713" s="1"/>
      <c r="W713" s="1"/>
      <c r="X713" s="1"/>
      <c r="Y713" s="1"/>
      <c r="Z713" s="1"/>
    </row>
    <row r="714" spans="1:26" ht="27" customHeight="1">
      <c r="A714" s="1"/>
      <c r="B714" s="1"/>
      <c r="C714" s="2"/>
      <c r="D714" s="87"/>
      <c r="E714" s="87"/>
      <c r="F714" s="87"/>
      <c r="G714" s="1"/>
      <c r="H714" s="1"/>
      <c r="I714" s="1"/>
      <c r="J714" s="1"/>
      <c r="K714" s="1"/>
      <c r="L714" s="87"/>
      <c r="M714" s="87"/>
      <c r="N714" s="4"/>
      <c r="O714" s="1"/>
      <c r="P714" s="5"/>
      <c r="Q714" s="3"/>
      <c r="R714" s="3"/>
      <c r="S714" s="7"/>
      <c r="T714" s="1"/>
      <c r="U714" s="1"/>
      <c r="V714" s="1"/>
      <c r="W714" s="1"/>
      <c r="X714" s="1"/>
      <c r="Y714" s="1"/>
      <c r="Z714" s="1"/>
    </row>
    <row r="715" spans="1:26" ht="27" customHeight="1">
      <c r="A715" s="1"/>
      <c r="B715" s="1"/>
      <c r="C715" s="2"/>
      <c r="D715" s="87"/>
      <c r="E715" s="87"/>
      <c r="F715" s="87"/>
      <c r="G715" s="1"/>
      <c r="H715" s="1"/>
      <c r="I715" s="1"/>
      <c r="J715" s="1"/>
      <c r="K715" s="1"/>
      <c r="L715" s="87"/>
      <c r="M715" s="87"/>
      <c r="N715" s="4"/>
      <c r="O715" s="1"/>
      <c r="P715" s="5"/>
      <c r="Q715" s="3"/>
      <c r="R715" s="3"/>
      <c r="S715" s="7"/>
      <c r="T715" s="1"/>
      <c r="U715" s="1"/>
      <c r="V715" s="1"/>
      <c r="W715" s="1"/>
      <c r="X715" s="1"/>
      <c r="Y715" s="1"/>
      <c r="Z715" s="1"/>
    </row>
    <row r="716" spans="1:26" ht="27" customHeight="1">
      <c r="A716" s="1"/>
      <c r="B716" s="1"/>
      <c r="C716" s="2"/>
      <c r="D716" s="87"/>
      <c r="E716" s="87"/>
      <c r="F716" s="87"/>
      <c r="G716" s="1"/>
      <c r="H716" s="1"/>
      <c r="I716" s="1"/>
      <c r="J716" s="1"/>
      <c r="K716" s="1"/>
      <c r="L716" s="87"/>
      <c r="M716" s="87"/>
      <c r="N716" s="4"/>
      <c r="O716" s="1"/>
      <c r="P716" s="5"/>
      <c r="Q716" s="3"/>
      <c r="R716" s="3"/>
      <c r="S716" s="7"/>
      <c r="T716" s="1"/>
      <c r="U716" s="1"/>
      <c r="V716" s="1"/>
      <c r="W716" s="1"/>
      <c r="X716" s="1"/>
      <c r="Y716" s="1"/>
      <c r="Z716" s="1"/>
    </row>
    <row r="717" spans="1:26" ht="27" customHeight="1">
      <c r="A717" s="1"/>
      <c r="B717" s="1"/>
      <c r="C717" s="2"/>
      <c r="D717" s="87"/>
      <c r="E717" s="87"/>
      <c r="F717" s="87"/>
      <c r="G717" s="1"/>
      <c r="H717" s="1"/>
      <c r="I717" s="1"/>
      <c r="J717" s="1"/>
      <c r="K717" s="1"/>
      <c r="L717" s="87"/>
      <c r="M717" s="87"/>
      <c r="N717" s="4"/>
      <c r="O717" s="1"/>
      <c r="P717" s="5"/>
      <c r="Q717" s="3"/>
      <c r="R717" s="3"/>
      <c r="S717" s="7"/>
      <c r="T717" s="1"/>
      <c r="U717" s="1"/>
      <c r="V717" s="1"/>
      <c r="W717" s="1"/>
      <c r="X717" s="1"/>
      <c r="Y717" s="1"/>
      <c r="Z717" s="1"/>
    </row>
    <row r="718" spans="1:26" ht="27" customHeight="1">
      <c r="A718" s="1"/>
      <c r="B718" s="1"/>
      <c r="C718" s="2"/>
      <c r="D718" s="87"/>
      <c r="E718" s="87"/>
      <c r="F718" s="87"/>
      <c r="G718" s="1"/>
      <c r="H718" s="1"/>
      <c r="I718" s="1"/>
      <c r="J718" s="1"/>
      <c r="K718" s="1"/>
      <c r="L718" s="87"/>
      <c r="M718" s="87"/>
      <c r="N718" s="4"/>
      <c r="O718" s="1"/>
      <c r="P718" s="5"/>
      <c r="Q718" s="3"/>
      <c r="R718" s="3"/>
      <c r="S718" s="7"/>
      <c r="T718" s="1"/>
      <c r="U718" s="1"/>
      <c r="V718" s="1"/>
      <c r="W718" s="1"/>
      <c r="X718" s="1"/>
      <c r="Y718" s="1"/>
      <c r="Z718" s="1"/>
    </row>
    <row r="719" spans="1:26" ht="27" customHeight="1">
      <c r="A719" s="1"/>
      <c r="B719" s="1"/>
      <c r="C719" s="2"/>
      <c r="D719" s="87"/>
      <c r="E719" s="87"/>
      <c r="F719" s="87"/>
      <c r="G719" s="1"/>
      <c r="H719" s="1"/>
      <c r="I719" s="1"/>
      <c r="J719" s="1"/>
      <c r="K719" s="1"/>
      <c r="L719" s="87"/>
      <c r="M719" s="87"/>
      <c r="N719" s="4"/>
      <c r="O719" s="1"/>
      <c r="P719" s="5"/>
      <c r="Q719" s="3"/>
      <c r="R719" s="3"/>
      <c r="S719" s="7"/>
      <c r="T719" s="1"/>
      <c r="U719" s="1"/>
      <c r="V719" s="1"/>
      <c r="W719" s="1"/>
      <c r="X719" s="1"/>
      <c r="Y719" s="1"/>
      <c r="Z719" s="1"/>
    </row>
    <row r="720" spans="1:26" ht="27" customHeight="1">
      <c r="A720" s="1"/>
      <c r="B720" s="1"/>
      <c r="C720" s="2"/>
      <c r="D720" s="87"/>
      <c r="E720" s="87"/>
      <c r="F720" s="87"/>
      <c r="G720" s="1"/>
      <c r="H720" s="1"/>
      <c r="I720" s="1"/>
      <c r="J720" s="1"/>
      <c r="K720" s="1"/>
      <c r="L720" s="87"/>
      <c r="M720" s="87"/>
      <c r="N720" s="4"/>
      <c r="O720" s="1"/>
      <c r="P720" s="5"/>
      <c r="Q720" s="3"/>
      <c r="R720" s="3"/>
      <c r="S720" s="7"/>
      <c r="T720" s="1"/>
      <c r="U720" s="1"/>
      <c r="V720" s="1"/>
      <c r="W720" s="1"/>
      <c r="X720" s="1"/>
      <c r="Y720" s="1"/>
      <c r="Z720" s="1"/>
    </row>
    <row r="721" spans="1:26" ht="27" customHeight="1">
      <c r="A721" s="1"/>
      <c r="B721" s="1"/>
      <c r="C721" s="2"/>
      <c r="D721" s="87"/>
      <c r="E721" s="87"/>
      <c r="F721" s="87"/>
      <c r="G721" s="1"/>
      <c r="H721" s="1"/>
      <c r="I721" s="1"/>
      <c r="J721" s="1"/>
      <c r="K721" s="1"/>
      <c r="L721" s="87"/>
      <c r="M721" s="87"/>
      <c r="N721" s="4"/>
      <c r="O721" s="1"/>
      <c r="P721" s="5"/>
      <c r="Q721" s="3"/>
      <c r="R721" s="3"/>
      <c r="S721" s="7"/>
      <c r="T721" s="1"/>
      <c r="U721" s="1"/>
      <c r="V721" s="1"/>
      <c r="W721" s="1"/>
      <c r="X721" s="1"/>
      <c r="Y721" s="1"/>
      <c r="Z721" s="1"/>
    </row>
    <row r="722" spans="1:26" ht="27" customHeight="1">
      <c r="A722" s="1"/>
      <c r="B722" s="1"/>
      <c r="C722" s="2"/>
      <c r="D722" s="87"/>
      <c r="E722" s="87"/>
      <c r="F722" s="87"/>
      <c r="G722" s="1"/>
      <c r="H722" s="1"/>
      <c r="I722" s="1"/>
      <c r="J722" s="1"/>
      <c r="K722" s="1"/>
      <c r="L722" s="87"/>
      <c r="M722" s="87"/>
      <c r="N722" s="4"/>
      <c r="O722" s="1"/>
      <c r="P722" s="5"/>
      <c r="Q722" s="3"/>
      <c r="R722" s="3"/>
      <c r="S722" s="7"/>
      <c r="T722" s="1"/>
      <c r="U722" s="1"/>
      <c r="V722" s="1"/>
      <c r="W722" s="1"/>
      <c r="X722" s="1"/>
      <c r="Y722" s="1"/>
      <c r="Z722" s="1"/>
    </row>
    <row r="723" spans="1:26" ht="27" customHeight="1">
      <c r="A723" s="1"/>
      <c r="B723" s="1"/>
      <c r="C723" s="2"/>
      <c r="D723" s="87"/>
      <c r="E723" s="87"/>
      <c r="F723" s="87"/>
      <c r="G723" s="1"/>
      <c r="H723" s="1"/>
      <c r="I723" s="1"/>
      <c r="J723" s="1"/>
      <c r="K723" s="1"/>
      <c r="L723" s="87"/>
      <c r="M723" s="87"/>
      <c r="N723" s="4"/>
      <c r="O723" s="1"/>
      <c r="P723" s="5"/>
      <c r="Q723" s="3"/>
      <c r="R723" s="3"/>
      <c r="S723" s="7"/>
      <c r="T723" s="1"/>
      <c r="U723" s="1"/>
      <c r="V723" s="1"/>
      <c r="W723" s="1"/>
      <c r="X723" s="1"/>
      <c r="Y723" s="1"/>
      <c r="Z723" s="1"/>
    </row>
    <row r="724" spans="1:26" ht="27" customHeight="1">
      <c r="A724" s="1"/>
      <c r="B724" s="1"/>
      <c r="C724" s="2"/>
      <c r="D724" s="87"/>
      <c r="E724" s="87"/>
      <c r="F724" s="87"/>
      <c r="G724" s="1"/>
      <c r="H724" s="1"/>
      <c r="I724" s="1"/>
      <c r="J724" s="1"/>
      <c r="K724" s="1"/>
      <c r="L724" s="87"/>
      <c r="M724" s="87"/>
      <c r="N724" s="4"/>
      <c r="O724" s="1"/>
      <c r="P724" s="5"/>
      <c r="Q724" s="3"/>
      <c r="R724" s="3"/>
      <c r="S724" s="7"/>
      <c r="T724" s="1"/>
      <c r="U724" s="1"/>
      <c r="V724" s="1"/>
      <c r="W724" s="1"/>
      <c r="X724" s="1"/>
      <c r="Y724" s="1"/>
      <c r="Z724" s="1"/>
    </row>
    <row r="725" spans="1:26" ht="27" customHeight="1">
      <c r="A725" s="1"/>
      <c r="B725" s="1"/>
      <c r="C725" s="2"/>
      <c r="D725" s="87"/>
      <c r="E725" s="87"/>
      <c r="F725" s="87"/>
      <c r="G725" s="1"/>
      <c r="H725" s="1"/>
      <c r="I725" s="1"/>
      <c r="J725" s="1"/>
      <c r="K725" s="1"/>
      <c r="L725" s="87"/>
      <c r="M725" s="87"/>
      <c r="N725" s="4"/>
      <c r="O725" s="1"/>
      <c r="P725" s="5"/>
      <c r="Q725" s="3"/>
      <c r="R725" s="3"/>
      <c r="S725" s="7"/>
      <c r="T725" s="1"/>
      <c r="U725" s="1"/>
      <c r="V725" s="1"/>
      <c r="W725" s="1"/>
      <c r="X725" s="1"/>
      <c r="Y725" s="1"/>
      <c r="Z725" s="1"/>
    </row>
    <row r="726" spans="1:26" ht="27" customHeight="1">
      <c r="A726" s="1"/>
      <c r="B726" s="1"/>
      <c r="C726" s="2"/>
      <c r="D726" s="87"/>
      <c r="E726" s="87"/>
      <c r="F726" s="87"/>
      <c r="G726" s="1"/>
      <c r="H726" s="1"/>
      <c r="I726" s="1"/>
      <c r="J726" s="1"/>
      <c r="K726" s="1"/>
      <c r="L726" s="87"/>
      <c r="M726" s="87"/>
      <c r="N726" s="4"/>
      <c r="O726" s="1"/>
      <c r="P726" s="5"/>
      <c r="Q726" s="3"/>
      <c r="R726" s="3"/>
      <c r="S726" s="7"/>
      <c r="T726" s="1"/>
      <c r="U726" s="1"/>
      <c r="V726" s="1"/>
      <c r="W726" s="1"/>
      <c r="X726" s="1"/>
      <c r="Y726" s="1"/>
      <c r="Z726" s="1"/>
    </row>
    <row r="727" spans="1:26" ht="27" customHeight="1">
      <c r="A727" s="1"/>
      <c r="B727" s="1"/>
      <c r="C727" s="2"/>
      <c r="D727" s="87"/>
      <c r="E727" s="87"/>
      <c r="F727" s="87"/>
      <c r="G727" s="1"/>
      <c r="H727" s="1"/>
      <c r="I727" s="1"/>
      <c r="J727" s="1"/>
      <c r="K727" s="1"/>
      <c r="L727" s="87"/>
      <c r="M727" s="87"/>
      <c r="N727" s="4"/>
      <c r="O727" s="1"/>
      <c r="P727" s="5"/>
      <c r="Q727" s="3"/>
      <c r="R727" s="3"/>
      <c r="S727" s="7"/>
      <c r="T727" s="1"/>
      <c r="U727" s="1"/>
      <c r="V727" s="1"/>
      <c r="W727" s="1"/>
      <c r="X727" s="1"/>
      <c r="Y727" s="1"/>
      <c r="Z727" s="1"/>
    </row>
    <row r="728" spans="1:26" ht="27" customHeight="1">
      <c r="A728" s="1"/>
      <c r="B728" s="1"/>
      <c r="C728" s="2"/>
      <c r="D728" s="87"/>
      <c r="E728" s="87"/>
      <c r="F728" s="87"/>
      <c r="G728" s="1"/>
      <c r="H728" s="1"/>
      <c r="I728" s="1"/>
      <c r="J728" s="1"/>
      <c r="K728" s="1"/>
      <c r="L728" s="87"/>
      <c r="M728" s="87"/>
      <c r="N728" s="4"/>
      <c r="O728" s="1"/>
      <c r="P728" s="5"/>
      <c r="Q728" s="3"/>
      <c r="R728" s="3"/>
      <c r="S728" s="7"/>
      <c r="T728" s="1"/>
      <c r="U728" s="1"/>
      <c r="V728" s="1"/>
      <c r="W728" s="1"/>
      <c r="X728" s="1"/>
      <c r="Y728" s="1"/>
      <c r="Z728" s="1"/>
    </row>
    <row r="729" spans="1:26" ht="27" customHeight="1">
      <c r="A729" s="1"/>
      <c r="B729" s="1"/>
      <c r="C729" s="2"/>
      <c r="D729" s="87"/>
      <c r="E729" s="87"/>
      <c r="F729" s="87"/>
      <c r="G729" s="1"/>
      <c r="H729" s="1"/>
      <c r="I729" s="1"/>
      <c r="J729" s="1"/>
      <c r="K729" s="1"/>
      <c r="L729" s="87"/>
      <c r="M729" s="87"/>
      <c r="N729" s="4"/>
      <c r="O729" s="1"/>
      <c r="P729" s="5"/>
      <c r="Q729" s="3"/>
      <c r="R729" s="3"/>
      <c r="S729" s="7"/>
      <c r="T729" s="1"/>
      <c r="U729" s="1"/>
      <c r="V729" s="1"/>
      <c r="W729" s="1"/>
      <c r="X729" s="1"/>
      <c r="Y729" s="1"/>
      <c r="Z729" s="1"/>
    </row>
    <row r="730" spans="1:26" ht="27" customHeight="1">
      <c r="A730" s="1"/>
      <c r="B730" s="1"/>
      <c r="C730" s="2"/>
      <c r="D730" s="87"/>
      <c r="E730" s="87"/>
      <c r="F730" s="87"/>
      <c r="G730" s="1"/>
      <c r="H730" s="1"/>
      <c r="I730" s="1"/>
      <c r="J730" s="1"/>
      <c r="K730" s="1"/>
      <c r="L730" s="87"/>
      <c r="M730" s="87"/>
      <c r="N730" s="4"/>
      <c r="O730" s="1"/>
      <c r="P730" s="5"/>
      <c r="Q730" s="3"/>
      <c r="R730" s="3"/>
      <c r="S730" s="7"/>
      <c r="T730" s="1"/>
      <c r="U730" s="1"/>
      <c r="V730" s="1"/>
      <c r="W730" s="1"/>
      <c r="X730" s="1"/>
      <c r="Y730" s="1"/>
      <c r="Z730" s="1"/>
    </row>
    <row r="731" spans="1:26" ht="27" customHeight="1">
      <c r="A731" s="1"/>
      <c r="B731" s="1"/>
      <c r="C731" s="2"/>
      <c r="D731" s="87"/>
      <c r="E731" s="87"/>
      <c r="F731" s="87"/>
      <c r="G731" s="1"/>
      <c r="H731" s="1"/>
      <c r="I731" s="1"/>
      <c r="J731" s="1"/>
      <c r="K731" s="1"/>
      <c r="L731" s="87"/>
      <c r="M731" s="87"/>
      <c r="N731" s="4"/>
      <c r="O731" s="1"/>
      <c r="P731" s="5"/>
      <c r="Q731" s="3"/>
      <c r="R731" s="3"/>
      <c r="S731" s="7"/>
      <c r="T731" s="1"/>
      <c r="U731" s="1"/>
      <c r="V731" s="1"/>
      <c r="W731" s="1"/>
      <c r="X731" s="1"/>
      <c r="Y731" s="1"/>
      <c r="Z731" s="1"/>
    </row>
    <row r="732" spans="1:26" ht="27" customHeight="1">
      <c r="A732" s="1"/>
      <c r="B732" s="1"/>
      <c r="C732" s="2"/>
      <c r="D732" s="87"/>
      <c r="E732" s="87"/>
      <c r="F732" s="87"/>
      <c r="G732" s="1"/>
      <c r="H732" s="1"/>
      <c r="I732" s="1"/>
      <c r="J732" s="1"/>
      <c r="K732" s="1"/>
      <c r="L732" s="87"/>
      <c r="M732" s="87"/>
      <c r="N732" s="4"/>
      <c r="O732" s="1"/>
      <c r="P732" s="5"/>
      <c r="Q732" s="3"/>
      <c r="R732" s="3"/>
      <c r="S732" s="7"/>
      <c r="T732" s="1"/>
      <c r="U732" s="1"/>
      <c r="V732" s="1"/>
      <c r="W732" s="1"/>
      <c r="X732" s="1"/>
      <c r="Y732" s="1"/>
      <c r="Z732" s="1"/>
    </row>
    <row r="733" spans="1:26" ht="27" customHeight="1">
      <c r="A733" s="1"/>
      <c r="B733" s="1"/>
      <c r="C733" s="2"/>
      <c r="D733" s="87"/>
      <c r="E733" s="87"/>
      <c r="F733" s="87"/>
      <c r="G733" s="1"/>
      <c r="H733" s="1"/>
      <c r="I733" s="1"/>
      <c r="J733" s="1"/>
      <c r="K733" s="1"/>
      <c r="L733" s="87"/>
      <c r="M733" s="87"/>
      <c r="N733" s="4"/>
      <c r="O733" s="1"/>
      <c r="P733" s="5"/>
      <c r="Q733" s="3"/>
      <c r="R733" s="3"/>
      <c r="S733" s="7"/>
      <c r="T733" s="1"/>
      <c r="U733" s="1"/>
      <c r="V733" s="1"/>
      <c r="W733" s="1"/>
      <c r="X733" s="1"/>
      <c r="Y733" s="1"/>
      <c r="Z733" s="1"/>
    </row>
    <row r="734" spans="1:26" ht="27" customHeight="1">
      <c r="A734" s="1"/>
      <c r="B734" s="1"/>
      <c r="C734" s="2"/>
      <c r="D734" s="87"/>
      <c r="E734" s="87"/>
      <c r="F734" s="87"/>
      <c r="G734" s="1"/>
      <c r="H734" s="1"/>
      <c r="I734" s="1"/>
      <c r="J734" s="1"/>
      <c r="K734" s="1"/>
      <c r="L734" s="87"/>
      <c r="M734" s="87"/>
      <c r="N734" s="4"/>
      <c r="O734" s="1"/>
      <c r="P734" s="5"/>
      <c r="Q734" s="3"/>
      <c r="R734" s="3"/>
      <c r="S734" s="7"/>
      <c r="T734" s="1"/>
      <c r="U734" s="1"/>
      <c r="V734" s="1"/>
      <c r="W734" s="1"/>
      <c r="X734" s="1"/>
      <c r="Y734" s="1"/>
      <c r="Z734" s="1"/>
    </row>
    <row r="735" spans="1:26" ht="27" customHeight="1">
      <c r="A735" s="1"/>
      <c r="B735" s="1"/>
      <c r="C735" s="2"/>
      <c r="D735" s="87"/>
      <c r="E735" s="87"/>
      <c r="F735" s="87"/>
      <c r="G735" s="1"/>
      <c r="H735" s="1"/>
      <c r="I735" s="1"/>
      <c r="J735" s="1"/>
      <c r="K735" s="1"/>
      <c r="L735" s="87"/>
      <c r="M735" s="87"/>
      <c r="N735" s="4"/>
      <c r="O735" s="1"/>
      <c r="P735" s="5"/>
      <c r="Q735" s="3"/>
      <c r="R735" s="3"/>
      <c r="S735" s="7"/>
      <c r="T735" s="1"/>
      <c r="U735" s="1"/>
      <c r="V735" s="1"/>
      <c r="W735" s="1"/>
      <c r="X735" s="1"/>
      <c r="Y735" s="1"/>
      <c r="Z735" s="1"/>
    </row>
    <row r="736" spans="1:26" ht="27" customHeight="1">
      <c r="A736" s="1"/>
      <c r="B736" s="1"/>
      <c r="C736" s="2"/>
      <c r="D736" s="87"/>
      <c r="E736" s="87"/>
      <c r="F736" s="87"/>
      <c r="G736" s="1"/>
      <c r="H736" s="1"/>
      <c r="I736" s="1"/>
      <c r="J736" s="1"/>
      <c r="K736" s="1"/>
      <c r="L736" s="87"/>
      <c r="M736" s="87"/>
      <c r="N736" s="4"/>
      <c r="O736" s="1"/>
      <c r="P736" s="5"/>
      <c r="Q736" s="3"/>
      <c r="R736" s="3"/>
      <c r="S736" s="7"/>
      <c r="T736" s="1"/>
      <c r="U736" s="1"/>
      <c r="V736" s="1"/>
      <c r="W736" s="1"/>
      <c r="X736" s="1"/>
      <c r="Y736" s="1"/>
      <c r="Z736" s="1"/>
    </row>
    <row r="737" spans="1:26" ht="27" customHeight="1">
      <c r="A737" s="1"/>
      <c r="B737" s="1"/>
      <c r="C737" s="2"/>
      <c r="D737" s="87"/>
      <c r="E737" s="87"/>
      <c r="F737" s="87"/>
      <c r="G737" s="1"/>
      <c r="H737" s="1"/>
      <c r="I737" s="1"/>
      <c r="J737" s="1"/>
      <c r="K737" s="1"/>
      <c r="L737" s="87"/>
      <c r="M737" s="87"/>
      <c r="N737" s="4"/>
      <c r="O737" s="1"/>
      <c r="P737" s="5"/>
      <c r="Q737" s="3"/>
      <c r="R737" s="3"/>
      <c r="S737" s="7"/>
      <c r="T737" s="1"/>
      <c r="U737" s="1"/>
      <c r="V737" s="1"/>
      <c r="W737" s="1"/>
      <c r="X737" s="1"/>
      <c r="Y737" s="1"/>
      <c r="Z737" s="1"/>
    </row>
    <row r="738" spans="1:26" ht="27" customHeight="1">
      <c r="A738" s="1"/>
      <c r="B738" s="1"/>
      <c r="C738" s="2"/>
      <c r="D738" s="87"/>
      <c r="E738" s="87"/>
      <c r="F738" s="87"/>
      <c r="G738" s="1"/>
      <c r="H738" s="1"/>
      <c r="I738" s="1"/>
      <c r="J738" s="1"/>
      <c r="K738" s="1"/>
      <c r="L738" s="87"/>
      <c r="M738" s="87"/>
      <c r="N738" s="4"/>
      <c r="O738" s="1"/>
      <c r="P738" s="5"/>
      <c r="Q738" s="3"/>
      <c r="R738" s="3"/>
      <c r="S738" s="7"/>
      <c r="T738" s="1"/>
      <c r="U738" s="1"/>
      <c r="V738" s="1"/>
      <c r="W738" s="1"/>
      <c r="X738" s="1"/>
      <c r="Y738" s="1"/>
      <c r="Z738" s="1"/>
    </row>
    <row r="739" spans="1:26" ht="27" customHeight="1">
      <c r="A739" s="1"/>
      <c r="B739" s="1"/>
      <c r="C739" s="2"/>
      <c r="D739" s="87"/>
      <c r="E739" s="87"/>
      <c r="F739" s="87"/>
      <c r="G739" s="1"/>
      <c r="H739" s="1"/>
      <c r="I739" s="1"/>
      <c r="J739" s="1"/>
      <c r="K739" s="1"/>
      <c r="L739" s="87"/>
      <c r="M739" s="87"/>
      <c r="N739" s="4"/>
      <c r="O739" s="1"/>
      <c r="P739" s="5"/>
      <c r="Q739" s="3"/>
      <c r="R739" s="3"/>
      <c r="S739" s="7"/>
      <c r="T739" s="1"/>
      <c r="U739" s="1"/>
      <c r="V739" s="1"/>
      <c r="W739" s="1"/>
      <c r="X739" s="1"/>
      <c r="Y739" s="1"/>
      <c r="Z739" s="1"/>
    </row>
    <row r="740" spans="1:26" ht="27" customHeight="1">
      <c r="A740" s="1"/>
      <c r="B740" s="1"/>
      <c r="C740" s="2"/>
      <c r="D740" s="87"/>
      <c r="E740" s="87"/>
      <c r="F740" s="87"/>
      <c r="G740" s="1"/>
      <c r="H740" s="1"/>
      <c r="I740" s="1"/>
      <c r="J740" s="1"/>
      <c r="K740" s="1"/>
      <c r="L740" s="87"/>
      <c r="M740" s="87"/>
      <c r="N740" s="4"/>
      <c r="O740" s="1"/>
      <c r="P740" s="5"/>
      <c r="Q740" s="3"/>
      <c r="R740" s="3"/>
      <c r="S740" s="7"/>
      <c r="T740" s="1"/>
      <c r="U740" s="1"/>
      <c r="V740" s="1"/>
      <c r="W740" s="1"/>
      <c r="X740" s="1"/>
      <c r="Y740" s="1"/>
      <c r="Z740" s="1"/>
    </row>
    <row r="741" spans="1:26" ht="27" customHeight="1">
      <c r="A741" s="1"/>
      <c r="B741" s="1"/>
      <c r="C741" s="2"/>
      <c r="D741" s="87"/>
      <c r="E741" s="87"/>
      <c r="F741" s="87"/>
      <c r="G741" s="1"/>
      <c r="H741" s="1"/>
      <c r="I741" s="1"/>
      <c r="J741" s="1"/>
      <c r="K741" s="1"/>
      <c r="L741" s="87"/>
      <c r="M741" s="87"/>
      <c r="N741" s="4"/>
      <c r="O741" s="1"/>
      <c r="P741" s="5"/>
      <c r="Q741" s="3"/>
      <c r="R741" s="3"/>
      <c r="S741" s="7"/>
      <c r="T741" s="1"/>
      <c r="U741" s="1"/>
      <c r="V741" s="1"/>
      <c r="W741" s="1"/>
      <c r="X741" s="1"/>
      <c r="Y741" s="1"/>
      <c r="Z741" s="1"/>
    </row>
    <row r="742" spans="1:26" ht="27" customHeight="1">
      <c r="A742" s="1"/>
      <c r="B742" s="1"/>
      <c r="C742" s="2"/>
      <c r="D742" s="87"/>
      <c r="E742" s="87"/>
      <c r="F742" s="87"/>
      <c r="G742" s="1"/>
      <c r="H742" s="1"/>
      <c r="I742" s="1"/>
      <c r="J742" s="1"/>
      <c r="K742" s="1"/>
      <c r="L742" s="87"/>
      <c r="M742" s="87"/>
      <c r="N742" s="4"/>
      <c r="O742" s="1"/>
      <c r="P742" s="5"/>
      <c r="Q742" s="3"/>
      <c r="R742" s="3"/>
      <c r="S742" s="7"/>
      <c r="T742" s="1"/>
      <c r="U742" s="1"/>
      <c r="V742" s="1"/>
      <c r="W742" s="1"/>
      <c r="X742" s="1"/>
      <c r="Y742" s="1"/>
      <c r="Z742" s="1"/>
    </row>
    <row r="743" spans="1:26" ht="27" customHeight="1">
      <c r="A743" s="1"/>
      <c r="B743" s="1"/>
      <c r="C743" s="2"/>
      <c r="D743" s="87"/>
      <c r="E743" s="87"/>
      <c r="F743" s="87"/>
      <c r="G743" s="1"/>
      <c r="H743" s="1"/>
      <c r="I743" s="1"/>
      <c r="J743" s="1"/>
      <c r="K743" s="1"/>
      <c r="L743" s="87"/>
      <c r="M743" s="87"/>
      <c r="N743" s="4"/>
      <c r="O743" s="1"/>
      <c r="P743" s="5"/>
      <c r="Q743" s="3"/>
      <c r="R743" s="3"/>
      <c r="S743" s="7"/>
      <c r="T743" s="1"/>
      <c r="U743" s="1"/>
      <c r="V743" s="1"/>
      <c r="W743" s="1"/>
      <c r="X743" s="1"/>
      <c r="Y743" s="1"/>
      <c r="Z743" s="1"/>
    </row>
    <row r="744" spans="1:26" ht="27" customHeight="1">
      <c r="A744" s="1"/>
      <c r="B744" s="1"/>
      <c r="C744" s="2"/>
      <c r="D744" s="87"/>
      <c r="E744" s="87"/>
      <c r="F744" s="87"/>
      <c r="G744" s="1"/>
      <c r="H744" s="1"/>
      <c r="I744" s="1"/>
      <c r="J744" s="1"/>
      <c r="K744" s="1"/>
      <c r="L744" s="87"/>
      <c r="M744" s="87"/>
      <c r="N744" s="4"/>
      <c r="O744" s="1"/>
      <c r="P744" s="5"/>
      <c r="Q744" s="3"/>
      <c r="R744" s="3"/>
      <c r="S744" s="7"/>
      <c r="T744" s="1"/>
      <c r="U744" s="1"/>
      <c r="V744" s="1"/>
      <c r="W744" s="1"/>
      <c r="X744" s="1"/>
      <c r="Y744" s="1"/>
      <c r="Z744" s="1"/>
    </row>
    <row r="745" spans="1:26" ht="27" customHeight="1">
      <c r="A745" s="1"/>
      <c r="B745" s="1"/>
      <c r="C745" s="2"/>
      <c r="D745" s="87"/>
      <c r="E745" s="87"/>
      <c r="F745" s="87"/>
      <c r="G745" s="1"/>
      <c r="H745" s="1"/>
      <c r="I745" s="1"/>
      <c r="J745" s="1"/>
      <c r="K745" s="1"/>
      <c r="L745" s="87"/>
      <c r="M745" s="87"/>
      <c r="N745" s="4"/>
      <c r="O745" s="1"/>
      <c r="P745" s="5"/>
      <c r="Q745" s="3"/>
      <c r="R745" s="3"/>
      <c r="S745" s="7"/>
      <c r="T745" s="1"/>
      <c r="U745" s="1"/>
      <c r="V745" s="1"/>
      <c r="W745" s="1"/>
      <c r="X745" s="1"/>
      <c r="Y745" s="1"/>
      <c r="Z745" s="1"/>
    </row>
    <row r="746" spans="1:26" ht="27" customHeight="1">
      <c r="A746" s="1"/>
      <c r="B746" s="1"/>
      <c r="C746" s="2"/>
      <c r="D746" s="87"/>
      <c r="E746" s="87"/>
      <c r="F746" s="87"/>
      <c r="G746" s="1"/>
      <c r="H746" s="1"/>
      <c r="I746" s="1"/>
      <c r="J746" s="1"/>
      <c r="K746" s="1"/>
      <c r="L746" s="87"/>
      <c r="M746" s="87"/>
      <c r="N746" s="4"/>
      <c r="O746" s="1"/>
      <c r="P746" s="5"/>
      <c r="Q746" s="3"/>
      <c r="R746" s="3"/>
      <c r="S746" s="7"/>
      <c r="T746" s="1"/>
      <c r="U746" s="1"/>
      <c r="V746" s="1"/>
      <c r="W746" s="1"/>
      <c r="X746" s="1"/>
      <c r="Y746" s="1"/>
      <c r="Z746" s="1"/>
    </row>
    <row r="747" spans="1:26" ht="27" customHeight="1">
      <c r="A747" s="1"/>
      <c r="B747" s="1"/>
      <c r="C747" s="2"/>
      <c r="D747" s="87"/>
      <c r="E747" s="87"/>
      <c r="F747" s="87"/>
      <c r="G747" s="1"/>
      <c r="H747" s="1"/>
      <c r="I747" s="1"/>
      <c r="J747" s="1"/>
      <c r="K747" s="1"/>
      <c r="L747" s="87"/>
      <c r="M747" s="87"/>
      <c r="N747" s="4"/>
      <c r="O747" s="1"/>
      <c r="P747" s="5"/>
      <c r="Q747" s="3"/>
      <c r="R747" s="3"/>
      <c r="S747" s="7"/>
      <c r="T747" s="1"/>
      <c r="U747" s="1"/>
      <c r="V747" s="1"/>
      <c r="W747" s="1"/>
      <c r="X747" s="1"/>
      <c r="Y747" s="1"/>
      <c r="Z747" s="1"/>
    </row>
    <row r="748" spans="1:26" ht="27" customHeight="1">
      <c r="A748" s="1"/>
      <c r="B748" s="1"/>
      <c r="C748" s="2"/>
      <c r="D748" s="87"/>
      <c r="E748" s="87"/>
      <c r="F748" s="87"/>
      <c r="G748" s="1"/>
      <c r="H748" s="1"/>
      <c r="I748" s="1"/>
      <c r="J748" s="1"/>
      <c r="K748" s="1"/>
      <c r="L748" s="87"/>
      <c r="M748" s="87"/>
      <c r="N748" s="4"/>
      <c r="O748" s="1"/>
      <c r="P748" s="5"/>
      <c r="Q748" s="3"/>
      <c r="R748" s="3"/>
      <c r="S748" s="7"/>
      <c r="T748" s="1"/>
      <c r="U748" s="1"/>
      <c r="V748" s="1"/>
      <c r="W748" s="1"/>
      <c r="X748" s="1"/>
      <c r="Y748" s="1"/>
      <c r="Z748" s="1"/>
    </row>
    <row r="749" spans="1:26" ht="27" customHeight="1">
      <c r="A749" s="1"/>
      <c r="B749" s="1"/>
      <c r="C749" s="2"/>
      <c r="D749" s="87"/>
      <c r="E749" s="87"/>
      <c r="F749" s="87"/>
      <c r="G749" s="1"/>
      <c r="H749" s="1"/>
      <c r="I749" s="1"/>
      <c r="J749" s="1"/>
      <c r="K749" s="1"/>
      <c r="L749" s="87"/>
      <c r="M749" s="87"/>
      <c r="N749" s="4"/>
      <c r="O749" s="1"/>
      <c r="P749" s="5"/>
      <c r="Q749" s="3"/>
      <c r="R749" s="3"/>
      <c r="S749" s="7"/>
      <c r="T749" s="1"/>
      <c r="U749" s="1"/>
      <c r="V749" s="1"/>
      <c r="W749" s="1"/>
      <c r="X749" s="1"/>
      <c r="Y749" s="1"/>
      <c r="Z749" s="1"/>
    </row>
    <row r="750" spans="1:26" ht="27" customHeight="1">
      <c r="A750" s="1"/>
      <c r="B750" s="1"/>
      <c r="C750" s="2"/>
      <c r="D750" s="87"/>
      <c r="E750" s="87"/>
      <c r="F750" s="87"/>
      <c r="G750" s="1"/>
      <c r="H750" s="1"/>
      <c r="I750" s="1"/>
      <c r="J750" s="1"/>
      <c r="K750" s="1"/>
      <c r="L750" s="87"/>
      <c r="M750" s="87"/>
      <c r="N750" s="4"/>
      <c r="O750" s="1"/>
      <c r="P750" s="5"/>
      <c r="Q750" s="3"/>
      <c r="R750" s="3"/>
      <c r="S750" s="7"/>
      <c r="T750" s="1"/>
      <c r="U750" s="1"/>
      <c r="V750" s="1"/>
      <c r="W750" s="1"/>
      <c r="X750" s="1"/>
      <c r="Y750" s="1"/>
      <c r="Z750" s="1"/>
    </row>
    <row r="751" spans="1:26" ht="27" customHeight="1">
      <c r="A751" s="1"/>
      <c r="B751" s="1"/>
      <c r="C751" s="2"/>
      <c r="D751" s="87"/>
      <c r="E751" s="87"/>
      <c r="F751" s="87"/>
      <c r="G751" s="1"/>
      <c r="H751" s="1"/>
      <c r="I751" s="1"/>
      <c r="J751" s="1"/>
      <c r="K751" s="1"/>
      <c r="L751" s="87"/>
      <c r="M751" s="87"/>
      <c r="N751" s="4"/>
      <c r="O751" s="1"/>
      <c r="P751" s="5"/>
      <c r="Q751" s="3"/>
      <c r="R751" s="3"/>
      <c r="S751" s="7"/>
      <c r="T751" s="1"/>
      <c r="U751" s="1"/>
      <c r="V751" s="1"/>
      <c r="W751" s="1"/>
      <c r="X751" s="1"/>
      <c r="Y751" s="1"/>
      <c r="Z751" s="1"/>
    </row>
    <row r="752" spans="1:26" ht="27" customHeight="1">
      <c r="A752" s="1"/>
      <c r="B752" s="1"/>
      <c r="C752" s="2"/>
      <c r="D752" s="87"/>
      <c r="E752" s="87"/>
      <c r="F752" s="87"/>
      <c r="G752" s="1"/>
      <c r="H752" s="1"/>
      <c r="I752" s="1"/>
      <c r="J752" s="1"/>
      <c r="K752" s="1"/>
      <c r="L752" s="87"/>
      <c r="M752" s="87"/>
      <c r="N752" s="4"/>
      <c r="O752" s="1"/>
      <c r="P752" s="5"/>
      <c r="Q752" s="3"/>
      <c r="R752" s="3"/>
      <c r="S752" s="7"/>
      <c r="T752" s="1"/>
      <c r="U752" s="1"/>
      <c r="V752" s="1"/>
      <c r="W752" s="1"/>
      <c r="X752" s="1"/>
      <c r="Y752" s="1"/>
      <c r="Z752" s="1"/>
    </row>
    <row r="753" spans="1:26" ht="27" customHeight="1">
      <c r="A753" s="1"/>
      <c r="B753" s="1"/>
      <c r="C753" s="2"/>
      <c r="D753" s="87"/>
      <c r="E753" s="87"/>
      <c r="F753" s="87"/>
      <c r="G753" s="1"/>
      <c r="H753" s="1"/>
      <c r="I753" s="1"/>
      <c r="J753" s="1"/>
      <c r="K753" s="1"/>
      <c r="L753" s="87"/>
      <c r="M753" s="87"/>
      <c r="N753" s="4"/>
      <c r="O753" s="1"/>
      <c r="P753" s="5"/>
      <c r="Q753" s="3"/>
      <c r="R753" s="3"/>
      <c r="S753" s="7"/>
      <c r="T753" s="1"/>
      <c r="U753" s="1"/>
      <c r="V753" s="1"/>
      <c r="W753" s="1"/>
      <c r="X753" s="1"/>
      <c r="Y753" s="1"/>
      <c r="Z753" s="1"/>
    </row>
    <row r="754" spans="1:26" ht="27" customHeight="1">
      <c r="A754" s="1"/>
      <c r="B754" s="1"/>
      <c r="C754" s="2"/>
      <c r="D754" s="87"/>
      <c r="E754" s="87"/>
      <c r="F754" s="87"/>
      <c r="G754" s="1"/>
      <c r="H754" s="1"/>
      <c r="I754" s="1"/>
      <c r="J754" s="1"/>
      <c r="K754" s="1"/>
      <c r="L754" s="87"/>
      <c r="M754" s="87"/>
      <c r="N754" s="4"/>
      <c r="O754" s="1"/>
      <c r="P754" s="5"/>
      <c r="Q754" s="3"/>
      <c r="R754" s="3"/>
      <c r="S754" s="7"/>
      <c r="T754" s="1"/>
      <c r="U754" s="1"/>
      <c r="V754" s="1"/>
      <c r="W754" s="1"/>
      <c r="X754" s="1"/>
      <c r="Y754" s="1"/>
      <c r="Z754" s="1"/>
    </row>
    <row r="755" spans="1:26" ht="27" customHeight="1">
      <c r="A755" s="1"/>
      <c r="B755" s="1"/>
      <c r="C755" s="2"/>
      <c r="D755" s="87"/>
      <c r="E755" s="87"/>
      <c r="F755" s="87"/>
      <c r="G755" s="1"/>
      <c r="H755" s="1"/>
      <c r="I755" s="1"/>
      <c r="J755" s="1"/>
      <c r="K755" s="1"/>
      <c r="L755" s="87"/>
      <c r="M755" s="87"/>
      <c r="N755" s="4"/>
      <c r="O755" s="1"/>
      <c r="P755" s="5"/>
      <c r="Q755" s="3"/>
      <c r="R755" s="3"/>
      <c r="S755" s="7"/>
      <c r="T755" s="1"/>
      <c r="U755" s="1"/>
      <c r="V755" s="1"/>
      <c r="W755" s="1"/>
      <c r="X755" s="1"/>
      <c r="Y755" s="1"/>
      <c r="Z755" s="1"/>
    </row>
    <row r="756" spans="1:26" ht="27" customHeight="1">
      <c r="A756" s="1"/>
      <c r="B756" s="1"/>
      <c r="C756" s="2"/>
      <c r="D756" s="87"/>
      <c r="E756" s="87"/>
      <c r="F756" s="87"/>
      <c r="G756" s="1"/>
      <c r="H756" s="1"/>
      <c r="I756" s="1"/>
      <c r="J756" s="1"/>
      <c r="K756" s="1"/>
      <c r="L756" s="87"/>
      <c r="M756" s="87"/>
      <c r="N756" s="4"/>
      <c r="O756" s="1"/>
      <c r="P756" s="5"/>
      <c r="Q756" s="3"/>
      <c r="R756" s="3"/>
      <c r="S756" s="7"/>
      <c r="T756" s="1"/>
      <c r="U756" s="1"/>
      <c r="V756" s="1"/>
      <c r="W756" s="1"/>
      <c r="X756" s="1"/>
      <c r="Y756" s="1"/>
      <c r="Z756" s="1"/>
    </row>
    <row r="757" spans="1:26" ht="27" customHeight="1">
      <c r="A757" s="1"/>
      <c r="B757" s="1"/>
      <c r="C757" s="2"/>
      <c r="D757" s="87"/>
      <c r="E757" s="87"/>
      <c r="F757" s="87"/>
      <c r="G757" s="1"/>
      <c r="H757" s="1"/>
      <c r="I757" s="1"/>
      <c r="J757" s="1"/>
      <c r="K757" s="1"/>
      <c r="L757" s="87"/>
      <c r="M757" s="87"/>
      <c r="N757" s="4"/>
      <c r="O757" s="1"/>
      <c r="P757" s="5"/>
      <c r="Q757" s="3"/>
      <c r="R757" s="3"/>
      <c r="S757" s="7"/>
      <c r="T757" s="1"/>
      <c r="U757" s="1"/>
      <c r="V757" s="1"/>
      <c r="W757" s="1"/>
      <c r="X757" s="1"/>
      <c r="Y757" s="1"/>
      <c r="Z757" s="1"/>
    </row>
    <row r="758" spans="1:26" ht="27" customHeight="1">
      <c r="A758" s="1"/>
      <c r="B758" s="1"/>
      <c r="C758" s="2"/>
      <c r="D758" s="87"/>
      <c r="E758" s="87"/>
      <c r="F758" s="87"/>
      <c r="G758" s="1"/>
      <c r="H758" s="1"/>
      <c r="I758" s="1"/>
      <c r="J758" s="1"/>
      <c r="K758" s="1"/>
      <c r="L758" s="87"/>
      <c r="M758" s="87"/>
      <c r="N758" s="4"/>
      <c r="O758" s="1"/>
      <c r="P758" s="5"/>
      <c r="Q758" s="3"/>
      <c r="R758" s="3"/>
      <c r="S758" s="7"/>
      <c r="T758" s="1"/>
      <c r="U758" s="1"/>
      <c r="V758" s="1"/>
      <c r="W758" s="1"/>
      <c r="X758" s="1"/>
      <c r="Y758" s="1"/>
      <c r="Z758" s="1"/>
    </row>
    <row r="759" spans="1:26" ht="27" customHeight="1">
      <c r="A759" s="1"/>
      <c r="B759" s="1"/>
      <c r="C759" s="2"/>
      <c r="D759" s="87"/>
      <c r="E759" s="87"/>
      <c r="F759" s="87"/>
      <c r="G759" s="1"/>
      <c r="H759" s="1"/>
      <c r="I759" s="1"/>
      <c r="J759" s="1"/>
      <c r="K759" s="1"/>
      <c r="L759" s="87"/>
      <c r="M759" s="87"/>
      <c r="N759" s="4"/>
      <c r="O759" s="1"/>
      <c r="P759" s="5"/>
      <c r="Q759" s="3"/>
      <c r="R759" s="3"/>
      <c r="S759" s="7"/>
      <c r="T759" s="1"/>
      <c r="U759" s="1"/>
      <c r="V759" s="1"/>
      <c r="W759" s="1"/>
      <c r="X759" s="1"/>
      <c r="Y759" s="1"/>
      <c r="Z759" s="1"/>
    </row>
    <row r="760" spans="1:26" ht="27" customHeight="1">
      <c r="A760" s="1"/>
      <c r="B760" s="1"/>
      <c r="C760" s="2"/>
      <c r="D760" s="87"/>
      <c r="E760" s="87"/>
      <c r="F760" s="87"/>
      <c r="G760" s="1"/>
      <c r="H760" s="1"/>
      <c r="I760" s="1"/>
      <c r="J760" s="1"/>
      <c r="K760" s="1"/>
      <c r="L760" s="87"/>
      <c r="M760" s="87"/>
      <c r="N760" s="4"/>
      <c r="O760" s="1"/>
      <c r="P760" s="5"/>
      <c r="Q760" s="3"/>
      <c r="R760" s="3"/>
      <c r="S760" s="7"/>
      <c r="T760" s="1"/>
      <c r="U760" s="1"/>
      <c r="V760" s="1"/>
      <c r="W760" s="1"/>
      <c r="X760" s="1"/>
      <c r="Y760" s="1"/>
      <c r="Z760" s="1"/>
    </row>
    <row r="761" spans="1:26" ht="27" customHeight="1">
      <c r="A761" s="1"/>
      <c r="B761" s="1"/>
      <c r="C761" s="2"/>
      <c r="D761" s="87"/>
      <c r="E761" s="87"/>
      <c r="F761" s="87"/>
      <c r="G761" s="1"/>
      <c r="H761" s="1"/>
      <c r="I761" s="1"/>
      <c r="J761" s="1"/>
      <c r="K761" s="1"/>
      <c r="L761" s="87"/>
      <c r="M761" s="87"/>
      <c r="N761" s="4"/>
      <c r="O761" s="1"/>
      <c r="P761" s="5"/>
      <c r="Q761" s="3"/>
      <c r="R761" s="3"/>
      <c r="S761" s="7"/>
      <c r="T761" s="1"/>
      <c r="U761" s="1"/>
      <c r="V761" s="1"/>
      <c r="W761" s="1"/>
      <c r="X761" s="1"/>
      <c r="Y761" s="1"/>
      <c r="Z761" s="1"/>
    </row>
    <row r="762" spans="1:26" ht="27" customHeight="1">
      <c r="A762" s="1"/>
      <c r="B762" s="1"/>
      <c r="C762" s="2"/>
      <c r="D762" s="87"/>
      <c r="E762" s="87"/>
      <c r="F762" s="87"/>
      <c r="G762" s="1"/>
      <c r="H762" s="1"/>
      <c r="I762" s="1"/>
      <c r="J762" s="1"/>
      <c r="K762" s="1"/>
      <c r="L762" s="87"/>
      <c r="M762" s="87"/>
      <c r="N762" s="4"/>
      <c r="O762" s="1"/>
      <c r="P762" s="5"/>
      <c r="Q762" s="3"/>
      <c r="R762" s="3"/>
      <c r="S762" s="7"/>
      <c r="T762" s="1"/>
      <c r="U762" s="1"/>
      <c r="V762" s="1"/>
      <c r="W762" s="1"/>
      <c r="X762" s="1"/>
      <c r="Y762" s="1"/>
      <c r="Z762" s="1"/>
    </row>
    <row r="763" spans="1:26" ht="27" customHeight="1">
      <c r="A763" s="1"/>
      <c r="B763" s="1"/>
      <c r="C763" s="2"/>
      <c r="D763" s="87"/>
      <c r="E763" s="87"/>
      <c r="F763" s="87"/>
      <c r="G763" s="1"/>
      <c r="H763" s="1"/>
      <c r="I763" s="1"/>
      <c r="J763" s="1"/>
      <c r="K763" s="1"/>
      <c r="L763" s="87"/>
      <c r="M763" s="87"/>
      <c r="N763" s="4"/>
      <c r="O763" s="1"/>
      <c r="P763" s="5"/>
      <c r="Q763" s="3"/>
      <c r="R763" s="3"/>
      <c r="S763" s="7"/>
      <c r="T763" s="1"/>
      <c r="U763" s="1"/>
      <c r="V763" s="1"/>
      <c r="W763" s="1"/>
      <c r="X763" s="1"/>
      <c r="Y763" s="1"/>
      <c r="Z763" s="1"/>
    </row>
    <row r="764" spans="1:26" ht="27" customHeight="1">
      <c r="A764" s="1"/>
      <c r="B764" s="1"/>
      <c r="C764" s="2"/>
      <c r="D764" s="87"/>
      <c r="E764" s="87"/>
      <c r="F764" s="87"/>
      <c r="G764" s="1"/>
      <c r="H764" s="1"/>
      <c r="I764" s="1"/>
      <c r="J764" s="1"/>
      <c r="K764" s="1"/>
      <c r="L764" s="87"/>
      <c r="M764" s="87"/>
      <c r="N764" s="4"/>
      <c r="O764" s="1"/>
      <c r="P764" s="5"/>
      <c r="Q764" s="3"/>
      <c r="R764" s="3"/>
      <c r="S764" s="7"/>
      <c r="T764" s="1"/>
      <c r="U764" s="1"/>
      <c r="V764" s="1"/>
      <c r="W764" s="1"/>
      <c r="X764" s="1"/>
      <c r="Y764" s="1"/>
      <c r="Z764" s="1"/>
    </row>
    <row r="765" spans="1:26" ht="27" customHeight="1">
      <c r="A765" s="1"/>
      <c r="B765" s="1"/>
      <c r="C765" s="2"/>
      <c r="D765" s="87"/>
      <c r="E765" s="87"/>
      <c r="F765" s="87"/>
      <c r="G765" s="1"/>
      <c r="H765" s="1"/>
      <c r="I765" s="1"/>
      <c r="J765" s="1"/>
      <c r="K765" s="1"/>
      <c r="L765" s="87"/>
      <c r="M765" s="87"/>
      <c r="N765" s="4"/>
      <c r="O765" s="1"/>
      <c r="P765" s="5"/>
      <c r="Q765" s="3"/>
      <c r="R765" s="3"/>
      <c r="S765" s="7"/>
      <c r="T765" s="1"/>
      <c r="U765" s="1"/>
      <c r="V765" s="1"/>
      <c r="W765" s="1"/>
      <c r="X765" s="1"/>
      <c r="Y765" s="1"/>
      <c r="Z765" s="1"/>
    </row>
    <row r="766" spans="1:26" ht="27" customHeight="1">
      <c r="A766" s="1"/>
      <c r="B766" s="1"/>
      <c r="C766" s="2"/>
      <c r="D766" s="87"/>
      <c r="E766" s="87"/>
      <c r="F766" s="87"/>
      <c r="G766" s="1"/>
      <c r="H766" s="1"/>
      <c r="I766" s="1"/>
      <c r="J766" s="1"/>
      <c r="K766" s="1"/>
      <c r="L766" s="87"/>
      <c r="M766" s="87"/>
      <c r="N766" s="4"/>
      <c r="O766" s="1"/>
      <c r="P766" s="5"/>
      <c r="Q766" s="3"/>
      <c r="R766" s="3"/>
      <c r="S766" s="7"/>
      <c r="T766" s="1"/>
      <c r="U766" s="1"/>
      <c r="V766" s="1"/>
      <c r="W766" s="1"/>
      <c r="X766" s="1"/>
      <c r="Y766" s="1"/>
      <c r="Z766" s="1"/>
    </row>
    <row r="767" spans="1:26" ht="27" customHeight="1">
      <c r="A767" s="1"/>
      <c r="B767" s="1"/>
      <c r="C767" s="2"/>
      <c r="D767" s="87"/>
      <c r="E767" s="87"/>
      <c r="F767" s="87"/>
      <c r="G767" s="1"/>
      <c r="H767" s="1"/>
      <c r="I767" s="1"/>
      <c r="J767" s="1"/>
      <c r="K767" s="1"/>
      <c r="L767" s="87"/>
      <c r="M767" s="87"/>
      <c r="N767" s="4"/>
      <c r="O767" s="1"/>
      <c r="P767" s="5"/>
      <c r="Q767" s="3"/>
      <c r="R767" s="3"/>
      <c r="S767" s="7"/>
      <c r="T767" s="1"/>
      <c r="U767" s="1"/>
      <c r="V767" s="1"/>
      <c r="W767" s="1"/>
      <c r="X767" s="1"/>
      <c r="Y767" s="1"/>
      <c r="Z767" s="1"/>
    </row>
    <row r="768" spans="1:26" ht="27" customHeight="1">
      <c r="A768" s="1"/>
      <c r="B768" s="1"/>
      <c r="C768" s="2"/>
      <c r="D768" s="87"/>
      <c r="E768" s="87"/>
      <c r="F768" s="87"/>
      <c r="G768" s="1"/>
      <c r="H768" s="1"/>
      <c r="I768" s="1"/>
      <c r="J768" s="1"/>
      <c r="K768" s="1"/>
      <c r="L768" s="87"/>
      <c r="M768" s="87"/>
      <c r="N768" s="4"/>
      <c r="O768" s="1"/>
      <c r="P768" s="5"/>
      <c r="Q768" s="3"/>
      <c r="R768" s="3"/>
      <c r="S768" s="7"/>
      <c r="T768" s="1"/>
      <c r="U768" s="1"/>
      <c r="V768" s="1"/>
      <c r="W768" s="1"/>
      <c r="X768" s="1"/>
      <c r="Y768" s="1"/>
      <c r="Z768" s="1"/>
    </row>
    <row r="769" spans="1:26" ht="27" customHeight="1">
      <c r="A769" s="1"/>
      <c r="B769" s="1"/>
      <c r="C769" s="2"/>
      <c r="D769" s="87"/>
      <c r="E769" s="87"/>
      <c r="F769" s="87"/>
      <c r="G769" s="1"/>
      <c r="H769" s="1"/>
      <c r="I769" s="1"/>
      <c r="J769" s="1"/>
      <c r="K769" s="1"/>
      <c r="L769" s="87"/>
      <c r="M769" s="87"/>
      <c r="N769" s="4"/>
      <c r="O769" s="1"/>
      <c r="P769" s="5"/>
      <c r="Q769" s="3"/>
      <c r="R769" s="3"/>
      <c r="S769" s="7"/>
      <c r="T769" s="1"/>
      <c r="U769" s="1"/>
      <c r="V769" s="1"/>
      <c r="W769" s="1"/>
      <c r="X769" s="1"/>
      <c r="Y769" s="1"/>
      <c r="Z769" s="1"/>
    </row>
    <row r="770" spans="1:26" ht="27" customHeight="1">
      <c r="A770" s="1"/>
      <c r="B770" s="1"/>
      <c r="C770" s="2"/>
      <c r="D770" s="87"/>
      <c r="E770" s="87"/>
      <c r="F770" s="87"/>
      <c r="G770" s="1"/>
      <c r="H770" s="1"/>
      <c r="I770" s="1"/>
      <c r="J770" s="1"/>
      <c r="K770" s="1"/>
      <c r="L770" s="87"/>
      <c r="M770" s="87"/>
      <c r="N770" s="4"/>
      <c r="O770" s="1"/>
      <c r="P770" s="5"/>
      <c r="Q770" s="3"/>
      <c r="R770" s="3"/>
      <c r="S770" s="7"/>
      <c r="T770" s="1"/>
      <c r="U770" s="1"/>
      <c r="V770" s="1"/>
      <c r="W770" s="1"/>
      <c r="X770" s="1"/>
      <c r="Y770" s="1"/>
      <c r="Z770" s="1"/>
    </row>
    <row r="771" spans="1:26" ht="27" customHeight="1">
      <c r="A771" s="1"/>
      <c r="B771" s="1"/>
      <c r="C771" s="2"/>
      <c r="D771" s="87"/>
      <c r="E771" s="87"/>
      <c r="F771" s="87"/>
      <c r="G771" s="1"/>
      <c r="H771" s="1"/>
      <c r="I771" s="1"/>
      <c r="J771" s="1"/>
      <c r="K771" s="1"/>
      <c r="L771" s="87"/>
      <c r="M771" s="87"/>
      <c r="N771" s="4"/>
      <c r="O771" s="1"/>
      <c r="P771" s="5"/>
      <c r="Q771" s="3"/>
      <c r="R771" s="3"/>
      <c r="S771" s="7"/>
      <c r="T771" s="1"/>
      <c r="U771" s="1"/>
      <c r="V771" s="1"/>
      <c r="W771" s="1"/>
      <c r="X771" s="1"/>
      <c r="Y771" s="1"/>
      <c r="Z771" s="1"/>
    </row>
    <row r="772" spans="1:26" ht="27" customHeight="1">
      <c r="A772" s="1"/>
      <c r="B772" s="1"/>
      <c r="C772" s="2"/>
      <c r="D772" s="87"/>
      <c r="E772" s="87"/>
      <c r="F772" s="87"/>
      <c r="G772" s="1"/>
      <c r="H772" s="1"/>
      <c r="I772" s="1"/>
      <c r="J772" s="1"/>
      <c r="K772" s="1"/>
      <c r="L772" s="87"/>
      <c r="M772" s="87"/>
      <c r="N772" s="4"/>
      <c r="O772" s="1"/>
      <c r="P772" s="5"/>
      <c r="Q772" s="3"/>
      <c r="R772" s="3"/>
      <c r="S772" s="7"/>
      <c r="T772" s="1"/>
      <c r="U772" s="1"/>
      <c r="V772" s="1"/>
      <c r="W772" s="1"/>
      <c r="X772" s="1"/>
      <c r="Y772" s="1"/>
      <c r="Z772" s="1"/>
    </row>
    <row r="773" spans="1:26" ht="27" customHeight="1">
      <c r="A773" s="1"/>
      <c r="B773" s="1"/>
      <c r="C773" s="2"/>
      <c r="D773" s="87"/>
      <c r="E773" s="87"/>
      <c r="F773" s="87"/>
      <c r="G773" s="1"/>
      <c r="H773" s="1"/>
      <c r="I773" s="1"/>
      <c r="J773" s="1"/>
      <c r="K773" s="1"/>
      <c r="L773" s="87"/>
      <c r="M773" s="87"/>
      <c r="N773" s="4"/>
      <c r="O773" s="1"/>
      <c r="P773" s="5"/>
      <c r="Q773" s="3"/>
      <c r="R773" s="3"/>
      <c r="S773" s="7"/>
      <c r="T773" s="1"/>
      <c r="U773" s="1"/>
      <c r="V773" s="1"/>
      <c r="W773" s="1"/>
      <c r="X773" s="1"/>
      <c r="Y773" s="1"/>
      <c r="Z773" s="1"/>
    </row>
    <row r="774" spans="1:26" ht="27" customHeight="1">
      <c r="A774" s="1"/>
      <c r="B774" s="1"/>
      <c r="C774" s="2"/>
      <c r="D774" s="87"/>
      <c r="E774" s="87"/>
      <c r="F774" s="87"/>
      <c r="G774" s="1"/>
      <c r="H774" s="1"/>
      <c r="I774" s="1"/>
      <c r="J774" s="1"/>
      <c r="K774" s="1"/>
      <c r="L774" s="87"/>
      <c r="M774" s="87"/>
      <c r="N774" s="4"/>
      <c r="O774" s="1"/>
      <c r="P774" s="5"/>
      <c r="Q774" s="3"/>
      <c r="R774" s="3"/>
      <c r="S774" s="7"/>
      <c r="T774" s="1"/>
      <c r="U774" s="1"/>
      <c r="V774" s="1"/>
      <c r="W774" s="1"/>
      <c r="X774" s="1"/>
      <c r="Y774" s="1"/>
      <c r="Z774" s="1"/>
    </row>
    <row r="775" spans="1:26" ht="27" customHeight="1">
      <c r="A775" s="1"/>
      <c r="B775" s="1"/>
      <c r="C775" s="2"/>
      <c r="D775" s="87"/>
      <c r="E775" s="87"/>
      <c r="F775" s="87"/>
      <c r="G775" s="1"/>
      <c r="H775" s="1"/>
      <c r="I775" s="1"/>
      <c r="J775" s="1"/>
      <c r="K775" s="1"/>
      <c r="L775" s="87"/>
      <c r="M775" s="87"/>
      <c r="N775" s="4"/>
      <c r="O775" s="1"/>
      <c r="P775" s="5"/>
      <c r="Q775" s="3"/>
      <c r="R775" s="3"/>
      <c r="S775" s="7"/>
      <c r="T775" s="1"/>
      <c r="U775" s="1"/>
      <c r="V775" s="1"/>
      <c r="W775" s="1"/>
      <c r="X775" s="1"/>
      <c r="Y775" s="1"/>
      <c r="Z775" s="1"/>
    </row>
    <row r="776" spans="1:26" ht="27" customHeight="1">
      <c r="A776" s="1"/>
      <c r="B776" s="1"/>
      <c r="C776" s="2"/>
      <c r="D776" s="87"/>
      <c r="E776" s="87"/>
      <c r="F776" s="87"/>
      <c r="G776" s="1"/>
      <c r="H776" s="1"/>
      <c r="I776" s="1"/>
      <c r="J776" s="1"/>
      <c r="K776" s="1"/>
      <c r="L776" s="87"/>
      <c r="M776" s="87"/>
      <c r="N776" s="4"/>
      <c r="O776" s="1"/>
      <c r="P776" s="5"/>
      <c r="Q776" s="3"/>
      <c r="R776" s="3"/>
      <c r="S776" s="7"/>
      <c r="T776" s="1"/>
      <c r="U776" s="1"/>
      <c r="V776" s="1"/>
      <c r="W776" s="1"/>
      <c r="X776" s="1"/>
      <c r="Y776" s="1"/>
      <c r="Z776" s="1"/>
    </row>
    <row r="777" spans="1:26" ht="27" customHeight="1">
      <c r="A777" s="1"/>
      <c r="B777" s="1"/>
      <c r="C777" s="2"/>
      <c r="D777" s="87"/>
      <c r="E777" s="87"/>
      <c r="F777" s="87"/>
      <c r="G777" s="1"/>
      <c r="H777" s="1"/>
      <c r="I777" s="1"/>
      <c r="J777" s="1"/>
      <c r="K777" s="1"/>
      <c r="L777" s="87"/>
      <c r="M777" s="87"/>
      <c r="N777" s="4"/>
      <c r="O777" s="1"/>
      <c r="P777" s="5"/>
      <c r="Q777" s="3"/>
      <c r="R777" s="3"/>
      <c r="S777" s="7"/>
      <c r="T777" s="1"/>
      <c r="U777" s="1"/>
      <c r="V777" s="1"/>
      <c r="W777" s="1"/>
      <c r="X777" s="1"/>
      <c r="Y777" s="1"/>
      <c r="Z777" s="1"/>
    </row>
    <row r="778" spans="1:26" ht="27" customHeight="1">
      <c r="A778" s="1"/>
      <c r="B778" s="1"/>
      <c r="C778" s="2"/>
      <c r="D778" s="87"/>
      <c r="E778" s="87"/>
      <c r="F778" s="87"/>
      <c r="G778" s="1"/>
      <c r="H778" s="1"/>
      <c r="I778" s="1"/>
      <c r="J778" s="1"/>
      <c r="K778" s="1"/>
      <c r="L778" s="87"/>
      <c r="M778" s="87"/>
      <c r="N778" s="4"/>
      <c r="O778" s="1"/>
      <c r="P778" s="5"/>
      <c r="Q778" s="3"/>
      <c r="R778" s="3"/>
      <c r="S778" s="7"/>
      <c r="T778" s="1"/>
      <c r="U778" s="1"/>
      <c r="V778" s="1"/>
      <c r="W778" s="1"/>
      <c r="X778" s="1"/>
      <c r="Y778" s="1"/>
      <c r="Z778" s="1"/>
    </row>
    <row r="779" spans="1:26" ht="27" customHeight="1">
      <c r="A779" s="1"/>
      <c r="B779" s="1"/>
      <c r="C779" s="2"/>
      <c r="D779" s="87"/>
      <c r="E779" s="87"/>
      <c r="F779" s="87"/>
      <c r="G779" s="1"/>
      <c r="H779" s="1"/>
      <c r="I779" s="1"/>
      <c r="J779" s="1"/>
      <c r="K779" s="1"/>
      <c r="L779" s="87"/>
      <c r="M779" s="87"/>
      <c r="N779" s="4"/>
      <c r="O779" s="1"/>
      <c r="P779" s="5"/>
      <c r="Q779" s="3"/>
      <c r="R779" s="3"/>
      <c r="S779" s="7"/>
      <c r="T779" s="1"/>
      <c r="U779" s="1"/>
      <c r="V779" s="1"/>
      <c r="W779" s="1"/>
      <c r="X779" s="1"/>
      <c r="Y779" s="1"/>
      <c r="Z779" s="1"/>
    </row>
    <row r="780" spans="1:26" ht="27" customHeight="1">
      <c r="A780" s="1"/>
      <c r="B780" s="1"/>
      <c r="C780" s="2"/>
      <c r="D780" s="87"/>
      <c r="E780" s="87"/>
      <c r="F780" s="87"/>
      <c r="G780" s="1"/>
      <c r="H780" s="1"/>
      <c r="I780" s="1"/>
      <c r="J780" s="1"/>
      <c r="K780" s="1"/>
      <c r="L780" s="87"/>
      <c r="M780" s="87"/>
      <c r="N780" s="4"/>
      <c r="O780" s="1"/>
      <c r="P780" s="5"/>
      <c r="Q780" s="3"/>
      <c r="R780" s="3"/>
      <c r="S780" s="7"/>
      <c r="T780" s="1"/>
      <c r="U780" s="1"/>
      <c r="V780" s="1"/>
      <c r="W780" s="1"/>
      <c r="X780" s="1"/>
      <c r="Y780" s="1"/>
      <c r="Z780" s="1"/>
    </row>
    <row r="781" spans="1:26" ht="27" customHeight="1">
      <c r="A781" s="1"/>
      <c r="B781" s="1"/>
      <c r="C781" s="2"/>
      <c r="D781" s="87"/>
      <c r="E781" s="87"/>
      <c r="F781" s="87"/>
      <c r="G781" s="1"/>
      <c r="H781" s="1"/>
      <c r="I781" s="1"/>
      <c r="J781" s="1"/>
      <c r="K781" s="1"/>
      <c r="L781" s="87"/>
      <c r="M781" s="87"/>
      <c r="N781" s="4"/>
      <c r="O781" s="1"/>
      <c r="P781" s="5"/>
      <c r="Q781" s="3"/>
      <c r="R781" s="3"/>
      <c r="S781" s="7"/>
      <c r="T781" s="1"/>
      <c r="U781" s="1"/>
      <c r="V781" s="1"/>
      <c r="W781" s="1"/>
      <c r="X781" s="1"/>
      <c r="Y781" s="1"/>
      <c r="Z781" s="1"/>
    </row>
    <row r="782" spans="1:26" ht="27" customHeight="1">
      <c r="A782" s="1"/>
      <c r="B782" s="1"/>
      <c r="C782" s="2"/>
      <c r="D782" s="87"/>
      <c r="E782" s="87"/>
      <c r="F782" s="87"/>
      <c r="G782" s="1"/>
      <c r="H782" s="1"/>
      <c r="I782" s="1"/>
      <c r="J782" s="1"/>
      <c r="K782" s="1"/>
      <c r="L782" s="87"/>
      <c r="M782" s="87"/>
      <c r="N782" s="4"/>
      <c r="O782" s="1"/>
      <c r="P782" s="5"/>
      <c r="Q782" s="3"/>
      <c r="R782" s="3"/>
      <c r="S782" s="7"/>
      <c r="T782" s="1"/>
      <c r="U782" s="1"/>
      <c r="V782" s="1"/>
      <c r="W782" s="1"/>
      <c r="X782" s="1"/>
      <c r="Y782" s="1"/>
      <c r="Z782" s="1"/>
    </row>
    <row r="783" spans="1:26" ht="27" customHeight="1">
      <c r="A783" s="1"/>
      <c r="B783" s="1"/>
      <c r="C783" s="2"/>
      <c r="D783" s="87"/>
      <c r="E783" s="87"/>
      <c r="F783" s="87"/>
      <c r="G783" s="1"/>
      <c r="H783" s="1"/>
      <c r="I783" s="1"/>
      <c r="J783" s="1"/>
      <c r="K783" s="1"/>
      <c r="L783" s="87"/>
      <c r="M783" s="87"/>
      <c r="N783" s="4"/>
      <c r="O783" s="1"/>
      <c r="P783" s="5"/>
      <c r="Q783" s="3"/>
      <c r="R783" s="3"/>
      <c r="S783" s="7"/>
      <c r="T783" s="1"/>
      <c r="U783" s="1"/>
      <c r="V783" s="1"/>
      <c r="W783" s="1"/>
      <c r="X783" s="1"/>
      <c r="Y783" s="1"/>
      <c r="Z783" s="1"/>
    </row>
    <row r="784" spans="1:26" ht="27" customHeight="1">
      <c r="A784" s="1"/>
      <c r="B784" s="1"/>
      <c r="C784" s="2"/>
      <c r="D784" s="87"/>
      <c r="E784" s="87"/>
      <c r="F784" s="87"/>
      <c r="G784" s="1"/>
      <c r="H784" s="1"/>
      <c r="I784" s="1"/>
      <c r="J784" s="1"/>
      <c r="K784" s="1"/>
      <c r="L784" s="87"/>
      <c r="M784" s="87"/>
      <c r="N784" s="4"/>
      <c r="O784" s="1"/>
      <c r="P784" s="5"/>
      <c r="Q784" s="3"/>
      <c r="R784" s="3"/>
      <c r="S784" s="7"/>
      <c r="T784" s="1"/>
      <c r="U784" s="1"/>
      <c r="V784" s="1"/>
      <c r="W784" s="1"/>
      <c r="X784" s="1"/>
      <c r="Y784" s="1"/>
      <c r="Z784" s="1"/>
    </row>
    <row r="785" spans="1:26" ht="27" customHeight="1">
      <c r="A785" s="1"/>
      <c r="B785" s="1"/>
      <c r="C785" s="2"/>
      <c r="D785" s="87"/>
      <c r="E785" s="87"/>
      <c r="F785" s="87"/>
      <c r="G785" s="1"/>
      <c r="H785" s="1"/>
      <c r="I785" s="1"/>
      <c r="J785" s="1"/>
      <c r="K785" s="1"/>
      <c r="L785" s="87"/>
      <c r="M785" s="87"/>
      <c r="N785" s="4"/>
      <c r="O785" s="1"/>
      <c r="P785" s="5"/>
      <c r="Q785" s="3"/>
      <c r="R785" s="3"/>
      <c r="S785" s="7"/>
      <c r="T785" s="1"/>
      <c r="U785" s="1"/>
      <c r="V785" s="1"/>
      <c r="W785" s="1"/>
      <c r="X785" s="1"/>
      <c r="Y785" s="1"/>
      <c r="Z785" s="1"/>
    </row>
    <row r="786" spans="1:26" ht="27" customHeight="1">
      <c r="A786" s="1"/>
      <c r="B786" s="1"/>
      <c r="C786" s="2"/>
      <c r="D786" s="87"/>
      <c r="E786" s="87"/>
      <c r="F786" s="87"/>
      <c r="G786" s="1"/>
      <c r="H786" s="1"/>
      <c r="I786" s="1"/>
      <c r="J786" s="1"/>
      <c r="K786" s="1"/>
      <c r="L786" s="87"/>
      <c r="M786" s="87"/>
      <c r="N786" s="4"/>
      <c r="O786" s="1"/>
      <c r="P786" s="5"/>
      <c r="Q786" s="3"/>
      <c r="R786" s="3"/>
      <c r="S786" s="7"/>
      <c r="T786" s="1"/>
      <c r="U786" s="1"/>
      <c r="V786" s="1"/>
      <c r="W786" s="1"/>
      <c r="X786" s="1"/>
      <c r="Y786" s="1"/>
      <c r="Z786" s="1"/>
    </row>
    <row r="787" spans="1:26" ht="27" customHeight="1">
      <c r="A787" s="1"/>
      <c r="B787" s="1"/>
      <c r="C787" s="2"/>
      <c r="D787" s="87"/>
      <c r="E787" s="87"/>
      <c r="F787" s="87"/>
      <c r="G787" s="1"/>
      <c r="H787" s="1"/>
      <c r="I787" s="1"/>
      <c r="J787" s="1"/>
      <c r="K787" s="1"/>
      <c r="L787" s="87"/>
      <c r="M787" s="87"/>
      <c r="N787" s="4"/>
      <c r="O787" s="1"/>
      <c r="P787" s="5"/>
      <c r="Q787" s="3"/>
      <c r="R787" s="3"/>
      <c r="S787" s="7"/>
      <c r="T787" s="1"/>
      <c r="U787" s="1"/>
      <c r="V787" s="1"/>
      <c r="W787" s="1"/>
      <c r="X787" s="1"/>
      <c r="Y787" s="1"/>
      <c r="Z787" s="1"/>
    </row>
    <row r="788" spans="1:26" ht="27" customHeight="1">
      <c r="A788" s="1"/>
      <c r="B788" s="1"/>
      <c r="C788" s="2"/>
      <c r="D788" s="87"/>
      <c r="E788" s="87"/>
      <c r="F788" s="87"/>
      <c r="G788" s="1"/>
      <c r="H788" s="1"/>
      <c r="I788" s="1"/>
      <c r="J788" s="1"/>
      <c r="K788" s="1"/>
      <c r="L788" s="87"/>
      <c r="M788" s="87"/>
      <c r="N788" s="4"/>
      <c r="O788" s="1"/>
      <c r="P788" s="5"/>
      <c r="Q788" s="3"/>
      <c r="R788" s="3"/>
      <c r="S788" s="7"/>
      <c r="T788" s="1"/>
      <c r="U788" s="1"/>
      <c r="V788" s="1"/>
      <c r="W788" s="1"/>
      <c r="X788" s="1"/>
      <c r="Y788" s="1"/>
      <c r="Z788" s="1"/>
    </row>
    <row r="789" spans="1:26" ht="27" customHeight="1">
      <c r="A789" s="1"/>
      <c r="B789" s="1"/>
      <c r="C789" s="2"/>
      <c r="D789" s="87"/>
      <c r="E789" s="87"/>
      <c r="F789" s="87"/>
      <c r="G789" s="1"/>
      <c r="H789" s="1"/>
      <c r="I789" s="1"/>
      <c r="J789" s="1"/>
      <c r="K789" s="1"/>
      <c r="L789" s="87"/>
      <c r="M789" s="87"/>
      <c r="N789" s="4"/>
      <c r="O789" s="1"/>
      <c r="P789" s="5"/>
      <c r="Q789" s="3"/>
      <c r="R789" s="3"/>
      <c r="S789" s="7"/>
      <c r="T789" s="1"/>
      <c r="U789" s="1"/>
      <c r="V789" s="1"/>
      <c r="W789" s="1"/>
      <c r="X789" s="1"/>
      <c r="Y789" s="1"/>
      <c r="Z789" s="1"/>
    </row>
    <row r="790" spans="1:26" ht="27" customHeight="1">
      <c r="A790" s="1"/>
      <c r="B790" s="1"/>
      <c r="C790" s="2"/>
      <c r="D790" s="87"/>
      <c r="E790" s="87"/>
      <c r="F790" s="87"/>
      <c r="G790" s="1"/>
      <c r="H790" s="1"/>
      <c r="I790" s="1"/>
      <c r="J790" s="1"/>
      <c r="K790" s="1"/>
      <c r="L790" s="87"/>
      <c r="M790" s="87"/>
      <c r="N790" s="4"/>
      <c r="O790" s="1"/>
      <c r="P790" s="5"/>
      <c r="Q790" s="3"/>
      <c r="R790" s="3"/>
      <c r="S790" s="7"/>
      <c r="T790" s="1"/>
      <c r="U790" s="1"/>
      <c r="V790" s="1"/>
      <c r="W790" s="1"/>
      <c r="X790" s="1"/>
      <c r="Y790" s="1"/>
      <c r="Z790" s="1"/>
    </row>
    <row r="791" spans="1:26" ht="27" customHeight="1">
      <c r="A791" s="1"/>
      <c r="B791" s="1"/>
      <c r="C791" s="2"/>
      <c r="D791" s="87"/>
      <c r="E791" s="87"/>
      <c r="F791" s="87"/>
      <c r="G791" s="1"/>
      <c r="H791" s="1"/>
      <c r="I791" s="1"/>
      <c r="J791" s="1"/>
      <c r="K791" s="1"/>
      <c r="L791" s="87"/>
      <c r="M791" s="87"/>
      <c r="N791" s="4"/>
      <c r="O791" s="1"/>
      <c r="P791" s="5"/>
      <c r="Q791" s="3"/>
      <c r="R791" s="3"/>
      <c r="S791" s="7"/>
      <c r="T791" s="1"/>
      <c r="U791" s="1"/>
      <c r="V791" s="1"/>
      <c r="W791" s="1"/>
      <c r="X791" s="1"/>
      <c r="Y791" s="1"/>
      <c r="Z791" s="1"/>
    </row>
    <row r="792" spans="1:26" ht="27" customHeight="1">
      <c r="A792" s="1"/>
      <c r="B792" s="1"/>
      <c r="C792" s="2"/>
      <c r="D792" s="87"/>
      <c r="E792" s="87"/>
      <c r="F792" s="87"/>
      <c r="G792" s="1"/>
      <c r="H792" s="1"/>
      <c r="I792" s="1"/>
      <c r="J792" s="1"/>
      <c r="K792" s="1"/>
      <c r="L792" s="87"/>
      <c r="M792" s="87"/>
      <c r="N792" s="4"/>
      <c r="O792" s="1"/>
      <c r="P792" s="5"/>
      <c r="Q792" s="3"/>
      <c r="R792" s="3"/>
      <c r="S792" s="7"/>
      <c r="T792" s="1"/>
      <c r="U792" s="1"/>
      <c r="V792" s="1"/>
      <c r="W792" s="1"/>
      <c r="X792" s="1"/>
      <c r="Y792" s="1"/>
      <c r="Z792" s="1"/>
    </row>
    <row r="793" spans="1:26" ht="27" customHeight="1">
      <c r="A793" s="1"/>
      <c r="B793" s="1"/>
      <c r="C793" s="2"/>
      <c r="D793" s="87"/>
      <c r="E793" s="87"/>
      <c r="F793" s="87"/>
      <c r="G793" s="1"/>
      <c r="H793" s="1"/>
      <c r="I793" s="1"/>
      <c r="J793" s="1"/>
      <c r="K793" s="1"/>
      <c r="L793" s="87"/>
      <c r="M793" s="87"/>
      <c r="N793" s="4"/>
      <c r="O793" s="1"/>
      <c r="P793" s="5"/>
      <c r="Q793" s="3"/>
      <c r="R793" s="3"/>
      <c r="S793" s="7"/>
      <c r="T793" s="1"/>
      <c r="U793" s="1"/>
      <c r="V793" s="1"/>
      <c r="W793" s="1"/>
      <c r="X793" s="1"/>
      <c r="Y793" s="1"/>
      <c r="Z793" s="1"/>
    </row>
    <row r="794" spans="1:26" ht="27" customHeight="1">
      <c r="A794" s="1"/>
      <c r="B794" s="1"/>
      <c r="C794" s="2"/>
      <c r="D794" s="87"/>
      <c r="E794" s="87"/>
      <c r="F794" s="87"/>
      <c r="G794" s="1"/>
      <c r="H794" s="1"/>
      <c r="I794" s="1"/>
      <c r="J794" s="1"/>
      <c r="K794" s="1"/>
      <c r="L794" s="87"/>
      <c r="M794" s="87"/>
      <c r="N794" s="4"/>
      <c r="O794" s="1"/>
      <c r="P794" s="5"/>
      <c r="Q794" s="3"/>
      <c r="R794" s="3"/>
      <c r="S794" s="7"/>
      <c r="T794" s="1"/>
      <c r="U794" s="1"/>
      <c r="V794" s="1"/>
      <c r="W794" s="1"/>
      <c r="X794" s="1"/>
      <c r="Y794" s="1"/>
      <c r="Z794" s="1"/>
    </row>
    <row r="795" spans="1:26" ht="27" customHeight="1">
      <c r="A795" s="1"/>
      <c r="B795" s="1"/>
      <c r="C795" s="2"/>
      <c r="D795" s="87"/>
      <c r="E795" s="87"/>
      <c r="F795" s="87"/>
      <c r="G795" s="1"/>
      <c r="H795" s="1"/>
      <c r="I795" s="1"/>
      <c r="J795" s="1"/>
      <c r="K795" s="1"/>
      <c r="L795" s="87"/>
      <c r="M795" s="87"/>
      <c r="N795" s="4"/>
      <c r="O795" s="1"/>
      <c r="P795" s="5"/>
      <c r="Q795" s="3"/>
      <c r="R795" s="3"/>
      <c r="S795" s="7"/>
      <c r="T795" s="1"/>
      <c r="U795" s="1"/>
      <c r="V795" s="1"/>
      <c r="W795" s="1"/>
      <c r="X795" s="1"/>
      <c r="Y795" s="1"/>
      <c r="Z795" s="1"/>
    </row>
    <row r="796" spans="1:26" ht="27" customHeight="1">
      <c r="A796" s="1"/>
      <c r="B796" s="1"/>
      <c r="C796" s="2"/>
      <c r="D796" s="87"/>
      <c r="E796" s="87"/>
      <c r="F796" s="87"/>
      <c r="G796" s="1"/>
      <c r="H796" s="1"/>
      <c r="I796" s="1"/>
      <c r="J796" s="1"/>
      <c r="K796" s="1"/>
      <c r="L796" s="87"/>
      <c r="M796" s="87"/>
      <c r="N796" s="4"/>
      <c r="O796" s="1"/>
      <c r="P796" s="5"/>
      <c r="Q796" s="3"/>
      <c r="R796" s="3"/>
      <c r="S796" s="7"/>
      <c r="T796" s="1"/>
      <c r="U796" s="1"/>
      <c r="V796" s="1"/>
      <c r="W796" s="1"/>
      <c r="X796" s="1"/>
      <c r="Y796" s="1"/>
      <c r="Z796" s="1"/>
    </row>
    <row r="797" spans="1:26" ht="27" customHeight="1">
      <c r="A797" s="1"/>
      <c r="B797" s="1"/>
      <c r="C797" s="2"/>
      <c r="D797" s="87"/>
      <c r="E797" s="87"/>
      <c r="F797" s="87"/>
      <c r="G797" s="1"/>
      <c r="H797" s="1"/>
      <c r="I797" s="1"/>
      <c r="J797" s="1"/>
      <c r="K797" s="1"/>
      <c r="L797" s="87"/>
      <c r="M797" s="87"/>
      <c r="N797" s="4"/>
      <c r="O797" s="1"/>
      <c r="P797" s="5"/>
      <c r="Q797" s="3"/>
      <c r="R797" s="3"/>
      <c r="S797" s="7"/>
      <c r="T797" s="1"/>
      <c r="U797" s="1"/>
      <c r="V797" s="1"/>
      <c r="W797" s="1"/>
      <c r="X797" s="1"/>
      <c r="Y797" s="1"/>
      <c r="Z797" s="1"/>
    </row>
    <row r="798" spans="1:26" ht="27" customHeight="1">
      <c r="A798" s="1"/>
      <c r="B798" s="1"/>
      <c r="C798" s="2"/>
      <c r="D798" s="87"/>
      <c r="E798" s="87"/>
      <c r="F798" s="87"/>
      <c r="G798" s="1"/>
      <c r="H798" s="1"/>
      <c r="I798" s="1"/>
      <c r="J798" s="1"/>
      <c r="K798" s="1"/>
      <c r="L798" s="87"/>
      <c r="M798" s="87"/>
      <c r="N798" s="4"/>
      <c r="O798" s="1"/>
      <c r="P798" s="5"/>
      <c r="Q798" s="3"/>
      <c r="R798" s="3"/>
      <c r="S798" s="7"/>
      <c r="T798" s="1"/>
      <c r="U798" s="1"/>
      <c r="V798" s="1"/>
      <c r="W798" s="1"/>
      <c r="X798" s="1"/>
      <c r="Y798" s="1"/>
      <c r="Z798" s="1"/>
    </row>
    <row r="799" spans="1:26" ht="27" customHeight="1">
      <c r="A799" s="1"/>
      <c r="B799" s="1"/>
      <c r="C799" s="2"/>
      <c r="D799" s="87"/>
      <c r="E799" s="87"/>
      <c r="F799" s="87"/>
      <c r="G799" s="1"/>
      <c r="H799" s="1"/>
      <c r="I799" s="1"/>
      <c r="J799" s="1"/>
      <c r="K799" s="1"/>
      <c r="L799" s="87"/>
      <c r="M799" s="87"/>
      <c r="N799" s="4"/>
      <c r="O799" s="1"/>
      <c r="P799" s="5"/>
      <c r="Q799" s="3"/>
      <c r="R799" s="3"/>
      <c r="S799" s="7"/>
      <c r="T799" s="1"/>
      <c r="U799" s="1"/>
      <c r="V799" s="1"/>
      <c r="W799" s="1"/>
      <c r="X799" s="1"/>
      <c r="Y799" s="1"/>
      <c r="Z799" s="1"/>
    </row>
    <row r="800" spans="1:26" ht="27" customHeight="1">
      <c r="A800" s="1"/>
      <c r="B800" s="1"/>
      <c r="C800" s="2"/>
      <c r="D800" s="87"/>
      <c r="E800" s="87"/>
      <c r="F800" s="87"/>
      <c r="G800" s="1"/>
      <c r="H800" s="1"/>
      <c r="I800" s="1"/>
      <c r="J800" s="1"/>
      <c r="K800" s="1"/>
      <c r="L800" s="87"/>
      <c r="M800" s="87"/>
      <c r="N800" s="4"/>
      <c r="O800" s="1"/>
      <c r="P800" s="5"/>
      <c r="Q800" s="3"/>
      <c r="R800" s="3"/>
      <c r="S800" s="7"/>
      <c r="T800" s="1"/>
      <c r="U800" s="1"/>
      <c r="V800" s="1"/>
      <c r="W800" s="1"/>
      <c r="X800" s="1"/>
      <c r="Y800" s="1"/>
      <c r="Z800" s="1"/>
    </row>
    <row r="801" spans="1:26" ht="27" customHeight="1">
      <c r="A801" s="1"/>
      <c r="B801" s="1"/>
      <c r="C801" s="2"/>
      <c r="D801" s="87"/>
      <c r="E801" s="87"/>
      <c r="F801" s="87"/>
      <c r="G801" s="1"/>
      <c r="H801" s="1"/>
      <c r="I801" s="1"/>
      <c r="J801" s="1"/>
      <c r="K801" s="1"/>
      <c r="L801" s="87"/>
      <c r="M801" s="87"/>
      <c r="N801" s="4"/>
      <c r="O801" s="1"/>
      <c r="P801" s="5"/>
      <c r="Q801" s="3"/>
      <c r="R801" s="3"/>
      <c r="S801" s="7"/>
      <c r="T801" s="1"/>
      <c r="U801" s="1"/>
      <c r="V801" s="1"/>
      <c r="W801" s="1"/>
      <c r="X801" s="1"/>
      <c r="Y801" s="1"/>
      <c r="Z801" s="1"/>
    </row>
    <row r="802" spans="1:26" ht="27" customHeight="1">
      <c r="A802" s="1"/>
      <c r="B802" s="1"/>
      <c r="C802" s="2"/>
      <c r="D802" s="87"/>
      <c r="E802" s="87"/>
      <c r="F802" s="87"/>
      <c r="G802" s="1"/>
      <c r="H802" s="1"/>
      <c r="I802" s="1"/>
      <c r="J802" s="1"/>
      <c r="K802" s="1"/>
      <c r="L802" s="87"/>
      <c r="M802" s="87"/>
      <c r="N802" s="4"/>
      <c r="O802" s="1"/>
      <c r="P802" s="5"/>
      <c r="Q802" s="3"/>
      <c r="R802" s="3"/>
      <c r="S802" s="7"/>
      <c r="T802" s="1"/>
      <c r="U802" s="1"/>
      <c r="V802" s="1"/>
      <c r="W802" s="1"/>
      <c r="X802" s="1"/>
      <c r="Y802" s="1"/>
      <c r="Z802" s="1"/>
    </row>
    <row r="803" spans="1:26" ht="27" customHeight="1">
      <c r="A803" s="1"/>
      <c r="B803" s="1"/>
      <c r="C803" s="2"/>
      <c r="D803" s="87"/>
      <c r="E803" s="87"/>
      <c r="F803" s="87"/>
      <c r="G803" s="1"/>
      <c r="H803" s="1"/>
      <c r="I803" s="1"/>
      <c r="J803" s="1"/>
      <c r="K803" s="1"/>
      <c r="L803" s="87"/>
      <c r="M803" s="87"/>
      <c r="N803" s="4"/>
      <c r="O803" s="1"/>
      <c r="P803" s="5"/>
      <c r="Q803" s="3"/>
      <c r="R803" s="3"/>
      <c r="S803" s="7"/>
      <c r="T803" s="1"/>
      <c r="U803" s="1"/>
      <c r="V803" s="1"/>
      <c r="W803" s="1"/>
      <c r="X803" s="1"/>
      <c r="Y803" s="1"/>
      <c r="Z803" s="1"/>
    </row>
    <row r="804" spans="1:26" ht="27" customHeight="1">
      <c r="A804" s="1"/>
      <c r="B804" s="1"/>
      <c r="C804" s="2"/>
      <c r="D804" s="87"/>
      <c r="E804" s="87"/>
      <c r="F804" s="87"/>
      <c r="G804" s="1"/>
      <c r="H804" s="1"/>
      <c r="I804" s="1"/>
      <c r="J804" s="1"/>
      <c r="K804" s="1"/>
      <c r="L804" s="87"/>
      <c r="M804" s="87"/>
      <c r="N804" s="4"/>
      <c r="O804" s="1"/>
      <c r="P804" s="5"/>
      <c r="Q804" s="3"/>
      <c r="R804" s="3"/>
      <c r="S804" s="7"/>
      <c r="T804" s="1"/>
      <c r="U804" s="1"/>
      <c r="V804" s="1"/>
      <c r="W804" s="1"/>
      <c r="X804" s="1"/>
      <c r="Y804" s="1"/>
      <c r="Z804" s="1"/>
    </row>
    <row r="805" spans="1:26" ht="27" customHeight="1">
      <c r="A805" s="1"/>
      <c r="B805" s="1"/>
      <c r="C805" s="2"/>
      <c r="D805" s="87"/>
      <c r="E805" s="87"/>
      <c r="F805" s="87"/>
      <c r="G805" s="1"/>
      <c r="H805" s="1"/>
      <c r="I805" s="1"/>
      <c r="J805" s="1"/>
      <c r="K805" s="1"/>
      <c r="L805" s="87"/>
      <c r="M805" s="87"/>
      <c r="N805" s="4"/>
      <c r="O805" s="1"/>
      <c r="P805" s="5"/>
      <c r="Q805" s="3"/>
      <c r="R805" s="3"/>
      <c r="S805" s="7"/>
      <c r="T805" s="1"/>
      <c r="U805" s="1"/>
      <c r="V805" s="1"/>
      <c r="W805" s="1"/>
      <c r="X805" s="1"/>
      <c r="Y805" s="1"/>
      <c r="Z805" s="1"/>
    </row>
    <row r="806" spans="1:26" ht="27" customHeight="1">
      <c r="A806" s="1"/>
      <c r="B806" s="1"/>
      <c r="C806" s="2"/>
      <c r="D806" s="87"/>
      <c r="E806" s="87"/>
      <c r="F806" s="87"/>
      <c r="G806" s="1"/>
      <c r="H806" s="1"/>
      <c r="I806" s="1"/>
      <c r="J806" s="1"/>
      <c r="K806" s="1"/>
      <c r="L806" s="87"/>
      <c r="M806" s="87"/>
      <c r="N806" s="4"/>
      <c r="O806" s="1"/>
      <c r="P806" s="5"/>
      <c r="Q806" s="3"/>
      <c r="R806" s="3"/>
      <c r="S806" s="7"/>
      <c r="T806" s="1"/>
      <c r="U806" s="1"/>
      <c r="V806" s="1"/>
      <c r="W806" s="1"/>
      <c r="X806" s="1"/>
      <c r="Y806" s="1"/>
      <c r="Z806" s="1"/>
    </row>
    <row r="807" spans="1:26" ht="27" customHeight="1">
      <c r="A807" s="1"/>
      <c r="B807" s="1"/>
      <c r="C807" s="2"/>
      <c r="D807" s="87"/>
      <c r="E807" s="87"/>
      <c r="F807" s="87"/>
      <c r="G807" s="1"/>
      <c r="H807" s="1"/>
      <c r="I807" s="1"/>
      <c r="J807" s="1"/>
      <c r="K807" s="1"/>
      <c r="L807" s="87"/>
      <c r="M807" s="87"/>
      <c r="N807" s="4"/>
      <c r="O807" s="1"/>
      <c r="P807" s="5"/>
      <c r="Q807" s="3"/>
      <c r="R807" s="3"/>
      <c r="S807" s="7"/>
      <c r="T807" s="1"/>
      <c r="U807" s="1"/>
      <c r="V807" s="1"/>
      <c r="W807" s="1"/>
      <c r="X807" s="1"/>
      <c r="Y807" s="1"/>
      <c r="Z807" s="1"/>
    </row>
    <row r="808" spans="1:26" ht="27" customHeight="1">
      <c r="A808" s="1"/>
      <c r="B808" s="1"/>
      <c r="C808" s="2"/>
      <c r="D808" s="87"/>
      <c r="E808" s="87"/>
      <c r="F808" s="87"/>
      <c r="G808" s="1"/>
      <c r="H808" s="1"/>
      <c r="I808" s="1"/>
      <c r="J808" s="1"/>
      <c r="K808" s="1"/>
      <c r="L808" s="87"/>
      <c r="M808" s="87"/>
      <c r="N808" s="4"/>
      <c r="O808" s="1"/>
      <c r="P808" s="5"/>
      <c r="Q808" s="3"/>
      <c r="R808" s="3"/>
      <c r="S808" s="7"/>
      <c r="T808" s="1"/>
      <c r="U808" s="1"/>
      <c r="V808" s="1"/>
      <c r="W808" s="1"/>
      <c r="X808" s="1"/>
      <c r="Y808" s="1"/>
      <c r="Z808" s="1"/>
    </row>
    <row r="809" spans="1:26" ht="27" customHeight="1">
      <c r="A809" s="1"/>
      <c r="B809" s="1"/>
      <c r="C809" s="2"/>
      <c r="D809" s="87"/>
      <c r="E809" s="87"/>
      <c r="F809" s="87"/>
      <c r="G809" s="1"/>
      <c r="H809" s="1"/>
      <c r="I809" s="1"/>
      <c r="J809" s="1"/>
      <c r="K809" s="1"/>
      <c r="L809" s="87"/>
      <c r="M809" s="87"/>
      <c r="N809" s="4"/>
      <c r="O809" s="1"/>
      <c r="P809" s="5"/>
      <c r="Q809" s="3"/>
      <c r="R809" s="3"/>
      <c r="S809" s="7"/>
      <c r="T809" s="1"/>
      <c r="U809" s="1"/>
      <c r="V809" s="1"/>
      <c r="W809" s="1"/>
      <c r="X809" s="1"/>
      <c r="Y809" s="1"/>
      <c r="Z809" s="1"/>
    </row>
    <row r="810" spans="1:26" ht="27" customHeight="1">
      <c r="A810" s="1"/>
      <c r="B810" s="1"/>
      <c r="C810" s="2"/>
      <c r="D810" s="87"/>
      <c r="E810" s="87"/>
      <c r="F810" s="87"/>
      <c r="G810" s="1"/>
      <c r="H810" s="1"/>
      <c r="I810" s="1"/>
      <c r="J810" s="1"/>
      <c r="K810" s="1"/>
      <c r="L810" s="87"/>
      <c r="M810" s="87"/>
      <c r="N810" s="4"/>
      <c r="O810" s="1"/>
      <c r="P810" s="5"/>
      <c r="Q810" s="3"/>
      <c r="R810" s="3"/>
      <c r="S810" s="7"/>
      <c r="T810" s="1"/>
      <c r="U810" s="1"/>
      <c r="V810" s="1"/>
      <c r="W810" s="1"/>
      <c r="X810" s="1"/>
      <c r="Y810" s="1"/>
      <c r="Z810" s="1"/>
    </row>
    <row r="811" spans="1:26" ht="27" customHeight="1">
      <c r="A811" s="1"/>
      <c r="B811" s="1"/>
      <c r="C811" s="2"/>
      <c r="D811" s="87"/>
      <c r="E811" s="87"/>
      <c r="F811" s="87"/>
      <c r="G811" s="1"/>
      <c r="H811" s="1"/>
      <c r="I811" s="1"/>
      <c r="J811" s="1"/>
      <c r="K811" s="1"/>
      <c r="L811" s="87"/>
      <c r="M811" s="87"/>
      <c r="N811" s="4"/>
      <c r="O811" s="1"/>
      <c r="P811" s="5"/>
      <c r="Q811" s="3"/>
      <c r="R811" s="3"/>
      <c r="S811" s="7"/>
      <c r="T811" s="1"/>
      <c r="U811" s="1"/>
      <c r="V811" s="1"/>
      <c r="W811" s="1"/>
      <c r="X811" s="1"/>
      <c r="Y811" s="1"/>
      <c r="Z811" s="1"/>
    </row>
    <row r="812" spans="1:26" ht="27" customHeight="1">
      <c r="A812" s="1"/>
      <c r="B812" s="1"/>
      <c r="C812" s="2"/>
      <c r="D812" s="87"/>
      <c r="E812" s="87"/>
      <c r="F812" s="87"/>
      <c r="G812" s="1"/>
      <c r="H812" s="1"/>
      <c r="I812" s="1"/>
      <c r="J812" s="1"/>
      <c r="K812" s="1"/>
      <c r="L812" s="87"/>
      <c r="M812" s="87"/>
      <c r="N812" s="4"/>
      <c r="O812" s="1"/>
      <c r="P812" s="5"/>
      <c r="Q812" s="3"/>
      <c r="R812" s="3"/>
      <c r="S812" s="7"/>
      <c r="T812" s="1"/>
      <c r="U812" s="1"/>
      <c r="V812" s="1"/>
      <c r="W812" s="1"/>
      <c r="X812" s="1"/>
      <c r="Y812" s="1"/>
      <c r="Z812" s="1"/>
    </row>
    <row r="813" spans="1:26" ht="27" customHeight="1">
      <c r="A813" s="1"/>
      <c r="B813" s="1"/>
      <c r="C813" s="2"/>
      <c r="D813" s="87"/>
      <c r="E813" s="87"/>
      <c r="F813" s="87"/>
      <c r="G813" s="1"/>
      <c r="H813" s="1"/>
      <c r="I813" s="1"/>
      <c r="J813" s="1"/>
      <c r="K813" s="1"/>
      <c r="L813" s="87"/>
      <c r="M813" s="87"/>
      <c r="N813" s="4"/>
      <c r="O813" s="1"/>
      <c r="P813" s="5"/>
      <c r="Q813" s="3"/>
      <c r="R813" s="3"/>
      <c r="S813" s="7"/>
      <c r="T813" s="1"/>
      <c r="U813" s="1"/>
      <c r="V813" s="1"/>
      <c r="W813" s="1"/>
      <c r="X813" s="1"/>
      <c r="Y813" s="1"/>
      <c r="Z813" s="1"/>
    </row>
    <row r="814" spans="1:26" ht="27" customHeight="1">
      <c r="A814" s="1"/>
      <c r="B814" s="1"/>
      <c r="C814" s="2"/>
      <c r="D814" s="87"/>
      <c r="E814" s="87"/>
      <c r="F814" s="87"/>
      <c r="G814" s="1"/>
      <c r="H814" s="1"/>
      <c r="I814" s="1"/>
      <c r="J814" s="1"/>
      <c r="K814" s="1"/>
      <c r="L814" s="87"/>
      <c r="M814" s="87"/>
      <c r="N814" s="4"/>
      <c r="O814" s="1"/>
      <c r="P814" s="5"/>
      <c r="Q814" s="3"/>
      <c r="R814" s="3"/>
      <c r="S814" s="7"/>
      <c r="T814" s="1"/>
      <c r="U814" s="1"/>
      <c r="V814" s="1"/>
      <c r="W814" s="1"/>
      <c r="X814" s="1"/>
      <c r="Y814" s="1"/>
      <c r="Z814" s="1"/>
    </row>
    <row r="815" spans="1:26" ht="27" customHeight="1">
      <c r="A815" s="1"/>
      <c r="B815" s="1"/>
      <c r="C815" s="2"/>
      <c r="D815" s="87"/>
      <c r="E815" s="87"/>
      <c r="F815" s="87"/>
      <c r="G815" s="1"/>
      <c r="H815" s="1"/>
      <c r="I815" s="1"/>
      <c r="J815" s="1"/>
      <c r="K815" s="1"/>
      <c r="L815" s="87"/>
      <c r="M815" s="87"/>
      <c r="N815" s="4"/>
      <c r="O815" s="1"/>
      <c r="P815" s="5"/>
      <c r="Q815" s="3"/>
      <c r="R815" s="3"/>
      <c r="S815" s="7"/>
      <c r="T815" s="1"/>
      <c r="U815" s="1"/>
      <c r="V815" s="1"/>
      <c r="W815" s="1"/>
      <c r="X815" s="1"/>
      <c r="Y815" s="1"/>
      <c r="Z815" s="1"/>
    </row>
    <row r="816" spans="1:26" ht="27" customHeight="1">
      <c r="A816" s="1"/>
      <c r="B816" s="1"/>
      <c r="C816" s="2"/>
      <c r="D816" s="87"/>
      <c r="E816" s="87"/>
      <c r="F816" s="87"/>
      <c r="G816" s="1"/>
      <c r="H816" s="1"/>
      <c r="I816" s="1"/>
      <c r="J816" s="1"/>
      <c r="K816" s="1"/>
      <c r="L816" s="87"/>
      <c r="M816" s="87"/>
      <c r="N816" s="4"/>
      <c r="O816" s="1"/>
      <c r="P816" s="5"/>
      <c r="Q816" s="3"/>
      <c r="R816" s="3"/>
      <c r="S816" s="7"/>
      <c r="T816" s="1"/>
      <c r="U816" s="1"/>
      <c r="V816" s="1"/>
      <c r="W816" s="1"/>
      <c r="X816" s="1"/>
      <c r="Y816" s="1"/>
      <c r="Z816" s="1"/>
    </row>
    <row r="817" spans="1:26" ht="27" customHeight="1">
      <c r="A817" s="1"/>
      <c r="B817" s="1"/>
      <c r="C817" s="2"/>
      <c r="D817" s="87"/>
      <c r="E817" s="87"/>
      <c r="F817" s="87"/>
      <c r="G817" s="1"/>
      <c r="H817" s="1"/>
      <c r="I817" s="1"/>
      <c r="J817" s="1"/>
      <c r="K817" s="1"/>
      <c r="L817" s="87"/>
      <c r="M817" s="87"/>
      <c r="N817" s="4"/>
      <c r="O817" s="1"/>
      <c r="P817" s="5"/>
      <c r="Q817" s="3"/>
      <c r="R817" s="3"/>
      <c r="S817" s="7"/>
      <c r="T817" s="1"/>
      <c r="U817" s="1"/>
      <c r="V817" s="1"/>
      <c r="W817" s="1"/>
      <c r="X817" s="1"/>
      <c r="Y817" s="1"/>
      <c r="Z817" s="1"/>
    </row>
    <row r="818" spans="1:26" ht="27" customHeight="1">
      <c r="A818" s="1"/>
      <c r="B818" s="1"/>
      <c r="C818" s="2"/>
      <c r="D818" s="87"/>
      <c r="E818" s="87"/>
      <c r="F818" s="87"/>
      <c r="G818" s="1"/>
      <c r="H818" s="1"/>
      <c r="I818" s="1"/>
      <c r="J818" s="1"/>
      <c r="K818" s="1"/>
      <c r="L818" s="87"/>
      <c r="M818" s="87"/>
      <c r="N818" s="4"/>
      <c r="O818" s="1"/>
      <c r="P818" s="5"/>
      <c r="Q818" s="3"/>
      <c r="R818" s="3"/>
      <c r="S818" s="7"/>
      <c r="T818" s="1"/>
      <c r="U818" s="1"/>
      <c r="V818" s="1"/>
      <c r="W818" s="1"/>
      <c r="X818" s="1"/>
      <c r="Y818" s="1"/>
      <c r="Z818" s="1"/>
    </row>
    <row r="819" spans="1:26" ht="27" customHeight="1">
      <c r="A819" s="1"/>
      <c r="B819" s="1"/>
      <c r="C819" s="2"/>
      <c r="D819" s="87"/>
      <c r="E819" s="87"/>
      <c r="F819" s="87"/>
      <c r="G819" s="1"/>
      <c r="H819" s="1"/>
      <c r="I819" s="1"/>
      <c r="J819" s="1"/>
      <c r="K819" s="1"/>
      <c r="L819" s="87"/>
      <c r="M819" s="87"/>
      <c r="N819" s="4"/>
      <c r="O819" s="1"/>
      <c r="P819" s="5"/>
      <c r="Q819" s="3"/>
      <c r="R819" s="3"/>
      <c r="S819" s="7"/>
      <c r="T819" s="1"/>
      <c r="U819" s="1"/>
      <c r="V819" s="1"/>
      <c r="W819" s="1"/>
      <c r="X819" s="1"/>
      <c r="Y819" s="1"/>
      <c r="Z819" s="1"/>
    </row>
    <row r="820" spans="1:26" ht="27" customHeight="1">
      <c r="A820" s="1"/>
      <c r="B820" s="1"/>
      <c r="C820" s="2"/>
      <c r="D820" s="87"/>
      <c r="E820" s="87"/>
      <c r="F820" s="87"/>
      <c r="G820" s="1"/>
      <c r="H820" s="1"/>
      <c r="I820" s="1"/>
      <c r="J820" s="1"/>
      <c r="K820" s="1"/>
      <c r="L820" s="87"/>
      <c r="M820" s="87"/>
      <c r="N820" s="4"/>
      <c r="O820" s="1"/>
      <c r="P820" s="5"/>
      <c r="Q820" s="3"/>
      <c r="R820" s="3"/>
      <c r="S820" s="7"/>
      <c r="T820" s="1"/>
      <c r="U820" s="1"/>
      <c r="V820" s="1"/>
      <c r="W820" s="1"/>
      <c r="X820" s="1"/>
      <c r="Y820" s="1"/>
      <c r="Z820" s="1"/>
    </row>
    <row r="821" spans="1:26" ht="27" customHeight="1">
      <c r="A821" s="1"/>
      <c r="B821" s="1"/>
      <c r="C821" s="2"/>
      <c r="D821" s="87"/>
      <c r="E821" s="87"/>
      <c r="F821" s="87"/>
      <c r="G821" s="1"/>
      <c r="H821" s="1"/>
      <c r="I821" s="1"/>
      <c r="J821" s="1"/>
      <c r="K821" s="1"/>
      <c r="L821" s="87"/>
      <c r="M821" s="87"/>
      <c r="N821" s="4"/>
      <c r="O821" s="1"/>
      <c r="P821" s="5"/>
      <c r="Q821" s="3"/>
      <c r="R821" s="3"/>
      <c r="S821" s="7"/>
      <c r="T821" s="1"/>
      <c r="U821" s="1"/>
      <c r="V821" s="1"/>
      <c r="W821" s="1"/>
      <c r="X821" s="1"/>
      <c r="Y821" s="1"/>
      <c r="Z821" s="1"/>
    </row>
    <row r="822" spans="1:26" ht="27" customHeight="1">
      <c r="A822" s="1"/>
      <c r="B822" s="1"/>
      <c r="C822" s="2"/>
      <c r="D822" s="87"/>
      <c r="E822" s="87"/>
      <c r="F822" s="87"/>
      <c r="G822" s="1"/>
      <c r="H822" s="1"/>
      <c r="I822" s="1"/>
      <c r="J822" s="1"/>
      <c r="K822" s="1"/>
      <c r="L822" s="87"/>
      <c r="M822" s="87"/>
      <c r="N822" s="4"/>
      <c r="O822" s="1"/>
      <c r="P822" s="5"/>
      <c r="Q822" s="3"/>
      <c r="R822" s="3"/>
      <c r="S822" s="7"/>
      <c r="T822" s="1"/>
      <c r="U822" s="1"/>
      <c r="V822" s="1"/>
      <c r="W822" s="1"/>
      <c r="X822" s="1"/>
      <c r="Y822" s="1"/>
      <c r="Z822" s="1"/>
    </row>
    <row r="823" spans="1:26" ht="27" customHeight="1">
      <c r="A823" s="1"/>
      <c r="B823" s="1"/>
      <c r="C823" s="2"/>
      <c r="D823" s="87"/>
      <c r="E823" s="87"/>
      <c r="F823" s="87"/>
      <c r="G823" s="1"/>
      <c r="H823" s="1"/>
      <c r="I823" s="1"/>
      <c r="J823" s="1"/>
      <c r="K823" s="1"/>
      <c r="L823" s="87"/>
      <c r="M823" s="87"/>
      <c r="N823" s="4"/>
      <c r="O823" s="1"/>
      <c r="P823" s="5"/>
      <c r="Q823" s="3"/>
      <c r="R823" s="3"/>
      <c r="S823" s="7"/>
      <c r="T823" s="1"/>
      <c r="U823" s="1"/>
      <c r="V823" s="1"/>
      <c r="W823" s="1"/>
      <c r="X823" s="1"/>
      <c r="Y823" s="1"/>
      <c r="Z823" s="1"/>
    </row>
    <row r="824" spans="1:26" ht="27" customHeight="1">
      <c r="A824" s="1"/>
      <c r="B824" s="1"/>
      <c r="C824" s="2"/>
      <c r="D824" s="87"/>
      <c r="E824" s="87"/>
      <c r="F824" s="87"/>
      <c r="G824" s="1"/>
      <c r="H824" s="1"/>
      <c r="I824" s="1"/>
      <c r="J824" s="1"/>
      <c r="K824" s="1"/>
      <c r="L824" s="87"/>
      <c r="M824" s="87"/>
      <c r="N824" s="4"/>
      <c r="O824" s="1"/>
      <c r="P824" s="5"/>
      <c r="Q824" s="3"/>
      <c r="R824" s="3"/>
      <c r="S824" s="7"/>
      <c r="T824" s="1"/>
      <c r="U824" s="1"/>
      <c r="V824" s="1"/>
      <c r="W824" s="1"/>
      <c r="X824" s="1"/>
      <c r="Y824" s="1"/>
      <c r="Z824" s="1"/>
    </row>
    <row r="825" spans="1:26" ht="27" customHeight="1">
      <c r="A825" s="1"/>
      <c r="B825" s="1"/>
      <c r="C825" s="2"/>
      <c r="D825" s="87"/>
      <c r="E825" s="87"/>
      <c r="F825" s="87"/>
      <c r="G825" s="1"/>
      <c r="H825" s="1"/>
      <c r="I825" s="1"/>
      <c r="J825" s="1"/>
      <c r="K825" s="1"/>
      <c r="L825" s="87"/>
      <c r="M825" s="87"/>
      <c r="N825" s="4"/>
      <c r="O825" s="1"/>
      <c r="P825" s="5"/>
      <c r="Q825" s="3"/>
      <c r="R825" s="3"/>
      <c r="S825" s="7"/>
      <c r="T825" s="1"/>
      <c r="U825" s="1"/>
      <c r="V825" s="1"/>
      <c r="W825" s="1"/>
      <c r="X825" s="1"/>
      <c r="Y825" s="1"/>
      <c r="Z825" s="1"/>
    </row>
    <row r="826" spans="1:26" ht="27" customHeight="1">
      <c r="A826" s="1"/>
      <c r="B826" s="1"/>
      <c r="C826" s="2"/>
      <c r="D826" s="87"/>
      <c r="E826" s="87"/>
      <c r="F826" s="87"/>
      <c r="G826" s="1"/>
      <c r="H826" s="1"/>
      <c r="I826" s="1"/>
      <c r="J826" s="1"/>
      <c r="K826" s="1"/>
      <c r="L826" s="87"/>
      <c r="M826" s="87"/>
      <c r="N826" s="4"/>
      <c r="O826" s="1"/>
      <c r="P826" s="5"/>
      <c r="Q826" s="3"/>
      <c r="R826" s="3"/>
      <c r="S826" s="7"/>
      <c r="T826" s="1"/>
      <c r="U826" s="1"/>
      <c r="V826" s="1"/>
      <c r="W826" s="1"/>
      <c r="X826" s="1"/>
      <c r="Y826" s="1"/>
      <c r="Z826" s="1"/>
    </row>
    <row r="827" spans="1:26" ht="27" customHeight="1">
      <c r="A827" s="1"/>
      <c r="B827" s="1"/>
      <c r="C827" s="2"/>
      <c r="D827" s="87"/>
      <c r="E827" s="87"/>
      <c r="F827" s="87"/>
      <c r="G827" s="1"/>
      <c r="H827" s="1"/>
      <c r="I827" s="1"/>
      <c r="J827" s="1"/>
      <c r="K827" s="1"/>
      <c r="L827" s="87"/>
      <c r="M827" s="87"/>
      <c r="N827" s="4"/>
      <c r="O827" s="1"/>
      <c r="P827" s="5"/>
      <c r="Q827" s="3"/>
      <c r="R827" s="3"/>
      <c r="S827" s="7"/>
      <c r="T827" s="1"/>
      <c r="U827" s="1"/>
      <c r="V827" s="1"/>
      <c r="W827" s="1"/>
      <c r="X827" s="1"/>
      <c r="Y827" s="1"/>
      <c r="Z827" s="1"/>
    </row>
    <row r="828" spans="1:26" ht="27" customHeight="1">
      <c r="A828" s="1"/>
      <c r="B828" s="1"/>
      <c r="C828" s="2"/>
      <c r="D828" s="87"/>
      <c r="E828" s="87"/>
      <c r="F828" s="87"/>
      <c r="G828" s="1"/>
      <c r="H828" s="1"/>
      <c r="I828" s="1"/>
      <c r="J828" s="1"/>
      <c r="K828" s="1"/>
      <c r="L828" s="87"/>
      <c r="M828" s="87"/>
      <c r="N828" s="4"/>
      <c r="O828" s="1"/>
      <c r="P828" s="5"/>
      <c r="Q828" s="3"/>
      <c r="R828" s="3"/>
      <c r="S828" s="7"/>
      <c r="T828" s="1"/>
      <c r="U828" s="1"/>
      <c r="V828" s="1"/>
      <c r="W828" s="1"/>
      <c r="X828" s="1"/>
      <c r="Y828" s="1"/>
      <c r="Z828" s="1"/>
    </row>
    <row r="829" spans="1:26" ht="27" customHeight="1">
      <c r="A829" s="1"/>
      <c r="B829" s="1"/>
      <c r="C829" s="2"/>
      <c r="D829" s="87"/>
      <c r="E829" s="87"/>
      <c r="F829" s="87"/>
      <c r="G829" s="1"/>
      <c r="H829" s="1"/>
      <c r="I829" s="1"/>
      <c r="J829" s="1"/>
      <c r="K829" s="1"/>
      <c r="L829" s="87"/>
      <c r="M829" s="87"/>
      <c r="N829" s="4"/>
      <c r="O829" s="1"/>
      <c r="P829" s="5"/>
      <c r="Q829" s="3"/>
      <c r="R829" s="3"/>
      <c r="S829" s="7"/>
      <c r="T829" s="1"/>
      <c r="U829" s="1"/>
      <c r="V829" s="1"/>
      <c r="W829" s="1"/>
      <c r="X829" s="1"/>
      <c r="Y829" s="1"/>
      <c r="Z829" s="1"/>
    </row>
    <row r="830" spans="1:26" ht="27" customHeight="1">
      <c r="A830" s="1"/>
      <c r="B830" s="1"/>
      <c r="C830" s="2"/>
      <c r="D830" s="87"/>
      <c r="E830" s="87"/>
      <c r="F830" s="87"/>
      <c r="G830" s="1"/>
      <c r="H830" s="1"/>
      <c r="I830" s="1"/>
      <c r="J830" s="1"/>
      <c r="K830" s="1"/>
      <c r="L830" s="87"/>
      <c r="M830" s="87"/>
      <c r="N830" s="4"/>
      <c r="O830" s="1"/>
      <c r="P830" s="5"/>
      <c r="Q830" s="3"/>
      <c r="R830" s="3"/>
      <c r="S830" s="7"/>
      <c r="T830" s="1"/>
      <c r="U830" s="1"/>
      <c r="V830" s="1"/>
      <c r="W830" s="1"/>
      <c r="X830" s="1"/>
      <c r="Y830" s="1"/>
      <c r="Z830" s="1"/>
    </row>
    <row r="831" spans="1:26" ht="27" customHeight="1">
      <c r="A831" s="1"/>
      <c r="B831" s="1"/>
      <c r="C831" s="2"/>
      <c r="D831" s="87"/>
      <c r="E831" s="87"/>
      <c r="F831" s="87"/>
      <c r="G831" s="1"/>
      <c r="H831" s="1"/>
      <c r="I831" s="1"/>
      <c r="J831" s="1"/>
      <c r="K831" s="1"/>
      <c r="L831" s="87"/>
      <c r="M831" s="87"/>
      <c r="N831" s="4"/>
      <c r="O831" s="1"/>
      <c r="P831" s="5"/>
      <c r="Q831" s="3"/>
      <c r="R831" s="3"/>
      <c r="S831" s="7"/>
      <c r="T831" s="1"/>
      <c r="U831" s="1"/>
      <c r="V831" s="1"/>
      <c r="W831" s="1"/>
      <c r="X831" s="1"/>
      <c r="Y831" s="1"/>
      <c r="Z831" s="1"/>
    </row>
    <row r="832" spans="1:26" ht="27" customHeight="1">
      <c r="A832" s="1"/>
      <c r="B832" s="1"/>
      <c r="C832" s="2"/>
      <c r="D832" s="87"/>
      <c r="E832" s="87"/>
      <c r="F832" s="87"/>
      <c r="G832" s="1"/>
      <c r="H832" s="1"/>
      <c r="I832" s="1"/>
      <c r="J832" s="1"/>
      <c r="K832" s="1"/>
      <c r="L832" s="87"/>
      <c r="M832" s="87"/>
      <c r="N832" s="4"/>
      <c r="O832" s="1"/>
      <c r="P832" s="5"/>
      <c r="Q832" s="3"/>
      <c r="R832" s="3"/>
      <c r="S832" s="7"/>
      <c r="T832" s="1"/>
      <c r="U832" s="1"/>
      <c r="V832" s="1"/>
      <c r="W832" s="1"/>
      <c r="X832" s="1"/>
      <c r="Y832" s="1"/>
      <c r="Z832" s="1"/>
    </row>
    <row r="833" spans="1:26" ht="27" customHeight="1">
      <c r="A833" s="1"/>
      <c r="B833" s="1"/>
      <c r="C833" s="2"/>
      <c r="D833" s="87"/>
      <c r="E833" s="87"/>
      <c r="F833" s="87"/>
      <c r="G833" s="1"/>
      <c r="H833" s="1"/>
      <c r="I833" s="1"/>
      <c r="J833" s="1"/>
      <c r="K833" s="1"/>
      <c r="L833" s="87"/>
      <c r="M833" s="87"/>
      <c r="N833" s="4"/>
      <c r="O833" s="1"/>
      <c r="P833" s="5"/>
      <c r="Q833" s="3"/>
      <c r="R833" s="3"/>
      <c r="S833" s="7"/>
      <c r="T833" s="1"/>
      <c r="U833" s="1"/>
      <c r="V833" s="1"/>
      <c r="W833" s="1"/>
      <c r="X833" s="1"/>
      <c r="Y833" s="1"/>
      <c r="Z833" s="1"/>
    </row>
    <row r="834" spans="1:26" ht="27" customHeight="1">
      <c r="A834" s="1"/>
      <c r="B834" s="1"/>
      <c r="C834" s="2"/>
      <c r="D834" s="87"/>
      <c r="E834" s="87"/>
      <c r="F834" s="87"/>
      <c r="G834" s="1"/>
      <c r="H834" s="1"/>
      <c r="I834" s="1"/>
      <c r="J834" s="1"/>
      <c r="K834" s="1"/>
      <c r="L834" s="87"/>
      <c r="M834" s="87"/>
      <c r="N834" s="4"/>
      <c r="O834" s="1"/>
      <c r="P834" s="5"/>
      <c r="Q834" s="3"/>
      <c r="R834" s="3"/>
      <c r="S834" s="7"/>
      <c r="T834" s="1"/>
      <c r="U834" s="1"/>
      <c r="V834" s="1"/>
      <c r="W834" s="1"/>
      <c r="X834" s="1"/>
      <c r="Y834" s="1"/>
      <c r="Z834" s="1"/>
    </row>
    <row r="835" spans="1:26" ht="27" customHeight="1">
      <c r="A835" s="1"/>
      <c r="B835" s="1"/>
      <c r="C835" s="2"/>
      <c r="D835" s="87"/>
      <c r="E835" s="87"/>
      <c r="F835" s="87"/>
      <c r="G835" s="1"/>
      <c r="H835" s="1"/>
      <c r="I835" s="1"/>
      <c r="J835" s="1"/>
      <c r="K835" s="1"/>
      <c r="L835" s="87"/>
      <c r="M835" s="87"/>
      <c r="N835" s="4"/>
      <c r="O835" s="1"/>
      <c r="P835" s="5"/>
      <c r="Q835" s="3"/>
      <c r="R835" s="3"/>
      <c r="S835" s="7"/>
      <c r="T835" s="1"/>
      <c r="U835" s="1"/>
      <c r="V835" s="1"/>
      <c r="W835" s="1"/>
      <c r="X835" s="1"/>
      <c r="Y835" s="1"/>
      <c r="Z835" s="1"/>
    </row>
    <row r="836" spans="1:26" ht="27" customHeight="1">
      <c r="A836" s="1"/>
      <c r="B836" s="1"/>
      <c r="C836" s="2"/>
      <c r="D836" s="87"/>
      <c r="E836" s="87"/>
      <c r="F836" s="87"/>
      <c r="G836" s="1"/>
      <c r="H836" s="1"/>
      <c r="I836" s="1"/>
      <c r="J836" s="1"/>
      <c r="K836" s="1"/>
      <c r="L836" s="87"/>
      <c r="M836" s="87"/>
      <c r="N836" s="4"/>
      <c r="O836" s="1"/>
      <c r="P836" s="5"/>
      <c r="Q836" s="3"/>
      <c r="R836" s="3"/>
      <c r="S836" s="7"/>
      <c r="T836" s="1"/>
      <c r="U836" s="1"/>
      <c r="V836" s="1"/>
      <c r="W836" s="1"/>
      <c r="X836" s="1"/>
      <c r="Y836" s="1"/>
      <c r="Z836" s="1"/>
    </row>
    <row r="837" spans="1:26" ht="27" customHeight="1">
      <c r="A837" s="1"/>
      <c r="B837" s="1"/>
      <c r="C837" s="2"/>
      <c r="D837" s="87"/>
      <c r="E837" s="87"/>
      <c r="F837" s="87"/>
      <c r="G837" s="1"/>
      <c r="H837" s="1"/>
      <c r="I837" s="1"/>
      <c r="J837" s="1"/>
      <c r="K837" s="1"/>
      <c r="L837" s="87"/>
      <c r="M837" s="87"/>
      <c r="N837" s="4"/>
      <c r="O837" s="1"/>
      <c r="P837" s="5"/>
      <c r="Q837" s="3"/>
      <c r="R837" s="3"/>
      <c r="S837" s="7"/>
      <c r="T837" s="1"/>
      <c r="U837" s="1"/>
      <c r="V837" s="1"/>
      <c r="W837" s="1"/>
      <c r="X837" s="1"/>
      <c r="Y837" s="1"/>
      <c r="Z837" s="1"/>
    </row>
    <row r="838" spans="1:26" ht="27" customHeight="1">
      <c r="A838" s="1"/>
      <c r="B838" s="1"/>
      <c r="C838" s="2"/>
      <c r="D838" s="87"/>
      <c r="E838" s="87"/>
      <c r="F838" s="87"/>
      <c r="G838" s="1"/>
      <c r="H838" s="1"/>
      <c r="I838" s="1"/>
      <c r="J838" s="1"/>
      <c r="K838" s="1"/>
      <c r="L838" s="87"/>
      <c r="M838" s="87"/>
      <c r="N838" s="4"/>
      <c r="O838" s="1"/>
      <c r="P838" s="5"/>
      <c r="Q838" s="3"/>
      <c r="R838" s="3"/>
      <c r="S838" s="7"/>
      <c r="T838" s="1"/>
      <c r="U838" s="1"/>
      <c r="V838" s="1"/>
      <c r="W838" s="1"/>
      <c r="X838" s="1"/>
      <c r="Y838" s="1"/>
      <c r="Z838" s="1"/>
    </row>
    <row r="839" spans="1:26" ht="27" customHeight="1">
      <c r="A839" s="1"/>
      <c r="B839" s="1"/>
      <c r="C839" s="2"/>
      <c r="D839" s="87"/>
      <c r="E839" s="87"/>
      <c r="F839" s="87"/>
      <c r="G839" s="1"/>
      <c r="H839" s="1"/>
      <c r="I839" s="1"/>
      <c r="J839" s="1"/>
      <c r="K839" s="1"/>
      <c r="L839" s="87"/>
      <c r="M839" s="87"/>
      <c r="N839" s="4"/>
      <c r="O839" s="1"/>
      <c r="P839" s="5"/>
      <c r="Q839" s="3"/>
      <c r="R839" s="3"/>
      <c r="S839" s="7"/>
      <c r="T839" s="1"/>
      <c r="U839" s="1"/>
      <c r="V839" s="1"/>
      <c r="W839" s="1"/>
      <c r="X839" s="1"/>
      <c r="Y839" s="1"/>
      <c r="Z839" s="1"/>
    </row>
    <row r="840" spans="1:26" ht="27" customHeight="1">
      <c r="A840" s="1"/>
      <c r="B840" s="1"/>
      <c r="C840" s="2"/>
      <c r="D840" s="87"/>
      <c r="E840" s="87"/>
      <c r="F840" s="87"/>
      <c r="G840" s="1"/>
      <c r="H840" s="1"/>
      <c r="I840" s="1"/>
      <c r="J840" s="1"/>
      <c r="K840" s="1"/>
      <c r="L840" s="87"/>
      <c r="M840" s="87"/>
      <c r="N840" s="4"/>
      <c r="O840" s="1"/>
      <c r="P840" s="5"/>
      <c r="Q840" s="3"/>
      <c r="R840" s="3"/>
      <c r="S840" s="7"/>
      <c r="T840" s="1"/>
      <c r="U840" s="1"/>
      <c r="V840" s="1"/>
      <c r="W840" s="1"/>
      <c r="X840" s="1"/>
      <c r="Y840" s="1"/>
      <c r="Z840" s="1"/>
    </row>
    <row r="841" spans="1:26" ht="27" customHeight="1">
      <c r="A841" s="1"/>
      <c r="B841" s="1"/>
      <c r="C841" s="2"/>
      <c r="D841" s="87"/>
      <c r="E841" s="87"/>
      <c r="F841" s="87"/>
      <c r="G841" s="1"/>
      <c r="H841" s="1"/>
      <c r="I841" s="1"/>
      <c r="J841" s="1"/>
      <c r="K841" s="1"/>
      <c r="L841" s="87"/>
      <c r="M841" s="87"/>
      <c r="N841" s="4"/>
      <c r="O841" s="1"/>
      <c r="P841" s="5"/>
      <c r="Q841" s="3"/>
      <c r="R841" s="3"/>
      <c r="S841" s="7"/>
      <c r="T841" s="1"/>
      <c r="U841" s="1"/>
      <c r="V841" s="1"/>
      <c r="W841" s="1"/>
      <c r="X841" s="1"/>
      <c r="Y841" s="1"/>
      <c r="Z841" s="1"/>
    </row>
    <row r="842" spans="1:26" ht="27" customHeight="1">
      <c r="A842" s="1"/>
      <c r="B842" s="1"/>
      <c r="C842" s="2"/>
      <c r="D842" s="87"/>
      <c r="E842" s="87"/>
      <c r="F842" s="87"/>
      <c r="G842" s="1"/>
      <c r="H842" s="1"/>
      <c r="I842" s="1"/>
      <c r="J842" s="1"/>
      <c r="K842" s="1"/>
      <c r="L842" s="87"/>
      <c r="M842" s="87"/>
      <c r="N842" s="4"/>
      <c r="O842" s="1"/>
      <c r="P842" s="5"/>
      <c r="Q842" s="3"/>
      <c r="R842" s="3"/>
      <c r="S842" s="7"/>
      <c r="T842" s="1"/>
      <c r="U842" s="1"/>
      <c r="V842" s="1"/>
      <c r="W842" s="1"/>
      <c r="X842" s="1"/>
      <c r="Y842" s="1"/>
      <c r="Z842" s="1"/>
    </row>
    <row r="843" spans="1:26" ht="27" customHeight="1">
      <c r="A843" s="1"/>
      <c r="B843" s="1"/>
      <c r="C843" s="2"/>
      <c r="D843" s="87"/>
      <c r="E843" s="87"/>
      <c r="F843" s="87"/>
      <c r="G843" s="1"/>
      <c r="H843" s="1"/>
      <c r="I843" s="1"/>
      <c r="J843" s="1"/>
      <c r="K843" s="1"/>
      <c r="L843" s="87"/>
      <c r="M843" s="87"/>
      <c r="N843" s="4"/>
      <c r="O843" s="1"/>
      <c r="P843" s="5"/>
      <c r="Q843" s="3"/>
      <c r="R843" s="3"/>
      <c r="S843" s="7"/>
      <c r="T843" s="1"/>
      <c r="U843" s="1"/>
      <c r="V843" s="1"/>
      <c r="W843" s="1"/>
      <c r="X843" s="1"/>
      <c r="Y843" s="1"/>
      <c r="Z843" s="1"/>
    </row>
    <row r="844" spans="1:26" ht="27" customHeight="1">
      <c r="A844" s="1"/>
      <c r="B844" s="1"/>
      <c r="C844" s="2"/>
      <c r="D844" s="87"/>
      <c r="E844" s="87"/>
      <c r="F844" s="87"/>
      <c r="G844" s="1"/>
      <c r="H844" s="1"/>
      <c r="I844" s="1"/>
      <c r="J844" s="1"/>
      <c r="K844" s="1"/>
      <c r="L844" s="87"/>
      <c r="M844" s="87"/>
      <c r="N844" s="4"/>
      <c r="O844" s="1"/>
      <c r="P844" s="5"/>
      <c r="Q844" s="3"/>
      <c r="R844" s="3"/>
      <c r="S844" s="7"/>
      <c r="T844" s="1"/>
      <c r="U844" s="1"/>
      <c r="V844" s="1"/>
      <c r="W844" s="1"/>
      <c r="X844" s="1"/>
      <c r="Y844" s="1"/>
      <c r="Z844" s="1"/>
    </row>
    <row r="845" spans="1:26" ht="27" customHeight="1">
      <c r="A845" s="1"/>
      <c r="B845" s="1"/>
      <c r="C845" s="2"/>
      <c r="D845" s="87"/>
      <c r="E845" s="87"/>
      <c r="F845" s="87"/>
      <c r="G845" s="1"/>
      <c r="H845" s="1"/>
      <c r="I845" s="1"/>
      <c r="J845" s="1"/>
      <c r="K845" s="1"/>
      <c r="L845" s="87"/>
      <c r="M845" s="87"/>
      <c r="N845" s="4"/>
      <c r="O845" s="1"/>
      <c r="P845" s="5"/>
      <c r="Q845" s="3"/>
      <c r="R845" s="3"/>
      <c r="S845" s="7"/>
      <c r="T845" s="1"/>
      <c r="U845" s="1"/>
      <c r="V845" s="1"/>
      <c r="W845" s="1"/>
      <c r="X845" s="1"/>
      <c r="Y845" s="1"/>
      <c r="Z845" s="1"/>
    </row>
    <row r="846" spans="1:26" ht="27" customHeight="1">
      <c r="A846" s="1"/>
      <c r="B846" s="1"/>
      <c r="C846" s="2"/>
      <c r="D846" s="87"/>
      <c r="E846" s="87"/>
      <c r="F846" s="87"/>
      <c r="G846" s="1"/>
      <c r="H846" s="1"/>
      <c r="I846" s="1"/>
      <c r="J846" s="1"/>
      <c r="K846" s="1"/>
      <c r="L846" s="87"/>
      <c r="M846" s="87"/>
      <c r="N846" s="4"/>
      <c r="O846" s="1"/>
      <c r="P846" s="5"/>
      <c r="Q846" s="3"/>
      <c r="R846" s="3"/>
      <c r="S846" s="7"/>
      <c r="T846" s="1"/>
      <c r="U846" s="1"/>
      <c r="V846" s="1"/>
      <c r="W846" s="1"/>
      <c r="X846" s="1"/>
      <c r="Y846" s="1"/>
      <c r="Z846" s="1"/>
    </row>
    <row r="847" spans="1:26" ht="27" customHeight="1">
      <c r="A847" s="1"/>
      <c r="B847" s="1"/>
      <c r="C847" s="2"/>
      <c r="D847" s="87"/>
      <c r="E847" s="87"/>
      <c r="F847" s="87"/>
      <c r="G847" s="1"/>
      <c r="H847" s="1"/>
      <c r="I847" s="1"/>
      <c r="J847" s="1"/>
      <c r="K847" s="1"/>
      <c r="L847" s="87"/>
      <c r="M847" s="87"/>
      <c r="N847" s="4"/>
      <c r="O847" s="1"/>
      <c r="P847" s="5"/>
      <c r="Q847" s="3"/>
      <c r="R847" s="3"/>
      <c r="S847" s="7"/>
      <c r="T847" s="1"/>
      <c r="U847" s="1"/>
      <c r="V847" s="1"/>
      <c r="W847" s="1"/>
      <c r="X847" s="1"/>
      <c r="Y847" s="1"/>
      <c r="Z847" s="1"/>
    </row>
    <row r="848" spans="1:26" ht="27" customHeight="1">
      <c r="A848" s="1"/>
      <c r="B848" s="1"/>
      <c r="C848" s="2"/>
      <c r="D848" s="87"/>
      <c r="E848" s="87"/>
      <c r="F848" s="87"/>
      <c r="G848" s="1"/>
      <c r="H848" s="1"/>
      <c r="I848" s="1"/>
      <c r="J848" s="1"/>
      <c r="K848" s="1"/>
      <c r="L848" s="87"/>
      <c r="M848" s="87"/>
      <c r="N848" s="4"/>
      <c r="O848" s="1"/>
      <c r="P848" s="5"/>
      <c r="Q848" s="3"/>
      <c r="R848" s="3"/>
      <c r="S848" s="7"/>
      <c r="T848" s="1"/>
      <c r="U848" s="1"/>
      <c r="V848" s="1"/>
      <c r="W848" s="1"/>
      <c r="X848" s="1"/>
      <c r="Y848" s="1"/>
      <c r="Z848" s="1"/>
    </row>
    <row r="849" spans="1:26" ht="27" customHeight="1">
      <c r="A849" s="1"/>
      <c r="B849" s="1"/>
      <c r="C849" s="2"/>
      <c r="D849" s="87"/>
      <c r="E849" s="87"/>
      <c r="F849" s="87"/>
      <c r="G849" s="1"/>
      <c r="H849" s="1"/>
      <c r="I849" s="1"/>
      <c r="J849" s="1"/>
      <c r="K849" s="1"/>
      <c r="L849" s="87"/>
      <c r="M849" s="87"/>
      <c r="N849" s="4"/>
      <c r="O849" s="1"/>
      <c r="P849" s="5"/>
      <c r="Q849" s="3"/>
      <c r="R849" s="3"/>
      <c r="S849" s="7"/>
      <c r="T849" s="1"/>
      <c r="U849" s="1"/>
      <c r="V849" s="1"/>
      <c r="W849" s="1"/>
      <c r="X849" s="1"/>
      <c r="Y849" s="1"/>
      <c r="Z849" s="1"/>
    </row>
    <row r="850" spans="1:26" ht="27" customHeight="1">
      <c r="A850" s="1"/>
      <c r="B850" s="1"/>
      <c r="C850" s="2"/>
      <c r="D850" s="87"/>
      <c r="E850" s="87"/>
      <c r="F850" s="87"/>
      <c r="G850" s="1"/>
      <c r="H850" s="1"/>
      <c r="I850" s="1"/>
      <c r="J850" s="1"/>
      <c r="K850" s="1"/>
      <c r="L850" s="87"/>
      <c r="M850" s="87"/>
      <c r="N850" s="4"/>
      <c r="O850" s="1"/>
      <c r="P850" s="5"/>
      <c r="Q850" s="3"/>
      <c r="R850" s="3"/>
      <c r="S850" s="7"/>
      <c r="T850" s="1"/>
      <c r="U850" s="1"/>
      <c r="V850" s="1"/>
      <c r="W850" s="1"/>
      <c r="X850" s="1"/>
      <c r="Y850" s="1"/>
      <c r="Z850" s="1"/>
    </row>
    <row r="851" spans="1:26" ht="27" customHeight="1">
      <c r="A851" s="1"/>
      <c r="B851" s="1"/>
      <c r="C851" s="2"/>
      <c r="D851" s="87"/>
      <c r="E851" s="87"/>
      <c r="F851" s="87"/>
      <c r="G851" s="1"/>
      <c r="H851" s="1"/>
      <c r="I851" s="1"/>
      <c r="J851" s="1"/>
      <c r="K851" s="1"/>
      <c r="L851" s="87"/>
      <c r="M851" s="87"/>
      <c r="N851" s="4"/>
      <c r="O851" s="1"/>
      <c r="P851" s="5"/>
      <c r="Q851" s="3"/>
      <c r="R851" s="3"/>
      <c r="S851" s="7"/>
      <c r="T851" s="1"/>
      <c r="U851" s="1"/>
      <c r="V851" s="1"/>
      <c r="W851" s="1"/>
      <c r="X851" s="1"/>
      <c r="Y851" s="1"/>
      <c r="Z851" s="1"/>
    </row>
    <row r="852" spans="1:26" ht="27" customHeight="1">
      <c r="A852" s="1"/>
      <c r="B852" s="1"/>
      <c r="C852" s="2"/>
      <c r="D852" s="87"/>
      <c r="E852" s="87"/>
      <c r="F852" s="87"/>
      <c r="G852" s="1"/>
      <c r="H852" s="1"/>
      <c r="I852" s="1"/>
      <c r="J852" s="1"/>
      <c r="K852" s="1"/>
      <c r="L852" s="87"/>
      <c r="M852" s="87"/>
      <c r="N852" s="4"/>
      <c r="O852" s="1"/>
      <c r="P852" s="5"/>
      <c r="Q852" s="3"/>
      <c r="R852" s="3"/>
      <c r="S852" s="7"/>
      <c r="T852" s="1"/>
      <c r="U852" s="1"/>
      <c r="V852" s="1"/>
      <c r="W852" s="1"/>
      <c r="X852" s="1"/>
      <c r="Y852" s="1"/>
      <c r="Z852" s="1"/>
    </row>
    <row r="853" spans="1:26" ht="27" customHeight="1">
      <c r="A853" s="1"/>
      <c r="B853" s="1"/>
      <c r="C853" s="2"/>
      <c r="D853" s="87"/>
      <c r="E853" s="87"/>
      <c r="F853" s="87"/>
      <c r="G853" s="1"/>
      <c r="H853" s="1"/>
      <c r="I853" s="1"/>
      <c r="J853" s="1"/>
      <c r="K853" s="1"/>
      <c r="L853" s="87"/>
      <c r="M853" s="87"/>
      <c r="N853" s="4"/>
      <c r="O853" s="1"/>
      <c r="P853" s="5"/>
      <c r="Q853" s="3"/>
      <c r="R853" s="3"/>
      <c r="S853" s="7"/>
      <c r="T853" s="1"/>
      <c r="U853" s="1"/>
      <c r="V853" s="1"/>
      <c r="W853" s="1"/>
      <c r="X853" s="1"/>
      <c r="Y853" s="1"/>
      <c r="Z853" s="1"/>
    </row>
    <row r="854" spans="1:26" ht="27" customHeight="1">
      <c r="A854" s="1"/>
      <c r="B854" s="1"/>
      <c r="C854" s="2"/>
      <c r="D854" s="87"/>
      <c r="E854" s="87"/>
      <c r="F854" s="87"/>
      <c r="G854" s="1"/>
      <c r="H854" s="1"/>
      <c r="I854" s="1"/>
      <c r="J854" s="1"/>
      <c r="K854" s="1"/>
      <c r="L854" s="87"/>
      <c r="M854" s="87"/>
      <c r="N854" s="4"/>
      <c r="O854" s="1"/>
      <c r="P854" s="5"/>
      <c r="Q854" s="3"/>
      <c r="R854" s="3"/>
      <c r="S854" s="7"/>
      <c r="T854" s="1"/>
      <c r="U854" s="1"/>
      <c r="V854" s="1"/>
      <c r="W854" s="1"/>
      <c r="X854" s="1"/>
      <c r="Y854" s="1"/>
      <c r="Z854" s="1"/>
    </row>
    <row r="855" spans="1:26" ht="27" customHeight="1">
      <c r="A855" s="1"/>
      <c r="B855" s="1"/>
      <c r="C855" s="2"/>
      <c r="D855" s="87"/>
      <c r="E855" s="87"/>
      <c r="F855" s="87"/>
      <c r="G855" s="1"/>
      <c r="H855" s="1"/>
      <c r="I855" s="1"/>
      <c r="J855" s="1"/>
      <c r="K855" s="1"/>
      <c r="L855" s="87"/>
      <c r="M855" s="87"/>
      <c r="N855" s="4"/>
      <c r="O855" s="1"/>
      <c r="P855" s="5"/>
      <c r="Q855" s="3"/>
      <c r="R855" s="3"/>
      <c r="S855" s="7"/>
      <c r="T855" s="1"/>
      <c r="U855" s="1"/>
      <c r="V855" s="1"/>
      <c r="W855" s="1"/>
      <c r="X855" s="1"/>
      <c r="Y855" s="1"/>
      <c r="Z855" s="1"/>
    </row>
    <row r="856" spans="1:26" ht="27" customHeight="1">
      <c r="A856" s="1"/>
      <c r="B856" s="1"/>
      <c r="C856" s="2"/>
      <c r="D856" s="87"/>
      <c r="E856" s="87"/>
      <c r="F856" s="87"/>
      <c r="G856" s="1"/>
      <c r="H856" s="1"/>
      <c r="I856" s="1"/>
      <c r="J856" s="1"/>
      <c r="K856" s="1"/>
      <c r="L856" s="87"/>
      <c r="M856" s="87"/>
      <c r="N856" s="4"/>
      <c r="O856" s="1"/>
      <c r="P856" s="5"/>
      <c r="Q856" s="3"/>
      <c r="R856" s="3"/>
      <c r="S856" s="7"/>
      <c r="T856" s="1"/>
      <c r="U856" s="1"/>
      <c r="V856" s="1"/>
      <c r="W856" s="1"/>
      <c r="X856" s="1"/>
      <c r="Y856" s="1"/>
      <c r="Z856" s="1"/>
    </row>
    <row r="857" spans="1:26" ht="27" customHeight="1">
      <c r="A857" s="1"/>
      <c r="B857" s="1"/>
      <c r="C857" s="2"/>
      <c r="D857" s="87"/>
      <c r="E857" s="87"/>
      <c r="F857" s="87"/>
      <c r="G857" s="1"/>
      <c r="H857" s="1"/>
      <c r="I857" s="1"/>
      <c r="J857" s="1"/>
      <c r="K857" s="1"/>
      <c r="L857" s="87"/>
      <c r="M857" s="87"/>
      <c r="N857" s="4"/>
      <c r="O857" s="1"/>
      <c r="P857" s="5"/>
      <c r="Q857" s="3"/>
      <c r="R857" s="3"/>
      <c r="S857" s="7"/>
      <c r="T857" s="1"/>
      <c r="U857" s="1"/>
      <c r="V857" s="1"/>
      <c r="W857" s="1"/>
      <c r="X857" s="1"/>
      <c r="Y857" s="1"/>
      <c r="Z857" s="1"/>
    </row>
    <row r="858" spans="1:26" ht="27" customHeight="1">
      <c r="A858" s="1"/>
      <c r="B858" s="1"/>
      <c r="C858" s="2"/>
      <c r="D858" s="87"/>
      <c r="E858" s="87"/>
      <c r="F858" s="87"/>
      <c r="G858" s="1"/>
      <c r="H858" s="1"/>
      <c r="I858" s="1"/>
      <c r="J858" s="1"/>
      <c r="K858" s="1"/>
      <c r="L858" s="87"/>
      <c r="M858" s="87"/>
      <c r="N858" s="4"/>
      <c r="O858" s="1"/>
      <c r="P858" s="5"/>
      <c r="Q858" s="3"/>
      <c r="R858" s="3"/>
      <c r="S858" s="7"/>
      <c r="T858" s="1"/>
      <c r="U858" s="1"/>
      <c r="V858" s="1"/>
      <c r="W858" s="1"/>
      <c r="X858" s="1"/>
      <c r="Y858" s="1"/>
      <c r="Z858" s="1"/>
    </row>
    <row r="859" spans="1:26" ht="27" customHeight="1">
      <c r="A859" s="1"/>
      <c r="B859" s="1"/>
      <c r="C859" s="2"/>
      <c r="D859" s="87"/>
      <c r="E859" s="87"/>
      <c r="F859" s="87"/>
      <c r="G859" s="1"/>
      <c r="H859" s="1"/>
      <c r="I859" s="1"/>
      <c r="J859" s="1"/>
      <c r="K859" s="1"/>
      <c r="L859" s="87"/>
      <c r="M859" s="87"/>
      <c r="N859" s="4"/>
      <c r="O859" s="1"/>
      <c r="P859" s="5"/>
      <c r="Q859" s="3"/>
      <c r="R859" s="3"/>
      <c r="S859" s="7"/>
      <c r="T859" s="1"/>
      <c r="U859" s="1"/>
      <c r="V859" s="1"/>
      <c r="W859" s="1"/>
      <c r="X859" s="1"/>
      <c r="Y859" s="1"/>
      <c r="Z859" s="1"/>
    </row>
    <row r="860" spans="1:26" ht="27" customHeight="1">
      <c r="A860" s="1"/>
      <c r="B860" s="1"/>
      <c r="C860" s="2"/>
      <c r="D860" s="87"/>
      <c r="E860" s="87"/>
      <c r="F860" s="87"/>
      <c r="G860" s="1"/>
      <c r="H860" s="1"/>
      <c r="I860" s="1"/>
      <c r="J860" s="1"/>
      <c r="K860" s="1"/>
      <c r="L860" s="87"/>
      <c r="M860" s="87"/>
      <c r="N860" s="4"/>
      <c r="O860" s="1"/>
      <c r="P860" s="5"/>
      <c r="Q860" s="3"/>
      <c r="R860" s="3"/>
      <c r="S860" s="7"/>
      <c r="T860" s="1"/>
      <c r="U860" s="1"/>
      <c r="V860" s="1"/>
      <c r="W860" s="1"/>
      <c r="X860" s="1"/>
      <c r="Y860" s="1"/>
      <c r="Z860" s="1"/>
    </row>
    <row r="861" spans="1:26" ht="27" customHeight="1">
      <c r="A861" s="1"/>
      <c r="B861" s="1"/>
      <c r="C861" s="2"/>
      <c r="D861" s="87"/>
      <c r="E861" s="87"/>
      <c r="F861" s="87"/>
      <c r="G861" s="1"/>
      <c r="H861" s="1"/>
      <c r="I861" s="1"/>
      <c r="J861" s="1"/>
      <c r="K861" s="1"/>
      <c r="L861" s="87"/>
      <c r="M861" s="87"/>
      <c r="N861" s="4"/>
      <c r="O861" s="1"/>
      <c r="P861" s="5"/>
      <c r="Q861" s="3"/>
      <c r="R861" s="3"/>
      <c r="S861" s="7"/>
      <c r="T861" s="1"/>
      <c r="U861" s="1"/>
      <c r="V861" s="1"/>
      <c r="W861" s="1"/>
      <c r="X861" s="1"/>
      <c r="Y861" s="1"/>
      <c r="Z861" s="1"/>
    </row>
    <row r="862" spans="1:26" ht="27" customHeight="1">
      <c r="A862" s="1"/>
      <c r="B862" s="1"/>
      <c r="C862" s="2"/>
      <c r="D862" s="87"/>
      <c r="E862" s="87"/>
      <c r="F862" s="87"/>
      <c r="G862" s="1"/>
      <c r="H862" s="1"/>
      <c r="I862" s="1"/>
      <c r="J862" s="1"/>
      <c r="K862" s="1"/>
      <c r="L862" s="87"/>
      <c r="M862" s="87"/>
      <c r="N862" s="4"/>
      <c r="O862" s="1"/>
      <c r="P862" s="5"/>
      <c r="Q862" s="3"/>
      <c r="R862" s="3"/>
      <c r="S862" s="7"/>
      <c r="T862" s="1"/>
      <c r="U862" s="1"/>
      <c r="V862" s="1"/>
      <c r="W862" s="1"/>
      <c r="X862" s="1"/>
      <c r="Y862" s="1"/>
      <c r="Z862" s="1"/>
    </row>
    <row r="863" spans="1:26" ht="27" customHeight="1">
      <c r="A863" s="1"/>
      <c r="B863" s="1"/>
      <c r="C863" s="2"/>
      <c r="D863" s="87"/>
      <c r="E863" s="87"/>
      <c r="F863" s="87"/>
      <c r="G863" s="1"/>
      <c r="H863" s="1"/>
      <c r="I863" s="1"/>
      <c r="J863" s="1"/>
      <c r="K863" s="1"/>
      <c r="L863" s="87"/>
      <c r="M863" s="87"/>
      <c r="N863" s="4"/>
      <c r="O863" s="1"/>
      <c r="P863" s="5"/>
      <c r="Q863" s="3"/>
      <c r="R863" s="3"/>
      <c r="S863" s="7"/>
      <c r="T863" s="1"/>
      <c r="U863" s="1"/>
      <c r="V863" s="1"/>
      <c r="W863" s="1"/>
      <c r="X863" s="1"/>
      <c r="Y863" s="1"/>
      <c r="Z863" s="1"/>
    </row>
    <row r="864" spans="1:26" ht="27" customHeight="1">
      <c r="A864" s="1"/>
      <c r="B864" s="1"/>
      <c r="C864" s="2"/>
      <c r="D864" s="87"/>
      <c r="E864" s="87"/>
      <c r="F864" s="87"/>
      <c r="G864" s="1"/>
      <c r="H864" s="1"/>
      <c r="I864" s="1"/>
      <c r="J864" s="1"/>
      <c r="K864" s="1"/>
      <c r="L864" s="87"/>
      <c r="M864" s="87"/>
      <c r="N864" s="4"/>
      <c r="O864" s="1"/>
      <c r="P864" s="5"/>
      <c r="Q864" s="3"/>
      <c r="R864" s="3"/>
      <c r="S864" s="7"/>
      <c r="T864" s="1"/>
      <c r="U864" s="1"/>
      <c r="V864" s="1"/>
      <c r="W864" s="1"/>
      <c r="X864" s="1"/>
      <c r="Y864" s="1"/>
      <c r="Z864" s="1"/>
    </row>
    <row r="865" spans="1:26" ht="27" customHeight="1">
      <c r="A865" s="1"/>
      <c r="B865" s="1"/>
      <c r="C865" s="2"/>
      <c r="D865" s="87"/>
      <c r="E865" s="87"/>
      <c r="F865" s="87"/>
      <c r="G865" s="1"/>
      <c r="H865" s="1"/>
      <c r="I865" s="1"/>
      <c r="J865" s="1"/>
      <c r="K865" s="1"/>
      <c r="L865" s="87"/>
      <c r="M865" s="87"/>
      <c r="N865" s="4"/>
      <c r="O865" s="1"/>
      <c r="P865" s="5"/>
      <c r="Q865" s="3"/>
      <c r="R865" s="3"/>
      <c r="S865" s="7"/>
      <c r="T865" s="1"/>
      <c r="U865" s="1"/>
      <c r="V865" s="1"/>
      <c r="W865" s="1"/>
      <c r="X865" s="1"/>
      <c r="Y865" s="1"/>
      <c r="Z865" s="1"/>
    </row>
    <row r="866" spans="1:26" ht="27" customHeight="1">
      <c r="A866" s="1"/>
      <c r="B866" s="1"/>
      <c r="C866" s="2"/>
      <c r="D866" s="87"/>
      <c r="E866" s="87"/>
      <c r="F866" s="87"/>
      <c r="G866" s="1"/>
      <c r="H866" s="1"/>
      <c r="I866" s="1"/>
      <c r="J866" s="1"/>
      <c r="K866" s="1"/>
      <c r="L866" s="87"/>
      <c r="M866" s="87"/>
      <c r="N866" s="4"/>
      <c r="O866" s="1"/>
      <c r="P866" s="5"/>
      <c r="Q866" s="3"/>
      <c r="R866" s="3"/>
      <c r="S866" s="7"/>
      <c r="T866" s="1"/>
      <c r="U866" s="1"/>
      <c r="V866" s="1"/>
      <c r="W866" s="1"/>
      <c r="X866" s="1"/>
      <c r="Y866" s="1"/>
      <c r="Z866" s="1"/>
    </row>
    <row r="867" spans="1:26" ht="27" customHeight="1">
      <c r="A867" s="1"/>
      <c r="B867" s="1"/>
      <c r="C867" s="2"/>
      <c r="D867" s="87"/>
      <c r="E867" s="87"/>
      <c r="F867" s="87"/>
      <c r="G867" s="1"/>
      <c r="H867" s="1"/>
      <c r="I867" s="1"/>
      <c r="J867" s="1"/>
      <c r="K867" s="1"/>
      <c r="L867" s="87"/>
      <c r="M867" s="87"/>
      <c r="N867" s="4"/>
      <c r="O867" s="1"/>
      <c r="P867" s="5"/>
      <c r="Q867" s="3"/>
      <c r="R867" s="3"/>
      <c r="S867" s="7"/>
      <c r="T867" s="1"/>
      <c r="U867" s="1"/>
      <c r="V867" s="1"/>
      <c r="W867" s="1"/>
      <c r="X867" s="1"/>
      <c r="Y867" s="1"/>
      <c r="Z867" s="1"/>
    </row>
    <row r="868" spans="1:26" ht="27" customHeight="1">
      <c r="A868" s="1"/>
      <c r="B868" s="1"/>
      <c r="C868" s="2"/>
      <c r="D868" s="87"/>
      <c r="E868" s="87"/>
      <c r="F868" s="87"/>
      <c r="G868" s="1"/>
      <c r="H868" s="1"/>
      <c r="I868" s="1"/>
      <c r="J868" s="1"/>
      <c r="K868" s="1"/>
      <c r="L868" s="87"/>
      <c r="M868" s="87"/>
      <c r="N868" s="4"/>
      <c r="O868" s="1"/>
      <c r="P868" s="5"/>
      <c r="Q868" s="3"/>
      <c r="R868" s="3"/>
      <c r="S868" s="7"/>
      <c r="T868" s="1"/>
      <c r="U868" s="1"/>
      <c r="V868" s="1"/>
      <c r="W868" s="1"/>
      <c r="X868" s="1"/>
      <c r="Y868" s="1"/>
      <c r="Z868" s="1"/>
    </row>
    <row r="869" spans="1:26" ht="27" customHeight="1">
      <c r="A869" s="1"/>
      <c r="B869" s="1"/>
      <c r="C869" s="2"/>
      <c r="D869" s="87"/>
      <c r="E869" s="87"/>
      <c r="F869" s="87"/>
      <c r="G869" s="1"/>
      <c r="H869" s="1"/>
      <c r="I869" s="1"/>
      <c r="J869" s="1"/>
      <c r="K869" s="1"/>
      <c r="L869" s="87"/>
      <c r="M869" s="87"/>
      <c r="N869" s="4"/>
      <c r="O869" s="1"/>
      <c r="P869" s="5"/>
      <c r="Q869" s="3"/>
      <c r="R869" s="3"/>
      <c r="S869" s="7"/>
      <c r="T869" s="1"/>
      <c r="U869" s="1"/>
      <c r="V869" s="1"/>
      <c r="W869" s="1"/>
      <c r="X869" s="1"/>
      <c r="Y869" s="1"/>
      <c r="Z869" s="1"/>
    </row>
    <row r="870" spans="1:26" ht="27" customHeight="1">
      <c r="A870" s="1"/>
      <c r="B870" s="1"/>
      <c r="C870" s="2"/>
      <c r="D870" s="87"/>
      <c r="E870" s="87"/>
      <c r="F870" s="87"/>
      <c r="G870" s="1"/>
      <c r="H870" s="1"/>
      <c r="I870" s="1"/>
      <c r="J870" s="1"/>
      <c r="K870" s="1"/>
      <c r="L870" s="87"/>
      <c r="M870" s="87"/>
      <c r="N870" s="4"/>
      <c r="O870" s="1"/>
      <c r="P870" s="5"/>
      <c r="Q870" s="3"/>
      <c r="R870" s="3"/>
      <c r="S870" s="7"/>
      <c r="T870" s="1"/>
      <c r="U870" s="1"/>
      <c r="V870" s="1"/>
      <c r="W870" s="1"/>
      <c r="X870" s="1"/>
      <c r="Y870" s="1"/>
      <c r="Z870" s="1"/>
    </row>
    <row r="871" spans="1:26" ht="27" customHeight="1">
      <c r="A871" s="1"/>
      <c r="B871" s="1"/>
      <c r="C871" s="2"/>
      <c r="D871" s="87"/>
      <c r="E871" s="87"/>
      <c r="F871" s="87"/>
      <c r="G871" s="1"/>
      <c r="H871" s="1"/>
      <c r="I871" s="1"/>
      <c r="J871" s="1"/>
      <c r="K871" s="1"/>
      <c r="L871" s="87"/>
      <c r="M871" s="87"/>
      <c r="N871" s="4"/>
      <c r="O871" s="1"/>
      <c r="P871" s="5"/>
      <c r="Q871" s="3"/>
      <c r="R871" s="3"/>
      <c r="S871" s="7"/>
      <c r="T871" s="1"/>
      <c r="U871" s="1"/>
      <c r="V871" s="1"/>
      <c r="W871" s="1"/>
      <c r="X871" s="1"/>
      <c r="Y871" s="1"/>
      <c r="Z871" s="1"/>
    </row>
    <row r="872" spans="1:26" ht="27" customHeight="1">
      <c r="A872" s="1"/>
      <c r="B872" s="1"/>
      <c r="C872" s="2"/>
      <c r="D872" s="87"/>
      <c r="E872" s="87"/>
      <c r="F872" s="87"/>
      <c r="G872" s="1"/>
      <c r="H872" s="1"/>
      <c r="I872" s="1"/>
      <c r="J872" s="1"/>
      <c r="K872" s="1"/>
      <c r="L872" s="87"/>
      <c r="M872" s="87"/>
      <c r="N872" s="4"/>
      <c r="O872" s="1"/>
      <c r="P872" s="5"/>
      <c r="Q872" s="3"/>
      <c r="R872" s="3"/>
      <c r="S872" s="7"/>
      <c r="T872" s="1"/>
      <c r="U872" s="1"/>
      <c r="V872" s="1"/>
      <c r="W872" s="1"/>
      <c r="X872" s="1"/>
      <c r="Y872" s="1"/>
      <c r="Z872" s="1"/>
    </row>
    <row r="873" spans="1:26" ht="27" customHeight="1">
      <c r="A873" s="1"/>
      <c r="B873" s="1"/>
      <c r="C873" s="2"/>
      <c r="D873" s="87"/>
      <c r="E873" s="87"/>
      <c r="F873" s="87"/>
      <c r="G873" s="1"/>
      <c r="H873" s="1"/>
      <c r="I873" s="1"/>
      <c r="J873" s="1"/>
      <c r="K873" s="1"/>
      <c r="L873" s="87"/>
      <c r="M873" s="87"/>
      <c r="N873" s="4"/>
      <c r="O873" s="1"/>
      <c r="P873" s="5"/>
      <c r="Q873" s="3"/>
      <c r="R873" s="3"/>
      <c r="S873" s="7"/>
      <c r="T873" s="1"/>
      <c r="U873" s="1"/>
      <c r="V873" s="1"/>
      <c r="W873" s="1"/>
      <c r="X873" s="1"/>
      <c r="Y873" s="1"/>
      <c r="Z873" s="1"/>
    </row>
    <row r="874" spans="1:26" ht="27" customHeight="1">
      <c r="A874" s="1"/>
      <c r="B874" s="1"/>
      <c r="C874" s="2"/>
      <c r="D874" s="87"/>
      <c r="E874" s="87"/>
      <c r="F874" s="87"/>
      <c r="G874" s="1"/>
      <c r="H874" s="1"/>
      <c r="I874" s="1"/>
      <c r="J874" s="1"/>
      <c r="K874" s="1"/>
      <c r="L874" s="87"/>
      <c r="M874" s="87"/>
      <c r="N874" s="4"/>
      <c r="O874" s="1"/>
      <c r="P874" s="5"/>
      <c r="Q874" s="3"/>
      <c r="R874" s="3"/>
      <c r="S874" s="7"/>
      <c r="T874" s="1"/>
      <c r="U874" s="1"/>
      <c r="V874" s="1"/>
      <c r="W874" s="1"/>
      <c r="X874" s="1"/>
      <c r="Y874" s="1"/>
      <c r="Z874" s="1"/>
    </row>
    <row r="875" spans="1:26" ht="27" customHeight="1">
      <c r="A875" s="1"/>
      <c r="B875" s="1"/>
      <c r="C875" s="2"/>
      <c r="D875" s="87"/>
      <c r="E875" s="87"/>
      <c r="F875" s="87"/>
      <c r="G875" s="1"/>
      <c r="H875" s="1"/>
      <c r="I875" s="1"/>
      <c r="J875" s="1"/>
      <c r="K875" s="1"/>
      <c r="L875" s="87"/>
      <c r="M875" s="87"/>
      <c r="N875" s="4"/>
      <c r="O875" s="1"/>
      <c r="P875" s="5"/>
      <c r="Q875" s="3"/>
      <c r="R875" s="3"/>
      <c r="S875" s="7"/>
      <c r="T875" s="1"/>
      <c r="U875" s="1"/>
      <c r="V875" s="1"/>
      <c r="W875" s="1"/>
      <c r="X875" s="1"/>
      <c r="Y875" s="1"/>
      <c r="Z875" s="1"/>
    </row>
    <row r="876" spans="1:26" ht="27" customHeight="1">
      <c r="A876" s="1"/>
      <c r="B876" s="1"/>
      <c r="C876" s="2"/>
      <c r="D876" s="87"/>
      <c r="E876" s="87"/>
      <c r="F876" s="87"/>
      <c r="G876" s="1"/>
      <c r="H876" s="1"/>
      <c r="I876" s="1"/>
      <c r="J876" s="1"/>
      <c r="K876" s="1"/>
      <c r="L876" s="87"/>
      <c r="M876" s="87"/>
      <c r="N876" s="4"/>
      <c r="O876" s="1"/>
      <c r="P876" s="5"/>
      <c r="Q876" s="3"/>
      <c r="R876" s="3"/>
      <c r="S876" s="7"/>
      <c r="T876" s="1"/>
      <c r="U876" s="1"/>
      <c r="V876" s="1"/>
      <c r="W876" s="1"/>
      <c r="X876" s="1"/>
      <c r="Y876" s="1"/>
      <c r="Z876" s="1"/>
    </row>
    <row r="877" spans="1:26" ht="27" customHeight="1">
      <c r="A877" s="1"/>
      <c r="B877" s="1"/>
      <c r="C877" s="2"/>
      <c r="D877" s="87"/>
      <c r="E877" s="87"/>
      <c r="F877" s="87"/>
      <c r="G877" s="1"/>
      <c r="H877" s="1"/>
      <c r="I877" s="1"/>
      <c r="J877" s="1"/>
      <c r="K877" s="1"/>
      <c r="L877" s="87"/>
      <c r="M877" s="87"/>
      <c r="N877" s="4"/>
      <c r="O877" s="1"/>
      <c r="P877" s="5"/>
      <c r="Q877" s="3"/>
      <c r="R877" s="3"/>
      <c r="S877" s="7"/>
      <c r="T877" s="1"/>
      <c r="U877" s="1"/>
      <c r="V877" s="1"/>
      <c r="W877" s="1"/>
      <c r="X877" s="1"/>
      <c r="Y877" s="1"/>
      <c r="Z877" s="1"/>
    </row>
    <row r="878" spans="1:26" ht="27" customHeight="1">
      <c r="A878" s="1"/>
      <c r="B878" s="1"/>
      <c r="C878" s="2"/>
      <c r="D878" s="87"/>
      <c r="E878" s="87"/>
      <c r="F878" s="87"/>
      <c r="G878" s="1"/>
      <c r="H878" s="1"/>
      <c r="I878" s="1"/>
      <c r="J878" s="1"/>
      <c r="K878" s="1"/>
      <c r="L878" s="87"/>
      <c r="M878" s="87"/>
      <c r="N878" s="4"/>
      <c r="O878" s="1"/>
      <c r="P878" s="5"/>
      <c r="Q878" s="3"/>
      <c r="R878" s="3"/>
      <c r="S878" s="7"/>
      <c r="T878" s="1"/>
      <c r="U878" s="1"/>
      <c r="V878" s="1"/>
      <c r="W878" s="1"/>
      <c r="X878" s="1"/>
      <c r="Y878" s="1"/>
      <c r="Z878" s="1"/>
    </row>
    <row r="879" spans="1:26" ht="27" customHeight="1">
      <c r="A879" s="1"/>
      <c r="B879" s="1"/>
      <c r="C879" s="2"/>
      <c r="D879" s="87"/>
      <c r="E879" s="87"/>
      <c r="F879" s="87"/>
      <c r="G879" s="1"/>
      <c r="H879" s="1"/>
      <c r="I879" s="1"/>
      <c r="J879" s="1"/>
      <c r="K879" s="1"/>
      <c r="L879" s="87"/>
      <c r="M879" s="87"/>
      <c r="N879" s="4"/>
      <c r="O879" s="1"/>
      <c r="P879" s="5"/>
      <c r="Q879" s="3"/>
      <c r="R879" s="3"/>
      <c r="S879" s="7"/>
      <c r="T879" s="1"/>
      <c r="U879" s="1"/>
      <c r="V879" s="1"/>
      <c r="W879" s="1"/>
      <c r="X879" s="1"/>
      <c r="Y879" s="1"/>
      <c r="Z879" s="1"/>
    </row>
    <row r="880" spans="1:26" ht="27" customHeight="1">
      <c r="A880" s="1"/>
      <c r="B880" s="1"/>
      <c r="C880" s="2"/>
      <c r="D880" s="87"/>
      <c r="E880" s="87"/>
      <c r="F880" s="87"/>
      <c r="G880" s="1"/>
      <c r="H880" s="1"/>
      <c r="I880" s="1"/>
      <c r="J880" s="1"/>
      <c r="K880" s="1"/>
      <c r="L880" s="87"/>
      <c r="M880" s="87"/>
      <c r="N880" s="4"/>
      <c r="O880" s="1"/>
      <c r="P880" s="5"/>
      <c r="Q880" s="3"/>
      <c r="R880" s="3"/>
      <c r="S880" s="7"/>
      <c r="T880" s="1"/>
      <c r="U880" s="1"/>
      <c r="V880" s="1"/>
      <c r="W880" s="1"/>
      <c r="X880" s="1"/>
      <c r="Y880" s="1"/>
      <c r="Z880" s="1"/>
    </row>
    <row r="881" spans="1:26" ht="27" customHeight="1">
      <c r="A881" s="1"/>
      <c r="B881" s="1"/>
      <c r="C881" s="2"/>
      <c r="D881" s="87"/>
      <c r="E881" s="87"/>
      <c r="F881" s="87"/>
      <c r="G881" s="1"/>
      <c r="H881" s="1"/>
      <c r="I881" s="1"/>
      <c r="J881" s="1"/>
      <c r="K881" s="1"/>
      <c r="L881" s="87"/>
      <c r="M881" s="87"/>
      <c r="N881" s="4"/>
      <c r="O881" s="1"/>
      <c r="P881" s="5"/>
      <c r="Q881" s="3"/>
      <c r="R881" s="3"/>
      <c r="S881" s="7"/>
      <c r="T881" s="1"/>
      <c r="U881" s="1"/>
      <c r="V881" s="1"/>
      <c r="W881" s="1"/>
      <c r="X881" s="1"/>
      <c r="Y881" s="1"/>
      <c r="Z881" s="1"/>
    </row>
    <row r="882" spans="1:26" ht="27" customHeight="1">
      <c r="A882" s="1"/>
      <c r="B882" s="1"/>
      <c r="C882" s="2"/>
      <c r="D882" s="87"/>
      <c r="E882" s="87"/>
      <c r="F882" s="87"/>
      <c r="G882" s="1"/>
      <c r="H882" s="1"/>
      <c r="I882" s="1"/>
      <c r="J882" s="1"/>
      <c r="K882" s="1"/>
      <c r="L882" s="87"/>
      <c r="M882" s="87"/>
      <c r="N882" s="4"/>
      <c r="O882" s="1"/>
      <c r="P882" s="5"/>
      <c r="Q882" s="3"/>
      <c r="R882" s="3"/>
      <c r="S882" s="7"/>
      <c r="T882" s="1"/>
      <c r="U882" s="1"/>
      <c r="V882" s="1"/>
      <c r="W882" s="1"/>
      <c r="X882" s="1"/>
      <c r="Y882" s="1"/>
      <c r="Z882" s="1"/>
    </row>
    <row r="883" spans="1:26" ht="27" customHeight="1">
      <c r="A883" s="1"/>
      <c r="B883" s="1"/>
      <c r="C883" s="2"/>
      <c r="D883" s="87"/>
      <c r="E883" s="87"/>
      <c r="F883" s="87"/>
      <c r="G883" s="1"/>
      <c r="H883" s="1"/>
      <c r="I883" s="1"/>
      <c r="J883" s="1"/>
      <c r="K883" s="1"/>
      <c r="L883" s="87"/>
      <c r="M883" s="87"/>
      <c r="N883" s="4"/>
      <c r="O883" s="1"/>
      <c r="P883" s="5"/>
      <c r="Q883" s="3"/>
      <c r="R883" s="3"/>
      <c r="S883" s="7"/>
      <c r="T883" s="1"/>
      <c r="U883" s="1"/>
      <c r="V883" s="1"/>
      <c r="W883" s="1"/>
      <c r="X883" s="1"/>
      <c r="Y883" s="1"/>
      <c r="Z883" s="1"/>
    </row>
    <row r="884" spans="1:26" ht="27" customHeight="1">
      <c r="A884" s="1"/>
      <c r="B884" s="1"/>
      <c r="C884" s="2"/>
      <c r="D884" s="87"/>
      <c r="E884" s="87"/>
      <c r="F884" s="87"/>
      <c r="G884" s="1"/>
      <c r="H884" s="1"/>
      <c r="I884" s="1"/>
      <c r="J884" s="1"/>
      <c r="K884" s="1"/>
      <c r="L884" s="87"/>
      <c r="M884" s="87"/>
      <c r="N884" s="4"/>
      <c r="O884" s="1"/>
      <c r="P884" s="5"/>
      <c r="Q884" s="3"/>
      <c r="R884" s="3"/>
      <c r="S884" s="7"/>
      <c r="T884" s="1"/>
      <c r="U884" s="1"/>
      <c r="V884" s="1"/>
      <c r="W884" s="1"/>
      <c r="X884" s="1"/>
      <c r="Y884" s="1"/>
      <c r="Z884" s="1"/>
    </row>
    <row r="885" spans="1:26" ht="27" customHeight="1">
      <c r="A885" s="1"/>
      <c r="B885" s="1"/>
      <c r="C885" s="2"/>
      <c r="D885" s="87"/>
      <c r="E885" s="87"/>
      <c r="F885" s="87"/>
      <c r="G885" s="1"/>
      <c r="H885" s="1"/>
      <c r="I885" s="1"/>
      <c r="J885" s="1"/>
      <c r="K885" s="1"/>
      <c r="L885" s="87"/>
      <c r="M885" s="87"/>
      <c r="N885" s="4"/>
      <c r="O885" s="1"/>
      <c r="P885" s="5"/>
      <c r="Q885" s="3"/>
      <c r="R885" s="3"/>
      <c r="S885" s="7"/>
      <c r="T885" s="1"/>
      <c r="U885" s="1"/>
      <c r="V885" s="1"/>
      <c r="W885" s="1"/>
      <c r="X885" s="1"/>
      <c r="Y885" s="1"/>
      <c r="Z885" s="1"/>
    </row>
    <row r="886" spans="1:26" ht="27" customHeight="1">
      <c r="A886" s="1"/>
      <c r="B886" s="1"/>
      <c r="C886" s="2"/>
      <c r="D886" s="87"/>
      <c r="E886" s="87"/>
      <c r="F886" s="87"/>
      <c r="G886" s="1"/>
      <c r="H886" s="1"/>
      <c r="I886" s="1"/>
      <c r="J886" s="1"/>
      <c r="K886" s="1"/>
      <c r="L886" s="87"/>
      <c r="M886" s="87"/>
      <c r="N886" s="4"/>
      <c r="O886" s="1"/>
      <c r="P886" s="5"/>
      <c r="Q886" s="3"/>
      <c r="R886" s="3"/>
      <c r="S886" s="7"/>
      <c r="T886" s="1"/>
      <c r="U886" s="1"/>
      <c r="V886" s="1"/>
      <c r="W886" s="1"/>
      <c r="X886" s="1"/>
      <c r="Y886" s="1"/>
      <c r="Z886" s="1"/>
    </row>
    <row r="887" spans="1:26" ht="27" customHeight="1">
      <c r="A887" s="1"/>
      <c r="B887" s="1"/>
      <c r="C887" s="2"/>
      <c r="D887" s="87"/>
      <c r="E887" s="87"/>
      <c r="F887" s="87"/>
      <c r="G887" s="1"/>
      <c r="H887" s="1"/>
      <c r="I887" s="1"/>
      <c r="J887" s="1"/>
      <c r="K887" s="1"/>
      <c r="L887" s="87"/>
      <c r="M887" s="87"/>
      <c r="N887" s="4"/>
      <c r="O887" s="1"/>
      <c r="P887" s="5"/>
      <c r="Q887" s="3"/>
      <c r="R887" s="3"/>
      <c r="S887" s="7"/>
      <c r="T887" s="1"/>
      <c r="U887" s="1"/>
      <c r="V887" s="1"/>
      <c r="W887" s="1"/>
      <c r="X887" s="1"/>
      <c r="Y887" s="1"/>
      <c r="Z887" s="1"/>
    </row>
    <row r="888" spans="1:26" ht="27" customHeight="1">
      <c r="A888" s="1"/>
      <c r="B888" s="1"/>
      <c r="C888" s="2"/>
      <c r="D888" s="87"/>
      <c r="E888" s="87"/>
      <c r="F888" s="87"/>
      <c r="G888" s="1"/>
      <c r="H888" s="1"/>
      <c r="I888" s="1"/>
      <c r="J888" s="1"/>
      <c r="K888" s="1"/>
      <c r="L888" s="87"/>
      <c r="M888" s="87"/>
      <c r="N888" s="4"/>
      <c r="O888" s="1"/>
      <c r="P888" s="5"/>
      <c r="Q888" s="3"/>
      <c r="R888" s="3"/>
      <c r="S888" s="7"/>
      <c r="T888" s="1"/>
      <c r="U888" s="1"/>
      <c r="V888" s="1"/>
      <c r="W888" s="1"/>
      <c r="X888" s="1"/>
      <c r="Y888" s="1"/>
      <c r="Z888" s="1"/>
    </row>
    <row r="889" spans="1:26" ht="27" customHeight="1">
      <c r="A889" s="1"/>
      <c r="B889" s="1"/>
      <c r="C889" s="2"/>
      <c r="D889" s="87"/>
      <c r="E889" s="87"/>
      <c r="F889" s="87"/>
      <c r="G889" s="1"/>
      <c r="H889" s="1"/>
      <c r="I889" s="1"/>
      <c r="J889" s="1"/>
      <c r="K889" s="1"/>
      <c r="L889" s="87"/>
      <c r="M889" s="87"/>
      <c r="N889" s="4"/>
      <c r="O889" s="1"/>
      <c r="P889" s="5"/>
      <c r="Q889" s="3"/>
      <c r="R889" s="3"/>
      <c r="S889" s="7"/>
      <c r="T889" s="1"/>
      <c r="U889" s="1"/>
      <c r="V889" s="1"/>
      <c r="W889" s="1"/>
      <c r="X889" s="1"/>
      <c r="Y889" s="1"/>
      <c r="Z889" s="1"/>
    </row>
    <row r="890" spans="1:26" ht="27" customHeight="1">
      <c r="A890" s="1"/>
      <c r="B890" s="1"/>
      <c r="C890" s="2"/>
      <c r="D890" s="87"/>
      <c r="E890" s="87"/>
      <c r="F890" s="87"/>
      <c r="G890" s="1"/>
      <c r="H890" s="1"/>
      <c r="I890" s="1"/>
      <c r="J890" s="1"/>
      <c r="K890" s="1"/>
      <c r="L890" s="87"/>
      <c r="M890" s="87"/>
      <c r="N890" s="4"/>
      <c r="O890" s="1"/>
      <c r="P890" s="5"/>
      <c r="Q890" s="3"/>
      <c r="R890" s="3"/>
      <c r="S890" s="7"/>
      <c r="T890" s="1"/>
      <c r="U890" s="1"/>
      <c r="V890" s="1"/>
      <c r="W890" s="1"/>
      <c r="X890" s="1"/>
      <c r="Y890" s="1"/>
      <c r="Z890" s="1"/>
    </row>
    <row r="891" spans="1:26" ht="27" customHeight="1">
      <c r="A891" s="1"/>
      <c r="B891" s="1"/>
      <c r="C891" s="2"/>
      <c r="D891" s="87"/>
      <c r="E891" s="87"/>
      <c r="F891" s="87"/>
      <c r="G891" s="1"/>
      <c r="H891" s="1"/>
      <c r="I891" s="1"/>
      <c r="J891" s="1"/>
      <c r="K891" s="1"/>
      <c r="L891" s="87"/>
      <c r="M891" s="87"/>
      <c r="N891" s="4"/>
      <c r="O891" s="1"/>
      <c r="P891" s="5"/>
      <c r="Q891" s="3"/>
      <c r="R891" s="3"/>
      <c r="S891" s="7"/>
      <c r="T891" s="1"/>
      <c r="U891" s="1"/>
      <c r="V891" s="1"/>
      <c r="W891" s="1"/>
      <c r="X891" s="1"/>
      <c r="Y891" s="1"/>
      <c r="Z891" s="1"/>
    </row>
    <row r="892" spans="1:26" ht="27" customHeight="1">
      <c r="A892" s="1"/>
      <c r="B892" s="1"/>
      <c r="C892" s="2"/>
      <c r="D892" s="87"/>
      <c r="E892" s="87"/>
      <c r="F892" s="87"/>
      <c r="G892" s="1"/>
      <c r="H892" s="1"/>
      <c r="I892" s="1"/>
      <c r="J892" s="1"/>
      <c r="K892" s="1"/>
      <c r="L892" s="87"/>
      <c r="M892" s="87"/>
      <c r="N892" s="4"/>
      <c r="O892" s="1"/>
      <c r="P892" s="5"/>
      <c r="Q892" s="3"/>
      <c r="R892" s="3"/>
      <c r="S892" s="7"/>
      <c r="T892" s="1"/>
      <c r="U892" s="1"/>
      <c r="V892" s="1"/>
      <c r="W892" s="1"/>
      <c r="X892" s="1"/>
      <c r="Y892" s="1"/>
      <c r="Z892" s="1"/>
    </row>
    <row r="893" spans="1:26" ht="27" customHeight="1">
      <c r="A893" s="1"/>
      <c r="B893" s="1"/>
      <c r="C893" s="2"/>
      <c r="D893" s="87"/>
      <c r="E893" s="87"/>
      <c r="F893" s="87"/>
      <c r="G893" s="1"/>
      <c r="H893" s="1"/>
      <c r="I893" s="1"/>
      <c r="J893" s="1"/>
      <c r="K893" s="1"/>
      <c r="L893" s="87"/>
      <c r="M893" s="87"/>
      <c r="N893" s="4"/>
      <c r="O893" s="1"/>
      <c r="P893" s="5"/>
      <c r="Q893" s="3"/>
      <c r="R893" s="3"/>
      <c r="S893" s="7"/>
      <c r="T893" s="1"/>
      <c r="U893" s="1"/>
      <c r="V893" s="1"/>
      <c r="W893" s="1"/>
      <c r="X893" s="1"/>
      <c r="Y893" s="1"/>
      <c r="Z893" s="1"/>
    </row>
    <row r="894" spans="1:26" ht="27" customHeight="1">
      <c r="A894" s="1"/>
      <c r="B894" s="1"/>
      <c r="C894" s="2"/>
      <c r="D894" s="87"/>
      <c r="E894" s="87"/>
      <c r="F894" s="87"/>
      <c r="G894" s="1"/>
      <c r="H894" s="1"/>
      <c r="I894" s="1"/>
      <c r="J894" s="1"/>
      <c r="K894" s="1"/>
      <c r="L894" s="87"/>
      <c r="M894" s="87"/>
      <c r="N894" s="4"/>
      <c r="O894" s="1"/>
      <c r="P894" s="5"/>
      <c r="Q894" s="3"/>
      <c r="R894" s="3"/>
      <c r="S894" s="7"/>
      <c r="T894" s="1"/>
      <c r="U894" s="1"/>
      <c r="V894" s="1"/>
      <c r="W894" s="1"/>
      <c r="X894" s="1"/>
      <c r="Y894" s="1"/>
      <c r="Z894" s="1"/>
    </row>
    <row r="895" spans="1:26" ht="27" customHeight="1">
      <c r="A895" s="1"/>
      <c r="B895" s="1"/>
      <c r="C895" s="2"/>
      <c r="D895" s="87"/>
      <c r="E895" s="87"/>
      <c r="F895" s="87"/>
      <c r="G895" s="1"/>
      <c r="H895" s="1"/>
      <c r="I895" s="1"/>
      <c r="J895" s="1"/>
      <c r="K895" s="1"/>
      <c r="L895" s="87"/>
      <c r="M895" s="87"/>
      <c r="N895" s="4"/>
      <c r="O895" s="1"/>
      <c r="P895" s="5"/>
      <c r="Q895" s="3"/>
      <c r="R895" s="3"/>
      <c r="S895" s="7"/>
      <c r="T895" s="1"/>
      <c r="U895" s="1"/>
      <c r="V895" s="1"/>
      <c r="W895" s="1"/>
      <c r="X895" s="1"/>
      <c r="Y895" s="1"/>
      <c r="Z895" s="1"/>
    </row>
    <row r="896" spans="1:26" ht="27" customHeight="1">
      <c r="A896" s="1"/>
      <c r="B896" s="1"/>
      <c r="C896" s="2"/>
      <c r="D896" s="87"/>
      <c r="E896" s="87"/>
      <c r="F896" s="87"/>
      <c r="G896" s="1"/>
      <c r="H896" s="1"/>
      <c r="I896" s="1"/>
      <c r="J896" s="1"/>
      <c r="K896" s="1"/>
      <c r="L896" s="87"/>
      <c r="M896" s="87"/>
      <c r="N896" s="4"/>
      <c r="O896" s="1"/>
      <c r="P896" s="5"/>
      <c r="Q896" s="3"/>
      <c r="R896" s="3"/>
      <c r="S896" s="7"/>
      <c r="T896" s="1"/>
      <c r="U896" s="1"/>
      <c r="V896" s="1"/>
      <c r="W896" s="1"/>
      <c r="X896" s="1"/>
      <c r="Y896" s="1"/>
      <c r="Z896" s="1"/>
    </row>
    <row r="897" spans="1:26" ht="27" customHeight="1">
      <c r="A897" s="1"/>
      <c r="B897" s="1"/>
      <c r="C897" s="2"/>
      <c r="D897" s="87"/>
      <c r="E897" s="87"/>
      <c r="F897" s="87"/>
      <c r="G897" s="1"/>
      <c r="H897" s="1"/>
      <c r="I897" s="1"/>
      <c r="J897" s="1"/>
      <c r="K897" s="1"/>
      <c r="L897" s="87"/>
      <c r="M897" s="87"/>
      <c r="N897" s="4"/>
      <c r="O897" s="1"/>
      <c r="P897" s="5"/>
      <c r="Q897" s="3"/>
      <c r="R897" s="3"/>
      <c r="S897" s="7"/>
      <c r="T897" s="1"/>
      <c r="U897" s="1"/>
      <c r="V897" s="1"/>
      <c r="W897" s="1"/>
      <c r="X897" s="1"/>
      <c r="Y897" s="1"/>
      <c r="Z897" s="1"/>
    </row>
    <row r="898" spans="1:26" ht="27" customHeight="1">
      <c r="A898" s="1"/>
      <c r="B898" s="1"/>
      <c r="C898" s="2"/>
      <c r="D898" s="87"/>
      <c r="E898" s="87"/>
      <c r="F898" s="87"/>
      <c r="G898" s="1"/>
      <c r="H898" s="1"/>
      <c r="I898" s="1"/>
      <c r="J898" s="1"/>
      <c r="K898" s="1"/>
      <c r="L898" s="87"/>
      <c r="M898" s="87"/>
      <c r="N898" s="4"/>
      <c r="O898" s="1"/>
      <c r="P898" s="5"/>
      <c r="Q898" s="3"/>
      <c r="R898" s="3"/>
      <c r="S898" s="7"/>
      <c r="T898" s="1"/>
      <c r="U898" s="1"/>
      <c r="V898" s="1"/>
      <c r="W898" s="1"/>
      <c r="X898" s="1"/>
      <c r="Y898" s="1"/>
      <c r="Z898" s="1"/>
    </row>
    <row r="899" spans="1:26" ht="27" customHeight="1">
      <c r="A899" s="1"/>
      <c r="B899" s="1"/>
      <c r="C899" s="2"/>
      <c r="D899" s="87"/>
      <c r="E899" s="87"/>
      <c r="F899" s="87"/>
      <c r="G899" s="1"/>
      <c r="H899" s="1"/>
      <c r="I899" s="1"/>
      <c r="J899" s="1"/>
      <c r="K899" s="1"/>
      <c r="L899" s="87"/>
      <c r="M899" s="87"/>
      <c r="N899" s="4"/>
      <c r="O899" s="1"/>
      <c r="P899" s="5"/>
      <c r="Q899" s="3"/>
      <c r="R899" s="3"/>
      <c r="S899" s="7"/>
      <c r="T899" s="1"/>
      <c r="U899" s="1"/>
      <c r="V899" s="1"/>
      <c r="W899" s="1"/>
      <c r="X899" s="1"/>
      <c r="Y899" s="1"/>
      <c r="Z899" s="1"/>
    </row>
    <row r="900" spans="1:26" ht="27" customHeight="1">
      <c r="A900" s="1"/>
      <c r="B900" s="1"/>
      <c r="C900" s="2"/>
      <c r="D900" s="87"/>
      <c r="E900" s="87"/>
      <c r="F900" s="87"/>
      <c r="G900" s="1"/>
      <c r="H900" s="1"/>
      <c r="I900" s="1"/>
      <c r="J900" s="1"/>
      <c r="K900" s="1"/>
      <c r="L900" s="87"/>
      <c r="M900" s="87"/>
      <c r="N900" s="4"/>
      <c r="O900" s="1"/>
      <c r="P900" s="5"/>
      <c r="Q900" s="3"/>
      <c r="R900" s="3"/>
      <c r="S900" s="7"/>
      <c r="T900" s="1"/>
      <c r="U900" s="1"/>
      <c r="V900" s="1"/>
      <c r="W900" s="1"/>
      <c r="X900" s="1"/>
      <c r="Y900" s="1"/>
      <c r="Z900" s="1"/>
    </row>
    <row r="901" spans="1:26" ht="27" customHeight="1">
      <c r="A901" s="1"/>
      <c r="B901" s="1"/>
      <c r="C901" s="2"/>
      <c r="D901" s="87"/>
      <c r="E901" s="87"/>
      <c r="F901" s="87"/>
      <c r="G901" s="1"/>
      <c r="H901" s="1"/>
      <c r="I901" s="1"/>
      <c r="J901" s="1"/>
      <c r="K901" s="1"/>
      <c r="L901" s="87"/>
      <c r="M901" s="87"/>
      <c r="N901" s="4"/>
      <c r="O901" s="1"/>
      <c r="P901" s="5"/>
      <c r="Q901" s="3"/>
      <c r="R901" s="3"/>
      <c r="S901" s="7"/>
      <c r="T901" s="1"/>
      <c r="U901" s="1"/>
      <c r="V901" s="1"/>
      <c r="W901" s="1"/>
      <c r="X901" s="1"/>
      <c r="Y901" s="1"/>
      <c r="Z901" s="1"/>
    </row>
    <row r="902" spans="1:26" ht="27" customHeight="1">
      <c r="A902" s="1"/>
      <c r="B902" s="1"/>
      <c r="C902" s="2"/>
      <c r="D902" s="87"/>
      <c r="E902" s="87"/>
      <c r="F902" s="87"/>
      <c r="G902" s="1"/>
      <c r="H902" s="1"/>
      <c r="I902" s="1"/>
      <c r="J902" s="1"/>
      <c r="K902" s="1"/>
      <c r="L902" s="87"/>
      <c r="M902" s="87"/>
      <c r="N902" s="4"/>
      <c r="O902" s="1"/>
      <c r="P902" s="5"/>
      <c r="Q902" s="3"/>
      <c r="R902" s="3"/>
      <c r="S902" s="7"/>
      <c r="T902" s="1"/>
      <c r="U902" s="1"/>
      <c r="V902" s="1"/>
      <c r="W902" s="1"/>
      <c r="X902" s="1"/>
      <c r="Y902" s="1"/>
      <c r="Z902" s="1"/>
    </row>
    <row r="903" spans="1:26" ht="27" customHeight="1">
      <c r="A903" s="1"/>
      <c r="B903" s="1"/>
      <c r="C903" s="2"/>
      <c r="D903" s="87"/>
      <c r="E903" s="87"/>
      <c r="F903" s="87"/>
      <c r="G903" s="1"/>
      <c r="H903" s="1"/>
      <c r="I903" s="1"/>
      <c r="J903" s="1"/>
      <c r="K903" s="1"/>
      <c r="L903" s="87"/>
      <c r="M903" s="87"/>
      <c r="N903" s="4"/>
      <c r="O903" s="1"/>
      <c r="P903" s="5"/>
      <c r="Q903" s="3"/>
      <c r="R903" s="3"/>
      <c r="S903" s="7"/>
      <c r="T903" s="1"/>
      <c r="U903" s="1"/>
      <c r="V903" s="1"/>
      <c r="W903" s="1"/>
      <c r="X903" s="1"/>
      <c r="Y903" s="1"/>
      <c r="Z903" s="1"/>
    </row>
    <row r="904" spans="1:26" ht="27" customHeight="1">
      <c r="A904" s="1"/>
      <c r="B904" s="1"/>
      <c r="C904" s="2"/>
      <c r="D904" s="87"/>
      <c r="E904" s="87"/>
      <c r="F904" s="87"/>
      <c r="G904" s="1"/>
      <c r="H904" s="1"/>
      <c r="I904" s="1"/>
      <c r="J904" s="1"/>
      <c r="K904" s="1"/>
      <c r="L904" s="87"/>
      <c r="M904" s="87"/>
      <c r="N904" s="4"/>
      <c r="O904" s="1"/>
      <c r="P904" s="5"/>
      <c r="Q904" s="3"/>
      <c r="R904" s="3"/>
      <c r="S904" s="7"/>
      <c r="T904" s="1"/>
      <c r="U904" s="1"/>
      <c r="V904" s="1"/>
      <c r="W904" s="1"/>
      <c r="X904" s="1"/>
      <c r="Y904" s="1"/>
      <c r="Z904" s="1"/>
    </row>
    <row r="905" spans="1:26" ht="27" customHeight="1">
      <c r="A905" s="1"/>
      <c r="B905" s="1"/>
      <c r="C905" s="2"/>
      <c r="D905" s="87"/>
      <c r="E905" s="87"/>
      <c r="F905" s="87"/>
      <c r="G905" s="1"/>
      <c r="H905" s="1"/>
      <c r="I905" s="1"/>
      <c r="J905" s="1"/>
      <c r="K905" s="1"/>
      <c r="L905" s="87"/>
      <c r="M905" s="87"/>
      <c r="N905" s="4"/>
      <c r="O905" s="1"/>
      <c r="P905" s="5"/>
      <c r="Q905" s="3"/>
      <c r="R905" s="3"/>
      <c r="S905" s="7"/>
      <c r="T905" s="1"/>
      <c r="U905" s="1"/>
      <c r="V905" s="1"/>
      <c r="W905" s="1"/>
      <c r="X905" s="1"/>
      <c r="Y905" s="1"/>
      <c r="Z905" s="1"/>
    </row>
    <row r="906" spans="1:26" ht="27" customHeight="1">
      <c r="A906" s="1"/>
      <c r="B906" s="1"/>
      <c r="C906" s="2"/>
      <c r="D906" s="87"/>
      <c r="E906" s="87"/>
      <c r="F906" s="87"/>
      <c r="G906" s="1"/>
      <c r="H906" s="1"/>
      <c r="I906" s="1"/>
      <c r="J906" s="1"/>
      <c r="K906" s="1"/>
      <c r="L906" s="87"/>
      <c r="M906" s="87"/>
      <c r="N906" s="4"/>
      <c r="O906" s="1"/>
      <c r="P906" s="5"/>
      <c r="Q906" s="3"/>
      <c r="R906" s="3"/>
      <c r="S906" s="7"/>
      <c r="T906" s="1"/>
      <c r="U906" s="1"/>
      <c r="V906" s="1"/>
      <c r="W906" s="1"/>
      <c r="X906" s="1"/>
      <c r="Y906" s="1"/>
      <c r="Z906" s="1"/>
    </row>
    <row r="907" spans="1:26" ht="27" customHeight="1">
      <c r="A907" s="1"/>
      <c r="B907" s="1"/>
      <c r="C907" s="2"/>
      <c r="D907" s="87"/>
      <c r="E907" s="87"/>
      <c r="F907" s="87"/>
      <c r="G907" s="1"/>
      <c r="H907" s="1"/>
      <c r="I907" s="1"/>
      <c r="J907" s="1"/>
      <c r="K907" s="1"/>
      <c r="L907" s="87"/>
      <c r="M907" s="87"/>
      <c r="N907" s="4"/>
      <c r="O907" s="1"/>
      <c r="P907" s="5"/>
      <c r="Q907" s="3"/>
      <c r="R907" s="3"/>
      <c r="S907" s="7"/>
      <c r="T907" s="1"/>
      <c r="U907" s="1"/>
      <c r="V907" s="1"/>
      <c r="W907" s="1"/>
      <c r="X907" s="1"/>
      <c r="Y907" s="1"/>
      <c r="Z907" s="1"/>
    </row>
    <row r="908" spans="1:26" ht="27" customHeight="1">
      <c r="A908" s="1"/>
      <c r="B908" s="1"/>
      <c r="C908" s="2"/>
      <c r="D908" s="87"/>
      <c r="E908" s="87"/>
      <c r="F908" s="87"/>
      <c r="G908" s="1"/>
      <c r="H908" s="1"/>
      <c r="I908" s="1"/>
      <c r="J908" s="1"/>
      <c r="K908" s="1"/>
      <c r="L908" s="87"/>
      <c r="M908" s="87"/>
      <c r="N908" s="4"/>
      <c r="O908" s="1"/>
      <c r="P908" s="5"/>
      <c r="Q908" s="3"/>
      <c r="R908" s="3"/>
      <c r="S908" s="7"/>
      <c r="T908" s="1"/>
      <c r="U908" s="1"/>
      <c r="V908" s="1"/>
      <c r="W908" s="1"/>
      <c r="X908" s="1"/>
      <c r="Y908" s="1"/>
      <c r="Z908" s="1"/>
    </row>
    <row r="909" spans="1:26" ht="27" customHeight="1">
      <c r="A909" s="1"/>
      <c r="B909" s="1"/>
      <c r="C909" s="2"/>
      <c r="D909" s="87"/>
      <c r="E909" s="87"/>
      <c r="F909" s="87"/>
      <c r="G909" s="1"/>
      <c r="H909" s="1"/>
      <c r="I909" s="1"/>
      <c r="J909" s="1"/>
      <c r="K909" s="1"/>
      <c r="L909" s="87"/>
      <c r="M909" s="87"/>
      <c r="N909" s="4"/>
      <c r="O909" s="1"/>
      <c r="P909" s="5"/>
      <c r="Q909" s="3"/>
      <c r="R909" s="3"/>
      <c r="S909" s="7"/>
      <c r="T909" s="1"/>
      <c r="U909" s="1"/>
      <c r="V909" s="1"/>
      <c r="W909" s="1"/>
      <c r="X909" s="1"/>
      <c r="Y909" s="1"/>
      <c r="Z909" s="1"/>
    </row>
    <row r="910" spans="1:26" ht="27" customHeight="1">
      <c r="A910" s="1"/>
      <c r="B910" s="1"/>
      <c r="C910" s="2"/>
      <c r="D910" s="87"/>
      <c r="E910" s="87"/>
      <c r="F910" s="87"/>
      <c r="G910" s="1"/>
      <c r="H910" s="1"/>
      <c r="I910" s="1"/>
      <c r="J910" s="1"/>
      <c r="K910" s="1"/>
      <c r="L910" s="87"/>
      <c r="M910" s="87"/>
      <c r="N910" s="4"/>
      <c r="O910" s="1"/>
      <c r="P910" s="5"/>
      <c r="Q910" s="3"/>
      <c r="R910" s="3"/>
      <c r="S910" s="7"/>
      <c r="T910" s="1"/>
      <c r="U910" s="1"/>
      <c r="V910" s="1"/>
      <c r="W910" s="1"/>
      <c r="X910" s="1"/>
      <c r="Y910" s="1"/>
      <c r="Z910" s="1"/>
    </row>
    <row r="911" spans="1:26" ht="27" customHeight="1">
      <c r="A911" s="1"/>
      <c r="B911" s="1"/>
      <c r="C911" s="2"/>
      <c r="D911" s="87"/>
      <c r="E911" s="87"/>
      <c r="F911" s="87"/>
      <c r="G911" s="1"/>
      <c r="H911" s="1"/>
      <c r="I911" s="1"/>
      <c r="J911" s="1"/>
      <c r="K911" s="1"/>
      <c r="L911" s="87"/>
      <c r="M911" s="87"/>
      <c r="N911" s="4"/>
      <c r="O911" s="1"/>
      <c r="P911" s="5"/>
      <c r="Q911" s="3"/>
      <c r="R911" s="3"/>
      <c r="S911" s="7"/>
      <c r="T911" s="1"/>
      <c r="U911" s="1"/>
      <c r="V911" s="1"/>
      <c r="W911" s="1"/>
      <c r="X911" s="1"/>
      <c r="Y911" s="1"/>
      <c r="Z911" s="1"/>
    </row>
    <row r="912" spans="1:26" ht="27" customHeight="1">
      <c r="A912" s="1"/>
      <c r="B912" s="1"/>
      <c r="C912" s="2"/>
      <c r="D912" s="87"/>
      <c r="E912" s="87"/>
      <c r="F912" s="87"/>
      <c r="G912" s="1"/>
      <c r="H912" s="1"/>
      <c r="I912" s="1"/>
      <c r="J912" s="1"/>
      <c r="K912" s="1"/>
      <c r="L912" s="87"/>
      <c r="M912" s="87"/>
      <c r="N912" s="4"/>
      <c r="O912" s="1"/>
      <c r="P912" s="5"/>
      <c r="Q912" s="3"/>
      <c r="R912" s="3"/>
      <c r="S912" s="7"/>
      <c r="T912" s="1"/>
      <c r="U912" s="1"/>
      <c r="V912" s="1"/>
      <c r="W912" s="1"/>
      <c r="X912" s="1"/>
      <c r="Y912" s="1"/>
      <c r="Z912" s="1"/>
    </row>
    <row r="913" spans="1:26" ht="27" customHeight="1">
      <c r="A913" s="1"/>
      <c r="B913" s="1"/>
      <c r="C913" s="2"/>
      <c r="D913" s="87"/>
      <c r="E913" s="87"/>
      <c r="F913" s="87"/>
      <c r="G913" s="1"/>
      <c r="H913" s="1"/>
      <c r="I913" s="1"/>
      <c r="J913" s="1"/>
      <c r="K913" s="1"/>
      <c r="L913" s="87"/>
      <c r="M913" s="87"/>
      <c r="N913" s="4"/>
      <c r="O913" s="1"/>
      <c r="P913" s="5"/>
      <c r="Q913" s="3"/>
      <c r="R913" s="3"/>
      <c r="S913" s="7"/>
      <c r="T913" s="1"/>
      <c r="U913" s="1"/>
      <c r="V913" s="1"/>
      <c r="W913" s="1"/>
      <c r="X913" s="1"/>
      <c r="Y913" s="1"/>
      <c r="Z913" s="1"/>
    </row>
    <row r="914" spans="1:26" ht="27" customHeight="1">
      <c r="A914" s="1"/>
      <c r="B914" s="1"/>
      <c r="C914" s="2"/>
      <c r="D914" s="87"/>
      <c r="E914" s="87"/>
      <c r="F914" s="87"/>
      <c r="G914" s="1"/>
      <c r="H914" s="1"/>
      <c r="I914" s="1"/>
      <c r="J914" s="1"/>
      <c r="K914" s="1"/>
      <c r="L914" s="87"/>
      <c r="M914" s="87"/>
      <c r="N914" s="4"/>
      <c r="O914" s="1"/>
      <c r="P914" s="5"/>
      <c r="Q914" s="3"/>
      <c r="R914" s="3"/>
      <c r="S914" s="7"/>
      <c r="T914" s="1"/>
      <c r="U914" s="1"/>
      <c r="V914" s="1"/>
      <c r="W914" s="1"/>
      <c r="X914" s="1"/>
      <c r="Y914" s="1"/>
      <c r="Z914" s="1"/>
    </row>
    <row r="915" spans="1:26" ht="27" customHeight="1">
      <c r="A915" s="1"/>
      <c r="B915" s="1"/>
      <c r="C915" s="2"/>
      <c r="D915" s="87"/>
      <c r="E915" s="87"/>
      <c r="F915" s="87"/>
      <c r="G915" s="1"/>
      <c r="H915" s="1"/>
      <c r="I915" s="1"/>
      <c r="J915" s="1"/>
      <c r="K915" s="1"/>
      <c r="L915" s="87"/>
      <c r="M915" s="87"/>
      <c r="N915" s="4"/>
      <c r="O915" s="1"/>
      <c r="P915" s="5"/>
      <c r="Q915" s="3"/>
      <c r="R915" s="3"/>
      <c r="S915" s="7"/>
      <c r="T915" s="1"/>
      <c r="U915" s="1"/>
      <c r="V915" s="1"/>
      <c r="W915" s="1"/>
      <c r="X915" s="1"/>
      <c r="Y915" s="1"/>
      <c r="Z915" s="1"/>
    </row>
    <row r="916" spans="1:26" ht="27" customHeight="1">
      <c r="A916" s="1"/>
      <c r="B916" s="1"/>
      <c r="C916" s="2"/>
      <c r="D916" s="87"/>
      <c r="E916" s="87"/>
      <c r="F916" s="87"/>
      <c r="G916" s="1"/>
      <c r="H916" s="1"/>
      <c r="I916" s="1"/>
      <c r="J916" s="1"/>
      <c r="K916" s="1"/>
      <c r="L916" s="87"/>
      <c r="M916" s="87"/>
      <c r="N916" s="4"/>
      <c r="O916" s="1"/>
      <c r="P916" s="5"/>
      <c r="Q916" s="3"/>
      <c r="R916" s="3"/>
      <c r="S916" s="7"/>
      <c r="T916" s="1"/>
      <c r="U916" s="1"/>
      <c r="V916" s="1"/>
      <c r="W916" s="1"/>
      <c r="X916" s="1"/>
      <c r="Y916" s="1"/>
      <c r="Z916" s="1"/>
    </row>
    <row r="917" spans="1:26" ht="27" customHeight="1">
      <c r="A917" s="1"/>
      <c r="B917" s="1"/>
      <c r="C917" s="2"/>
      <c r="D917" s="87"/>
      <c r="E917" s="87"/>
      <c r="F917" s="87"/>
      <c r="G917" s="1"/>
      <c r="H917" s="1"/>
      <c r="I917" s="1"/>
      <c r="J917" s="1"/>
      <c r="K917" s="1"/>
      <c r="L917" s="87"/>
      <c r="M917" s="87"/>
      <c r="N917" s="4"/>
      <c r="O917" s="1"/>
      <c r="P917" s="5"/>
      <c r="Q917" s="3"/>
      <c r="R917" s="3"/>
      <c r="S917" s="7"/>
      <c r="T917" s="1"/>
      <c r="U917" s="1"/>
      <c r="V917" s="1"/>
      <c r="W917" s="1"/>
      <c r="X917" s="1"/>
      <c r="Y917" s="1"/>
      <c r="Z917" s="1"/>
    </row>
    <row r="918" spans="1:26" ht="27" customHeight="1">
      <c r="A918" s="1"/>
      <c r="B918" s="1"/>
      <c r="C918" s="2"/>
      <c r="D918" s="87"/>
      <c r="E918" s="87"/>
      <c r="F918" s="87"/>
      <c r="G918" s="1"/>
      <c r="H918" s="1"/>
      <c r="I918" s="1"/>
      <c r="J918" s="1"/>
      <c r="K918" s="1"/>
      <c r="L918" s="87"/>
      <c r="M918" s="87"/>
      <c r="N918" s="4"/>
      <c r="O918" s="1"/>
      <c r="P918" s="5"/>
      <c r="Q918" s="3"/>
      <c r="R918" s="3"/>
      <c r="S918" s="7"/>
      <c r="T918" s="1"/>
      <c r="U918" s="1"/>
      <c r="V918" s="1"/>
      <c r="W918" s="1"/>
      <c r="X918" s="1"/>
      <c r="Y918" s="1"/>
      <c r="Z918" s="1"/>
    </row>
    <row r="919" spans="1:26" ht="27" customHeight="1">
      <c r="A919" s="1"/>
      <c r="B919" s="1"/>
      <c r="C919" s="2"/>
      <c r="D919" s="87"/>
      <c r="E919" s="87"/>
      <c r="F919" s="87"/>
      <c r="G919" s="1"/>
      <c r="H919" s="1"/>
      <c r="I919" s="1"/>
      <c r="J919" s="1"/>
      <c r="K919" s="1"/>
      <c r="L919" s="87"/>
      <c r="M919" s="87"/>
      <c r="N919" s="4"/>
      <c r="O919" s="1"/>
      <c r="P919" s="5"/>
      <c r="Q919" s="3"/>
      <c r="R919" s="3"/>
      <c r="S919" s="7"/>
      <c r="T919" s="1"/>
      <c r="U919" s="1"/>
      <c r="V919" s="1"/>
      <c r="W919" s="1"/>
      <c r="X919" s="1"/>
      <c r="Y919" s="1"/>
      <c r="Z919" s="1"/>
    </row>
    <row r="920" spans="1:26" ht="27" customHeight="1">
      <c r="A920" s="1"/>
      <c r="B920" s="1"/>
      <c r="C920" s="2"/>
      <c r="D920" s="87"/>
      <c r="E920" s="87"/>
      <c r="F920" s="87"/>
      <c r="G920" s="1"/>
      <c r="H920" s="1"/>
      <c r="I920" s="1"/>
      <c r="J920" s="1"/>
      <c r="K920" s="1"/>
      <c r="L920" s="87"/>
      <c r="M920" s="87"/>
      <c r="N920" s="4"/>
      <c r="O920" s="1"/>
      <c r="P920" s="5"/>
      <c r="Q920" s="3"/>
      <c r="R920" s="3"/>
      <c r="S920" s="7"/>
      <c r="T920" s="1"/>
      <c r="U920" s="1"/>
      <c r="V920" s="1"/>
      <c r="W920" s="1"/>
      <c r="X920" s="1"/>
      <c r="Y920" s="1"/>
      <c r="Z920" s="1"/>
    </row>
    <row r="921" spans="1:26" ht="27" customHeight="1">
      <c r="A921" s="1"/>
      <c r="B921" s="1"/>
      <c r="C921" s="2"/>
      <c r="D921" s="87"/>
      <c r="E921" s="87"/>
      <c r="F921" s="87"/>
      <c r="G921" s="1"/>
      <c r="H921" s="1"/>
      <c r="I921" s="1"/>
      <c r="J921" s="1"/>
      <c r="K921" s="1"/>
      <c r="L921" s="87"/>
      <c r="M921" s="87"/>
      <c r="N921" s="4"/>
      <c r="O921" s="1"/>
      <c r="P921" s="5"/>
      <c r="Q921" s="3"/>
      <c r="R921" s="3"/>
      <c r="S921" s="7"/>
      <c r="T921" s="1"/>
      <c r="U921" s="1"/>
      <c r="V921" s="1"/>
      <c r="W921" s="1"/>
      <c r="X921" s="1"/>
      <c r="Y921" s="1"/>
      <c r="Z921" s="1"/>
    </row>
    <row r="922" spans="1:26" ht="27" customHeight="1">
      <c r="A922" s="1"/>
      <c r="B922" s="1"/>
      <c r="C922" s="2"/>
      <c r="D922" s="87"/>
      <c r="E922" s="87"/>
      <c r="F922" s="87"/>
      <c r="G922" s="1"/>
      <c r="H922" s="1"/>
      <c r="I922" s="1"/>
      <c r="J922" s="1"/>
      <c r="K922" s="1"/>
      <c r="L922" s="87"/>
      <c r="M922" s="87"/>
      <c r="N922" s="4"/>
      <c r="O922" s="1"/>
      <c r="P922" s="5"/>
      <c r="Q922" s="3"/>
      <c r="R922" s="3"/>
      <c r="S922" s="7"/>
      <c r="T922" s="1"/>
      <c r="U922" s="1"/>
      <c r="V922" s="1"/>
      <c r="W922" s="1"/>
      <c r="X922" s="1"/>
      <c r="Y922" s="1"/>
      <c r="Z922" s="1"/>
    </row>
    <row r="923" spans="1:26" ht="27" customHeight="1">
      <c r="A923" s="1"/>
      <c r="B923" s="1"/>
      <c r="C923" s="2"/>
      <c r="D923" s="87"/>
      <c r="E923" s="87"/>
      <c r="F923" s="87"/>
      <c r="G923" s="1"/>
      <c r="H923" s="1"/>
      <c r="I923" s="1"/>
      <c r="J923" s="1"/>
      <c r="K923" s="1"/>
      <c r="L923" s="87"/>
      <c r="M923" s="87"/>
      <c r="N923" s="4"/>
      <c r="O923" s="1"/>
      <c r="P923" s="5"/>
      <c r="Q923" s="3"/>
      <c r="R923" s="3"/>
      <c r="S923" s="7"/>
      <c r="T923" s="1"/>
      <c r="U923" s="1"/>
      <c r="V923" s="1"/>
      <c r="W923" s="1"/>
      <c r="X923" s="1"/>
      <c r="Y923" s="1"/>
      <c r="Z923" s="1"/>
    </row>
    <row r="924" spans="1:26" ht="27" customHeight="1">
      <c r="A924" s="1"/>
      <c r="B924" s="1"/>
      <c r="C924" s="2"/>
      <c r="D924" s="87"/>
      <c r="E924" s="87"/>
      <c r="F924" s="87"/>
      <c r="G924" s="1"/>
      <c r="H924" s="1"/>
      <c r="I924" s="1"/>
      <c r="J924" s="1"/>
      <c r="K924" s="1"/>
      <c r="L924" s="87"/>
      <c r="M924" s="87"/>
      <c r="N924" s="4"/>
      <c r="O924" s="1"/>
      <c r="P924" s="5"/>
      <c r="Q924" s="3"/>
      <c r="R924" s="3"/>
      <c r="S924" s="7"/>
      <c r="T924" s="1"/>
      <c r="U924" s="1"/>
      <c r="V924" s="1"/>
      <c r="W924" s="1"/>
      <c r="X924" s="1"/>
      <c r="Y924" s="1"/>
      <c r="Z924" s="1"/>
    </row>
    <row r="925" spans="1:26" ht="27" customHeight="1">
      <c r="A925" s="1"/>
      <c r="B925" s="1"/>
      <c r="C925" s="2"/>
      <c r="D925" s="87"/>
      <c r="E925" s="87"/>
      <c r="F925" s="87"/>
      <c r="G925" s="1"/>
      <c r="H925" s="1"/>
      <c r="I925" s="1"/>
      <c r="J925" s="1"/>
      <c r="K925" s="1"/>
      <c r="L925" s="87"/>
      <c r="M925" s="87"/>
      <c r="N925" s="4"/>
      <c r="O925" s="1"/>
      <c r="P925" s="5"/>
      <c r="Q925" s="3"/>
      <c r="R925" s="3"/>
      <c r="S925" s="7"/>
      <c r="T925" s="1"/>
      <c r="U925" s="1"/>
      <c r="V925" s="1"/>
      <c r="W925" s="1"/>
      <c r="X925" s="1"/>
      <c r="Y925" s="1"/>
      <c r="Z925" s="1"/>
    </row>
    <row r="926" spans="1:26" ht="27" customHeight="1">
      <c r="A926" s="1"/>
      <c r="B926" s="1"/>
      <c r="C926" s="2"/>
      <c r="D926" s="87"/>
      <c r="E926" s="87"/>
      <c r="F926" s="87"/>
      <c r="G926" s="1"/>
      <c r="H926" s="1"/>
      <c r="I926" s="1"/>
      <c r="J926" s="1"/>
      <c r="K926" s="1"/>
      <c r="L926" s="87"/>
      <c r="M926" s="87"/>
      <c r="N926" s="4"/>
      <c r="O926" s="1"/>
      <c r="P926" s="5"/>
      <c r="Q926" s="3"/>
      <c r="R926" s="3"/>
      <c r="S926" s="7"/>
      <c r="T926" s="1"/>
      <c r="U926" s="1"/>
      <c r="V926" s="1"/>
      <c r="W926" s="1"/>
      <c r="X926" s="1"/>
      <c r="Y926" s="1"/>
      <c r="Z926" s="1"/>
    </row>
    <row r="927" spans="1:26" ht="27" customHeight="1">
      <c r="A927" s="1"/>
      <c r="B927" s="1"/>
      <c r="C927" s="2"/>
      <c r="D927" s="87"/>
      <c r="E927" s="87"/>
      <c r="F927" s="87"/>
      <c r="G927" s="1"/>
      <c r="H927" s="1"/>
      <c r="I927" s="1"/>
      <c r="J927" s="1"/>
      <c r="K927" s="1"/>
      <c r="L927" s="87"/>
      <c r="M927" s="87"/>
      <c r="N927" s="4"/>
      <c r="O927" s="1"/>
      <c r="P927" s="5"/>
      <c r="Q927" s="3"/>
      <c r="R927" s="3"/>
      <c r="S927" s="7"/>
      <c r="T927" s="1"/>
      <c r="U927" s="1"/>
      <c r="V927" s="1"/>
      <c r="W927" s="1"/>
      <c r="X927" s="1"/>
      <c r="Y927" s="1"/>
      <c r="Z927" s="1"/>
    </row>
    <row r="928" spans="1:26" ht="27" customHeight="1">
      <c r="A928" s="1"/>
      <c r="B928" s="1"/>
      <c r="C928" s="2"/>
      <c r="D928" s="87"/>
      <c r="E928" s="87"/>
      <c r="F928" s="87"/>
      <c r="G928" s="1"/>
      <c r="H928" s="1"/>
      <c r="I928" s="1"/>
      <c r="J928" s="1"/>
      <c r="K928" s="1"/>
      <c r="L928" s="87"/>
      <c r="M928" s="87"/>
      <c r="N928" s="4"/>
      <c r="O928" s="1"/>
      <c r="P928" s="5"/>
      <c r="Q928" s="3"/>
      <c r="R928" s="3"/>
      <c r="S928" s="7"/>
      <c r="T928" s="1"/>
      <c r="U928" s="1"/>
      <c r="V928" s="1"/>
      <c r="W928" s="1"/>
      <c r="X928" s="1"/>
      <c r="Y928" s="1"/>
      <c r="Z928" s="1"/>
    </row>
    <row r="929" spans="1:26" ht="27" customHeight="1">
      <c r="A929" s="1"/>
      <c r="B929" s="1"/>
      <c r="C929" s="2"/>
      <c r="D929" s="87"/>
      <c r="E929" s="87"/>
      <c r="F929" s="87"/>
      <c r="G929" s="1"/>
      <c r="H929" s="1"/>
      <c r="I929" s="1"/>
      <c r="J929" s="1"/>
      <c r="K929" s="1"/>
      <c r="L929" s="87"/>
      <c r="M929" s="87"/>
      <c r="N929" s="4"/>
      <c r="O929" s="1"/>
      <c r="P929" s="5"/>
      <c r="Q929" s="3"/>
      <c r="R929" s="3"/>
      <c r="S929" s="7"/>
      <c r="T929" s="1"/>
      <c r="U929" s="1"/>
      <c r="V929" s="1"/>
      <c r="W929" s="1"/>
      <c r="X929" s="1"/>
      <c r="Y929" s="1"/>
      <c r="Z929" s="1"/>
    </row>
    <row r="930" spans="1:26" ht="27" customHeight="1">
      <c r="A930" s="1"/>
      <c r="B930" s="1"/>
      <c r="C930" s="2"/>
      <c r="D930" s="87"/>
      <c r="E930" s="87"/>
      <c r="F930" s="87"/>
      <c r="G930" s="1"/>
      <c r="H930" s="1"/>
      <c r="I930" s="1"/>
      <c r="J930" s="1"/>
      <c r="K930" s="1"/>
      <c r="L930" s="87"/>
      <c r="M930" s="87"/>
      <c r="N930" s="4"/>
      <c r="O930" s="1"/>
      <c r="P930" s="5"/>
      <c r="Q930" s="3"/>
      <c r="R930" s="3"/>
      <c r="S930" s="7"/>
      <c r="T930" s="1"/>
      <c r="U930" s="1"/>
      <c r="V930" s="1"/>
      <c r="W930" s="1"/>
      <c r="X930" s="1"/>
      <c r="Y930" s="1"/>
      <c r="Z930" s="1"/>
    </row>
    <row r="931" spans="1:26" ht="27" customHeight="1">
      <c r="A931" s="1"/>
      <c r="B931" s="1"/>
      <c r="C931" s="2"/>
      <c r="D931" s="87"/>
      <c r="E931" s="87"/>
      <c r="F931" s="87"/>
      <c r="G931" s="1"/>
      <c r="H931" s="1"/>
      <c r="I931" s="1"/>
      <c r="J931" s="1"/>
      <c r="K931" s="1"/>
      <c r="L931" s="87"/>
      <c r="M931" s="87"/>
      <c r="N931" s="4"/>
      <c r="O931" s="1"/>
      <c r="P931" s="5"/>
      <c r="Q931" s="3"/>
      <c r="R931" s="3"/>
      <c r="S931" s="7"/>
      <c r="T931" s="1"/>
      <c r="U931" s="1"/>
      <c r="V931" s="1"/>
      <c r="W931" s="1"/>
      <c r="X931" s="1"/>
      <c r="Y931" s="1"/>
      <c r="Z931" s="1"/>
    </row>
    <row r="932" spans="1:26" ht="27" customHeight="1">
      <c r="A932" s="1"/>
      <c r="B932" s="1"/>
      <c r="C932" s="2"/>
      <c r="D932" s="87"/>
      <c r="E932" s="87"/>
      <c r="F932" s="87"/>
      <c r="G932" s="1"/>
      <c r="H932" s="1"/>
      <c r="I932" s="1"/>
      <c r="J932" s="1"/>
      <c r="K932" s="1"/>
      <c r="L932" s="87"/>
      <c r="M932" s="87"/>
      <c r="N932" s="4"/>
      <c r="O932" s="1"/>
      <c r="P932" s="5"/>
      <c r="Q932" s="3"/>
      <c r="R932" s="3"/>
      <c r="S932" s="7"/>
      <c r="T932" s="1"/>
      <c r="U932" s="1"/>
      <c r="V932" s="1"/>
      <c r="W932" s="1"/>
      <c r="X932" s="1"/>
      <c r="Y932" s="1"/>
      <c r="Z932" s="1"/>
    </row>
    <row r="933" spans="1:26" ht="27" customHeight="1">
      <c r="A933" s="1"/>
      <c r="B933" s="1"/>
      <c r="C933" s="2"/>
      <c r="D933" s="87"/>
      <c r="E933" s="87"/>
      <c r="F933" s="87"/>
      <c r="G933" s="1"/>
      <c r="H933" s="1"/>
      <c r="I933" s="1"/>
      <c r="J933" s="1"/>
      <c r="K933" s="1"/>
      <c r="L933" s="87"/>
      <c r="M933" s="87"/>
      <c r="N933" s="4"/>
      <c r="O933" s="1"/>
      <c r="P933" s="5"/>
      <c r="Q933" s="3"/>
      <c r="R933" s="3"/>
      <c r="S933" s="7"/>
      <c r="T933" s="1"/>
      <c r="U933" s="1"/>
      <c r="V933" s="1"/>
      <c r="W933" s="1"/>
      <c r="X933" s="1"/>
      <c r="Y933" s="1"/>
      <c r="Z933" s="1"/>
    </row>
    <row r="934" spans="1:26" ht="27" customHeight="1">
      <c r="A934" s="1"/>
      <c r="B934" s="1"/>
      <c r="C934" s="2"/>
      <c r="D934" s="87"/>
      <c r="E934" s="87"/>
      <c r="F934" s="87"/>
      <c r="G934" s="1"/>
      <c r="H934" s="1"/>
      <c r="I934" s="1"/>
      <c r="J934" s="1"/>
      <c r="K934" s="1"/>
      <c r="L934" s="87"/>
      <c r="M934" s="87"/>
      <c r="N934" s="4"/>
      <c r="O934" s="1"/>
      <c r="P934" s="5"/>
      <c r="Q934" s="3"/>
      <c r="R934" s="3"/>
      <c r="S934" s="7"/>
      <c r="T934" s="1"/>
      <c r="U934" s="1"/>
      <c r="V934" s="1"/>
      <c r="W934" s="1"/>
      <c r="X934" s="1"/>
      <c r="Y934" s="1"/>
      <c r="Z934" s="1"/>
    </row>
    <row r="935" spans="1:26" ht="27" customHeight="1">
      <c r="A935" s="1"/>
      <c r="B935" s="1"/>
      <c r="C935" s="2"/>
      <c r="D935" s="87"/>
      <c r="E935" s="87"/>
      <c r="F935" s="87"/>
      <c r="G935" s="1"/>
      <c r="H935" s="1"/>
      <c r="I935" s="1"/>
      <c r="J935" s="1"/>
      <c r="K935" s="1"/>
      <c r="L935" s="87"/>
      <c r="M935" s="87"/>
      <c r="N935" s="4"/>
      <c r="O935" s="1"/>
      <c r="P935" s="5"/>
      <c r="Q935" s="3"/>
      <c r="R935" s="3"/>
      <c r="S935" s="7"/>
      <c r="T935" s="1"/>
      <c r="U935" s="1"/>
      <c r="V935" s="1"/>
      <c r="W935" s="1"/>
      <c r="X935" s="1"/>
      <c r="Y935" s="1"/>
      <c r="Z935" s="1"/>
    </row>
    <row r="936" spans="1:26" ht="27" customHeight="1">
      <c r="A936" s="1"/>
      <c r="B936" s="1"/>
      <c r="C936" s="2"/>
      <c r="D936" s="87"/>
      <c r="E936" s="87"/>
      <c r="F936" s="87"/>
      <c r="G936" s="1"/>
      <c r="H936" s="1"/>
      <c r="I936" s="1"/>
      <c r="J936" s="1"/>
      <c r="K936" s="1"/>
      <c r="L936" s="87"/>
      <c r="M936" s="87"/>
      <c r="N936" s="4"/>
      <c r="O936" s="1"/>
      <c r="P936" s="5"/>
      <c r="Q936" s="3"/>
      <c r="R936" s="3"/>
      <c r="S936" s="7"/>
      <c r="T936" s="1"/>
      <c r="U936" s="1"/>
      <c r="V936" s="1"/>
      <c r="W936" s="1"/>
      <c r="X936" s="1"/>
      <c r="Y936" s="1"/>
      <c r="Z936" s="1"/>
    </row>
    <row r="937" spans="1:26" ht="27" customHeight="1">
      <c r="A937" s="1"/>
      <c r="B937" s="1"/>
      <c r="C937" s="2"/>
      <c r="D937" s="87"/>
      <c r="E937" s="87"/>
      <c r="F937" s="87"/>
      <c r="G937" s="1"/>
      <c r="H937" s="1"/>
      <c r="I937" s="1"/>
      <c r="J937" s="1"/>
      <c r="K937" s="1"/>
      <c r="L937" s="87"/>
      <c r="M937" s="87"/>
      <c r="N937" s="4"/>
      <c r="O937" s="1"/>
      <c r="P937" s="5"/>
      <c r="Q937" s="3"/>
      <c r="R937" s="3"/>
      <c r="S937" s="7"/>
      <c r="T937" s="1"/>
      <c r="U937" s="1"/>
      <c r="V937" s="1"/>
      <c r="W937" s="1"/>
      <c r="X937" s="1"/>
      <c r="Y937" s="1"/>
      <c r="Z937" s="1"/>
    </row>
    <row r="938" spans="1:26" ht="27" customHeight="1">
      <c r="A938" s="1"/>
      <c r="B938" s="1"/>
      <c r="C938" s="2"/>
      <c r="D938" s="87"/>
      <c r="E938" s="87"/>
      <c r="F938" s="87"/>
      <c r="G938" s="1"/>
      <c r="H938" s="1"/>
      <c r="I938" s="1"/>
      <c r="J938" s="1"/>
      <c r="K938" s="1"/>
      <c r="L938" s="87"/>
      <c r="M938" s="87"/>
      <c r="N938" s="4"/>
      <c r="O938" s="1"/>
      <c r="P938" s="5"/>
      <c r="Q938" s="3"/>
      <c r="R938" s="3"/>
      <c r="S938" s="7"/>
      <c r="T938" s="1"/>
      <c r="U938" s="1"/>
      <c r="V938" s="1"/>
      <c r="W938" s="1"/>
      <c r="X938" s="1"/>
      <c r="Y938" s="1"/>
      <c r="Z938" s="1"/>
    </row>
    <row r="939" spans="1:26" ht="27" customHeight="1">
      <c r="A939" s="1"/>
      <c r="B939" s="1"/>
      <c r="C939" s="2"/>
      <c r="D939" s="87"/>
      <c r="E939" s="87"/>
      <c r="F939" s="87"/>
      <c r="G939" s="1"/>
      <c r="H939" s="1"/>
      <c r="I939" s="1"/>
      <c r="J939" s="1"/>
      <c r="K939" s="1"/>
      <c r="L939" s="87"/>
      <c r="M939" s="87"/>
      <c r="N939" s="4"/>
      <c r="O939" s="1"/>
      <c r="P939" s="5"/>
      <c r="Q939" s="3"/>
      <c r="R939" s="3"/>
      <c r="S939" s="7"/>
      <c r="T939" s="1"/>
      <c r="U939" s="1"/>
      <c r="V939" s="1"/>
      <c r="W939" s="1"/>
      <c r="X939" s="1"/>
      <c r="Y939" s="1"/>
      <c r="Z939" s="1"/>
    </row>
    <row r="940" spans="1:26" ht="27" customHeight="1">
      <c r="A940" s="1"/>
      <c r="B940" s="1"/>
      <c r="C940" s="2"/>
      <c r="D940" s="87"/>
      <c r="E940" s="87"/>
      <c r="F940" s="87"/>
      <c r="G940" s="1"/>
      <c r="H940" s="1"/>
      <c r="I940" s="1"/>
      <c r="J940" s="1"/>
      <c r="K940" s="1"/>
      <c r="L940" s="87"/>
      <c r="M940" s="87"/>
      <c r="N940" s="4"/>
      <c r="O940" s="1"/>
      <c r="P940" s="5"/>
      <c r="Q940" s="3"/>
      <c r="R940" s="3"/>
      <c r="S940" s="7"/>
      <c r="T940" s="1"/>
      <c r="U940" s="1"/>
      <c r="V940" s="1"/>
      <c r="W940" s="1"/>
      <c r="X940" s="1"/>
      <c r="Y940" s="1"/>
      <c r="Z940" s="1"/>
    </row>
    <row r="941" spans="1:26" ht="27" customHeight="1">
      <c r="A941" s="1"/>
      <c r="B941" s="1"/>
      <c r="C941" s="2"/>
      <c r="D941" s="87"/>
      <c r="E941" s="87"/>
      <c r="F941" s="87"/>
      <c r="G941" s="1"/>
      <c r="H941" s="1"/>
      <c r="I941" s="1"/>
      <c r="J941" s="1"/>
      <c r="K941" s="1"/>
      <c r="L941" s="87"/>
      <c r="M941" s="87"/>
      <c r="N941" s="4"/>
      <c r="O941" s="1"/>
      <c r="P941" s="5"/>
      <c r="Q941" s="3"/>
      <c r="R941" s="3"/>
      <c r="S941" s="7"/>
      <c r="T941" s="1"/>
      <c r="U941" s="1"/>
      <c r="V941" s="1"/>
      <c r="W941" s="1"/>
      <c r="X941" s="1"/>
      <c r="Y941" s="1"/>
      <c r="Z941" s="1"/>
    </row>
    <row r="942" spans="1:26" ht="27" customHeight="1">
      <c r="A942" s="1"/>
      <c r="B942" s="1"/>
      <c r="C942" s="2"/>
      <c r="D942" s="87"/>
      <c r="E942" s="87"/>
      <c r="F942" s="87"/>
      <c r="G942" s="1"/>
      <c r="H942" s="1"/>
      <c r="I942" s="1"/>
      <c r="J942" s="1"/>
      <c r="K942" s="1"/>
      <c r="L942" s="87"/>
      <c r="M942" s="87"/>
      <c r="N942" s="4"/>
      <c r="O942" s="1"/>
      <c r="P942" s="5"/>
      <c r="Q942" s="3"/>
      <c r="R942" s="3"/>
      <c r="S942" s="7"/>
      <c r="T942" s="1"/>
      <c r="U942" s="1"/>
      <c r="V942" s="1"/>
      <c r="W942" s="1"/>
      <c r="X942" s="1"/>
      <c r="Y942" s="1"/>
      <c r="Z942" s="1"/>
    </row>
    <row r="943" spans="1:26" ht="27" customHeight="1">
      <c r="A943" s="1"/>
      <c r="B943" s="1"/>
      <c r="C943" s="2"/>
      <c r="D943" s="87"/>
      <c r="E943" s="87"/>
      <c r="F943" s="87"/>
      <c r="G943" s="1"/>
      <c r="H943" s="1"/>
      <c r="I943" s="1"/>
      <c r="J943" s="1"/>
      <c r="K943" s="1"/>
      <c r="L943" s="87"/>
      <c r="M943" s="87"/>
      <c r="N943" s="4"/>
      <c r="O943" s="1"/>
      <c r="P943" s="5"/>
      <c r="Q943" s="3"/>
      <c r="R943" s="3"/>
      <c r="S943" s="7"/>
      <c r="T943" s="1"/>
      <c r="U943" s="1"/>
      <c r="V943" s="1"/>
      <c r="W943" s="1"/>
      <c r="X943" s="1"/>
      <c r="Y943" s="1"/>
      <c r="Z943" s="1"/>
    </row>
    <row r="944" spans="1:26" ht="27" customHeight="1">
      <c r="A944" s="1"/>
      <c r="B944" s="1"/>
      <c r="C944" s="2"/>
      <c r="D944" s="87"/>
      <c r="E944" s="87"/>
      <c r="F944" s="87"/>
      <c r="G944" s="1"/>
      <c r="H944" s="1"/>
      <c r="I944" s="1"/>
      <c r="J944" s="1"/>
      <c r="K944" s="1"/>
      <c r="L944" s="87"/>
      <c r="M944" s="87"/>
      <c r="N944" s="4"/>
      <c r="O944" s="1"/>
      <c r="P944" s="5"/>
      <c r="Q944" s="3"/>
      <c r="R944" s="3"/>
      <c r="S944" s="7"/>
      <c r="T944" s="1"/>
      <c r="U944" s="1"/>
      <c r="V944" s="1"/>
      <c r="W944" s="1"/>
      <c r="X944" s="1"/>
      <c r="Y944" s="1"/>
      <c r="Z944" s="1"/>
    </row>
    <row r="945" spans="1:26" ht="27" customHeight="1">
      <c r="A945" s="1"/>
      <c r="B945" s="1"/>
      <c r="C945" s="2"/>
      <c r="D945" s="87"/>
      <c r="E945" s="87"/>
      <c r="F945" s="87"/>
      <c r="G945" s="1"/>
      <c r="H945" s="1"/>
      <c r="I945" s="1"/>
      <c r="J945" s="1"/>
      <c r="K945" s="1"/>
      <c r="L945" s="87"/>
      <c r="M945" s="87"/>
      <c r="N945" s="4"/>
      <c r="O945" s="1"/>
      <c r="P945" s="5"/>
      <c r="Q945" s="3"/>
      <c r="R945" s="3"/>
      <c r="S945" s="7"/>
      <c r="T945" s="1"/>
      <c r="U945" s="1"/>
      <c r="V945" s="1"/>
      <c r="W945" s="1"/>
      <c r="X945" s="1"/>
      <c r="Y945" s="1"/>
      <c r="Z945" s="1"/>
    </row>
    <row r="946" spans="1:26" ht="27" customHeight="1">
      <c r="A946" s="1"/>
      <c r="B946" s="1"/>
      <c r="C946" s="2"/>
      <c r="D946" s="87"/>
      <c r="E946" s="87"/>
      <c r="F946" s="87"/>
      <c r="G946" s="1"/>
      <c r="H946" s="1"/>
      <c r="I946" s="1"/>
      <c r="J946" s="1"/>
      <c r="K946" s="1"/>
      <c r="L946" s="87"/>
      <c r="M946" s="87"/>
      <c r="N946" s="4"/>
      <c r="O946" s="1"/>
      <c r="P946" s="5"/>
      <c r="Q946" s="3"/>
      <c r="R946" s="3"/>
      <c r="S946" s="7"/>
      <c r="T946" s="1"/>
      <c r="U946" s="1"/>
      <c r="V946" s="1"/>
      <c r="W946" s="1"/>
      <c r="X946" s="1"/>
      <c r="Y946" s="1"/>
      <c r="Z946" s="1"/>
    </row>
    <row r="947" spans="1:26" ht="27" customHeight="1">
      <c r="A947" s="1"/>
      <c r="B947" s="1"/>
      <c r="C947" s="2"/>
      <c r="D947" s="87"/>
      <c r="E947" s="87"/>
      <c r="F947" s="87"/>
      <c r="G947" s="1"/>
      <c r="H947" s="1"/>
      <c r="I947" s="1"/>
      <c r="J947" s="1"/>
      <c r="K947" s="1"/>
      <c r="L947" s="87"/>
      <c r="M947" s="87"/>
      <c r="N947" s="4"/>
      <c r="O947" s="1"/>
      <c r="P947" s="5"/>
      <c r="Q947" s="3"/>
      <c r="R947" s="3"/>
      <c r="S947" s="7"/>
      <c r="T947" s="1"/>
      <c r="U947" s="1"/>
      <c r="V947" s="1"/>
      <c r="W947" s="1"/>
      <c r="X947" s="1"/>
      <c r="Y947" s="1"/>
      <c r="Z947" s="1"/>
    </row>
    <row r="948" spans="1:26" ht="27" customHeight="1">
      <c r="A948" s="1"/>
      <c r="B948" s="1"/>
      <c r="C948" s="2"/>
      <c r="D948" s="87"/>
      <c r="E948" s="87"/>
      <c r="F948" s="87"/>
      <c r="G948" s="1"/>
      <c r="H948" s="1"/>
      <c r="I948" s="1"/>
      <c r="J948" s="1"/>
      <c r="K948" s="1"/>
      <c r="L948" s="87"/>
      <c r="M948" s="87"/>
      <c r="N948" s="4"/>
      <c r="O948" s="1"/>
      <c r="P948" s="5"/>
      <c r="Q948" s="3"/>
      <c r="R948" s="3"/>
      <c r="S948" s="7"/>
      <c r="T948" s="1"/>
      <c r="U948" s="1"/>
      <c r="V948" s="1"/>
      <c r="W948" s="1"/>
      <c r="X948" s="1"/>
      <c r="Y948" s="1"/>
      <c r="Z948" s="1"/>
    </row>
    <row r="949" spans="1:26" ht="27" customHeight="1">
      <c r="A949" s="1"/>
      <c r="B949" s="1"/>
      <c r="C949" s="2"/>
      <c r="D949" s="87"/>
      <c r="E949" s="87"/>
      <c r="F949" s="87"/>
      <c r="G949" s="1"/>
      <c r="H949" s="1"/>
      <c r="I949" s="1"/>
      <c r="J949" s="1"/>
      <c r="K949" s="1"/>
      <c r="L949" s="87"/>
      <c r="M949" s="87"/>
      <c r="N949" s="4"/>
      <c r="O949" s="1"/>
      <c r="P949" s="5"/>
      <c r="Q949" s="3"/>
      <c r="R949" s="3"/>
      <c r="S949" s="7"/>
      <c r="T949" s="1"/>
      <c r="U949" s="1"/>
      <c r="V949" s="1"/>
      <c r="W949" s="1"/>
      <c r="X949" s="1"/>
      <c r="Y949" s="1"/>
      <c r="Z949" s="1"/>
    </row>
    <row r="950" spans="1:26" ht="27" customHeight="1">
      <c r="A950" s="1"/>
      <c r="B950" s="1"/>
      <c r="C950" s="2"/>
      <c r="D950" s="87"/>
      <c r="E950" s="87"/>
      <c r="F950" s="87"/>
      <c r="G950" s="1"/>
      <c r="H950" s="1"/>
      <c r="I950" s="1"/>
      <c r="J950" s="1"/>
      <c r="K950" s="1"/>
      <c r="L950" s="87"/>
      <c r="M950" s="87"/>
      <c r="N950" s="4"/>
      <c r="O950" s="1"/>
      <c r="P950" s="5"/>
      <c r="Q950" s="3"/>
      <c r="R950" s="3"/>
      <c r="S950" s="7"/>
      <c r="T950" s="1"/>
      <c r="U950" s="1"/>
      <c r="V950" s="1"/>
      <c r="W950" s="1"/>
      <c r="X950" s="1"/>
      <c r="Y950" s="1"/>
      <c r="Z950" s="1"/>
    </row>
    <row r="951" spans="1:26" ht="27" customHeight="1">
      <c r="A951" s="1"/>
      <c r="B951" s="1"/>
      <c r="C951" s="2"/>
      <c r="D951" s="87"/>
      <c r="E951" s="87"/>
      <c r="F951" s="87"/>
      <c r="G951" s="1"/>
      <c r="H951" s="1"/>
      <c r="I951" s="1"/>
      <c r="J951" s="1"/>
      <c r="K951" s="1"/>
      <c r="L951" s="87"/>
      <c r="M951" s="87"/>
      <c r="N951" s="4"/>
      <c r="O951" s="1"/>
      <c r="P951" s="5"/>
      <c r="Q951" s="3"/>
      <c r="R951" s="3"/>
      <c r="S951" s="7"/>
      <c r="T951" s="1"/>
      <c r="U951" s="1"/>
      <c r="V951" s="1"/>
      <c r="W951" s="1"/>
      <c r="X951" s="1"/>
      <c r="Y951" s="1"/>
      <c r="Z951" s="1"/>
    </row>
    <row r="952" spans="1:26" ht="27" customHeight="1">
      <c r="A952" s="1"/>
      <c r="B952" s="1"/>
      <c r="C952" s="2"/>
      <c r="D952" s="87"/>
      <c r="E952" s="87"/>
      <c r="F952" s="87"/>
      <c r="G952" s="1"/>
      <c r="H952" s="1"/>
      <c r="I952" s="1"/>
      <c r="J952" s="1"/>
      <c r="K952" s="1"/>
      <c r="L952" s="87"/>
      <c r="M952" s="87"/>
      <c r="N952" s="4"/>
      <c r="O952" s="1"/>
      <c r="P952" s="5"/>
      <c r="Q952" s="3"/>
      <c r="R952" s="3"/>
      <c r="S952" s="7"/>
      <c r="T952" s="1"/>
      <c r="U952" s="1"/>
      <c r="V952" s="1"/>
      <c r="W952" s="1"/>
      <c r="X952" s="1"/>
      <c r="Y952" s="1"/>
      <c r="Z952" s="1"/>
    </row>
    <row r="953" spans="1:26" ht="27" customHeight="1">
      <c r="A953" s="1"/>
      <c r="B953" s="1"/>
      <c r="C953" s="2"/>
      <c r="D953" s="87"/>
      <c r="E953" s="87"/>
      <c r="F953" s="87"/>
      <c r="G953" s="1"/>
      <c r="H953" s="1"/>
      <c r="I953" s="1"/>
      <c r="J953" s="1"/>
      <c r="K953" s="1"/>
      <c r="L953" s="87"/>
      <c r="M953" s="87"/>
      <c r="N953" s="4"/>
      <c r="O953" s="1"/>
      <c r="P953" s="5"/>
      <c r="Q953" s="3"/>
      <c r="R953" s="3"/>
      <c r="S953" s="7"/>
      <c r="T953" s="1"/>
      <c r="U953" s="1"/>
      <c r="V953" s="1"/>
      <c r="W953" s="1"/>
      <c r="X953" s="1"/>
      <c r="Y953" s="1"/>
      <c r="Z953" s="1"/>
    </row>
    <row r="954" spans="1:26" ht="27" customHeight="1">
      <c r="A954" s="1"/>
      <c r="B954" s="1"/>
      <c r="C954" s="2"/>
      <c r="D954" s="87"/>
      <c r="E954" s="87"/>
      <c r="F954" s="87"/>
      <c r="G954" s="1"/>
      <c r="H954" s="1"/>
      <c r="I954" s="1"/>
      <c r="J954" s="1"/>
      <c r="K954" s="1"/>
      <c r="L954" s="87"/>
      <c r="M954" s="87"/>
      <c r="N954" s="4"/>
      <c r="O954" s="1"/>
      <c r="P954" s="5"/>
      <c r="Q954" s="3"/>
      <c r="R954" s="3"/>
      <c r="S954" s="7"/>
      <c r="T954" s="1"/>
      <c r="U954" s="1"/>
      <c r="V954" s="1"/>
      <c r="W954" s="1"/>
      <c r="X954" s="1"/>
      <c r="Y954" s="1"/>
      <c r="Z954" s="1"/>
    </row>
    <row r="955" spans="1:26" ht="27" customHeight="1">
      <c r="A955" s="1"/>
      <c r="B955" s="1"/>
      <c r="C955" s="2"/>
      <c r="D955" s="87"/>
      <c r="E955" s="87"/>
      <c r="F955" s="87"/>
      <c r="G955" s="1"/>
      <c r="H955" s="1"/>
      <c r="I955" s="1"/>
      <c r="J955" s="1"/>
      <c r="K955" s="1"/>
      <c r="L955" s="87"/>
      <c r="M955" s="87"/>
      <c r="N955" s="4"/>
      <c r="O955" s="1"/>
      <c r="P955" s="5"/>
      <c r="Q955" s="3"/>
      <c r="R955" s="3"/>
      <c r="S955" s="7"/>
      <c r="T955" s="1"/>
      <c r="U955" s="1"/>
      <c r="V955" s="1"/>
      <c r="W955" s="1"/>
      <c r="X955" s="1"/>
      <c r="Y955" s="1"/>
      <c r="Z955" s="1"/>
    </row>
    <row r="956" spans="1:26" ht="27" customHeight="1">
      <c r="A956" s="1"/>
      <c r="B956" s="1"/>
      <c r="C956" s="2"/>
      <c r="D956" s="87"/>
      <c r="E956" s="87"/>
      <c r="F956" s="87"/>
      <c r="G956" s="1"/>
      <c r="H956" s="1"/>
      <c r="I956" s="1"/>
      <c r="J956" s="1"/>
      <c r="K956" s="1"/>
      <c r="L956" s="87"/>
      <c r="M956" s="87"/>
      <c r="N956" s="4"/>
      <c r="O956" s="1"/>
      <c r="P956" s="5"/>
      <c r="Q956" s="3"/>
      <c r="R956" s="3"/>
      <c r="S956" s="7"/>
      <c r="T956" s="1"/>
      <c r="U956" s="1"/>
      <c r="V956" s="1"/>
      <c r="W956" s="1"/>
      <c r="X956" s="1"/>
      <c r="Y956" s="1"/>
      <c r="Z956" s="1"/>
    </row>
    <row r="957" spans="1:26" ht="27" customHeight="1">
      <c r="A957" s="1"/>
      <c r="B957" s="1"/>
      <c r="C957" s="2"/>
      <c r="D957" s="87"/>
      <c r="E957" s="87"/>
      <c r="F957" s="87"/>
      <c r="G957" s="1"/>
      <c r="H957" s="1"/>
      <c r="I957" s="1"/>
      <c r="J957" s="1"/>
      <c r="K957" s="1"/>
      <c r="L957" s="87"/>
      <c r="M957" s="87"/>
      <c r="N957" s="4"/>
      <c r="O957" s="1"/>
      <c r="P957" s="5"/>
      <c r="Q957" s="3"/>
      <c r="R957" s="3"/>
      <c r="S957" s="7"/>
      <c r="T957" s="1"/>
      <c r="U957" s="1"/>
      <c r="V957" s="1"/>
      <c r="W957" s="1"/>
      <c r="X957" s="1"/>
      <c r="Y957" s="1"/>
      <c r="Z957" s="1"/>
    </row>
    <row r="958" spans="1:26" ht="27" customHeight="1">
      <c r="A958" s="1"/>
      <c r="B958" s="1"/>
      <c r="C958" s="2"/>
      <c r="D958" s="87"/>
      <c r="E958" s="87"/>
      <c r="F958" s="87"/>
      <c r="G958" s="1"/>
      <c r="H958" s="1"/>
      <c r="I958" s="1"/>
      <c r="J958" s="1"/>
      <c r="K958" s="1"/>
      <c r="L958" s="87"/>
      <c r="M958" s="87"/>
      <c r="N958" s="4"/>
      <c r="O958" s="1"/>
      <c r="P958" s="5"/>
      <c r="Q958" s="3"/>
      <c r="R958" s="3"/>
      <c r="S958" s="7"/>
      <c r="T958" s="1"/>
      <c r="U958" s="1"/>
      <c r="V958" s="1"/>
      <c r="W958" s="1"/>
      <c r="X958" s="1"/>
      <c r="Y958" s="1"/>
      <c r="Z958" s="1"/>
    </row>
    <row r="959" spans="1:26" ht="27" customHeight="1">
      <c r="A959" s="1"/>
      <c r="B959" s="1"/>
      <c r="C959" s="2"/>
      <c r="D959" s="87"/>
      <c r="E959" s="87"/>
      <c r="F959" s="87"/>
      <c r="G959" s="1"/>
      <c r="H959" s="1"/>
      <c r="I959" s="1"/>
      <c r="J959" s="1"/>
      <c r="K959" s="1"/>
      <c r="L959" s="87"/>
      <c r="M959" s="87"/>
      <c r="N959" s="4"/>
      <c r="O959" s="1"/>
      <c r="P959" s="5"/>
      <c r="Q959" s="3"/>
      <c r="R959" s="3"/>
      <c r="S959" s="7"/>
      <c r="T959" s="1"/>
      <c r="U959" s="1"/>
      <c r="V959" s="1"/>
      <c r="W959" s="1"/>
      <c r="X959" s="1"/>
      <c r="Y959" s="1"/>
      <c r="Z959" s="1"/>
    </row>
    <row r="960" spans="1:26" ht="27" customHeight="1">
      <c r="A960" s="1"/>
      <c r="B960" s="1"/>
      <c r="C960" s="2"/>
      <c r="D960" s="87"/>
      <c r="E960" s="87"/>
      <c r="F960" s="87"/>
      <c r="G960" s="1"/>
      <c r="H960" s="1"/>
      <c r="I960" s="1"/>
      <c r="J960" s="1"/>
      <c r="K960" s="1"/>
      <c r="L960" s="87"/>
      <c r="M960" s="87"/>
      <c r="N960" s="4"/>
      <c r="O960" s="1"/>
      <c r="P960" s="5"/>
      <c r="Q960" s="3"/>
      <c r="R960" s="3"/>
      <c r="S960" s="7"/>
      <c r="T960" s="1"/>
      <c r="U960" s="1"/>
      <c r="V960" s="1"/>
      <c r="W960" s="1"/>
      <c r="X960" s="1"/>
      <c r="Y960" s="1"/>
      <c r="Z960" s="1"/>
    </row>
    <row r="961" spans="1:26" ht="27" customHeight="1">
      <c r="A961" s="1"/>
      <c r="B961" s="1"/>
      <c r="C961" s="2"/>
      <c r="D961" s="87"/>
      <c r="E961" s="87"/>
      <c r="F961" s="87"/>
      <c r="G961" s="1"/>
      <c r="H961" s="1"/>
      <c r="I961" s="1"/>
      <c r="J961" s="1"/>
      <c r="K961" s="1"/>
      <c r="L961" s="87"/>
      <c r="M961" s="87"/>
      <c r="N961" s="4"/>
      <c r="O961" s="1"/>
      <c r="P961" s="5"/>
      <c r="Q961" s="3"/>
      <c r="R961" s="3"/>
      <c r="S961" s="7"/>
      <c r="T961" s="1"/>
      <c r="U961" s="1"/>
      <c r="V961" s="1"/>
      <c r="W961" s="1"/>
      <c r="X961" s="1"/>
      <c r="Y961" s="1"/>
      <c r="Z961" s="1"/>
    </row>
    <row r="962" spans="1:26" ht="27" customHeight="1">
      <c r="A962" s="1"/>
      <c r="B962" s="1"/>
      <c r="C962" s="2"/>
      <c r="D962" s="87"/>
      <c r="E962" s="87"/>
      <c r="F962" s="87"/>
      <c r="G962" s="1"/>
      <c r="H962" s="1"/>
      <c r="I962" s="1"/>
      <c r="J962" s="1"/>
      <c r="K962" s="1"/>
      <c r="L962" s="87"/>
      <c r="M962" s="87"/>
      <c r="N962" s="4"/>
      <c r="O962" s="1"/>
      <c r="P962" s="5"/>
      <c r="Q962" s="3"/>
      <c r="R962" s="3"/>
      <c r="S962" s="7"/>
      <c r="T962" s="1"/>
      <c r="U962" s="1"/>
      <c r="V962" s="1"/>
      <c r="W962" s="1"/>
      <c r="X962" s="1"/>
      <c r="Y962" s="1"/>
      <c r="Z962" s="1"/>
    </row>
    <row r="963" spans="1:26" ht="27" customHeight="1">
      <c r="A963" s="1"/>
      <c r="B963" s="1"/>
      <c r="C963" s="2"/>
      <c r="D963" s="87"/>
      <c r="E963" s="87"/>
      <c r="F963" s="87"/>
      <c r="G963" s="1"/>
      <c r="H963" s="1"/>
      <c r="I963" s="1"/>
      <c r="J963" s="1"/>
      <c r="K963" s="1"/>
      <c r="L963" s="87"/>
      <c r="M963" s="87"/>
      <c r="N963" s="4"/>
      <c r="O963" s="1"/>
      <c r="P963" s="5"/>
      <c r="Q963" s="3"/>
      <c r="R963" s="3"/>
      <c r="S963" s="7"/>
      <c r="T963" s="1"/>
      <c r="U963" s="1"/>
      <c r="V963" s="1"/>
      <c r="W963" s="1"/>
      <c r="X963" s="1"/>
      <c r="Y963" s="1"/>
      <c r="Z963" s="1"/>
    </row>
    <row r="964" spans="1:26" ht="27" customHeight="1">
      <c r="A964" s="1"/>
      <c r="B964" s="1"/>
      <c r="C964" s="2"/>
      <c r="D964" s="87"/>
      <c r="E964" s="87"/>
      <c r="F964" s="87"/>
      <c r="G964" s="1"/>
      <c r="H964" s="1"/>
      <c r="I964" s="1"/>
      <c r="J964" s="1"/>
      <c r="K964" s="1"/>
      <c r="L964" s="87"/>
      <c r="M964" s="87"/>
      <c r="N964" s="4"/>
      <c r="O964" s="1"/>
      <c r="P964" s="5"/>
      <c r="Q964" s="3"/>
      <c r="R964" s="3"/>
      <c r="S964" s="7"/>
      <c r="T964" s="1"/>
      <c r="U964" s="1"/>
      <c r="V964" s="1"/>
      <c r="W964" s="1"/>
      <c r="X964" s="1"/>
      <c r="Y964" s="1"/>
      <c r="Z964" s="1"/>
    </row>
    <row r="965" spans="1:26" ht="27" customHeight="1">
      <c r="A965" s="1"/>
      <c r="B965" s="1"/>
      <c r="C965" s="2"/>
      <c r="D965" s="87"/>
      <c r="E965" s="87"/>
      <c r="F965" s="87"/>
      <c r="G965" s="1"/>
      <c r="H965" s="1"/>
      <c r="I965" s="1"/>
      <c r="J965" s="1"/>
      <c r="K965" s="1"/>
      <c r="L965" s="87"/>
      <c r="M965" s="87"/>
      <c r="N965" s="4"/>
      <c r="O965" s="1"/>
      <c r="P965" s="5"/>
      <c r="Q965" s="3"/>
      <c r="R965" s="3"/>
      <c r="S965" s="7"/>
      <c r="T965" s="1"/>
      <c r="U965" s="1"/>
      <c r="V965" s="1"/>
      <c r="W965" s="1"/>
      <c r="X965" s="1"/>
      <c r="Y965" s="1"/>
      <c r="Z965" s="1"/>
    </row>
    <row r="966" spans="1:26" ht="27" customHeight="1">
      <c r="A966" s="1"/>
      <c r="B966" s="1"/>
      <c r="C966" s="2"/>
      <c r="D966" s="87"/>
      <c r="E966" s="87"/>
      <c r="F966" s="87"/>
      <c r="G966" s="1"/>
      <c r="H966" s="1"/>
      <c r="I966" s="1"/>
      <c r="J966" s="1"/>
      <c r="K966" s="1"/>
      <c r="L966" s="87"/>
      <c r="M966" s="87"/>
      <c r="N966" s="4"/>
      <c r="O966" s="1"/>
      <c r="P966" s="5"/>
      <c r="Q966" s="3"/>
      <c r="R966" s="3"/>
      <c r="S966" s="7"/>
      <c r="T966" s="1"/>
      <c r="U966" s="1"/>
      <c r="V966" s="1"/>
      <c r="W966" s="1"/>
      <c r="X966" s="1"/>
      <c r="Y966" s="1"/>
      <c r="Z966" s="1"/>
    </row>
    <row r="967" spans="1:26" ht="27" customHeight="1">
      <c r="A967" s="1"/>
      <c r="B967" s="1"/>
      <c r="C967" s="2"/>
      <c r="D967" s="87"/>
      <c r="E967" s="87"/>
      <c r="F967" s="87"/>
      <c r="G967" s="1"/>
      <c r="H967" s="1"/>
      <c r="I967" s="1"/>
      <c r="J967" s="1"/>
      <c r="K967" s="1"/>
      <c r="L967" s="87"/>
      <c r="M967" s="87"/>
      <c r="N967" s="4"/>
      <c r="O967" s="1"/>
      <c r="P967" s="5"/>
      <c r="Q967" s="3"/>
      <c r="R967" s="3"/>
      <c r="S967" s="7"/>
      <c r="T967" s="1"/>
      <c r="U967" s="1"/>
      <c r="V967" s="1"/>
      <c r="W967" s="1"/>
      <c r="X967" s="1"/>
      <c r="Y967" s="1"/>
      <c r="Z967" s="1"/>
    </row>
    <row r="968" spans="1:26" ht="27" customHeight="1">
      <c r="A968" s="1"/>
      <c r="B968" s="1"/>
      <c r="C968" s="2"/>
      <c r="D968" s="87"/>
      <c r="E968" s="87"/>
      <c r="F968" s="87"/>
      <c r="G968" s="1"/>
      <c r="H968" s="1"/>
      <c r="I968" s="1"/>
      <c r="J968" s="1"/>
      <c r="K968" s="1"/>
      <c r="L968" s="87"/>
      <c r="M968" s="87"/>
      <c r="N968" s="4"/>
      <c r="O968" s="1"/>
      <c r="P968" s="5"/>
      <c r="Q968" s="3"/>
      <c r="R968" s="3"/>
      <c r="S968" s="7"/>
      <c r="T968" s="1"/>
      <c r="U968" s="1"/>
      <c r="V968" s="1"/>
      <c r="W968" s="1"/>
      <c r="X968" s="1"/>
      <c r="Y968" s="1"/>
      <c r="Z968" s="1"/>
    </row>
    <row r="969" spans="1:26" ht="27" customHeight="1">
      <c r="A969" s="1"/>
      <c r="B969" s="1"/>
      <c r="C969" s="2"/>
      <c r="D969" s="87"/>
      <c r="E969" s="87"/>
      <c r="F969" s="87"/>
      <c r="G969" s="1"/>
      <c r="H969" s="1"/>
      <c r="I969" s="1"/>
      <c r="J969" s="1"/>
      <c r="K969" s="1"/>
      <c r="L969" s="87"/>
      <c r="M969" s="87"/>
      <c r="N969" s="4"/>
      <c r="O969" s="1"/>
      <c r="P969" s="5"/>
      <c r="Q969" s="3"/>
      <c r="R969" s="3"/>
      <c r="S969" s="7"/>
      <c r="T969" s="1"/>
      <c r="U969" s="1"/>
      <c r="V969" s="1"/>
      <c r="W969" s="1"/>
      <c r="X969" s="1"/>
      <c r="Y969" s="1"/>
      <c r="Z969" s="1"/>
    </row>
    <row r="970" spans="1:26" ht="27" customHeight="1">
      <c r="A970" s="1"/>
      <c r="B970" s="1"/>
      <c r="C970" s="2"/>
      <c r="D970" s="87"/>
      <c r="E970" s="87"/>
      <c r="F970" s="87"/>
      <c r="G970" s="1"/>
      <c r="H970" s="1"/>
      <c r="I970" s="1"/>
      <c r="J970" s="1"/>
      <c r="K970" s="1"/>
      <c r="L970" s="87"/>
      <c r="M970" s="87"/>
      <c r="N970" s="4"/>
      <c r="O970" s="1"/>
      <c r="P970" s="5"/>
      <c r="Q970" s="3"/>
      <c r="R970" s="3"/>
      <c r="S970" s="7"/>
      <c r="T970" s="1"/>
      <c r="U970" s="1"/>
      <c r="V970" s="1"/>
      <c r="W970" s="1"/>
      <c r="X970" s="1"/>
      <c r="Y970" s="1"/>
      <c r="Z970" s="1"/>
    </row>
    <row r="971" spans="1:26" ht="27" customHeight="1">
      <c r="A971" s="1"/>
      <c r="B971" s="1"/>
      <c r="C971" s="2"/>
      <c r="D971" s="87"/>
      <c r="E971" s="87"/>
      <c r="F971" s="87"/>
      <c r="G971" s="1"/>
      <c r="H971" s="1"/>
      <c r="I971" s="1"/>
      <c r="J971" s="1"/>
      <c r="K971" s="1"/>
      <c r="L971" s="87"/>
      <c r="M971" s="87"/>
      <c r="N971" s="4"/>
      <c r="O971" s="1"/>
      <c r="P971" s="5"/>
      <c r="Q971" s="3"/>
      <c r="R971" s="3"/>
      <c r="S971" s="7"/>
      <c r="T971" s="1"/>
      <c r="U971" s="1"/>
      <c r="V971" s="1"/>
      <c r="W971" s="1"/>
      <c r="X971" s="1"/>
      <c r="Y971" s="1"/>
      <c r="Z971" s="1"/>
    </row>
    <row r="972" spans="1:26" ht="27" customHeight="1">
      <c r="A972" s="1"/>
      <c r="B972" s="1"/>
      <c r="C972" s="2"/>
      <c r="D972" s="87"/>
      <c r="E972" s="87"/>
      <c r="F972" s="87"/>
      <c r="G972" s="1"/>
      <c r="H972" s="1"/>
      <c r="I972" s="1"/>
      <c r="J972" s="1"/>
      <c r="K972" s="1"/>
      <c r="L972" s="87"/>
      <c r="M972" s="87"/>
      <c r="N972" s="4"/>
      <c r="O972" s="1"/>
      <c r="P972" s="5"/>
      <c r="Q972" s="3"/>
      <c r="R972" s="3"/>
      <c r="S972" s="7"/>
      <c r="T972" s="1"/>
      <c r="U972" s="1"/>
      <c r="V972" s="1"/>
      <c r="W972" s="1"/>
      <c r="X972" s="1"/>
      <c r="Y972" s="1"/>
      <c r="Z972" s="1"/>
    </row>
    <row r="973" spans="1:26" ht="27" customHeight="1">
      <c r="A973" s="1"/>
      <c r="B973" s="1"/>
      <c r="C973" s="2"/>
      <c r="D973" s="87"/>
      <c r="E973" s="87"/>
      <c r="F973" s="87"/>
      <c r="G973" s="1"/>
      <c r="H973" s="1"/>
      <c r="I973" s="1"/>
      <c r="J973" s="1"/>
      <c r="K973" s="1"/>
      <c r="L973" s="87"/>
      <c r="M973" s="87"/>
      <c r="N973" s="4"/>
      <c r="O973" s="1"/>
      <c r="P973" s="5"/>
      <c r="Q973" s="3"/>
      <c r="R973" s="3"/>
      <c r="S973" s="7"/>
      <c r="T973" s="1"/>
      <c r="U973" s="1"/>
      <c r="V973" s="1"/>
      <c r="W973" s="1"/>
      <c r="X973" s="1"/>
      <c r="Y973" s="1"/>
      <c r="Z973" s="1"/>
    </row>
    <row r="974" spans="1:26" ht="27" customHeight="1">
      <c r="A974" s="1"/>
      <c r="B974" s="1"/>
      <c r="C974" s="2"/>
      <c r="D974" s="87"/>
      <c r="E974" s="87"/>
      <c r="F974" s="87"/>
      <c r="G974" s="1"/>
      <c r="H974" s="1"/>
      <c r="I974" s="1"/>
      <c r="J974" s="1"/>
      <c r="K974" s="1"/>
      <c r="L974" s="87"/>
      <c r="M974" s="87"/>
      <c r="N974" s="4"/>
      <c r="O974" s="1"/>
      <c r="P974" s="5"/>
      <c r="Q974" s="3"/>
      <c r="R974" s="3"/>
      <c r="S974" s="7"/>
      <c r="T974" s="1"/>
      <c r="U974" s="1"/>
      <c r="V974" s="1"/>
      <c r="W974" s="1"/>
      <c r="X974" s="1"/>
      <c r="Y974" s="1"/>
      <c r="Z974" s="1"/>
    </row>
    <row r="975" spans="1:26" ht="27" customHeight="1">
      <c r="A975" s="1"/>
      <c r="B975" s="1"/>
      <c r="C975" s="2"/>
      <c r="D975" s="87"/>
      <c r="E975" s="87"/>
      <c r="F975" s="87"/>
      <c r="G975" s="1"/>
      <c r="H975" s="1"/>
      <c r="I975" s="1"/>
      <c r="J975" s="1"/>
      <c r="K975" s="1"/>
      <c r="L975" s="87"/>
      <c r="M975" s="87"/>
      <c r="N975" s="4"/>
      <c r="O975" s="1"/>
      <c r="P975" s="5"/>
      <c r="Q975" s="3"/>
      <c r="R975" s="3"/>
      <c r="S975" s="7"/>
      <c r="T975" s="1"/>
      <c r="U975" s="1"/>
      <c r="V975" s="1"/>
      <c r="W975" s="1"/>
      <c r="X975" s="1"/>
      <c r="Y975" s="1"/>
      <c r="Z975" s="1"/>
    </row>
    <row r="976" spans="1:26" ht="27" customHeight="1">
      <c r="A976" s="1"/>
      <c r="B976" s="1"/>
      <c r="C976" s="2"/>
      <c r="D976" s="87"/>
      <c r="E976" s="87"/>
      <c r="F976" s="87"/>
      <c r="G976" s="1"/>
      <c r="H976" s="1"/>
      <c r="I976" s="1"/>
      <c r="J976" s="1"/>
      <c r="K976" s="1"/>
      <c r="L976" s="87"/>
      <c r="M976" s="87"/>
      <c r="N976" s="4"/>
      <c r="O976" s="1"/>
      <c r="P976" s="5"/>
      <c r="Q976" s="3"/>
      <c r="R976" s="3"/>
      <c r="S976" s="7"/>
      <c r="T976" s="1"/>
      <c r="U976" s="1"/>
      <c r="V976" s="1"/>
      <c r="W976" s="1"/>
      <c r="X976" s="1"/>
      <c r="Y976" s="1"/>
      <c r="Z976" s="1"/>
    </row>
    <row r="977" spans="1:26" ht="27" customHeight="1">
      <c r="A977" s="1"/>
      <c r="B977" s="1"/>
      <c r="C977" s="2"/>
      <c r="D977" s="87"/>
      <c r="E977" s="87"/>
      <c r="F977" s="87"/>
      <c r="G977" s="1"/>
      <c r="H977" s="1"/>
      <c r="I977" s="1"/>
      <c r="J977" s="1"/>
      <c r="K977" s="1"/>
      <c r="L977" s="87"/>
      <c r="M977" s="87"/>
      <c r="N977" s="4"/>
      <c r="O977" s="1"/>
      <c r="P977" s="5"/>
      <c r="Q977" s="3"/>
      <c r="R977" s="3"/>
      <c r="S977" s="7"/>
      <c r="T977" s="1"/>
      <c r="U977" s="1"/>
      <c r="V977" s="1"/>
      <c r="W977" s="1"/>
      <c r="X977" s="1"/>
      <c r="Y977" s="1"/>
      <c r="Z977" s="1"/>
    </row>
    <row r="978" spans="1:26" ht="27" customHeight="1">
      <c r="A978" s="1"/>
      <c r="B978" s="1"/>
      <c r="C978" s="2"/>
      <c r="D978" s="87"/>
      <c r="E978" s="87"/>
      <c r="F978" s="87"/>
      <c r="G978" s="1"/>
      <c r="H978" s="1"/>
      <c r="I978" s="1"/>
      <c r="J978" s="1"/>
      <c r="K978" s="1"/>
      <c r="L978" s="87"/>
      <c r="M978" s="87"/>
      <c r="N978" s="4"/>
      <c r="O978" s="1"/>
      <c r="P978" s="5"/>
      <c r="Q978" s="3"/>
      <c r="R978" s="3"/>
      <c r="S978" s="7"/>
      <c r="T978" s="1"/>
      <c r="U978" s="1"/>
      <c r="V978" s="1"/>
      <c r="W978" s="1"/>
      <c r="X978" s="1"/>
      <c r="Y978" s="1"/>
      <c r="Z978" s="1"/>
    </row>
    <row r="979" spans="1:26" ht="27" customHeight="1">
      <c r="A979" s="1"/>
      <c r="B979" s="1"/>
      <c r="C979" s="2"/>
      <c r="D979" s="87"/>
      <c r="E979" s="87"/>
      <c r="F979" s="87"/>
      <c r="G979" s="1"/>
      <c r="H979" s="1"/>
      <c r="I979" s="1"/>
      <c r="J979" s="1"/>
      <c r="K979" s="1"/>
      <c r="L979" s="87"/>
      <c r="M979" s="87"/>
      <c r="N979" s="4"/>
      <c r="O979" s="1"/>
      <c r="P979" s="5"/>
      <c r="Q979" s="3"/>
      <c r="R979" s="3"/>
      <c r="S979" s="7"/>
      <c r="T979" s="1"/>
      <c r="U979" s="1"/>
      <c r="V979" s="1"/>
      <c r="W979" s="1"/>
      <c r="X979" s="1"/>
      <c r="Y979" s="1"/>
      <c r="Z979" s="1"/>
    </row>
    <row r="980" spans="1:26" ht="27" customHeight="1">
      <c r="A980" s="1"/>
      <c r="B980" s="1"/>
      <c r="C980" s="2"/>
      <c r="D980" s="87"/>
      <c r="E980" s="87"/>
      <c r="F980" s="87"/>
      <c r="G980" s="1"/>
      <c r="H980" s="1"/>
      <c r="I980" s="1"/>
      <c r="J980" s="1"/>
      <c r="K980" s="1"/>
      <c r="L980" s="87"/>
      <c r="M980" s="87"/>
      <c r="N980" s="4"/>
      <c r="O980" s="1"/>
      <c r="P980" s="5"/>
      <c r="Q980" s="3"/>
      <c r="R980" s="3"/>
      <c r="S980" s="7"/>
      <c r="T980" s="1"/>
      <c r="U980" s="1"/>
      <c r="V980" s="1"/>
      <c r="W980" s="1"/>
      <c r="X980" s="1"/>
      <c r="Y980" s="1"/>
      <c r="Z980" s="1"/>
    </row>
    <row r="981" spans="1:26" ht="27" customHeight="1">
      <c r="A981" s="1"/>
      <c r="B981" s="1"/>
      <c r="C981" s="2"/>
      <c r="D981" s="87"/>
      <c r="E981" s="87"/>
      <c r="F981" s="87"/>
      <c r="G981" s="1"/>
      <c r="H981" s="1"/>
      <c r="I981" s="1"/>
      <c r="J981" s="1"/>
      <c r="K981" s="1"/>
      <c r="L981" s="87"/>
      <c r="M981" s="87"/>
      <c r="N981" s="4"/>
      <c r="O981" s="1"/>
      <c r="P981" s="5"/>
      <c r="Q981" s="3"/>
      <c r="R981" s="3"/>
      <c r="S981" s="7"/>
      <c r="T981" s="1"/>
      <c r="U981" s="1"/>
      <c r="V981" s="1"/>
      <c r="W981" s="1"/>
      <c r="X981" s="1"/>
      <c r="Y981" s="1"/>
      <c r="Z981" s="1"/>
    </row>
    <row r="982" spans="1:26" ht="27" customHeight="1">
      <c r="A982" s="1"/>
      <c r="B982" s="1"/>
      <c r="C982" s="2"/>
      <c r="D982" s="87"/>
      <c r="E982" s="87"/>
      <c r="F982" s="87"/>
      <c r="G982" s="1"/>
      <c r="H982" s="1"/>
      <c r="I982" s="1"/>
      <c r="J982" s="1"/>
      <c r="K982" s="1"/>
      <c r="L982" s="87"/>
      <c r="M982" s="87"/>
      <c r="N982" s="4"/>
      <c r="O982" s="1"/>
      <c r="P982" s="5"/>
      <c r="Q982" s="3"/>
      <c r="R982" s="3"/>
      <c r="S982" s="7"/>
      <c r="T982" s="1"/>
      <c r="U982" s="1"/>
      <c r="V982" s="1"/>
      <c r="W982" s="1"/>
      <c r="X982" s="1"/>
      <c r="Y982" s="1"/>
      <c r="Z982" s="1"/>
    </row>
    <row r="983" spans="1:26" ht="27" customHeight="1">
      <c r="A983" s="1"/>
      <c r="B983" s="1"/>
      <c r="C983" s="2"/>
      <c r="D983" s="87"/>
      <c r="E983" s="87"/>
      <c r="F983" s="87"/>
      <c r="G983" s="1"/>
      <c r="H983" s="1"/>
      <c r="I983" s="1"/>
      <c r="J983" s="1"/>
      <c r="K983" s="1"/>
      <c r="L983" s="87"/>
      <c r="M983" s="87"/>
      <c r="N983" s="4"/>
      <c r="O983" s="1"/>
      <c r="P983" s="5"/>
      <c r="Q983" s="3"/>
      <c r="R983" s="3"/>
      <c r="S983" s="7"/>
      <c r="T983" s="1"/>
      <c r="U983" s="1"/>
      <c r="V983" s="1"/>
      <c r="W983" s="1"/>
      <c r="X983" s="1"/>
      <c r="Y983" s="1"/>
      <c r="Z983" s="1"/>
    </row>
    <row r="984" spans="1:26" ht="27" customHeight="1">
      <c r="A984" s="1"/>
      <c r="B984" s="1"/>
      <c r="C984" s="2"/>
      <c r="D984" s="87"/>
      <c r="E984" s="87"/>
      <c r="F984" s="87"/>
      <c r="G984" s="1"/>
      <c r="H984" s="1"/>
      <c r="I984" s="1"/>
      <c r="J984" s="1"/>
      <c r="K984" s="1"/>
      <c r="L984" s="87"/>
      <c r="M984" s="87"/>
      <c r="N984" s="4"/>
      <c r="O984" s="1"/>
      <c r="P984" s="5"/>
      <c r="Q984" s="3"/>
      <c r="R984" s="3"/>
      <c r="S984" s="7"/>
      <c r="T984" s="1"/>
      <c r="U984" s="1"/>
      <c r="V984" s="1"/>
      <c r="W984" s="1"/>
      <c r="X984" s="1"/>
      <c r="Y984" s="1"/>
      <c r="Z984" s="1"/>
    </row>
    <row r="985" spans="1:26" ht="27" customHeight="1">
      <c r="A985" s="1"/>
      <c r="B985" s="1"/>
      <c r="C985" s="2"/>
      <c r="D985" s="87"/>
      <c r="E985" s="87"/>
      <c r="F985" s="87"/>
      <c r="G985" s="1"/>
      <c r="H985" s="1"/>
      <c r="I985" s="1"/>
      <c r="J985" s="1"/>
      <c r="K985" s="1"/>
      <c r="L985" s="87"/>
      <c r="M985" s="87"/>
      <c r="N985" s="4"/>
      <c r="O985" s="1"/>
      <c r="P985" s="5"/>
      <c r="Q985" s="3"/>
      <c r="R985" s="3"/>
      <c r="S985" s="7"/>
      <c r="T985" s="1"/>
      <c r="U985" s="1"/>
      <c r="V985" s="1"/>
      <c r="W985" s="1"/>
      <c r="X985" s="1"/>
      <c r="Y985" s="1"/>
      <c r="Z985" s="1"/>
    </row>
    <row r="986" spans="1:26" ht="27" customHeight="1">
      <c r="A986" s="1"/>
      <c r="B986" s="1"/>
      <c r="C986" s="2"/>
      <c r="D986" s="87"/>
      <c r="E986" s="87"/>
      <c r="F986" s="87"/>
      <c r="G986" s="1"/>
      <c r="H986" s="1"/>
      <c r="I986" s="1"/>
      <c r="J986" s="1"/>
      <c r="K986" s="1"/>
      <c r="L986" s="87"/>
      <c r="M986" s="87"/>
      <c r="N986" s="4"/>
      <c r="O986" s="1"/>
      <c r="P986" s="5"/>
      <c r="Q986" s="3"/>
      <c r="R986" s="3"/>
      <c r="S986" s="7"/>
      <c r="T986" s="1"/>
      <c r="U986" s="1"/>
      <c r="V986" s="1"/>
      <c r="W986" s="1"/>
      <c r="X986" s="1"/>
      <c r="Y986" s="1"/>
      <c r="Z986" s="1"/>
    </row>
    <row r="987" spans="1:26" ht="27" customHeight="1">
      <c r="A987" s="1"/>
      <c r="B987" s="1"/>
      <c r="C987" s="2"/>
      <c r="D987" s="87"/>
      <c r="E987" s="87"/>
      <c r="F987" s="87"/>
      <c r="G987" s="1"/>
      <c r="H987" s="1"/>
      <c r="I987" s="1"/>
      <c r="J987" s="1"/>
      <c r="K987" s="1"/>
      <c r="L987" s="87"/>
      <c r="M987" s="87"/>
      <c r="N987" s="4"/>
      <c r="O987" s="1"/>
      <c r="P987" s="5"/>
      <c r="Q987" s="3"/>
      <c r="R987" s="3"/>
      <c r="S987" s="7"/>
      <c r="T987" s="1"/>
      <c r="U987" s="1"/>
      <c r="V987" s="1"/>
      <c r="W987" s="1"/>
      <c r="X987" s="1"/>
      <c r="Y987" s="1"/>
      <c r="Z987" s="1"/>
    </row>
    <row r="988" spans="1:26" ht="27" customHeight="1">
      <c r="A988" s="1"/>
      <c r="B988" s="1"/>
      <c r="C988" s="2"/>
      <c r="D988" s="87"/>
      <c r="E988" s="87"/>
      <c r="F988" s="87"/>
      <c r="G988" s="1"/>
      <c r="H988" s="1"/>
      <c r="I988" s="1"/>
      <c r="J988" s="1"/>
      <c r="K988" s="1"/>
      <c r="L988" s="87"/>
      <c r="M988" s="87"/>
      <c r="N988" s="4"/>
      <c r="O988" s="1"/>
      <c r="P988" s="5"/>
      <c r="Q988" s="3"/>
      <c r="R988" s="3"/>
      <c r="S988" s="7"/>
      <c r="T988" s="1"/>
      <c r="U988" s="1"/>
      <c r="V988" s="1"/>
      <c r="W988" s="1"/>
      <c r="X988" s="1"/>
      <c r="Y988" s="1"/>
      <c r="Z988" s="1"/>
    </row>
    <row r="989" spans="1:26" ht="27" customHeight="1">
      <c r="A989" s="1"/>
      <c r="B989" s="1"/>
      <c r="C989" s="2"/>
      <c r="D989" s="87"/>
      <c r="E989" s="87"/>
      <c r="F989" s="87"/>
      <c r="G989" s="1"/>
      <c r="H989" s="1"/>
      <c r="I989" s="1"/>
      <c r="J989" s="1"/>
      <c r="K989" s="1"/>
      <c r="L989" s="87"/>
      <c r="M989" s="87"/>
      <c r="N989" s="4"/>
      <c r="O989" s="1"/>
      <c r="P989" s="5"/>
      <c r="Q989" s="3"/>
      <c r="R989" s="3"/>
      <c r="S989" s="7"/>
      <c r="T989" s="1"/>
      <c r="U989" s="1"/>
      <c r="V989" s="1"/>
      <c r="W989" s="1"/>
      <c r="X989" s="1"/>
      <c r="Y989" s="1"/>
      <c r="Z989" s="1"/>
    </row>
    <row r="990" spans="1:26" ht="27" customHeight="1">
      <c r="A990" s="1"/>
      <c r="B990" s="1"/>
      <c r="C990" s="2"/>
      <c r="D990" s="87"/>
      <c r="E990" s="87"/>
      <c r="F990" s="87"/>
      <c r="G990" s="1"/>
      <c r="H990" s="1"/>
      <c r="I990" s="1"/>
      <c r="J990" s="1"/>
      <c r="K990" s="1"/>
      <c r="L990" s="87"/>
      <c r="M990" s="87"/>
      <c r="N990" s="4"/>
      <c r="O990" s="1"/>
      <c r="P990" s="5"/>
      <c r="Q990" s="3"/>
      <c r="R990" s="3"/>
      <c r="S990" s="7"/>
      <c r="T990" s="1"/>
      <c r="U990" s="1"/>
      <c r="V990" s="1"/>
      <c r="W990" s="1"/>
      <c r="X990" s="1"/>
      <c r="Y990" s="1"/>
      <c r="Z990" s="1"/>
    </row>
    <row r="991" spans="1:26" ht="27" customHeight="1">
      <c r="A991" s="1"/>
      <c r="B991" s="1"/>
      <c r="C991" s="2"/>
      <c r="D991" s="87"/>
      <c r="E991" s="87"/>
      <c r="F991" s="87"/>
      <c r="G991" s="1"/>
      <c r="H991" s="1"/>
      <c r="I991" s="1"/>
      <c r="J991" s="1"/>
      <c r="K991" s="1"/>
      <c r="L991" s="87"/>
      <c r="M991" s="87"/>
      <c r="N991" s="4"/>
      <c r="O991" s="1"/>
      <c r="P991" s="5"/>
      <c r="Q991" s="3"/>
      <c r="R991" s="3"/>
      <c r="S991" s="7"/>
      <c r="T991" s="1"/>
      <c r="U991" s="1"/>
      <c r="V991" s="1"/>
      <c r="W991" s="1"/>
      <c r="X991" s="1"/>
      <c r="Y991" s="1"/>
      <c r="Z991" s="1"/>
    </row>
    <row r="992" spans="1:26" ht="27" customHeight="1">
      <c r="A992" s="1"/>
      <c r="B992" s="1"/>
      <c r="C992" s="2"/>
      <c r="D992" s="87"/>
      <c r="E992" s="87"/>
      <c r="F992" s="87"/>
      <c r="G992" s="1"/>
      <c r="H992" s="1"/>
      <c r="I992" s="1"/>
      <c r="J992" s="1"/>
      <c r="K992" s="1"/>
      <c r="L992" s="87"/>
      <c r="M992" s="87"/>
      <c r="N992" s="4"/>
      <c r="O992" s="1"/>
      <c r="P992" s="5"/>
      <c r="Q992" s="3"/>
      <c r="R992" s="3"/>
      <c r="S992" s="7"/>
      <c r="T992" s="1"/>
      <c r="U992" s="1"/>
      <c r="V992" s="1"/>
      <c r="W992" s="1"/>
      <c r="X992" s="1"/>
      <c r="Y992" s="1"/>
      <c r="Z992" s="1"/>
    </row>
    <row r="993" spans="1:26" ht="27" customHeight="1">
      <c r="A993" s="1"/>
      <c r="B993" s="1"/>
      <c r="C993" s="2"/>
      <c r="D993" s="87"/>
      <c r="E993" s="87"/>
      <c r="F993" s="87"/>
      <c r="G993" s="1"/>
      <c r="H993" s="1"/>
      <c r="I993" s="1"/>
      <c r="J993" s="1"/>
      <c r="K993" s="1"/>
      <c r="L993" s="87"/>
      <c r="M993" s="87"/>
      <c r="N993" s="4"/>
      <c r="O993" s="1"/>
      <c r="P993" s="5"/>
      <c r="Q993" s="3"/>
      <c r="R993" s="3"/>
      <c r="S993" s="7"/>
      <c r="T993" s="1"/>
      <c r="U993" s="1"/>
      <c r="V993" s="1"/>
      <c r="W993" s="1"/>
      <c r="X993" s="1"/>
      <c r="Y993" s="1"/>
      <c r="Z993" s="1"/>
    </row>
    <row r="994" spans="1:26" ht="27" customHeight="1">
      <c r="A994" s="1"/>
      <c r="B994" s="1"/>
      <c r="C994" s="2"/>
      <c r="D994" s="87"/>
      <c r="E994" s="87"/>
      <c r="F994" s="87"/>
      <c r="G994" s="1"/>
      <c r="H994" s="1"/>
      <c r="I994" s="1"/>
      <c r="J994" s="1"/>
      <c r="K994" s="1"/>
      <c r="L994" s="87"/>
      <c r="M994" s="87"/>
      <c r="N994" s="4"/>
      <c r="O994" s="1"/>
      <c r="P994" s="5"/>
      <c r="Q994" s="3"/>
      <c r="R994" s="3"/>
      <c r="S994" s="7"/>
      <c r="T994" s="1"/>
      <c r="U994" s="1"/>
      <c r="V994" s="1"/>
      <c r="W994" s="1"/>
      <c r="X994" s="1"/>
      <c r="Y994" s="1"/>
      <c r="Z994" s="1"/>
    </row>
    <row r="995" spans="1:26" ht="27" customHeight="1">
      <c r="A995" s="1"/>
      <c r="B995" s="1"/>
      <c r="C995" s="2"/>
      <c r="D995" s="87"/>
      <c r="E995" s="87"/>
      <c r="F995" s="87"/>
      <c r="G995" s="1"/>
      <c r="H995" s="1"/>
      <c r="I995" s="1"/>
      <c r="J995" s="1"/>
      <c r="K995" s="1"/>
      <c r="L995" s="87"/>
      <c r="M995" s="87"/>
      <c r="N995" s="4"/>
      <c r="O995" s="1"/>
      <c r="P995" s="5"/>
      <c r="Q995" s="3"/>
      <c r="R995" s="3"/>
      <c r="S995" s="7"/>
      <c r="T995" s="1"/>
      <c r="U995" s="1"/>
      <c r="V995" s="1"/>
      <c r="W995" s="1"/>
      <c r="X995" s="1"/>
      <c r="Y995" s="1"/>
      <c r="Z995" s="1"/>
    </row>
    <row r="996" spans="1:26" ht="27" customHeight="1">
      <c r="A996" s="1"/>
      <c r="B996" s="1"/>
      <c r="C996" s="2"/>
      <c r="D996" s="87"/>
      <c r="E996" s="87"/>
      <c r="F996" s="87"/>
      <c r="G996" s="1"/>
      <c r="H996" s="1"/>
      <c r="I996" s="1"/>
      <c r="J996" s="1"/>
      <c r="K996" s="1"/>
      <c r="L996" s="87"/>
      <c r="M996" s="87"/>
      <c r="N996" s="4"/>
      <c r="O996" s="1"/>
      <c r="P996" s="5"/>
      <c r="Q996" s="3"/>
      <c r="R996" s="3"/>
      <c r="S996" s="7"/>
      <c r="T996" s="1"/>
      <c r="U996" s="1"/>
      <c r="V996" s="1"/>
      <c r="W996" s="1"/>
      <c r="X996" s="1"/>
      <c r="Y996" s="1"/>
      <c r="Z996" s="1"/>
    </row>
    <row r="997" spans="1:26" ht="27" customHeight="1">
      <c r="A997" s="1"/>
      <c r="B997" s="1"/>
      <c r="C997" s="2"/>
      <c r="D997" s="87"/>
      <c r="E997" s="87"/>
      <c r="F997" s="87"/>
      <c r="G997" s="1"/>
      <c r="H997" s="1"/>
      <c r="I997" s="1"/>
      <c r="J997" s="1"/>
      <c r="K997" s="1"/>
      <c r="L997" s="87"/>
      <c r="M997" s="87"/>
      <c r="N997" s="4"/>
      <c r="O997" s="1"/>
      <c r="P997" s="5"/>
      <c r="Q997" s="3"/>
      <c r="R997" s="3"/>
      <c r="S997" s="7"/>
      <c r="T997" s="1"/>
      <c r="U997" s="1"/>
      <c r="V997" s="1"/>
      <c r="W997" s="1"/>
      <c r="X997" s="1"/>
      <c r="Y997" s="1"/>
      <c r="Z997" s="1"/>
    </row>
    <row r="998" spans="1:26" ht="27" customHeight="1">
      <c r="A998" s="1"/>
      <c r="B998" s="1"/>
      <c r="C998" s="2"/>
      <c r="D998" s="87"/>
      <c r="E998" s="87"/>
      <c r="F998" s="87"/>
      <c r="G998" s="1"/>
      <c r="H998" s="1"/>
      <c r="I998" s="1"/>
      <c r="J998" s="1"/>
      <c r="K998" s="1"/>
      <c r="L998" s="87"/>
      <c r="M998" s="87"/>
      <c r="N998" s="4"/>
      <c r="O998" s="1"/>
      <c r="P998" s="5"/>
      <c r="Q998" s="3"/>
      <c r="R998" s="3"/>
      <c r="S998" s="7"/>
      <c r="T998" s="1"/>
      <c r="U998" s="1"/>
      <c r="V998" s="1"/>
      <c r="W998" s="1"/>
      <c r="X998" s="1"/>
      <c r="Y998" s="1"/>
      <c r="Z998" s="1"/>
    </row>
    <row r="999" spans="1:26" ht="27" customHeight="1">
      <c r="A999" s="1"/>
      <c r="B999" s="1"/>
      <c r="C999" s="2"/>
      <c r="D999" s="87"/>
      <c r="E999" s="87"/>
      <c r="F999" s="87"/>
      <c r="G999" s="1"/>
      <c r="H999" s="1"/>
      <c r="I999" s="1"/>
      <c r="J999" s="1"/>
      <c r="K999" s="1"/>
      <c r="L999" s="87"/>
      <c r="M999" s="87"/>
      <c r="N999" s="4"/>
      <c r="O999" s="1"/>
      <c r="P999" s="5"/>
      <c r="Q999" s="3"/>
      <c r="R999" s="3"/>
      <c r="S999" s="7"/>
      <c r="T999" s="1"/>
      <c r="U999" s="1"/>
      <c r="V999" s="1"/>
      <c r="W999" s="1"/>
      <c r="X999" s="1"/>
      <c r="Y999" s="1"/>
      <c r="Z999" s="1"/>
    </row>
    <row r="1000" spans="1:26" ht="27" customHeight="1">
      <c r="A1000" s="1"/>
      <c r="B1000" s="1"/>
      <c r="C1000" s="2"/>
      <c r="D1000" s="87"/>
      <c r="E1000" s="87"/>
      <c r="F1000" s="87"/>
      <c r="G1000" s="1"/>
      <c r="H1000" s="1"/>
      <c r="I1000" s="1"/>
      <c r="J1000" s="1"/>
      <c r="K1000" s="1"/>
      <c r="L1000" s="87"/>
      <c r="M1000" s="87"/>
      <c r="N1000" s="4"/>
      <c r="O1000" s="1"/>
      <c r="P1000" s="5"/>
      <c r="Q1000" s="3"/>
      <c r="R1000" s="3"/>
      <c r="S1000" s="7"/>
      <c r="T1000" s="1"/>
      <c r="U1000" s="1"/>
      <c r="V1000" s="1"/>
      <c r="W1000" s="1"/>
      <c r="X1000" s="1"/>
      <c r="Y1000" s="1"/>
      <c r="Z1000" s="1"/>
    </row>
  </sheetData>
  <autoFilter ref="B4:S236" xr:uid="{00000000-0009-0000-0000-000003000000}"/>
  <mergeCells count="3">
    <mergeCell ref="D2:F3"/>
    <mergeCell ref="J2:K3"/>
    <mergeCell ref="P2:S3"/>
  </mergeCells>
  <printOptions gridLinesSet="0"/>
  <pageMargins left="0.511811024" right="0.511811024" top="0.78740157500000008" bottom="0.78740157500000008" header="0.5" footer="0.5"/>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election activeCell="G13" sqref="G13"/>
    </sheetView>
  </sheetViews>
  <sheetFormatPr defaultColWidth="14.44140625" defaultRowHeight="15" customHeight="1"/>
  <cols>
    <col min="1" max="1" width="3.109375" customWidth="1"/>
    <col min="2" max="2" width="18" customWidth="1"/>
    <col min="3" max="3" width="13.5546875" customWidth="1"/>
    <col min="4" max="4" width="11.5546875" customWidth="1"/>
    <col min="5" max="5" width="14.33203125" customWidth="1"/>
    <col min="6" max="6" width="18.33203125" customWidth="1"/>
    <col min="7" max="7" width="27.44140625" customWidth="1"/>
    <col min="8" max="8" width="42.6640625" customWidth="1"/>
    <col min="9" max="9" width="14.109375" customWidth="1"/>
    <col min="10" max="10" width="23.33203125" customWidth="1"/>
    <col min="11" max="11" width="12.44140625" customWidth="1"/>
    <col min="12" max="12" width="13.109375" customWidth="1"/>
    <col min="13" max="13" width="51.6640625" customWidth="1"/>
    <col min="14" max="14" width="34.44140625" customWidth="1"/>
    <col min="15" max="15" width="18.5546875" customWidth="1"/>
    <col min="16" max="16" width="16" customWidth="1"/>
    <col min="17" max="17" width="16.5546875" customWidth="1"/>
    <col min="18" max="18" width="17" customWidth="1"/>
    <col min="19" max="19" width="79.44140625" customWidth="1"/>
    <col min="20" max="20" width="14.109375" customWidth="1"/>
    <col min="21" max="21" width="17.109375" customWidth="1"/>
    <col min="22" max="22" width="18.33203125" customWidth="1"/>
    <col min="23" max="23" width="25.6640625" customWidth="1"/>
    <col min="24" max="24" width="25.44140625" customWidth="1"/>
    <col min="25" max="25" width="27" customWidth="1"/>
    <col min="26" max="26" width="9.109375" customWidth="1"/>
  </cols>
  <sheetData>
    <row r="1" spans="1:26" ht="27" customHeight="1">
      <c r="A1" s="1"/>
      <c r="B1" s="1"/>
      <c r="C1" s="2"/>
      <c r="D1" s="2"/>
      <c r="E1" s="2"/>
      <c r="F1" s="87"/>
      <c r="G1" s="87"/>
      <c r="H1" s="87"/>
      <c r="I1" s="87"/>
      <c r="J1" s="87"/>
      <c r="K1" s="1"/>
      <c r="L1" s="1"/>
      <c r="M1" s="1"/>
      <c r="N1" s="1"/>
      <c r="O1" s="87"/>
      <c r="P1" s="87"/>
      <c r="Q1" s="87"/>
      <c r="R1" s="87"/>
      <c r="S1" s="4"/>
      <c r="T1" s="1"/>
      <c r="U1" s="5"/>
      <c r="V1" s="3"/>
      <c r="W1" s="3"/>
      <c r="X1" s="3"/>
      <c r="Y1" s="7"/>
      <c r="Z1" s="1"/>
    </row>
    <row r="2" spans="1:26" ht="27" customHeight="1">
      <c r="A2" s="1"/>
      <c r="B2" s="1"/>
      <c r="C2" s="18"/>
      <c r="D2" s="18"/>
      <c r="E2" s="18"/>
      <c r="F2" s="744" t="s">
        <v>5921</v>
      </c>
      <c r="G2" s="724"/>
      <c r="H2" s="724"/>
      <c r="I2" s="8"/>
      <c r="J2" s="8"/>
      <c r="K2" s="9"/>
      <c r="L2" s="4"/>
      <c r="M2" s="725" t="s">
        <v>2471</v>
      </c>
      <c r="N2" s="729"/>
      <c r="O2" s="87"/>
      <c r="P2" s="87"/>
      <c r="Q2" s="87"/>
      <c r="R2" s="87"/>
      <c r="S2" s="19"/>
      <c r="T2" s="1"/>
      <c r="U2" s="731" t="s">
        <v>2472</v>
      </c>
      <c r="V2" s="729"/>
      <c r="W2" s="729"/>
      <c r="X2" s="729"/>
      <c r="Y2" s="726"/>
      <c r="Z2" s="1"/>
    </row>
    <row r="3" spans="1:26" ht="24.75" customHeight="1">
      <c r="A3" s="1"/>
      <c r="B3" s="1"/>
      <c r="C3" s="21"/>
      <c r="D3" s="21"/>
      <c r="E3" s="21"/>
      <c r="F3" s="730"/>
      <c r="G3" s="730"/>
      <c r="H3" s="730"/>
      <c r="I3" s="88"/>
      <c r="J3" s="88"/>
      <c r="K3" s="20"/>
      <c r="L3" s="4"/>
      <c r="M3" s="727"/>
      <c r="N3" s="730"/>
      <c r="O3" s="87"/>
      <c r="P3" s="87"/>
      <c r="Q3" s="87"/>
      <c r="R3" s="87"/>
      <c r="S3" s="19"/>
      <c r="T3" s="1"/>
      <c r="U3" s="727"/>
      <c r="V3" s="730"/>
      <c r="W3" s="730"/>
      <c r="X3" s="730"/>
      <c r="Y3" s="728"/>
      <c r="Z3" s="1"/>
    </row>
    <row r="4" spans="1:26" ht="45" customHeight="1">
      <c r="A4" s="4"/>
      <c r="B4" s="22" t="s">
        <v>4</v>
      </c>
      <c r="C4" s="22" t="s">
        <v>2473</v>
      </c>
      <c r="D4" s="22" t="s">
        <v>2474</v>
      </c>
      <c r="E4" s="22" t="s">
        <v>2475</v>
      </c>
      <c r="F4" s="22" t="s">
        <v>10</v>
      </c>
      <c r="G4" s="22" t="s">
        <v>2476</v>
      </c>
      <c r="H4" s="22" t="s">
        <v>2477</v>
      </c>
      <c r="I4" s="22" t="s">
        <v>12</v>
      </c>
      <c r="J4" s="22" t="s">
        <v>2478</v>
      </c>
      <c r="K4" s="22" t="s">
        <v>13</v>
      </c>
      <c r="L4" s="22" t="s">
        <v>1</v>
      </c>
      <c r="M4" s="22" t="s">
        <v>25</v>
      </c>
      <c r="N4" s="22" t="s">
        <v>26</v>
      </c>
      <c r="O4" s="22" t="s">
        <v>2479</v>
      </c>
      <c r="P4" s="22" t="s">
        <v>2480</v>
      </c>
      <c r="Q4" s="22" t="s">
        <v>2481</v>
      </c>
      <c r="R4" s="22" t="s">
        <v>2482</v>
      </c>
      <c r="S4" s="22" t="s">
        <v>2483</v>
      </c>
      <c r="T4" s="22" t="s">
        <v>29</v>
      </c>
      <c r="U4" s="24" t="s">
        <v>2484</v>
      </c>
      <c r="V4" s="23" t="s">
        <v>32</v>
      </c>
      <c r="W4" s="23" t="s">
        <v>33</v>
      </c>
      <c r="X4" s="23" t="s">
        <v>2485</v>
      </c>
      <c r="Y4" s="23" t="s">
        <v>34</v>
      </c>
      <c r="Z4" s="4"/>
    </row>
    <row r="5" spans="1:26" ht="36" customHeight="1">
      <c r="A5" s="1"/>
      <c r="B5" s="55" t="s">
        <v>5922</v>
      </c>
      <c r="C5" s="55" t="s">
        <v>425</v>
      </c>
      <c r="D5" s="55" t="s">
        <v>1458</v>
      </c>
      <c r="E5" s="55" t="s">
        <v>426</v>
      </c>
      <c r="F5" s="56" t="s">
        <v>427</v>
      </c>
      <c r="G5" s="56" t="s">
        <v>5923</v>
      </c>
      <c r="H5" s="55" t="s">
        <v>5924</v>
      </c>
      <c r="I5" s="56"/>
      <c r="J5" s="89" t="s">
        <v>5925</v>
      </c>
      <c r="K5" s="90">
        <v>45627</v>
      </c>
      <c r="L5" s="55" t="s">
        <v>2493</v>
      </c>
      <c r="M5" s="43" t="s">
        <v>3624</v>
      </c>
      <c r="N5" s="43" t="s">
        <v>51</v>
      </c>
      <c r="O5" s="95">
        <v>1</v>
      </c>
      <c r="P5" s="56" t="s">
        <v>85</v>
      </c>
      <c r="Q5" s="56"/>
      <c r="R5" s="56"/>
      <c r="S5" s="43" t="s">
        <v>5926</v>
      </c>
      <c r="T5" s="45"/>
      <c r="U5" s="45">
        <v>45638</v>
      </c>
      <c r="V5" s="45">
        <v>45644</v>
      </c>
      <c r="W5" s="47">
        <v>45649</v>
      </c>
      <c r="X5" s="47"/>
      <c r="Y5" s="47">
        <v>45647</v>
      </c>
      <c r="Z5" s="1"/>
    </row>
    <row r="6" spans="1:26" ht="36" customHeight="1">
      <c r="A6" s="1"/>
      <c r="B6" s="55" t="s">
        <v>5927</v>
      </c>
      <c r="C6" s="55" t="s">
        <v>1112</v>
      </c>
      <c r="D6" s="55" t="s">
        <v>1520</v>
      </c>
      <c r="E6" s="55" t="s">
        <v>1113</v>
      </c>
      <c r="F6" s="56" t="s">
        <v>747</v>
      </c>
      <c r="G6" s="56" t="s">
        <v>5928</v>
      </c>
      <c r="H6" s="55" t="s">
        <v>5929</v>
      </c>
      <c r="I6" s="56"/>
      <c r="J6" s="89" t="s">
        <v>5930</v>
      </c>
      <c r="K6" s="90">
        <v>45658</v>
      </c>
      <c r="L6" s="55" t="s">
        <v>2493</v>
      </c>
      <c r="M6" s="43" t="s">
        <v>5931</v>
      </c>
      <c r="N6" s="43" t="s">
        <v>200</v>
      </c>
      <c r="O6" s="95">
        <v>1</v>
      </c>
      <c r="P6" s="56" t="s">
        <v>85</v>
      </c>
      <c r="Q6" s="56"/>
      <c r="R6" s="56"/>
      <c r="S6" s="43"/>
      <c r="T6" s="45"/>
      <c r="U6" s="45">
        <v>45679</v>
      </c>
      <c r="V6" s="45">
        <v>45692</v>
      </c>
      <c r="W6" s="47">
        <v>45694</v>
      </c>
      <c r="X6" s="47"/>
      <c r="Y6" s="47"/>
      <c r="Z6" s="1"/>
    </row>
    <row r="7" spans="1:26" ht="36" customHeight="1">
      <c r="A7" s="1"/>
      <c r="B7" s="55" t="s">
        <v>5932</v>
      </c>
      <c r="C7" s="55" t="s">
        <v>293</v>
      </c>
      <c r="D7" s="55" t="s">
        <v>5619</v>
      </c>
      <c r="E7" s="55" t="s">
        <v>842</v>
      </c>
      <c r="F7" s="56" t="s">
        <v>42</v>
      </c>
      <c r="G7" s="56" t="s">
        <v>5933</v>
      </c>
      <c r="H7" s="55" t="s">
        <v>5934</v>
      </c>
      <c r="I7" s="56"/>
      <c r="J7" s="89" t="s">
        <v>5935</v>
      </c>
      <c r="K7" s="90">
        <v>45718</v>
      </c>
      <c r="L7" s="55" t="s">
        <v>2493</v>
      </c>
      <c r="M7" s="43" t="s">
        <v>1598</v>
      </c>
      <c r="N7" s="43" t="s">
        <v>5936</v>
      </c>
      <c r="O7" s="56" t="s">
        <v>4742</v>
      </c>
      <c r="P7" s="46" t="s">
        <v>85</v>
      </c>
      <c r="Q7" s="46"/>
      <c r="R7" s="46"/>
      <c r="S7" s="46"/>
      <c r="T7" s="43"/>
      <c r="U7" s="45">
        <v>45716</v>
      </c>
      <c r="V7" s="45" t="s">
        <v>5937</v>
      </c>
      <c r="W7" s="47">
        <v>45729</v>
      </c>
      <c r="X7" s="47"/>
      <c r="Y7" s="47">
        <v>45719</v>
      </c>
      <c r="Z7" s="1"/>
    </row>
    <row r="8" spans="1:26" ht="36" customHeight="1">
      <c r="A8" s="1"/>
      <c r="B8" s="66" t="s">
        <v>5938</v>
      </c>
      <c r="C8" s="66"/>
      <c r="D8" s="66"/>
      <c r="E8" s="66"/>
      <c r="F8" s="96"/>
      <c r="G8" s="96"/>
      <c r="H8" s="66"/>
      <c r="I8" s="96"/>
      <c r="J8" s="97"/>
      <c r="K8" s="98"/>
      <c r="L8" s="66"/>
      <c r="M8" s="68"/>
      <c r="N8" s="68"/>
      <c r="O8" s="96"/>
      <c r="P8" s="69"/>
      <c r="Q8" s="96"/>
      <c r="R8" s="96"/>
      <c r="S8" s="68"/>
      <c r="T8" s="68"/>
      <c r="U8" s="67"/>
      <c r="V8" s="67"/>
      <c r="W8" s="71"/>
      <c r="X8" s="71"/>
      <c r="Y8" s="71"/>
      <c r="Z8" s="1"/>
    </row>
    <row r="9" spans="1:26" ht="36" customHeight="1">
      <c r="A9" s="1"/>
      <c r="B9" s="66" t="s">
        <v>5939</v>
      </c>
      <c r="C9" s="66"/>
      <c r="D9" s="66"/>
      <c r="E9" s="66"/>
      <c r="F9" s="96"/>
      <c r="G9" s="96"/>
      <c r="H9" s="66"/>
      <c r="I9" s="96"/>
      <c r="J9" s="97"/>
      <c r="K9" s="98"/>
      <c r="L9" s="66"/>
      <c r="M9" s="68"/>
      <c r="N9" s="68"/>
      <c r="O9" s="96"/>
      <c r="P9" s="69"/>
      <c r="Q9" s="96"/>
      <c r="R9" s="96"/>
      <c r="S9" s="68"/>
      <c r="T9" s="68"/>
      <c r="U9" s="67"/>
      <c r="V9" s="67"/>
      <c r="W9" s="71"/>
      <c r="X9" s="71"/>
      <c r="Y9" s="71"/>
      <c r="Z9" s="1"/>
    </row>
    <row r="10" spans="1:26" ht="36" customHeight="1">
      <c r="A10" s="1"/>
      <c r="B10" s="66" t="s">
        <v>5940</v>
      </c>
      <c r="C10" s="66"/>
      <c r="D10" s="66"/>
      <c r="E10" s="66"/>
      <c r="F10" s="96"/>
      <c r="G10" s="96"/>
      <c r="H10" s="66"/>
      <c r="I10" s="96"/>
      <c r="J10" s="97"/>
      <c r="K10" s="98"/>
      <c r="L10" s="66"/>
      <c r="M10" s="68"/>
      <c r="N10" s="68"/>
      <c r="O10" s="96"/>
      <c r="P10" s="69"/>
      <c r="Q10" s="96"/>
      <c r="R10" s="96"/>
      <c r="S10" s="68"/>
      <c r="T10" s="68"/>
      <c r="U10" s="67"/>
      <c r="V10" s="67"/>
      <c r="W10" s="71"/>
      <c r="X10" s="71"/>
      <c r="Y10" s="71"/>
      <c r="Z10" s="1"/>
    </row>
    <row r="11" spans="1:26" ht="36" customHeight="1">
      <c r="A11" s="1"/>
      <c r="B11" s="66" t="s">
        <v>5941</v>
      </c>
      <c r="C11" s="66"/>
      <c r="D11" s="66"/>
      <c r="E11" s="66"/>
      <c r="F11" s="96"/>
      <c r="G11" s="96"/>
      <c r="H11" s="66"/>
      <c r="I11" s="96"/>
      <c r="J11" s="97"/>
      <c r="K11" s="98"/>
      <c r="L11" s="66"/>
      <c r="M11" s="68"/>
      <c r="N11" s="68"/>
      <c r="O11" s="96"/>
      <c r="P11" s="69"/>
      <c r="Q11" s="69"/>
      <c r="R11" s="69"/>
      <c r="S11" s="69"/>
      <c r="T11" s="68"/>
      <c r="U11" s="67"/>
      <c r="V11" s="67"/>
      <c r="W11" s="71"/>
      <c r="X11" s="71"/>
      <c r="Y11" s="71"/>
      <c r="Z11" s="1"/>
    </row>
    <row r="12" spans="1:26" ht="36" customHeight="1">
      <c r="A12" s="1"/>
      <c r="B12" s="66" t="s">
        <v>5942</v>
      </c>
      <c r="C12" s="66"/>
      <c r="D12" s="66"/>
      <c r="E12" s="66"/>
      <c r="F12" s="96"/>
      <c r="G12" s="96"/>
      <c r="H12" s="66"/>
      <c r="I12" s="96"/>
      <c r="J12" s="97"/>
      <c r="K12" s="98"/>
      <c r="L12" s="66"/>
      <c r="M12" s="68"/>
      <c r="N12" s="68"/>
      <c r="O12" s="96"/>
      <c r="P12" s="69"/>
      <c r="Q12" s="69"/>
      <c r="R12" s="69"/>
      <c r="S12" s="69"/>
      <c r="T12" s="68"/>
      <c r="U12" s="67"/>
      <c r="V12" s="67"/>
      <c r="W12" s="71"/>
      <c r="X12" s="71"/>
      <c r="Y12" s="71"/>
      <c r="Z12" s="1"/>
    </row>
    <row r="13" spans="1:26" ht="36" customHeight="1">
      <c r="A13" s="1"/>
      <c r="B13" s="66" t="s">
        <v>5943</v>
      </c>
      <c r="C13" s="66"/>
      <c r="D13" s="66"/>
      <c r="E13" s="66"/>
      <c r="F13" s="96"/>
      <c r="G13" s="96"/>
      <c r="H13" s="66"/>
      <c r="I13" s="96"/>
      <c r="J13" s="97"/>
      <c r="K13" s="98"/>
      <c r="L13" s="66"/>
      <c r="M13" s="68"/>
      <c r="N13" s="68"/>
      <c r="O13" s="96"/>
      <c r="P13" s="69"/>
      <c r="Q13" s="69"/>
      <c r="R13" s="69"/>
      <c r="S13" s="69"/>
      <c r="T13" s="68"/>
      <c r="U13" s="67"/>
      <c r="V13" s="67"/>
      <c r="W13" s="71"/>
      <c r="X13" s="71"/>
      <c r="Y13" s="71"/>
      <c r="Z13" s="1"/>
    </row>
    <row r="14" spans="1:26" ht="36" customHeight="1">
      <c r="A14" s="1"/>
      <c r="B14" s="66" t="s">
        <v>5944</v>
      </c>
      <c r="C14" s="66"/>
      <c r="D14" s="66"/>
      <c r="E14" s="66"/>
      <c r="F14" s="96"/>
      <c r="G14" s="96"/>
      <c r="H14" s="66"/>
      <c r="I14" s="96"/>
      <c r="J14" s="97"/>
      <c r="K14" s="98"/>
      <c r="L14" s="66"/>
      <c r="M14" s="68"/>
      <c r="N14" s="68"/>
      <c r="O14" s="96"/>
      <c r="P14" s="69"/>
      <c r="Q14" s="69"/>
      <c r="R14" s="69"/>
      <c r="S14" s="69"/>
      <c r="T14" s="68"/>
      <c r="U14" s="67"/>
      <c r="V14" s="67"/>
      <c r="W14" s="71"/>
      <c r="X14" s="71"/>
      <c r="Y14" s="71"/>
      <c r="Z14" s="1"/>
    </row>
    <row r="15" spans="1:26" ht="36" customHeight="1">
      <c r="A15" s="1"/>
      <c r="B15" s="66" t="s">
        <v>5945</v>
      </c>
      <c r="C15" s="66"/>
      <c r="D15" s="66"/>
      <c r="E15" s="66"/>
      <c r="F15" s="96"/>
      <c r="G15" s="96"/>
      <c r="H15" s="66"/>
      <c r="I15" s="96"/>
      <c r="J15" s="97"/>
      <c r="K15" s="98"/>
      <c r="L15" s="66"/>
      <c r="M15" s="68"/>
      <c r="N15" s="68"/>
      <c r="O15" s="96"/>
      <c r="P15" s="69"/>
      <c r="Q15" s="69"/>
      <c r="R15" s="69"/>
      <c r="S15" s="69"/>
      <c r="T15" s="68"/>
      <c r="U15" s="67"/>
      <c r="V15" s="67"/>
      <c r="W15" s="71"/>
      <c r="X15" s="71"/>
      <c r="Y15" s="71"/>
      <c r="Z15" s="1"/>
    </row>
    <row r="16" spans="1:26" ht="36" customHeight="1">
      <c r="A16" s="1"/>
      <c r="B16" s="66" t="s">
        <v>5946</v>
      </c>
      <c r="C16" s="66"/>
      <c r="D16" s="66"/>
      <c r="E16" s="66"/>
      <c r="F16" s="96"/>
      <c r="G16" s="96"/>
      <c r="H16" s="66"/>
      <c r="I16" s="96"/>
      <c r="J16" s="97"/>
      <c r="K16" s="98"/>
      <c r="L16" s="66"/>
      <c r="M16" s="68"/>
      <c r="N16" s="68"/>
      <c r="O16" s="96"/>
      <c r="P16" s="69"/>
      <c r="Q16" s="69"/>
      <c r="R16" s="69"/>
      <c r="S16" s="69"/>
      <c r="T16" s="68"/>
      <c r="U16" s="67"/>
      <c r="V16" s="67"/>
      <c r="W16" s="71"/>
      <c r="X16" s="71"/>
      <c r="Y16" s="71"/>
      <c r="Z16" s="1"/>
    </row>
    <row r="17" spans="1:26" ht="36" customHeight="1">
      <c r="A17" s="1"/>
      <c r="B17" s="66" t="s">
        <v>5947</v>
      </c>
      <c r="C17" s="66"/>
      <c r="D17" s="66"/>
      <c r="E17" s="66"/>
      <c r="F17" s="96"/>
      <c r="G17" s="96"/>
      <c r="H17" s="96"/>
      <c r="I17" s="96"/>
      <c r="J17" s="99"/>
      <c r="K17" s="98"/>
      <c r="L17" s="66"/>
      <c r="M17" s="68"/>
      <c r="N17" s="68"/>
      <c r="O17" s="96"/>
      <c r="P17" s="69"/>
      <c r="Q17" s="96"/>
      <c r="R17" s="96"/>
      <c r="S17" s="68"/>
      <c r="T17" s="68"/>
      <c r="U17" s="67"/>
      <c r="V17" s="67"/>
      <c r="W17" s="71"/>
      <c r="X17" s="71"/>
      <c r="Y17" s="71"/>
      <c r="Z17" s="1"/>
    </row>
    <row r="18" spans="1:26" ht="36" customHeight="1">
      <c r="A18" s="1"/>
      <c r="B18" s="66" t="s">
        <v>5948</v>
      </c>
      <c r="C18" s="66"/>
      <c r="D18" s="66"/>
      <c r="E18" s="66"/>
      <c r="F18" s="96"/>
      <c r="G18" s="96"/>
      <c r="H18" s="66"/>
      <c r="I18" s="96"/>
      <c r="J18" s="97"/>
      <c r="K18" s="98"/>
      <c r="L18" s="66"/>
      <c r="M18" s="68"/>
      <c r="N18" s="68"/>
      <c r="O18" s="96"/>
      <c r="P18" s="69"/>
      <c r="Q18" s="69"/>
      <c r="R18" s="69"/>
      <c r="S18" s="69"/>
      <c r="T18" s="68"/>
      <c r="U18" s="67"/>
      <c r="V18" s="67"/>
      <c r="W18" s="71"/>
      <c r="X18" s="71"/>
      <c r="Y18" s="71"/>
      <c r="Z18" s="1"/>
    </row>
    <row r="19" spans="1:26" ht="36" customHeight="1">
      <c r="A19" s="1"/>
      <c r="B19" s="66" t="s">
        <v>5949</v>
      </c>
      <c r="C19" s="66"/>
      <c r="D19" s="66"/>
      <c r="E19" s="66"/>
      <c r="F19" s="96"/>
      <c r="G19" s="96"/>
      <c r="H19" s="66"/>
      <c r="I19" s="96"/>
      <c r="J19" s="97"/>
      <c r="K19" s="98"/>
      <c r="L19" s="66"/>
      <c r="M19" s="68"/>
      <c r="N19" s="68"/>
      <c r="O19" s="96"/>
      <c r="P19" s="69"/>
      <c r="Q19" s="69"/>
      <c r="R19" s="69"/>
      <c r="S19" s="69"/>
      <c r="T19" s="68"/>
      <c r="U19" s="67"/>
      <c r="V19" s="67"/>
      <c r="W19" s="71"/>
      <c r="X19" s="71"/>
      <c r="Y19" s="71"/>
      <c r="Z19" s="1"/>
    </row>
    <row r="20" spans="1:26" ht="36" customHeight="1">
      <c r="A20" s="1"/>
      <c r="B20" s="66" t="s">
        <v>5950</v>
      </c>
      <c r="C20" s="66"/>
      <c r="D20" s="66"/>
      <c r="E20" s="66"/>
      <c r="F20" s="96"/>
      <c r="G20" s="96"/>
      <c r="H20" s="66"/>
      <c r="I20" s="96"/>
      <c r="J20" s="97"/>
      <c r="K20" s="98"/>
      <c r="L20" s="66"/>
      <c r="M20" s="68"/>
      <c r="N20" s="68"/>
      <c r="O20" s="96"/>
      <c r="P20" s="69"/>
      <c r="Q20" s="96"/>
      <c r="R20" s="96"/>
      <c r="S20" s="68"/>
      <c r="T20" s="68"/>
      <c r="U20" s="67"/>
      <c r="V20" s="67"/>
      <c r="W20" s="71"/>
      <c r="X20" s="71"/>
      <c r="Y20" s="71"/>
      <c r="Z20" s="1"/>
    </row>
    <row r="21" spans="1:26" ht="36" customHeight="1">
      <c r="A21" s="1"/>
      <c r="B21" s="66" t="s">
        <v>5951</v>
      </c>
      <c r="C21" s="66"/>
      <c r="D21" s="66"/>
      <c r="E21" s="66"/>
      <c r="F21" s="96"/>
      <c r="G21" s="96"/>
      <c r="H21" s="96"/>
      <c r="I21" s="96"/>
      <c r="J21" s="99"/>
      <c r="K21" s="98"/>
      <c r="L21" s="66"/>
      <c r="M21" s="68"/>
      <c r="N21" s="68"/>
      <c r="O21" s="96"/>
      <c r="P21" s="69"/>
      <c r="Q21" s="96"/>
      <c r="R21" s="96"/>
      <c r="S21" s="68"/>
      <c r="T21" s="68"/>
      <c r="U21" s="67"/>
      <c r="V21" s="67"/>
      <c r="W21" s="71"/>
      <c r="X21" s="71"/>
      <c r="Y21" s="71"/>
      <c r="Z21" s="1"/>
    </row>
    <row r="22" spans="1:26" ht="36" customHeight="1">
      <c r="A22" s="1"/>
      <c r="B22" s="66" t="s">
        <v>5952</v>
      </c>
      <c r="C22" s="66"/>
      <c r="D22" s="66"/>
      <c r="E22" s="66"/>
      <c r="F22" s="96"/>
      <c r="G22" s="96"/>
      <c r="H22" s="66"/>
      <c r="I22" s="96"/>
      <c r="J22" s="97"/>
      <c r="K22" s="98"/>
      <c r="L22" s="66"/>
      <c r="M22" s="68"/>
      <c r="N22" s="68"/>
      <c r="O22" s="96"/>
      <c r="P22" s="69"/>
      <c r="Q22" s="96"/>
      <c r="R22" s="96"/>
      <c r="S22" s="68"/>
      <c r="T22" s="68"/>
      <c r="U22" s="67"/>
      <c r="V22" s="67"/>
      <c r="W22" s="71"/>
      <c r="X22" s="71"/>
      <c r="Y22" s="71"/>
      <c r="Z22" s="1"/>
    </row>
    <row r="23" spans="1:26" ht="36" customHeight="1">
      <c r="A23" s="1"/>
      <c r="B23" s="66" t="s">
        <v>5953</v>
      </c>
      <c r="C23" s="66"/>
      <c r="D23" s="66"/>
      <c r="E23" s="66"/>
      <c r="F23" s="96"/>
      <c r="G23" s="96"/>
      <c r="H23" s="66"/>
      <c r="I23" s="96"/>
      <c r="J23" s="97"/>
      <c r="K23" s="98"/>
      <c r="L23" s="66"/>
      <c r="M23" s="68"/>
      <c r="N23" s="68"/>
      <c r="O23" s="96"/>
      <c r="P23" s="69"/>
      <c r="Q23" s="96"/>
      <c r="R23" s="96"/>
      <c r="S23" s="68"/>
      <c r="T23" s="68"/>
      <c r="U23" s="67"/>
      <c r="V23" s="67"/>
      <c r="W23" s="71"/>
      <c r="X23" s="71"/>
      <c r="Y23" s="71"/>
      <c r="Z23" s="1"/>
    </row>
    <row r="24" spans="1:26" ht="36" customHeight="1">
      <c r="A24" s="1"/>
      <c r="B24" s="66" t="s">
        <v>5954</v>
      </c>
      <c r="C24" s="66"/>
      <c r="D24" s="66"/>
      <c r="E24" s="66"/>
      <c r="F24" s="96"/>
      <c r="G24" s="96"/>
      <c r="H24" s="66"/>
      <c r="I24" s="96"/>
      <c r="J24" s="97"/>
      <c r="K24" s="98"/>
      <c r="L24" s="66"/>
      <c r="M24" s="68"/>
      <c r="N24" s="68"/>
      <c r="O24" s="96"/>
      <c r="P24" s="69"/>
      <c r="Q24" s="69"/>
      <c r="R24" s="69"/>
      <c r="S24" s="69"/>
      <c r="T24" s="68"/>
      <c r="U24" s="67"/>
      <c r="V24" s="67"/>
      <c r="W24" s="71"/>
      <c r="X24" s="71"/>
      <c r="Y24" s="71"/>
      <c r="Z24" s="1"/>
    </row>
    <row r="25" spans="1:26" ht="36" customHeight="1">
      <c r="A25" s="1"/>
      <c r="B25" s="66" t="s">
        <v>5955</v>
      </c>
      <c r="C25" s="66"/>
      <c r="D25" s="66"/>
      <c r="E25" s="66"/>
      <c r="F25" s="96"/>
      <c r="G25" s="96"/>
      <c r="H25" s="96"/>
      <c r="I25" s="96"/>
      <c r="J25" s="99"/>
      <c r="K25" s="98"/>
      <c r="L25" s="66"/>
      <c r="M25" s="68"/>
      <c r="N25" s="68"/>
      <c r="O25" s="96"/>
      <c r="P25" s="96"/>
      <c r="Q25" s="96"/>
      <c r="R25" s="96"/>
      <c r="S25" s="69"/>
      <c r="T25" s="71"/>
      <c r="U25" s="67"/>
      <c r="V25" s="67"/>
      <c r="W25" s="67"/>
      <c r="X25" s="67"/>
      <c r="Y25" s="67"/>
      <c r="Z25" s="1"/>
    </row>
    <row r="26" spans="1:26" ht="36" customHeight="1">
      <c r="A26" s="1"/>
      <c r="B26" s="66" t="s">
        <v>5956</v>
      </c>
      <c r="C26" s="66"/>
      <c r="D26" s="66"/>
      <c r="E26" s="66"/>
      <c r="F26" s="96"/>
      <c r="G26" s="96"/>
      <c r="H26" s="66"/>
      <c r="I26" s="96"/>
      <c r="J26" s="97"/>
      <c r="K26" s="98"/>
      <c r="L26" s="66"/>
      <c r="M26" s="68"/>
      <c r="N26" s="68"/>
      <c r="O26" s="96"/>
      <c r="P26" s="96"/>
      <c r="Q26" s="96"/>
      <c r="R26" s="96"/>
      <c r="S26" s="69"/>
      <c r="T26" s="71"/>
      <c r="U26" s="67"/>
      <c r="V26" s="67"/>
      <c r="W26" s="67"/>
      <c r="X26" s="67"/>
      <c r="Y26" s="67"/>
      <c r="Z26" s="1"/>
    </row>
    <row r="27" spans="1:26" ht="36" customHeight="1">
      <c r="A27" s="1"/>
      <c r="B27" s="66" t="s">
        <v>5957</v>
      </c>
      <c r="C27" s="66"/>
      <c r="D27" s="66"/>
      <c r="E27" s="66"/>
      <c r="F27" s="96"/>
      <c r="G27" s="96"/>
      <c r="H27" s="96"/>
      <c r="I27" s="96"/>
      <c r="J27" s="99"/>
      <c r="K27" s="98"/>
      <c r="L27" s="66"/>
      <c r="M27" s="68"/>
      <c r="N27" s="68"/>
      <c r="O27" s="96"/>
      <c r="P27" s="96"/>
      <c r="Q27" s="96"/>
      <c r="R27" s="96"/>
      <c r="S27" s="69"/>
      <c r="T27" s="71"/>
      <c r="U27" s="67"/>
      <c r="V27" s="67"/>
      <c r="W27" s="67"/>
      <c r="X27" s="67"/>
      <c r="Y27" s="71"/>
      <c r="Z27" s="1"/>
    </row>
    <row r="28" spans="1:26" ht="36" customHeight="1">
      <c r="A28" s="1"/>
      <c r="B28" s="66" t="s">
        <v>5958</v>
      </c>
      <c r="C28" s="66"/>
      <c r="D28" s="66"/>
      <c r="E28" s="66"/>
      <c r="F28" s="96"/>
      <c r="G28" s="96"/>
      <c r="H28" s="96"/>
      <c r="I28" s="96"/>
      <c r="J28" s="99"/>
      <c r="K28" s="98"/>
      <c r="L28" s="66"/>
      <c r="M28" s="67"/>
      <c r="N28" s="68"/>
      <c r="O28" s="96"/>
      <c r="P28" s="96"/>
      <c r="Q28" s="96"/>
      <c r="R28" s="96"/>
      <c r="S28" s="69"/>
      <c r="T28" s="71"/>
      <c r="U28" s="67"/>
      <c r="V28" s="67"/>
      <c r="W28" s="67"/>
      <c r="X28" s="67"/>
      <c r="Y28" s="67"/>
      <c r="Z28" s="1"/>
    </row>
    <row r="29" spans="1:26" ht="36" customHeight="1">
      <c r="A29" s="1"/>
      <c r="B29" s="66" t="s">
        <v>5959</v>
      </c>
      <c r="C29" s="66"/>
      <c r="D29" s="66"/>
      <c r="E29" s="66"/>
      <c r="F29" s="96"/>
      <c r="G29" s="96"/>
      <c r="H29" s="96"/>
      <c r="I29" s="96"/>
      <c r="J29" s="99"/>
      <c r="K29" s="98"/>
      <c r="L29" s="66"/>
      <c r="M29" s="68"/>
      <c r="N29" s="71"/>
      <c r="O29" s="96"/>
      <c r="P29" s="96"/>
      <c r="Q29" s="96"/>
      <c r="R29" s="96"/>
      <c r="S29" s="69"/>
      <c r="T29" s="67"/>
      <c r="U29" s="67"/>
      <c r="V29" s="67"/>
      <c r="W29" s="71"/>
      <c r="X29" s="71"/>
      <c r="Y29" s="71"/>
      <c r="Z29" s="1"/>
    </row>
    <row r="30" spans="1:26" ht="36" customHeight="1">
      <c r="A30" s="1"/>
      <c r="B30" s="66" t="s">
        <v>5960</v>
      </c>
      <c r="C30" s="66"/>
      <c r="D30" s="66"/>
      <c r="E30" s="66"/>
      <c r="F30" s="96"/>
      <c r="G30" s="96"/>
      <c r="H30" s="96"/>
      <c r="I30" s="96"/>
      <c r="J30" s="99"/>
      <c r="K30" s="98"/>
      <c r="L30" s="66"/>
      <c r="M30" s="68"/>
      <c r="N30" s="71"/>
      <c r="O30" s="96"/>
      <c r="P30" s="96"/>
      <c r="Q30" s="96"/>
      <c r="R30" s="96"/>
      <c r="S30" s="69"/>
      <c r="T30" s="67"/>
      <c r="U30" s="67"/>
      <c r="V30" s="67"/>
      <c r="W30" s="71"/>
      <c r="X30" s="71"/>
      <c r="Y30" s="71"/>
      <c r="Z30" s="1"/>
    </row>
    <row r="31" spans="1:26" ht="36" customHeight="1">
      <c r="A31" s="1"/>
      <c r="B31" s="66" t="s">
        <v>5961</v>
      </c>
      <c r="C31" s="66"/>
      <c r="D31" s="66"/>
      <c r="E31" s="66"/>
      <c r="F31" s="96"/>
      <c r="G31" s="96"/>
      <c r="H31" s="96"/>
      <c r="I31" s="96"/>
      <c r="J31" s="99"/>
      <c r="K31" s="98"/>
      <c r="L31" s="66"/>
      <c r="M31" s="68"/>
      <c r="N31" s="68"/>
      <c r="O31" s="96"/>
      <c r="P31" s="96"/>
      <c r="Q31" s="96"/>
      <c r="R31" s="96"/>
      <c r="S31" s="69"/>
      <c r="T31" s="67"/>
      <c r="U31" s="67"/>
      <c r="V31" s="67"/>
      <c r="W31" s="71"/>
      <c r="X31" s="71"/>
      <c r="Y31" s="71"/>
      <c r="Z31" s="1"/>
    </row>
    <row r="32" spans="1:26" ht="36" customHeight="1">
      <c r="A32" s="1"/>
      <c r="B32" s="66" t="s">
        <v>5962</v>
      </c>
      <c r="C32" s="66"/>
      <c r="D32" s="66"/>
      <c r="E32" s="66"/>
      <c r="F32" s="96"/>
      <c r="G32" s="96"/>
      <c r="H32" s="96"/>
      <c r="I32" s="96"/>
      <c r="J32" s="99"/>
      <c r="K32" s="98"/>
      <c r="L32" s="66"/>
      <c r="M32" s="68"/>
      <c r="N32" s="68"/>
      <c r="O32" s="96"/>
      <c r="P32" s="96"/>
      <c r="Q32" s="96"/>
      <c r="R32" s="96"/>
      <c r="S32" s="69"/>
      <c r="T32" s="67"/>
      <c r="U32" s="67"/>
      <c r="V32" s="67"/>
      <c r="W32" s="71"/>
      <c r="X32" s="71"/>
      <c r="Y32" s="71"/>
      <c r="Z32" s="1"/>
    </row>
    <row r="33" spans="1:26" ht="36" customHeight="1">
      <c r="A33" s="1"/>
      <c r="B33" s="66" t="s">
        <v>5963</v>
      </c>
      <c r="C33" s="66"/>
      <c r="D33" s="66"/>
      <c r="E33" s="66"/>
      <c r="F33" s="96"/>
      <c r="G33" s="96"/>
      <c r="H33" s="96"/>
      <c r="I33" s="96"/>
      <c r="J33" s="99"/>
      <c r="K33" s="98"/>
      <c r="L33" s="66"/>
      <c r="M33" s="68"/>
      <c r="N33" s="71"/>
      <c r="O33" s="96"/>
      <c r="P33" s="100"/>
      <c r="Q33" s="96"/>
      <c r="R33" s="96"/>
      <c r="S33" s="69"/>
      <c r="T33" s="67"/>
      <c r="U33" s="67"/>
      <c r="V33" s="67"/>
      <c r="W33" s="71"/>
      <c r="X33" s="71"/>
      <c r="Y33" s="71"/>
      <c r="Z33" s="1"/>
    </row>
    <row r="34" spans="1:26" ht="36" customHeight="1">
      <c r="A34" s="1"/>
      <c r="B34" s="66" t="s">
        <v>5964</v>
      </c>
      <c r="C34" s="66"/>
      <c r="D34" s="66"/>
      <c r="E34" s="66"/>
      <c r="F34" s="96"/>
      <c r="G34" s="96"/>
      <c r="H34" s="96"/>
      <c r="I34" s="96"/>
      <c r="J34" s="99"/>
      <c r="K34" s="98"/>
      <c r="L34" s="66"/>
      <c r="M34" s="68"/>
      <c r="N34" s="68"/>
      <c r="O34" s="96"/>
      <c r="P34" s="96"/>
      <c r="Q34" s="96"/>
      <c r="R34" s="96"/>
      <c r="S34" s="69"/>
      <c r="T34" s="67"/>
      <c r="U34" s="67"/>
      <c r="V34" s="67"/>
      <c r="W34" s="71"/>
      <c r="X34" s="71"/>
      <c r="Y34" s="71"/>
      <c r="Z34" s="1"/>
    </row>
    <row r="35" spans="1:26" ht="36" customHeight="1">
      <c r="A35" s="1"/>
      <c r="B35" s="66" t="s">
        <v>5965</v>
      </c>
      <c r="C35" s="66"/>
      <c r="D35" s="66"/>
      <c r="E35" s="66"/>
      <c r="F35" s="96"/>
      <c r="G35" s="96"/>
      <c r="H35" s="96"/>
      <c r="I35" s="96"/>
      <c r="J35" s="99"/>
      <c r="K35" s="98"/>
      <c r="L35" s="66"/>
      <c r="M35" s="68"/>
      <c r="N35" s="71"/>
      <c r="O35" s="96"/>
      <c r="P35" s="96"/>
      <c r="Q35" s="96"/>
      <c r="R35" s="96"/>
      <c r="S35" s="69"/>
      <c r="T35" s="67"/>
      <c r="U35" s="67"/>
      <c r="V35" s="67"/>
      <c r="W35" s="71"/>
      <c r="X35" s="71"/>
      <c r="Y35" s="71"/>
      <c r="Z35" s="1"/>
    </row>
    <row r="36" spans="1:26" ht="36" customHeight="1">
      <c r="A36" s="1"/>
      <c r="B36" s="66" t="s">
        <v>5966</v>
      </c>
      <c r="C36" s="66"/>
      <c r="D36" s="66"/>
      <c r="E36" s="66"/>
      <c r="F36" s="96"/>
      <c r="G36" s="96"/>
      <c r="H36" s="96"/>
      <c r="I36" s="96"/>
      <c r="J36" s="99"/>
      <c r="K36" s="98"/>
      <c r="L36" s="66"/>
      <c r="M36" s="68"/>
      <c r="N36" s="71"/>
      <c r="O36" s="96"/>
      <c r="P36" s="96"/>
      <c r="Q36" s="96"/>
      <c r="R36" s="96"/>
      <c r="S36" s="69"/>
      <c r="T36" s="67"/>
      <c r="U36" s="67"/>
      <c r="V36" s="67"/>
      <c r="W36" s="71"/>
      <c r="X36" s="71"/>
      <c r="Y36" s="71"/>
      <c r="Z36" s="1"/>
    </row>
    <row r="37" spans="1:26" ht="36" customHeight="1">
      <c r="A37" s="1"/>
      <c r="B37" s="66" t="s">
        <v>5967</v>
      </c>
      <c r="C37" s="66"/>
      <c r="D37" s="66"/>
      <c r="E37" s="66"/>
      <c r="F37" s="96"/>
      <c r="G37" s="96"/>
      <c r="H37" s="96"/>
      <c r="I37" s="96"/>
      <c r="J37" s="99"/>
      <c r="K37" s="98"/>
      <c r="L37" s="66"/>
      <c r="M37" s="68"/>
      <c r="N37" s="68"/>
      <c r="O37" s="96"/>
      <c r="P37" s="100"/>
      <c r="Q37" s="100"/>
      <c r="R37" s="96"/>
      <c r="S37" s="69"/>
      <c r="T37" s="71"/>
      <c r="U37" s="67"/>
      <c r="V37" s="67"/>
      <c r="W37" s="71"/>
      <c r="X37" s="71"/>
      <c r="Y37" s="71"/>
      <c r="Z37" s="1"/>
    </row>
    <row r="38" spans="1:26" ht="36" customHeight="1">
      <c r="A38" s="1"/>
      <c r="B38" s="66" t="s">
        <v>5968</v>
      </c>
      <c r="C38" s="66"/>
      <c r="D38" s="66"/>
      <c r="E38" s="66"/>
      <c r="F38" s="96"/>
      <c r="G38" s="96"/>
      <c r="H38" s="96"/>
      <c r="I38" s="96"/>
      <c r="J38" s="99"/>
      <c r="K38" s="98"/>
      <c r="L38" s="66"/>
      <c r="M38" s="71"/>
      <c r="N38" s="68"/>
      <c r="O38" s="96"/>
      <c r="P38" s="96"/>
      <c r="Q38" s="96"/>
      <c r="R38" s="96"/>
      <c r="S38" s="69"/>
      <c r="T38" s="71"/>
      <c r="U38" s="67"/>
      <c r="V38" s="67"/>
      <c r="W38" s="71"/>
      <c r="X38" s="71"/>
      <c r="Y38" s="71"/>
      <c r="Z38" s="1"/>
    </row>
    <row r="39" spans="1:26" ht="36" customHeight="1">
      <c r="A39" s="1"/>
      <c r="B39" s="66" t="s">
        <v>5969</v>
      </c>
      <c r="C39" s="66"/>
      <c r="D39" s="66"/>
      <c r="E39" s="66"/>
      <c r="F39" s="96"/>
      <c r="G39" s="96"/>
      <c r="H39" s="96"/>
      <c r="I39" s="96"/>
      <c r="J39" s="99"/>
      <c r="K39" s="98"/>
      <c r="L39" s="66"/>
      <c r="M39" s="71"/>
      <c r="N39" s="71"/>
      <c r="O39" s="96"/>
      <c r="P39" s="100"/>
      <c r="Q39" s="100"/>
      <c r="R39" s="96"/>
      <c r="S39" s="69"/>
      <c r="T39" s="67"/>
      <c r="U39" s="67"/>
      <c r="V39" s="67"/>
      <c r="W39" s="71"/>
      <c r="X39" s="71"/>
      <c r="Y39" s="71"/>
      <c r="Z39" s="1"/>
    </row>
    <row r="40" spans="1:26" ht="36" customHeight="1">
      <c r="A40" s="1"/>
      <c r="B40" s="66" t="s">
        <v>5970</v>
      </c>
      <c r="C40" s="66"/>
      <c r="D40" s="66"/>
      <c r="E40" s="66"/>
      <c r="F40" s="96"/>
      <c r="G40" s="96"/>
      <c r="H40" s="96"/>
      <c r="I40" s="96"/>
      <c r="J40" s="99"/>
      <c r="K40" s="98"/>
      <c r="L40" s="66"/>
      <c r="M40" s="68"/>
      <c r="N40" s="68"/>
      <c r="O40" s="96"/>
      <c r="P40" s="96"/>
      <c r="Q40" s="96"/>
      <c r="R40" s="96"/>
      <c r="S40" s="69"/>
      <c r="T40" s="67"/>
      <c r="U40" s="67"/>
      <c r="V40" s="67"/>
      <c r="W40" s="71"/>
      <c r="X40" s="71"/>
      <c r="Y40" s="71"/>
      <c r="Z40" s="1"/>
    </row>
    <row r="41" spans="1:26" ht="36" customHeight="1">
      <c r="A41" s="1"/>
      <c r="B41" s="66" t="s">
        <v>5971</v>
      </c>
      <c r="C41" s="66"/>
      <c r="D41" s="66"/>
      <c r="E41" s="66"/>
      <c r="F41" s="96"/>
      <c r="G41" s="96"/>
      <c r="H41" s="96"/>
      <c r="I41" s="96"/>
      <c r="J41" s="99"/>
      <c r="K41" s="98"/>
      <c r="L41" s="66"/>
      <c r="M41" s="68"/>
      <c r="N41" s="68"/>
      <c r="O41" s="96"/>
      <c r="P41" s="96"/>
      <c r="Q41" s="96"/>
      <c r="R41" s="96"/>
      <c r="S41" s="69"/>
      <c r="T41" s="67"/>
      <c r="U41" s="67"/>
      <c r="V41" s="67"/>
      <c r="W41" s="67"/>
      <c r="X41" s="67"/>
      <c r="Y41" s="67"/>
      <c r="Z41" s="1"/>
    </row>
    <row r="42" spans="1:26" ht="36" customHeight="1">
      <c r="A42" s="1"/>
      <c r="B42" s="66" t="s">
        <v>5972</v>
      </c>
      <c r="C42" s="66"/>
      <c r="D42" s="66"/>
      <c r="E42" s="66"/>
      <c r="F42" s="96"/>
      <c r="G42" s="96"/>
      <c r="H42" s="96"/>
      <c r="I42" s="96"/>
      <c r="J42" s="99"/>
      <c r="K42" s="98"/>
      <c r="L42" s="66"/>
      <c r="M42" s="101"/>
      <c r="N42" s="71"/>
      <c r="O42" s="96"/>
      <c r="P42" s="96"/>
      <c r="Q42" s="96"/>
      <c r="R42" s="96"/>
      <c r="S42" s="69"/>
      <c r="T42" s="67"/>
      <c r="U42" s="67"/>
      <c r="V42" s="67"/>
      <c r="W42" s="67"/>
      <c r="X42" s="67"/>
      <c r="Y42" s="67"/>
      <c r="Z42" s="1"/>
    </row>
    <row r="43" spans="1:26" ht="36" customHeight="1">
      <c r="A43" s="1"/>
      <c r="B43" s="66" t="s">
        <v>5973</v>
      </c>
      <c r="C43" s="66"/>
      <c r="D43" s="66"/>
      <c r="E43" s="66"/>
      <c r="F43" s="96"/>
      <c r="G43" s="96"/>
      <c r="H43" s="96"/>
      <c r="I43" s="96"/>
      <c r="J43" s="99"/>
      <c r="K43" s="98"/>
      <c r="L43" s="66"/>
      <c r="M43" s="68"/>
      <c r="N43" s="71"/>
      <c r="O43" s="96"/>
      <c r="P43" s="96"/>
      <c r="Q43" s="96"/>
      <c r="R43" s="96"/>
      <c r="S43" s="69"/>
      <c r="T43" s="67"/>
      <c r="U43" s="67"/>
      <c r="V43" s="67"/>
      <c r="W43" s="67"/>
      <c r="X43" s="67"/>
      <c r="Y43" s="67"/>
      <c r="Z43" s="1"/>
    </row>
    <row r="44" spans="1:26" ht="36" customHeight="1">
      <c r="A44" s="1"/>
      <c r="B44" s="66" t="s">
        <v>5974</v>
      </c>
      <c r="C44" s="66"/>
      <c r="D44" s="66"/>
      <c r="E44" s="66"/>
      <c r="F44" s="96"/>
      <c r="G44" s="96"/>
      <c r="H44" s="96"/>
      <c r="I44" s="96"/>
      <c r="J44" s="99"/>
      <c r="K44" s="98"/>
      <c r="L44" s="66"/>
      <c r="M44" s="71"/>
      <c r="N44" s="68"/>
      <c r="O44" s="96"/>
      <c r="P44" s="96"/>
      <c r="Q44" s="96"/>
      <c r="R44" s="96"/>
      <c r="S44" s="69"/>
      <c r="T44" s="67"/>
      <c r="U44" s="67"/>
      <c r="V44" s="67"/>
      <c r="W44" s="67"/>
      <c r="X44" s="67"/>
      <c r="Y44" s="67"/>
      <c r="Z44" s="1"/>
    </row>
    <row r="45" spans="1:26" ht="36" customHeight="1">
      <c r="A45" s="1"/>
      <c r="B45" s="66" t="s">
        <v>5975</v>
      </c>
      <c r="C45" s="66"/>
      <c r="D45" s="66"/>
      <c r="E45" s="66"/>
      <c r="F45" s="96"/>
      <c r="G45" s="96"/>
      <c r="H45" s="96"/>
      <c r="I45" s="96"/>
      <c r="J45" s="99"/>
      <c r="K45" s="98"/>
      <c r="L45" s="66"/>
      <c r="M45" s="71"/>
      <c r="N45" s="68"/>
      <c r="O45" s="96"/>
      <c r="P45" s="96"/>
      <c r="Q45" s="96"/>
      <c r="R45" s="96"/>
      <c r="S45" s="69"/>
      <c r="T45" s="67"/>
      <c r="U45" s="67"/>
      <c r="V45" s="67"/>
      <c r="W45" s="67"/>
      <c r="X45" s="67"/>
      <c r="Y45" s="67"/>
      <c r="Z45" s="1"/>
    </row>
    <row r="46" spans="1:26" ht="36" customHeight="1">
      <c r="A46" s="1"/>
      <c r="B46" s="66" t="s">
        <v>5976</v>
      </c>
      <c r="C46" s="66"/>
      <c r="D46" s="66"/>
      <c r="E46" s="66"/>
      <c r="F46" s="96"/>
      <c r="G46" s="96"/>
      <c r="H46" s="96"/>
      <c r="I46" s="96"/>
      <c r="J46" s="99"/>
      <c r="K46" s="98"/>
      <c r="L46" s="66"/>
      <c r="M46" s="71"/>
      <c r="N46" s="68"/>
      <c r="O46" s="96"/>
      <c r="P46" s="96"/>
      <c r="Q46" s="96"/>
      <c r="R46" s="96"/>
      <c r="S46" s="69"/>
      <c r="T46" s="67"/>
      <c r="U46" s="67"/>
      <c r="V46" s="67"/>
      <c r="W46" s="67"/>
      <c r="X46" s="67"/>
      <c r="Y46" s="67"/>
      <c r="Z46" s="1"/>
    </row>
    <row r="47" spans="1:26" ht="36" customHeight="1">
      <c r="A47" s="1"/>
      <c r="B47" s="66" t="s">
        <v>5977</v>
      </c>
      <c r="C47" s="66"/>
      <c r="D47" s="66"/>
      <c r="E47" s="66"/>
      <c r="F47" s="96"/>
      <c r="G47" s="96"/>
      <c r="H47" s="96"/>
      <c r="I47" s="96"/>
      <c r="J47" s="99"/>
      <c r="K47" s="98"/>
      <c r="L47" s="66"/>
      <c r="M47" s="69"/>
      <c r="N47" s="68"/>
      <c r="O47" s="96"/>
      <c r="P47" s="96"/>
      <c r="Q47" s="96"/>
      <c r="R47" s="96"/>
      <c r="S47" s="69"/>
      <c r="T47" s="67"/>
      <c r="U47" s="67"/>
      <c r="V47" s="67"/>
      <c r="W47" s="67"/>
      <c r="X47" s="67"/>
      <c r="Y47" s="67"/>
      <c r="Z47" s="1"/>
    </row>
    <row r="48" spans="1:26" ht="36" customHeight="1">
      <c r="A48" s="1"/>
      <c r="B48" s="66" t="s">
        <v>5978</v>
      </c>
      <c r="C48" s="66"/>
      <c r="D48" s="66"/>
      <c r="E48" s="66"/>
      <c r="F48" s="96"/>
      <c r="G48" s="96"/>
      <c r="H48" s="96"/>
      <c r="I48" s="96"/>
      <c r="J48" s="99"/>
      <c r="K48" s="98"/>
      <c r="L48" s="66"/>
      <c r="M48" s="68"/>
      <c r="N48" s="68"/>
      <c r="O48" s="96"/>
      <c r="P48" s="96"/>
      <c r="Q48" s="96"/>
      <c r="R48" s="96"/>
      <c r="S48" s="69"/>
      <c r="T48" s="67"/>
      <c r="U48" s="67"/>
      <c r="V48" s="67"/>
      <c r="W48" s="67"/>
      <c r="X48" s="67"/>
      <c r="Y48" s="67"/>
      <c r="Z48" s="1"/>
    </row>
    <row r="49" spans="1:26" ht="36" customHeight="1">
      <c r="A49" s="1"/>
      <c r="B49" s="66" t="s">
        <v>5979</v>
      </c>
      <c r="C49" s="66"/>
      <c r="D49" s="66"/>
      <c r="E49" s="66"/>
      <c r="F49" s="96"/>
      <c r="G49" s="96"/>
      <c r="H49" s="96"/>
      <c r="I49" s="96"/>
      <c r="J49" s="99"/>
      <c r="K49" s="98"/>
      <c r="L49" s="66"/>
      <c r="M49" s="68"/>
      <c r="N49" s="68"/>
      <c r="O49" s="96"/>
      <c r="P49" s="96"/>
      <c r="Q49" s="96"/>
      <c r="R49" s="96"/>
      <c r="S49" s="69"/>
      <c r="T49" s="67"/>
      <c r="U49" s="67"/>
      <c r="V49" s="67"/>
      <c r="W49" s="67"/>
      <c r="X49" s="67"/>
      <c r="Y49" s="71"/>
      <c r="Z49" s="1"/>
    </row>
    <row r="50" spans="1:26" ht="36" customHeight="1">
      <c r="A50" s="1"/>
      <c r="B50" s="66" t="s">
        <v>5980</v>
      </c>
      <c r="C50" s="66"/>
      <c r="D50" s="66"/>
      <c r="E50" s="66"/>
      <c r="F50" s="96"/>
      <c r="G50" s="96"/>
      <c r="H50" s="96"/>
      <c r="I50" s="96"/>
      <c r="J50" s="99"/>
      <c r="K50" s="98"/>
      <c r="L50" s="66"/>
      <c r="M50" s="68"/>
      <c r="N50" s="68"/>
      <c r="O50" s="96"/>
      <c r="P50" s="96"/>
      <c r="Q50" s="96"/>
      <c r="R50" s="96"/>
      <c r="S50" s="69"/>
      <c r="T50" s="67"/>
      <c r="U50" s="67"/>
      <c r="V50" s="67"/>
      <c r="W50" s="67"/>
      <c r="X50" s="67"/>
      <c r="Y50" s="71"/>
      <c r="Z50" s="1"/>
    </row>
    <row r="51" spans="1:26" ht="36" customHeight="1">
      <c r="A51" s="1"/>
      <c r="B51" s="66" t="s">
        <v>5981</v>
      </c>
      <c r="C51" s="66"/>
      <c r="D51" s="66"/>
      <c r="E51" s="66"/>
      <c r="F51" s="96"/>
      <c r="G51" s="96"/>
      <c r="H51" s="96"/>
      <c r="I51" s="96"/>
      <c r="J51" s="99"/>
      <c r="K51" s="98"/>
      <c r="L51" s="66"/>
      <c r="M51" s="68"/>
      <c r="N51" s="68"/>
      <c r="O51" s="96"/>
      <c r="P51" s="96"/>
      <c r="Q51" s="96"/>
      <c r="R51" s="96"/>
      <c r="S51" s="69"/>
      <c r="T51" s="67"/>
      <c r="U51" s="67"/>
      <c r="V51" s="67"/>
      <c r="W51" s="67"/>
      <c r="X51" s="67"/>
      <c r="Y51" s="71"/>
      <c r="Z51" s="1"/>
    </row>
    <row r="52" spans="1:26" ht="36" customHeight="1">
      <c r="A52" s="1"/>
      <c r="B52" s="66" t="s">
        <v>5982</v>
      </c>
      <c r="C52" s="66"/>
      <c r="D52" s="66"/>
      <c r="E52" s="66"/>
      <c r="F52" s="96"/>
      <c r="G52" s="96"/>
      <c r="H52" s="96"/>
      <c r="I52" s="96"/>
      <c r="J52" s="99"/>
      <c r="K52" s="98"/>
      <c r="L52" s="66"/>
      <c r="M52" s="68"/>
      <c r="N52" s="68"/>
      <c r="O52" s="96"/>
      <c r="P52" s="96"/>
      <c r="Q52" s="96"/>
      <c r="R52" s="96"/>
      <c r="S52" s="69"/>
      <c r="T52" s="67"/>
      <c r="U52" s="67"/>
      <c r="V52" s="67"/>
      <c r="W52" s="67"/>
      <c r="X52" s="67"/>
      <c r="Y52" s="71"/>
      <c r="Z52" s="1"/>
    </row>
    <row r="53" spans="1:26" ht="36" customHeight="1">
      <c r="A53" s="1"/>
      <c r="B53" s="66" t="s">
        <v>5983</v>
      </c>
      <c r="C53" s="66"/>
      <c r="D53" s="66"/>
      <c r="E53" s="66"/>
      <c r="F53" s="96"/>
      <c r="G53" s="96"/>
      <c r="H53" s="96"/>
      <c r="I53" s="96"/>
      <c r="J53" s="96"/>
      <c r="K53" s="98"/>
      <c r="L53" s="66"/>
      <c r="M53" s="102"/>
      <c r="N53" s="68"/>
      <c r="O53" s="96"/>
      <c r="P53" s="96"/>
      <c r="Q53" s="96"/>
      <c r="R53" s="96"/>
      <c r="S53" s="69"/>
      <c r="T53" s="71"/>
      <c r="U53" s="67"/>
      <c r="V53" s="67"/>
      <c r="W53" s="67"/>
      <c r="X53" s="67"/>
      <c r="Y53" s="71"/>
      <c r="Z53" s="1"/>
    </row>
    <row r="54" spans="1:26" ht="36" customHeight="1">
      <c r="A54" s="1"/>
      <c r="B54" s="66" t="s">
        <v>5984</v>
      </c>
      <c r="C54" s="66"/>
      <c r="D54" s="66"/>
      <c r="E54" s="66"/>
      <c r="F54" s="96"/>
      <c r="G54" s="96"/>
      <c r="H54" s="96"/>
      <c r="I54" s="96"/>
      <c r="J54" s="99"/>
      <c r="K54" s="98"/>
      <c r="L54" s="66"/>
      <c r="M54" s="68"/>
      <c r="N54" s="68"/>
      <c r="O54" s="96"/>
      <c r="P54" s="96"/>
      <c r="Q54" s="96"/>
      <c r="R54" s="96"/>
      <c r="S54" s="69"/>
      <c r="T54" s="67"/>
      <c r="U54" s="67"/>
      <c r="V54" s="67"/>
      <c r="W54" s="67"/>
      <c r="X54" s="67"/>
      <c r="Y54" s="67"/>
      <c r="Z54" s="1"/>
    </row>
    <row r="55" spans="1:26" ht="36" customHeight="1">
      <c r="A55" s="1"/>
      <c r="B55" s="66" t="s">
        <v>5985</v>
      </c>
      <c r="C55" s="66"/>
      <c r="D55" s="66"/>
      <c r="E55" s="66"/>
      <c r="F55" s="96"/>
      <c r="G55" s="96"/>
      <c r="H55" s="96"/>
      <c r="I55" s="96"/>
      <c r="J55" s="99"/>
      <c r="K55" s="98"/>
      <c r="L55" s="66"/>
      <c r="M55" s="68"/>
      <c r="N55" s="71"/>
      <c r="O55" s="96"/>
      <c r="P55" s="96"/>
      <c r="Q55" s="96"/>
      <c r="R55" s="96"/>
      <c r="S55" s="69"/>
      <c r="T55" s="71"/>
      <c r="U55" s="67"/>
      <c r="V55" s="67"/>
      <c r="W55" s="71"/>
      <c r="X55" s="71"/>
      <c r="Y55" s="71"/>
      <c r="Z55" s="1"/>
    </row>
    <row r="56" spans="1:26" ht="36" customHeight="1">
      <c r="A56" s="1"/>
      <c r="B56" s="66" t="s">
        <v>5986</v>
      </c>
      <c r="C56" s="66"/>
      <c r="D56" s="66"/>
      <c r="E56" s="66"/>
      <c r="F56" s="96"/>
      <c r="G56" s="96"/>
      <c r="H56" s="96"/>
      <c r="I56" s="96"/>
      <c r="J56" s="99"/>
      <c r="K56" s="98"/>
      <c r="L56" s="66"/>
      <c r="M56" s="68"/>
      <c r="N56" s="68"/>
      <c r="O56" s="96"/>
      <c r="P56" s="96"/>
      <c r="Q56" s="96"/>
      <c r="R56" s="96"/>
      <c r="S56" s="69"/>
      <c r="T56" s="71"/>
      <c r="U56" s="67"/>
      <c r="V56" s="67"/>
      <c r="W56" s="67"/>
      <c r="X56" s="67"/>
      <c r="Y56" s="67"/>
      <c r="Z56" s="1"/>
    </row>
    <row r="57" spans="1:26" ht="36" customHeight="1">
      <c r="A57" s="1"/>
      <c r="B57" s="66" t="s">
        <v>5987</v>
      </c>
      <c r="C57" s="66"/>
      <c r="D57" s="66"/>
      <c r="E57" s="66"/>
      <c r="F57" s="96"/>
      <c r="G57" s="96"/>
      <c r="H57" s="96"/>
      <c r="I57" s="96"/>
      <c r="J57" s="99"/>
      <c r="K57" s="98"/>
      <c r="L57" s="66"/>
      <c r="M57" s="67"/>
      <c r="N57" s="68"/>
      <c r="O57" s="96"/>
      <c r="P57" s="96"/>
      <c r="Q57" s="96"/>
      <c r="R57" s="96"/>
      <c r="S57" s="69"/>
      <c r="T57" s="71"/>
      <c r="U57" s="67"/>
      <c r="V57" s="67"/>
      <c r="W57" s="67"/>
      <c r="X57" s="67"/>
      <c r="Y57" s="71"/>
      <c r="Z57" s="1"/>
    </row>
    <row r="58" spans="1:26" ht="36" customHeight="1">
      <c r="A58" s="1"/>
      <c r="B58" s="66" t="s">
        <v>5988</v>
      </c>
      <c r="C58" s="66"/>
      <c r="D58" s="66"/>
      <c r="E58" s="66"/>
      <c r="F58" s="96"/>
      <c r="G58" s="96"/>
      <c r="H58" s="96"/>
      <c r="I58" s="96"/>
      <c r="J58" s="99"/>
      <c r="K58" s="98"/>
      <c r="L58" s="66"/>
      <c r="M58" s="68"/>
      <c r="N58" s="68"/>
      <c r="O58" s="96"/>
      <c r="P58" s="69"/>
      <c r="Q58" s="96"/>
      <c r="R58" s="96"/>
      <c r="S58" s="69"/>
      <c r="T58" s="67"/>
      <c r="U58" s="67"/>
      <c r="V58" s="67"/>
      <c r="W58" s="67"/>
      <c r="X58" s="67"/>
      <c r="Y58" s="71"/>
      <c r="Z58" s="1"/>
    </row>
    <row r="59" spans="1:26" ht="36" customHeight="1">
      <c r="A59" s="1"/>
      <c r="B59" s="66" t="s">
        <v>5989</v>
      </c>
      <c r="C59" s="66"/>
      <c r="D59" s="66"/>
      <c r="E59" s="66"/>
      <c r="F59" s="96"/>
      <c r="G59" s="96"/>
      <c r="H59" s="66"/>
      <c r="I59" s="96"/>
      <c r="J59" s="97"/>
      <c r="K59" s="103"/>
      <c r="L59" s="66"/>
      <c r="M59" s="68"/>
      <c r="N59" s="68"/>
      <c r="O59" s="96"/>
      <c r="P59" s="69"/>
      <c r="Q59" s="96"/>
      <c r="R59" s="96"/>
      <c r="S59" s="69"/>
      <c r="T59" s="71"/>
      <c r="U59" s="70"/>
      <c r="V59" s="67"/>
      <c r="W59" s="71"/>
      <c r="X59" s="71"/>
      <c r="Y59" s="71"/>
      <c r="Z59" s="1"/>
    </row>
    <row r="60" spans="1:26" ht="36" customHeight="1">
      <c r="A60" s="1"/>
      <c r="B60" s="66" t="s">
        <v>5990</v>
      </c>
      <c r="C60" s="66"/>
      <c r="D60" s="66"/>
      <c r="E60" s="66"/>
      <c r="F60" s="96"/>
      <c r="G60" s="96"/>
      <c r="H60" s="66"/>
      <c r="I60" s="96"/>
      <c r="J60" s="97"/>
      <c r="K60" s="103"/>
      <c r="L60" s="66"/>
      <c r="M60" s="68"/>
      <c r="N60" s="68"/>
      <c r="O60" s="96"/>
      <c r="P60" s="69"/>
      <c r="Q60" s="96"/>
      <c r="R60" s="96"/>
      <c r="S60" s="69"/>
      <c r="T60" s="67"/>
      <c r="U60" s="70"/>
      <c r="V60" s="67"/>
      <c r="W60" s="71"/>
      <c r="X60" s="71"/>
      <c r="Y60" s="71"/>
      <c r="Z60" s="1"/>
    </row>
    <row r="61" spans="1:26" ht="36" customHeight="1">
      <c r="A61" s="1"/>
      <c r="B61" s="66" t="s">
        <v>5991</v>
      </c>
      <c r="C61" s="66"/>
      <c r="D61" s="66"/>
      <c r="E61" s="66"/>
      <c r="F61" s="96"/>
      <c r="G61" s="96"/>
      <c r="H61" s="96"/>
      <c r="I61" s="96"/>
      <c r="J61" s="99"/>
      <c r="K61" s="98"/>
      <c r="L61" s="66"/>
      <c r="M61" s="68"/>
      <c r="N61" s="68"/>
      <c r="O61" s="96"/>
      <c r="P61" s="96"/>
      <c r="Q61" s="96"/>
      <c r="R61" s="96"/>
      <c r="S61" s="68"/>
      <c r="T61" s="67"/>
      <c r="U61" s="67"/>
      <c r="V61" s="67"/>
      <c r="W61" s="71"/>
      <c r="X61" s="71"/>
      <c r="Y61" s="71"/>
      <c r="Z61" s="1"/>
    </row>
    <row r="62" spans="1:26" ht="36" customHeight="1">
      <c r="A62" s="1"/>
      <c r="B62" s="66" t="s">
        <v>5992</v>
      </c>
      <c r="C62" s="66"/>
      <c r="D62" s="66"/>
      <c r="E62" s="66"/>
      <c r="F62" s="96"/>
      <c r="G62" s="96"/>
      <c r="H62" s="96"/>
      <c r="I62" s="96"/>
      <c r="J62" s="99"/>
      <c r="K62" s="98"/>
      <c r="L62" s="66"/>
      <c r="M62" s="102"/>
      <c r="N62" s="71"/>
      <c r="O62" s="96"/>
      <c r="P62" s="96"/>
      <c r="Q62" s="96"/>
      <c r="R62" s="96"/>
      <c r="S62" s="69"/>
      <c r="T62" s="67"/>
      <c r="U62" s="67"/>
      <c r="V62" s="67"/>
      <c r="W62" s="67"/>
      <c r="X62" s="67"/>
      <c r="Y62" s="67"/>
      <c r="Z62" s="1"/>
    </row>
    <row r="63" spans="1:26" ht="36" customHeight="1">
      <c r="A63" s="1"/>
      <c r="B63" s="66" t="s">
        <v>5993</v>
      </c>
      <c r="C63" s="66"/>
      <c r="D63" s="66"/>
      <c r="E63" s="66"/>
      <c r="F63" s="96"/>
      <c r="G63" s="96"/>
      <c r="H63" s="96"/>
      <c r="I63" s="96"/>
      <c r="J63" s="99"/>
      <c r="K63" s="98"/>
      <c r="L63" s="66"/>
      <c r="M63" s="68"/>
      <c r="N63" s="68"/>
      <c r="O63" s="96"/>
      <c r="P63" s="96"/>
      <c r="Q63" s="96"/>
      <c r="R63" s="96"/>
      <c r="S63" s="69"/>
      <c r="T63" s="71"/>
      <c r="U63" s="67"/>
      <c r="V63" s="67"/>
      <c r="W63" s="67"/>
      <c r="X63" s="67"/>
      <c r="Y63" s="67"/>
      <c r="Z63" s="1"/>
    </row>
    <row r="64" spans="1:26" ht="36" customHeight="1">
      <c r="A64" s="1"/>
      <c r="B64" s="66" t="s">
        <v>5994</v>
      </c>
      <c r="C64" s="66"/>
      <c r="D64" s="66"/>
      <c r="E64" s="66"/>
      <c r="F64" s="96"/>
      <c r="G64" s="96"/>
      <c r="H64" s="96"/>
      <c r="I64" s="96"/>
      <c r="J64" s="99"/>
      <c r="K64" s="98"/>
      <c r="L64" s="66"/>
      <c r="M64" s="68"/>
      <c r="N64" s="68"/>
      <c r="O64" s="96"/>
      <c r="P64" s="96"/>
      <c r="Q64" s="96"/>
      <c r="R64" s="96"/>
      <c r="S64" s="69"/>
      <c r="T64" s="67"/>
      <c r="U64" s="67"/>
      <c r="V64" s="67"/>
      <c r="W64" s="67"/>
      <c r="X64" s="67"/>
      <c r="Y64" s="67"/>
      <c r="Z64" s="1"/>
    </row>
    <row r="65" spans="1:26" ht="36" customHeight="1">
      <c r="A65" s="1"/>
      <c r="B65" s="66" t="s">
        <v>5995</v>
      </c>
      <c r="C65" s="66"/>
      <c r="D65" s="66"/>
      <c r="E65" s="66"/>
      <c r="F65" s="96"/>
      <c r="G65" s="96"/>
      <c r="H65" s="96"/>
      <c r="I65" s="96"/>
      <c r="J65" s="99"/>
      <c r="K65" s="98"/>
      <c r="L65" s="66"/>
      <c r="M65" s="68"/>
      <c r="N65" s="68"/>
      <c r="O65" s="96"/>
      <c r="P65" s="96"/>
      <c r="Q65" s="96"/>
      <c r="R65" s="96"/>
      <c r="S65" s="68"/>
      <c r="T65" s="67"/>
      <c r="U65" s="67"/>
      <c r="V65" s="67"/>
      <c r="W65" s="67"/>
      <c r="X65" s="67"/>
      <c r="Y65" s="71"/>
      <c r="Z65" s="1"/>
    </row>
    <row r="66" spans="1:26" ht="36" customHeight="1">
      <c r="A66" s="1"/>
      <c r="B66" s="66" t="s">
        <v>5996</v>
      </c>
      <c r="C66" s="66"/>
      <c r="D66" s="66"/>
      <c r="E66" s="66"/>
      <c r="F66" s="96"/>
      <c r="G66" s="96"/>
      <c r="H66" s="96"/>
      <c r="I66" s="96"/>
      <c r="J66" s="99"/>
      <c r="K66" s="98"/>
      <c r="L66" s="66"/>
      <c r="M66" s="68"/>
      <c r="N66" s="68"/>
      <c r="O66" s="96"/>
      <c r="P66" s="100"/>
      <c r="Q66" s="100"/>
      <c r="R66" s="96"/>
      <c r="S66" s="69"/>
      <c r="T66" s="67"/>
      <c r="U66" s="67"/>
      <c r="V66" s="67"/>
      <c r="W66" s="67"/>
      <c r="X66" s="67"/>
      <c r="Y66" s="71"/>
      <c r="Z66" s="1"/>
    </row>
    <row r="67" spans="1:26" ht="36" customHeight="1">
      <c r="A67" s="1"/>
      <c r="B67" s="66" t="s">
        <v>5997</v>
      </c>
      <c r="C67" s="66"/>
      <c r="D67" s="66"/>
      <c r="E67" s="66"/>
      <c r="F67" s="96"/>
      <c r="G67" s="96"/>
      <c r="H67" s="96"/>
      <c r="I67" s="96"/>
      <c r="J67" s="99"/>
      <c r="K67" s="98"/>
      <c r="L67" s="66"/>
      <c r="M67" s="68"/>
      <c r="N67" s="68"/>
      <c r="O67" s="96"/>
      <c r="P67" s="100"/>
      <c r="Q67" s="96"/>
      <c r="R67" s="96"/>
      <c r="S67" s="104"/>
      <c r="T67" s="67"/>
      <c r="U67" s="67"/>
      <c r="V67" s="67"/>
      <c r="W67" s="67"/>
      <c r="X67" s="67"/>
      <c r="Y67" s="67"/>
      <c r="Z67" s="1"/>
    </row>
    <row r="68" spans="1:26" ht="36" customHeight="1">
      <c r="A68" s="1"/>
      <c r="B68" s="66" t="s">
        <v>5998</v>
      </c>
      <c r="C68" s="66"/>
      <c r="D68" s="66"/>
      <c r="E68" s="66"/>
      <c r="F68" s="96"/>
      <c r="G68" s="96"/>
      <c r="H68" s="96"/>
      <c r="I68" s="96"/>
      <c r="J68" s="99"/>
      <c r="K68" s="98"/>
      <c r="L68" s="66"/>
      <c r="M68" s="68"/>
      <c r="N68" s="68"/>
      <c r="O68" s="96"/>
      <c r="P68" s="69"/>
      <c r="Q68" s="69"/>
      <c r="R68" s="96"/>
      <c r="S68" s="69"/>
      <c r="T68" s="67"/>
      <c r="U68" s="67"/>
      <c r="V68" s="67"/>
      <c r="W68" s="67"/>
      <c r="X68" s="67"/>
      <c r="Y68" s="71"/>
      <c r="Z68" s="1"/>
    </row>
    <row r="69" spans="1:26" ht="36" customHeight="1">
      <c r="A69" s="1"/>
      <c r="B69" s="66" t="s">
        <v>5999</v>
      </c>
      <c r="C69" s="66"/>
      <c r="D69" s="66"/>
      <c r="E69" s="66"/>
      <c r="F69" s="96"/>
      <c r="G69" s="96"/>
      <c r="H69" s="96"/>
      <c r="I69" s="96"/>
      <c r="J69" s="99"/>
      <c r="K69" s="98"/>
      <c r="L69" s="66"/>
      <c r="M69" s="68"/>
      <c r="N69" s="68"/>
      <c r="O69" s="96"/>
      <c r="P69" s="69"/>
      <c r="Q69" s="69"/>
      <c r="R69" s="96"/>
      <c r="S69" s="68"/>
      <c r="T69" s="67"/>
      <c r="U69" s="67"/>
      <c r="V69" s="67"/>
      <c r="W69" s="67"/>
      <c r="X69" s="67"/>
      <c r="Y69" s="71"/>
      <c r="Z69" s="1"/>
    </row>
    <row r="70" spans="1:26" ht="36" customHeight="1">
      <c r="A70" s="1"/>
      <c r="B70" s="66" t="s">
        <v>6000</v>
      </c>
      <c r="C70" s="105"/>
      <c r="D70" s="105"/>
      <c r="E70" s="105"/>
      <c r="F70" s="96"/>
      <c r="G70" s="96"/>
      <c r="H70" s="96"/>
      <c r="I70" s="96"/>
      <c r="J70" s="99"/>
      <c r="K70" s="98"/>
      <c r="L70" s="66"/>
      <c r="M70" s="68"/>
      <c r="N70" s="68"/>
      <c r="O70" s="96"/>
      <c r="P70" s="69"/>
      <c r="Q70" s="69"/>
      <c r="R70" s="96"/>
      <c r="S70" s="68"/>
      <c r="T70" s="67"/>
      <c r="U70" s="67"/>
      <c r="V70" s="67"/>
      <c r="W70" s="67"/>
      <c r="X70" s="67"/>
      <c r="Y70" s="67"/>
      <c r="Z70" s="1"/>
    </row>
    <row r="71" spans="1:26" ht="36" customHeight="1">
      <c r="A71" s="1"/>
      <c r="B71" s="66" t="s">
        <v>6001</v>
      </c>
      <c r="C71" s="66"/>
      <c r="D71" s="66"/>
      <c r="E71" s="66"/>
      <c r="F71" s="96"/>
      <c r="G71" s="96"/>
      <c r="H71" s="96"/>
      <c r="I71" s="96"/>
      <c r="J71" s="99"/>
      <c r="K71" s="98"/>
      <c r="L71" s="66"/>
      <c r="M71" s="68"/>
      <c r="N71" s="68"/>
      <c r="O71" s="96"/>
      <c r="P71" s="69"/>
      <c r="Q71" s="96"/>
      <c r="R71" s="96"/>
      <c r="S71" s="68"/>
      <c r="T71" s="71"/>
      <c r="U71" s="67"/>
      <c r="V71" s="67"/>
      <c r="W71" s="67"/>
      <c r="X71" s="67"/>
      <c r="Y71" s="71"/>
      <c r="Z71" s="1"/>
    </row>
    <row r="72" spans="1:26" ht="36" customHeight="1">
      <c r="A72" s="1"/>
      <c r="B72" s="66" t="s">
        <v>6002</v>
      </c>
      <c r="C72" s="105"/>
      <c r="D72" s="105"/>
      <c r="E72" s="105"/>
      <c r="F72" s="106"/>
      <c r="G72" s="96"/>
      <c r="H72" s="96"/>
      <c r="I72" s="96"/>
      <c r="J72" s="99"/>
      <c r="K72" s="98"/>
      <c r="L72" s="66"/>
      <c r="M72" s="68"/>
      <c r="N72" s="68"/>
      <c r="O72" s="96"/>
      <c r="P72" s="69"/>
      <c r="Q72" s="69"/>
      <c r="R72" s="96"/>
      <c r="S72" s="68"/>
      <c r="T72" s="67"/>
      <c r="U72" s="67"/>
      <c r="V72" s="67"/>
      <c r="W72" s="67"/>
      <c r="X72" s="67"/>
      <c r="Y72" s="67"/>
      <c r="Z72" s="1"/>
    </row>
    <row r="73" spans="1:26" ht="36" customHeight="1">
      <c r="A73" s="1"/>
      <c r="B73" s="66" t="s">
        <v>6003</v>
      </c>
      <c r="C73" s="105"/>
      <c r="D73" s="105"/>
      <c r="E73" s="105"/>
      <c r="F73" s="106"/>
      <c r="G73" s="96"/>
      <c r="H73" s="96"/>
      <c r="I73" s="96"/>
      <c r="J73" s="99"/>
      <c r="K73" s="98"/>
      <c r="L73" s="66"/>
      <c r="M73" s="68"/>
      <c r="N73" s="69"/>
      <c r="O73" s="96"/>
      <c r="P73" s="96"/>
      <c r="Q73" s="96"/>
      <c r="R73" s="96"/>
      <c r="S73" s="69"/>
      <c r="T73" s="71"/>
      <c r="U73" s="67"/>
      <c r="V73" s="67"/>
      <c r="W73" s="67"/>
      <c r="X73" s="67"/>
      <c r="Y73" s="67"/>
      <c r="Z73" s="1"/>
    </row>
    <row r="74" spans="1:26" ht="36" customHeight="1">
      <c r="A74" s="1"/>
      <c r="B74" s="66" t="s">
        <v>6004</v>
      </c>
      <c r="C74" s="105"/>
      <c r="D74" s="105"/>
      <c r="E74" s="105"/>
      <c r="F74" s="106"/>
      <c r="G74" s="96"/>
      <c r="H74" s="96"/>
      <c r="I74" s="96"/>
      <c r="J74" s="99"/>
      <c r="K74" s="98"/>
      <c r="L74" s="66"/>
      <c r="M74" s="68"/>
      <c r="N74" s="68"/>
      <c r="O74" s="96"/>
      <c r="P74" s="69"/>
      <c r="Q74" s="96"/>
      <c r="R74" s="96"/>
      <c r="S74" s="68"/>
      <c r="T74" s="67"/>
      <c r="U74" s="67"/>
      <c r="V74" s="67"/>
      <c r="W74" s="67"/>
      <c r="X74" s="67"/>
      <c r="Y74" s="67"/>
      <c r="Z74" s="1"/>
    </row>
    <row r="75" spans="1:26" ht="36" customHeight="1">
      <c r="A75" s="1"/>
      <c r="B75" s="66" t="s">
        <v>6005</v>
      </c>
      <c r="C75" s="66"/>
      <c r="D75" s="66"/>
      <c r="E75" s="66"/>
      <c r="F75" s="96"/>
      <c r="G75" s="96"/>
      <c r="H75" s="96"/>
      <c r="I75" s="96"/>
      <c r="J75" s="99"/>
      <c r="K75" s="98"/>
      <c r="L75" s="66"/>
      <c r="M75" s="68"/>
      <c r="N75" s="68"/>
      <c r="O75" s="96"/>
      <c r="P75" s="69"/>
      <c r="Q75" s="69"/>
      <c r="R75" s="96"/>
      <c r="S75" s="69"/>
      <c r="T75" s="67"/>
      <c r="U75" s="67"/>
      <c r="V75" s="67"/>
      <c r="W75" s="67"/>
      <c r="X75" s="67"/>
      <c r="Y75" s="71"/>
      <c r="Z75" s="1"/>
    </row>
    <row r="76" spans="1:26" ht="36" customHeight="1">
      <c r="A76" s="1"/>
      <c r="B76" s="66" t="s">
        <v>6006</v>
      </c>
      <c r="C76" s="66"/>
      <c r="D76" s="66"/>
      <c r="E76" s="66"/>
      <c r="F76" s="96"/>
      <c r="G76" s="96"/>
      <c r="H76" s="96"/>
      <c r="I76" s="96"/>
      <c r="J76" s="99"/>
      <c r="K76" s="98"/>
      <c r="L76" s="66"/>
      <c r="M76" s="68"/>
      <c r="N76" s="68"/>
      <c r="O76" s="96"/>
      <c r="P76" s="69"/>
      <c r="Q76" s="69"/>
      <c r="R76" s="69"/>
      <c r="S76" s="69"/>
      <c r="T76" s="67"/>
      <c r="U76" s="67"/>
      <c r="V76" s="67"/>
      <c r="W76" s="67"/>
      <c r="X76" s="67"/>
      <c r="Y76" s="71"/>
      <c r="Z76" s="1"/>
    </row>
    <row r="77" spans="1:26" ht="36" customHeight="1">
      <c r="A77" s="1"/>
      <c r="B77" s="66" t="s">
        <v>6007</v>
      </c>
      <c r="C77" s="105"/>
      <c r="D77" s="105"/>
      <c r="E77" s="105"/>
      <c r="F77" s="106"/>
      <c r="G77" s="96"/>
      <c r="H77" s="96"/>
      <c r="I77" s="96"/>
      <c r="J77" s="99"/>
      <c r="K77" s="98"/>
      <c r="L77" s="66"/>
      <c r="M77" s="68"/>
      <c r="N77" s="68"/>
      <c r="O77" s="96"/>
      <c r="P77" s="69"/>
      <c r="Q77" s="69"/>
      <c r="R77" s="96"/>
      <c r="S77" s="68"/>
      <c r="T77" s="67"/>
      <c r="U77" s="67"/>
      <c r="V77" s="67"/>
      <c r="W77" s="67"/>
      <c r="X77" s="67"/>
      <c r="Y77" s="71"/>
      <c r="Z77" s="1"/>
    </row>
    <row r="78" spans="1:26" ht="36" customHeight="1">
      <c r="A78" s="1"/>
      <c r="B78" s="66" t="s">
        <v>6008</v>
      </c>
      <c r="C78" s="105"/>
      <c r="D78" s="105"/>
      <c r="E78" s="105"/>
      <c r="F78" s="106"/>
      <c r="G78" s="96"/>
      <c r="H78" s="96"/>
      <c r="I78" s="96"/>
      <c r="J78" s="99"/>
      <c r="K78" s="98"/>
      <c r="L78" s="66"/>
      <c r="M78" s="68"/>
      <c r="N78" s="68"/>
      <c r="O78" s="96"/>
      <c r="P78" s="69"/>
      <c r="Q78" s="69"/>
      <c r="R78" s="96"/>
      <c r="S78" s="69"/>
      <c r="T78" s="67"/>
      <c r="U78" s="67"/>
      <c r="V78" s="67"/>
      <c r="W78" s="67"/>
      <c r="X78" s="67"/>
      <c r="Y78" s="71"/>
      <c r="Z78" s="1"/>
    </row>
    <row r="79" spans="1:26" ht="36" customHeight="1">
      <c r="A79" s="1"/>
      <c r="B79" s="66" t="s">
        <v>6009</v>
      </c>
      <c r="C79" s="105"/>
      <c r="D79" s="105"/>
      <c r="E79" s="105"/>
      <c r="F79" s="106"/>
      <c r="G79" s="96"/>
      <c r="H79" s="96"/>
      <c r="I79" s="96"/>
      <c r="J79" s="99"/>
      <c r="K79" s="98"/>
      <c r="L79" s="66"/>
      <c r="M79" s="68"/>
      <c r="N79" s="68"/>
      <c r="O79" s="96"/>
      <c r="P79" s="69"/>
      <c r="Q79" s="69"/>
      <c r="R79" s="96"/>
      <c r="S79" s="69"/>
      <c r="T79" s="67"/>
      <c r="U79" s="67"/>
      <c r="V79" s="67"/>
      <c r="W79" s="67"/>
      <c r="X79" s="67"/>
      <c r="Y79" s="71"/>
      <c r="Z79" s="1"/>
    </row>
    <row r="80" spans="1:26" ht="36" customHeight="1">
      <c r="A80" s="1"/>
      <c r="B80" s="66" t="s">
        <v>6010</v>
      </c>
      <c r="C80" s="105"/>
      <c r="D80" s="105"/>
      <c r="E80" s="105"/>
      <c r="F80" s="106"/>
      <c r="G80" s="96"/>
      <c r="H80" s="96"/>
      <c r="I80" s="96"/>
      <c r="J80" s="99"/>
      <c r="K80" s="98"/>
      <c r="L80" s="66"/>
      <c r="M80" s="68"/>
      <c r="N80" s="68"/>
      <c r="O80" s="96"/>
      <c r="P80" s="69"/>
      <c r="Q80" s="69"/>
      <c r="R80" s="96"/>
      <c r="S80" s="69"/>
      <c r="T80" s="67"/>
      <c r="U80" s="67"/>
      <c r="V80" s="67"/>
      <c r="W80" s="67"/>
      <c r="X80" s="67"/>
      <c r="Y80" s="71"/>
      <c r="Z80" s="1"/>
    </row>
    <row r="81" spans="1:26" ht="36" customHeight="1">
      <c r="A81" s="1"/>
      <c r="B81" s="66" t="s">
        <v>6011</v>
      </c>
      <c r="C81" s="105"/>
      <c r="D81" s="105"/>
      <c r="E81" s="105"/>
      <c r="F81" s="106"/>
      <c r="G81" s="96"/>
      <c r="H81" s="96"/>
      <c r="I81" s="96"/>
      <c r="J81" s="99"/>
      <c r="K81" s="103"/>
      <c r="L81" s="66"/>
      <c r="M81" s="68"/>
      <c r="N81" s="68"/>
      <c r="O81" s="96"/>
      <c r="P81" s="69"/>
      <c r="Q81" s="69"/>
      <c r="R81" s="96"/>
      <c r="S81" s="69"/>
      <c r="T81" s="67"/>
      <c r="U81" s="70"/>
      <c r="V81" s="67"/>
      <c r="W81" s="67"/>
      <c r="X81" s="67"/>
      <c r="Y81" s="71"/>
      <c r="Z81" s="1"/>
    </row>
    <row r="82" spans="1:26" ht="36" customHeight="1">
      <c r="A82" s="1"/>
      <c r="B82" s="66" t="s">
        <v>6012</v>
      </c>
      <c r="C82" s="105"/>
      <c r="D82" s="105"/>
      <c r="E82" s="105"/>
      <c r="F82" s="106"/>
      <c r="G82" s="96"/>
      <c r="H82" s="96"/>
      <c r="I82" s="96"/>
      <c r="J82" s="99"/>
      <c r="K82" s="98"/>
      <c r="L82" s="66"/>
      <c r="M82" s="68"/>
      <c r="N82" s="69"/>
      <c r="O82" s="96"/>
      <c r="P82" s="69"/>
      <c r="Q82" s="96"/>
      <c r="R82" s="96"/>
      <c r="S82" s="69"/>
      <c r="T82" s="67"/>
      <c r="U82" s="70"/>
      <c r="V82" s="67"/>
      <c r="W82" s="67"/>
      <c r="X82" s="67"/>
      <c r="Y82" s="71"/>
      <c r="Z82" s="1"/>
    </row>
    <row r="83" spans="1:26" ht="36" customHeight="1">
      <c r="A83" s="1"/>
      <c r="B83" s="66" t="s">
        <v>6013</v>
      </c>
      <c r="C83" s="105"/>
      <c r="D83" s="105"/>
      <c r="E83" s="105"/>
      <c r="F83" s="106"/>
      <c r="G83" s="96"/>
      <c r="H83" s="96"/>
      <c r="I83" s="96"/>
      <c r="J83" s="99"/>
      <c r="K83" s="98"/>
      <c r="L83" s="66"/>
      <c r="M83" s="68"/>
      <c r="N83" s="68"/>
      <c r="O83" s="96"/>
      <c r="P83" s="69"/>
      <c r="Q83" s="69"/>
      <c r="R83" s="69"/>
      <c r="S83" s="69"/>
      <c r="T83" s="67"/>
      <c r="U83" s="67"/>
      <c r="V83" s="67"/>
      <c r="W83" s="67"/>
      <c r="X83" s="67"/>
      <c r="Y83" s="71"/>
      <c r="Z83" s="1"/>
    </row>
    <row r="84" spans="1:26" ht="36" customHeight="1">
      <c r="A84" s="1"/>
      <c r="B84" s="66" t="s">
        <v>6014</v>
      </c>
      <c r="C84" s="66"/>
      <c r="D84" s="105"/>
      <c r="E84" s="105"/>
      <c r="F84" s="106"/>
      <c r="G84" s="96"/>
      <c r="H84" s="96"/>
      <c r="I84" s="96"/>
      <c r="J84" s="99"/>
      <c r="K84" s="98"/>
      <c r="L84" s="66"/>
      <c r="M84" s="68"/>
      <c r="N84" s="68"/>
      <c r="O84" s="96"/>
      <c r="P84" s="69"/>
      <c r="Q84" s="96"/>
      <c r="R84" s="96"/>
      <c r="S84" s="69"/>
      <c r="T84" s="67"/>
      <c r="U84" s="67"/>
      <c r="V84" s="67"/>
      <c r="W84" s="67"/>
      <c r="X84" s="67"/>
      <c r="Y84" s="71"/>
      <c r="Z84" s="1"/>
    </row>
    <row r="85" spans="1:26" ht="36" customHeight="1">
      <c r="A85" s="1"/>
      <c r="B85" s="66" t="s">
        <v>6015</v>
      </c>
      <c r="C85" s="66"/>
      <c r="D85" s="105"/>
      <c r="E85" s="105"/>
      <c r="F85" s="106"/>
      <c r="G85" s="96"/>
      <c r="H85" s="96"/>
      <c r="I85" s="96"/>
      <c r="J85" s="99"/>
      <c r="K85" s="103"/>
      <c r="L85" s="66"/>
      <c r="M85" s="68"/>
      <c r="N85" s="68"/>
      <c r="O85" s="96"/>
      <c r="P85" s="69"/>
      <c r="Q85" s="69"/>
      <c r="R85" s="96"/>
      <c r="S85" s="69"/>
      <c r="T85" s="67"/>
      <c r="U85" s="67"/>
      <c r="V85" s="67"/>
      <c r="W85" s="67"/>
      <c r="X85" s="67"/>
      <c r="Y85" s="71"/>
      <c r="Z85" s="1"/>
    </row>
    <row r="86" spans="1:26" ht="36" customHeight="1">
      <c r="A86" s="1"/>
      <c r="B86" s="66" t="s">
        <v>6016</v>
      </c>
      <c r="C86" s="66"/>
      <c r="D86" s="66"/>
      <c r="E86" s="66"/>
      <c r="F86" s="96"/>
      <c r="G86" s="96"/>
      <c r="H86" s="96"/>
      <c r="I86" s="96"/>
      <c r="J86" s="99"/>
      <c r="K86" s="103"/>
      <c r="L86" s="66"/>
      <c r="M86" s="68"/>
      <c r="N86" s="68"/>
      <c r="O86" s="96"/>
      <c r="P86" s="96"/>
      <c r="Q86" s="96"/>
      <c r="R86" s="96"/>
      <c r="S86" s="69"/>
      <c r="T86" s="67"/>
      <c r="U86" s="67"/>
      <c r="V86" s="67"/>
      <c r="W86" s="67"/>
      <c r="X86" s="67"/>
      <c r="Y86" s="71"/>
      <c r="Z86" s="1"/>
    </row>
    <row r="87" spans="1:26" ht="36" customHeight="1">
      <c r="A87" s="1"/>
      <c r="B87" s="66" t="s">
        <v>6017</v>
      </c>
      <c r="C87" s="66"/>
      <c r="D87" s="66"/>
      <c r="E87" s="66"/>
      <c r="F87" s="96"/>
      <c r="G87" s="96"/>
      <c r="H87" s="96"/>
      <c r="I87" s="96"/>
      <c r="J87" s="99"/>
      <c r="K87" s="103"/>
      <c r="L87" s="66"/>
      <c r="M87" s="68"/>
      <c r="N87" s="68"/>
      <c r="O87" s="96"/>
      <c r="P87" s="69"/>
      <c r="Q87" s="69"/>
      <c r="R87" s="96"/>
      <c r="S87" s="69"/>
      <c r="T87" s="67"/>
      <c r="U87" s="67"/>
      <c r="V87" s="67"/>
      <c r="W87" s="67"/>
      <c r="X87" s="67"/>
      <c r="Y87" s="67"/>
      <c r="Z87" s="1"/>
    </row>
    <row r="88" spans="1:26" ht="36" customHeight="1">
      <c r="A88" s="1"/>
      <c r="B88" s="66" t="s">
        <v>6018</v>
      </c>
      <c r="C88" s="66"/>
      <c r="D88" s="66"/>
      <c r="E88" s="66"/>
      <c r="F88" s="96"/>
      <c r="G88" s="96"/>
      <c r="H88" s="96"/>
      <c r="I88" s="96"/>
      <c r="J88" s="99"/>
      <c r="K88" s="103"/>
      <c r="L88" s="66"/>
      <c r="M88" s="68"/>
      <c r="N88" s="68"/>
      <c r="O88" s="96"/>
      <c r="P88" s="96"/>
      <c r="Q88" s="96"/>
      <c r="R88" s="96"/>
      <c r="S88" s="69"/>
      <c r="T88" s="67"/>
      <c r="U88" s="67"/>
      <c r="V88" s="67"/>
      <c r="W88" s="67"/>
      <c r="X88" s="67"/>
      <c r="Y88" s="71"/>
      <c r="Z88" s="1"/>
    </row>
    <row r="89" spans="1:26" ht="36" customHeight="1">
      <c r="A89" s="1"/>
      <c r="B89" s="66" t="s">
        <v>6019</v>
      </c>
      <c r="C89" s="66"/>
      <c r="D89" s="66"/>
      <c r="E89" s="66"/>
      <c r="F89" s="96"/>
      <c r="G89" s="96"/>
      <c r="H89" s="96"/>
      <c r="I89" s="96"/>
      <c r="J89" s="99"/>
      <c r="K89" s="103"/>
      <c r="L89" s="66"/>
      <c r="M89" s="68"/>
      <c r="N89" s="68"/>
      <c r="O89" s="96"/>
      <c r="P89" s="96"/>
      <c r="Q89" s="96"/>
      <c r="R89" s="96"/>
      <c r="S89" s="69"/>
      <c r="T89" s="67"/>
      <c r="U89" s="67"/>
      <c r="V89" s="67"/>
      <c r="W89" s="67"/>
      <c r="X89" s="67"/>
      <c r="Y89" s="71"/>
      <c r="Z89" s="1"/>
    </row>
    <row r="90" spans="1:26" ht="36" customHeight="1">
      <c r="A90" s="1"/>
      <c r="B90" s="66" t="s">
        <v>6020</v>
      </c>
      <c r="C90" s="66"/>
      <c r="D90" s="66"/>
      <c r="E90" s="66"/>
      <c r="F90" s="96"/>
      <c r="G90" s="96"/>
      <c r="H90" s="96"/>
      <c r="I90" s="96"/>
      <c r="J90" s="99"/>
      <c r="K90" s="103"/>
      <c r="L90" s="66"/>
      <c r="M90" s="68"/>
      <c r="N90" s="68"/>
      <c r="O90" s="96"/>
      <c r="P90" s="96"/>
      <c r="Q90" s="96"/>
      <c r="R90" s="96"/>
      <c r="S90" s="69"/>
      <c r="T90" s="67"/>
      <c r="U90" s="67"/>
      <c r="V90" s="67"/>
      <c r="W90" s="67"/>
      <c r="X90" s="67"/>
      <c r="Y90" s="67"/>
      <c r="Z90" s="1"/>
    </row>
    <row r="91" spans="1:26" ht="36" customHeight="1">
      <c r="A91" s="1"/>
      <c r="B91" s="66" t="s">
        <v>6021</v>
      </c>
      <c r="C91" s="66"/>
      <c r="D91" s="66"/>
      <c r="E91" s="66"/>
      <c r="F91" s="96"/>
      <c r="G91" s="96"/>
      <c r="H91" s="96"/>
      <c r="I91" s="96"/>
      <c r="J91" s="99"/>
      <c r="K91" s="103"/>
      <c r="L91" s="66"/>
      <c r="M91" s="68"/>
      <c r="N91" s="68"/>
      <c r="O91" s="96"/>
      <c r="P91" s="96"/>
      <c r="Q91" s="96"/>
      <c r="R91" s="96"/>
      <c r="S91" s="69"/>
      <c r="T91" s="67"/>
      <c r="U91" s="67"/>
      <c r="V91" s="67"/>
      <c r="W91" s="67"/>
      <c r="X91" s="67"/>
      <c r="Y91" s="71"/>
      <c r="Z91" s="1"/>
    </row>
    <row r="92" spans="1:26" ht="36" customHeight="1">
      <c r="A92" s="1"/>
      <c r="B92" s="66" t="s">
        <v>6022</v>
      </c>
      <c r="C92" s="66"/>
      <c r="D92" s="66"/>
      <c r="E92" s="66"/>
      <c r="F92" s="96"/>
      <c r="G92" s="96"/>
      <c r="H92" s="96"/>
      <c r="I92" s="96"/>
      <c r="J92" s="99"/>
      <c r="K92" s="103"/>
      <c r="L92" s="66"/>
      <c r="M92" s="68"/>
      <c r="N92" s="68"/>
      <c r="O92" s="96"/>
      <c r="P92" s="69"/>
      <c r="Q92" s="69"/>
      <c r="R92" s="96"/>
      <c r="S92" s="69"/>
      <c r="T92" s="67"/>
      <c r="U92" s="67"/>
      <c r="V92" s="67"/>
      <c r="W92" s="67"/>
      <c r="X92" s="67"/>
      <c r="Y92" s="71"/>
      <c r="Z92" s="1"/>
    </row>
    <row r="93" spans="1:26" ht="36" customHeight="1">
      <c r="A93" s="1"/>
      <c r="B93" s="66" t="s">
        <v>6023</v>
      </c>
      <c r="C93" s="66"/>
      <c r="D93" s="66"/>
      <c r="E93" s="66"/>
      <c r="F93" s="96"/>
      <c r="G93" s="96"/>
      <c r="H93" s="96"/>
      <c r="I93" s="96"/>
      <c r="J93" s="99"/>
      <c r="K93" s="103"/>
      <c r="L93" s="66"/>
      <c r="M93" s="68"/>
      <c r="N93" s="68"/>
      <c r="O93" s="96"/>
      <c r="P93" s="69"/>
      <c r="Q93" s="69"/>
      <c r="R93" s="96"/>
      <c r="S93" s="69"/>
      <c r="T93" s="67"/>
      <c r="U93" s="67"/>
      <c r="V93" s="67"/>
      <c r="W93" s="67"/>
      <c r="X93" s="67"/>
      <c r="Y93" s="71"/>
      <c r="Z93" s="1"/>
    </row>
    <row r="94" spans="1:26" ht="36" customHeight="1">
      <c r="A94" s="1"/>
      <c r="B94" s="66" t="s">
        <v>6024</v>
      </c>
      <c r="C94" s="66"/>
      <c r="D94" s="66"/>
      <c r="E94" s="66"/>
      <c r="F94" s="96"/>
      <c r="G94" s="96"/>
      <c r="H94" s="96"/>
      <c r="I94" s="96"/>
      <c r="J94" s="99"/>
      <c r="K94" s="103"/>
      <c r="L94" s="66"/>
      <c r="M94" s="68"/>
      <c r="N94" s="68"/>
      <c r="O94" s="96"/>
      <c r="P94" s="69"/>
      <c r="Q94" s="69"/>
      <c r="R94" s="96"/>
      <c r="S94" s="69"/>
      <c r="T94" s="67"/>
      <c r="U94" s="67"/>
      <c r="V94" s="67"/>
      <c r="W94" s="67"/>
      <c r="X94" s="67"/>
      <c r="Y94" s="71"/>
      <c r="Z94" s="1"/>
    </row>
    <row r="95" spans="1:26" ht="36" customHeight="1">
      <c r="A95" s="1"/>
      <c r="B95" s="66" t="s">
        <v>6025</v>
      </c>
      <c r="C95" s="66"/>
      <c r="D95" s="66"/>
      <c r="E95" s="66"/>
      <c r="F95" s="96"/>
      <c r="G95" s="96"/>
      <c r="H95" s="96"/>
      <c r="I95" s="96"/>
      <c r="J95" s="99"/>
      <c r="K95" s="103"/>
      <c r="L95" s="66"/>
      <c r="M95" s="68"/>
      <c r="N95" s="68"/>
      <c r="O95" s="96"/>
      <c r="P95" s="96"/>
      <c r="Q95" s="96"/>
      <c r="R95" s="96"/>
      <c r="S95" s="69"/>
      <c r="T95" s="67"/>
      <c r="U95" s="67"/>
      <c r="V95" s="67"/>
      <c r="W95" s="67"/>
      <c r="X95" s="67"/>
      <c r="Y95" s="71"/>
      <c r="Z95" s="1"/>
    </row>
    <row r="96" spans="1:26" ht="36" customHeight="1">
      <c r="A96" s="1"/>
      <c r="B96" s="66" t="s">
        <v>6026</v>
      </c>
      <c r="C96" s="66"/>
      <c r="D96" s="66"/>
      <c r="E96" s="66"/>
      <c r="F96" s="96"/>
      <c r="G96" s="96"/>
      <c r="H96" s="96"/>
      <c r="I96" s="96"/>
      <c r="J96" s="99"/>
      <c r="K96" s="103"/>
      <c r="L96" s="66"/>
      <c r="M96" s="68"/>
      <c r="N96" s="68"/>
      <c r="O96" s="96"/>
      <c r="P96" s="69"/>
      <c r="Q96" s="69"/>
      <c r="R96" s="96"/>
      <c r="S96" s="69"/>
      <c r="T96" s="67"/>
      <c r="U96" s="67"/>
      <c r="V96" s="67"/>
      <c r="W96" s="67"/>
      <c r="X96" s="67"/>
      <c r="Y96" s="71"/>
      <c r="Z96" s="1"/>
    </row>
    <row r="97" spans="1:26" ht="36" customHeight="1">
      <c r="A97" s="1"/>
      <c r="B97" s="66" t="s">
        <v>6027</v>
      </c>
      <c r="C97" s="66"/>
      <c r="D97" s="66"/>
      <c r="E97" s="66"/>
      <c r="F97" s="96"/>
      <c r="G97" s="96"/>
      <c r="H97" s="96"/>
      <c r="I97" s="96"/>
      <c r="J97" s="99"/>
      <c r="K97" s="103"/>
      <c r="L97" s="66"/>
      <c r="M97" s="68"/>
      <c r="N97" s="68"/>
      <c r="O97" s="96"/>
      <c r="P97" s="69"/>
      <c r="Q97" s="69"/>
      <c r="R97" s="96"/>
      <c r="S97" s="69"/>
      <c r="T97" s="67"/>
      <c r="U97" s="67"/>
      <c r="V97" s="67"/>
      <c r="W97" s="67"/>
      <c r="X97" s="67"/>
      <c r="Y97" s="71"/>
      <c r="Z97" s="1"/>
    </row>
    <row r="98" spans="1:26" ht="36" customHeight="1">
      <c r="A98" s="1"/>
      <c r="B98" s="66" t="s">
        <v>6028</v>
      </c>
      <c r="C98" s="66"/>
      <c r="D98" s="66"/>
      <c r="E98" s="66"/>
      <c r="F98" s="96"/>
      <c r="G98" s="96"/>
      <c r="H98" s="96"/>
      <c r="I98" s="96"/>
      <c r="J98" s="99"/>
      <c r="K98" s="103"/>
      <c r="L98" s="66"/>
      <c r="M98" s="68"/>
      <c r="N98" s="68"/>
      <c r="O98" s="96"/>
      <c r="P98" s="96"/>
      <c r="Q98" s="96"/>
      <c r="R98" s="96"/>
      <c r="S98" s="69"/>
      <c r="T98" s="67"/>
      <c r="U98" s="67"/>
      <c r="V98" s="67"/>
      <c r="W98" s="67"/>
      <c r="X98" s="67"/>
      <c r="Y98" s="71"/>
      <c r="Z98" s="1"/>
    </row>
    <row r="99" spans="1:26" ht="36" customHeight="1">
      <c r="A99" s="1"/>
      <c r="B99" s="66" t="s">
        <v>6029</v>
      </c>
      <c r="C99" s="66"/>
      <c r="D99" s="66"/>
      <c r="E99" s="66"/>
      <c r="F99" s="96"/>
      <c r="G99" s="96"/>
      <c r="H99" s="96"/>
      <c r="I99" s="96"/>
      <c r="J99" s="99"/>
      <c r="K99" s="103"/>
      <c r="L99" s="66"/>
      <c r="M99" s="68"/>
      <c r="N99" s="68"/>
      <c r="O99" s="96"/>
      <c r="P99" s="69"/>
      <c r="Q99" s="96"/>
      <c r="R99" s="96"/>
      <c r="S99" s="69"/>
      <c r="T99" s="67"/>
      <c r="U99" s="67"/>
      <c r="V99" s="67"/>
      <c r="W99" s="67"/>
      <c r="X99" s="67"/>
      <c r="Y99" s="71"/>
      <c r="Z99" s="1"/>
    </row>
    <row r="100" spans="1:26" ht="36" customHeight="1">
      <c r="A100" s="1"/>
      <c r="B100" s="66" t="s">
        <v>6030</v>
      </c>
      <c r="C100" s="66"/>
      <c r="D100" s="66"/>
      <c r="E100" s="66"/>
      <c r="F100" s="96"/>
      <c r="G100" s="96"/>
      <c r="H100" s="96"/>
      <c r="I100" s="96"/>
      <c r="J100" s="99"/>
      <c r="K100" s="103"/>
      <c r="L100" s="66"/>
      <c r="M100" s="68"/>
      <c r="N100" s="68"/>
      <c r="O100" s="96"/>
      <c r="P100" s="69"/>
      <c r="Q100" s="69"/>
      <c r="R100" s="96"/>
      <c r="S100" s="69"/>
      <c r="T100" s="67"/>
      <c r="U100" s="67"/>
      <c r="V100" s="67"/>
      <c r="W100" s="67"/>
      <c r="X100" s="67"/>
      <c r="Y100" s="71"/>
      <c r="Z100" s="1"/>
    </row>
    <row r="101" spans="1:26" ht="36" customHeight="1">
      <c r="A101" s="1"/>
      <c r="B101" s="66" t="s">
        <v>6031</v>
      </c>
      <c r="C101" s="66"/>
      <c r="D101" s="66"/>
      <c r="E101" s="66"/>
      <c r="F101" s="96"/>
      <c r="G101" s="96"/>
      <c r="H101" s="96"/>
      <c r="I101" s="96"/>
      <c r="J101" s="99"/>
      <c r="K101" s="103"/>
      <c r="L101" s="66"/>
      <c r="M101" s="68"/>
      <c r="N101" s="68"/>
      <c r="O101" s="96"/>
      <c r="P101" s="69"/>
      <c r="Q101" s="69"/>
      <c r="R101" s="96"/>
      <c r="S101" s="69"/>
      <c r="T101" s="67"/>
      <c r="U101" s="67"/>
      <c r="V101" s="67"/>
      <c r="W101" s="67"/>
      <c r="X101" s="67"/>
      <c r="Y101" s="71"/>
      <c r="Z101" s="1"/>
    </row>
    <row r="102" spans="1:26" ht="36" customHeight="1">
      <c r="A102" s="1"/>
      <c r="B102" s="66" t="s">
        <v>6032</v>
      </c>
      <c r="C102" s="66"/>
      <c r="D102" s="66"/>
      <c r="E102" s="66"/>
      <c r="F102" s="96"/>
      <c r="G102" s="96"/>
      <c r="H102" s="96"/>
      <c r="I102" s="96"/>
      <c r="J102" s="99"/>
      <c r="K102" s="103"/>
      <c r="L102" s="66"/>
      <c r="M102" s="68"/>
      <c r="N102" s="68"/>
      <c r="O102" s="96"/>
      <c r="P102" s="96"/>
      <c r="Q102" s="96"/>
      <c r="R102" s="96"/>
      <c r="S102" s="69"/>
      <c r="T102" s="67"/>
      <c r="U102" s="67"/>
      <c r="V102" s="67"/>
      <c r="W102" s="67"/>
      <c r="X102" s="67"/>
      <c r="Y102" s="71"/>
      <c r="Z102" s="1"/>
    </row>
    <row r="103" spans="1:26" ht="36" customHeight="1">
      <c r="A103" s="1"/>
      <c r="B103" s="66" t="s">
        <v>6033</v>
      </c>
      <c r="C103" s="66"/>
      <c r="D103" s="66"/>
      <c r="E103" s="66"/>
      <c r="F103" s="96"/>
      <c r="G103" s="96"/>
      <c r="H103" s="96"/>
      <c r="I103" s="96"/>
      <c r="J103" s="99"/>
      <c r="K103" s="103"/>
      <c r="L103" s="66"/>
      <c r="M103" s="68"/>
      <c r="N103" s="68"/>
      <c r="O103" s="96"/>
      <c r="P103" s="96"/>
      <c r="Q103" s="96"/>
      <c r="R103" s="96"/>
      <c r="S103" s="107"/>
      <c r="T103" s="67"/>
      <c r="U103" s="67"/>
      <c r="V103" s="67"/>
      <c r="W103" s="67"/>
      <c r="X103" s="67"/>
      <c r="Y103" s="71"/>
      <c r="Z103" s="1"/>
    </row>
    <row r="104" spans="1:26" ht="36" customHeight="1">
      <c r="A104" s="1"/>
      <c r="B104" s="66" t="s">
        <v>6034</v>
      </c>
      <c r="C104" s="66"/>
      <c r="D104" s="66"/>
      <c r="E104" s="66"/>
      <c r="F104" s="96"/>
      <c r="G104" s="96"/>
      <c r="H104" s="96"/>
      <c r="I104" s="96"/>
      <c r="J104" s="99"/>
      <c r="K104" s="98"/>
      <c r="L104" s="66"/>
      <c r="M104" s="68"/>
      <c r="N104" s="68"/>
      <c r="O104" s="96"/>
      <c r="P104" s="69"/>
      <c r="Q104" s="96"/>
      <c r="R104" s="96"/>
      <c r="S104" s="69"/>
      <c r="T104" s="67"/>
      <c r="U104" s="67"/>
      <c r="V104" s="67"/>
      <c r="W104" s="67"/>
      <c r="X104" s="67"/>
      <c r="Y104" s="71"/>
      <c r="Z104" s="1"/>
    </row>
    <row r="105" spans="1:26" ht="36" customHeight="1">
      <c r="A105" s="1"/>
      <c r="B105" s="66" t="s">
        <v>6035</v>
      </c>
      <c r="C105" s="66"/>
      <c r="D105" s="66"/>
      <c r="E105" s="66"/>
      <c r="F105" s="96"/>
      <c r="G105" s="96"/>
      <c r="H105" s="96"/>
      <c r="I105" s="96"/>
      <c r="J105" s="99"/>
      <c r="K105" s="98"/>
      <c r="L105" s="66"/>
      <c r="M105" s="68"/>
      <c r="N105" s="68"/>
      <c r="O105" s="96"/>
      <c r="P105" s="69"/>
      <c r="Q105" s="96"/>
      <c r="R105" s="96"/>
      <c r="S105" s="69"/>
      <c r="T105" s="67"/>
      <c r="U105" s="67"/>
      <c r="V105" s="67"/>
      <c r="W105" s="67"/>
      <c r="X105" s="67"/>
      <c r="Y105" s="71"/>
      <c r="Z105" s="1"/>
    </row>
    <row r="106" spans="1:26" ht="36" customHeight="1">
      <c r="A106" s="1"/>
      <c r="B106" s="66" t="s">
        <v>6036</v>
      </c>
      <c r="C106" s="66"/>
      <c r="D106" s="66"/>
      <c r="E106" s="66"/>
      <c r="F106" s="96"/>
      <c r="G106" s="96"/>
      <c r="H106" s="96"/>
      <c r="I106" s="96"/>
      <c r="J106" s="99"/>
      <c r="K106" s="103"/>
      <c r="L106" s="66"/>
      <c r="M106" s="68"/>
      <c r="N106" s="68"/>
      <c r="O106" s="96"/>
      <c r="P106" s="69"/>
      <c r="Q106" s="69"/>
      <c r="R106" s="96"/>
      <c r="S106" s="69"/>
      <c r="T106" s="67"/>
      <c r="U106" s="67"/>
      <c r="V106" s="67"/>
      <c r="W106" s="67"/>
      <c r="X106" s="67"/>
      <c r="Y106" s="71"/>
      <c r="Z106" s="1"/>
    </row>
    <row r="107" spans="1:26" ht="36" customHeight="1">
      <c r="A107" s="1"/>
      <c r="B107" s="66" t="s">
        <v>6037</v>
      </c>
      <c r="C107" s="66"/>
      <c r="D107" s="66"/>
      <c r="E107" s="66"/>
      <c r="F107" s="96"/>
      <c r="G107" s="96"/>
      <c r="H107" s="96"/>
      <c r="I107" s="96"/>
      <c r="J107" s="99"/>
      <c r="K107" s="98"/>
      <c r="L107" s="66"/>
      <c r="M107" s="68"/>
      <c r="N107" s="68"/>
      <c r="O107" s="96"/>
      <c r="P107" s="69"/>
      <c r="Q107" s="69"/>
      <c r="R107" s="96"/>
      <c r="S107" s="69"/>
      <c r="T107" s="67"/>
      <c r="U107" s="67"/>
      <c r="V107" s="67"/>
      <c r="W107" s="67"/>
      <c r="X107" s="67"/>
      <c r="Y107" s="71"/>
      <c r="Z107" s="1"/>
    </row>
    <row r="108" spans="1:26" ht="36" customHeight="1">
      <c r="A108" s="1"/>
      <c r="B108" s="66" t="s">
        <v>6038</v>
      </c>
      <c r="C108" s="66"/>
      <c r="D108" s="66"/>
      <c r="E108" s="66"/>
      <c r="F108" s="96"/>
      <c r="G108" s="96"/>
      <c r="H108" s="96"/>
      <c r="I108" s="96"/>
      <c r="J108" s="99"/>
      <c r="K108" s="98"/>
      <c r="L108" s="66"/>
      <c r="M108" s="68"/>
      <c r="N108" s="68"/>
      <c r="O108" s="96"/>
      <c r="P108" s="69"/>
      <c r="Q108" s="69"/>
      <c r="R108" s="69"/>
      <c r="S108" s="69"/>
      <c r="T108" s="67"/>
      <c r="U108" s="67"/>
      <c r="V108" s="67"/>
      <c r="W108" s="67"/>
      <c r="X108" s="67"/>
      <c r="Y108" s="71"/>
      <c r="Z108" s="1"/>
    </row>
    <row r="109" spans="1:26" ht="36" customHeight="1">
      <c r="A109" s="1"/>
      <c r="B109" s="66" t="s">
        <v>6039</v>
      </c>
      <c r="C109" s="66"/>
      <c r="D109" s="66"/>
      <c r="E109" s="66"/>
      <c r="F109" s="96"/>
      <c r="G109" s="96"/>
      <c r="H109" s="96"/>
      <c r="I109" s="96"/>
      <c r="J109" s="99"/>
      <c r="K109" s="98"/>
      <c r="L109" s="66"/>
      <c r="M109" s="68"/>
      <c r="N109" s="68"/>
      <c r="O109" s="96"/>
      <c r="P109" s="69"/>
      <c r="Q109" s="96"/>
      <c r="R109" s="96"/>
      <c r="S109" s="69"/>
      <c r="T109" s="67"/>
      <c r="U109" s="67"/>
      <c r="V109" s="67"/>
      <c r="W109" s="67"/>
      <c r="X109" s="67"/>
      <c r="Y109" s="71"/>
      <c r="Z109" s="1"/>
    </row>
    <row r="110" spans="1:26" ht="36" customHeight="1">
      <c r="A110" s="1"/>
      <c r="B110" s="66" t="s">
        <v>6040</v>
      </c>
      <c r="C110" s="66"/>
      <c r="D110" s="66"/>
      <c r="E110" s="66"/>
      <c r="F110" s="96"/>
      <c r="G110" s="96"/>
      <c r="H110" s="96"/>
      <c r="I110" s="96"/>
      <c r="J110" s="99"/>
      <c r="K110" s="98"/>
      <c r="L110" s="66"/>
      <c r="M110" s="68"/>
      <c r="N110" s="68"/>
      <c r="O110" s="96"/>
      <c r="P110" s="69"/>
      <c r="Q110" s="69"/>
      <c r="R110" s="96"/>
      <c r="S110" s="69"/>
      <c r="T110" s="67"/>
      <c r="U110" s="67"/>
      <c r="V110" s="67"/>
      <c r="W110" s="67"/>
      <c r="X110" s="67"/>
      <c r="Y110" s="71"/>
      <c r="Z110" s="1"/>
    </row>
    <row r="111" spans="1:26" ht="36" customHeight="1">
      <c r="A111" s="1"/>
      <c r="B111" s="66" t="s">
        <v>6041</v>
      </c>
      <c r="C111" s="66"/>
      <c r="D111" s="66"/>
      <c r="E111" s="66"/>
      <c r="F111" s="96"/>
      <c r="G111" s="96"/>
      <c r="H111" s="96"/>
      <c r="I111" s="96"/>
      <c r="J111" s="99"/>
      <c r="K111" s="98"/>
      <c r="L111" s="66"/>
      <c r="M111" s="68"/>
      <c r="N111" s="68"/>
      <c r="O111" s="96"/>
      <c r="P111" s="69"/>
      <c r="Q111" s="96"/>
      <c r="R111" s="96"/>
      <c r="S111" s="69"/>
      <c r="T111" s="67"/>
      <c r="U111" s="67"/>
      <c r="V111" s="67"/>
      <c r="W111" s="67"/>
      <c r="X111" s="67"/>
      <c r="Y111" s="71"/>
      <c r="Z111" s="1"/>
    </row>
    <row r="112" spans="1:26" ht="36" customHeight="1">
      <c r="A112" s="1"/>
      <c r="B112" s="66" t="s">
        <v>6042</v>
      </c>
      <c r="C112" s="66"/>
      <c r="D112" s="66"/>
      <c r="E112" s="66"/>
      <c r="F112" s="96"/>
      <c r="G112" s="96"/>
      <c r="H112" s="96"/>
      <c r="I112" s="96"/>
      <c r="J112" s="99"/>
      <c r="K112" s="103"/>
      <c r="L112" s="66"/>
      <c r="M112" s="68"/>
      <c r="N112" s="68"/>
      <c r="O112" s="96"/>
      <c r="P112" s="69"/>
      <c r="Q112" s="96"/>
      <c r="R112" s="96"/>
      <c r="S112" s="69"/>
      <c r="T112" s="67"/>
      <c r="U112" s="67"/>
      <c r="V112" s="67"/>
      <c r="W112" s="67"/>
      <c r="X112" s="67"/>
      <c r="Y112" s="71"/>
      <c r="Z112" s="1"/>
    </row>
    <row r="113" spans="1:26" ht="36" customHeight="1">
      <c r="A113" s="1"/>
      <c r="B113" s="66" t="s">
        <v>6043</v>
      </c>
      <c r="C113" s="66"/>
      <c r="D113" s="66"/>
      <c r="E113" s="66"/>
      <c r="F113" s="96"/>
      <c r="G113" s="96"/>
      <c r="H113" s="96"/>
      <c r="I113" s="96"/>
      <c r="J113" s="99"/>
      <c r="K113" s="98"/>
      <c r="L113" s="66"/>
      <c r="M113" s="68"/>
      <c r="N113" s="68"/>
      <c r="O113" s="96"/>
      <c r="P113" s="69"/>
      <c r="Q113" s="69"/>
      <c r="R113" s="96"/>
      <c r="S113" s="69"/>
      <c r="T113" s="67"/>
      <c r="U113" s="67"/>
      <c r="V113" s="67"/>
      <c r="W113" s="67"/>
      <c r="X113" s="67"/>
      <c r="Y113" s="71"/>
      <c r="Z113" s="1"/>
    </row>
    <row r="114" spans="1:26" ht="36" customHeight="1">
      <c r="A114" s="1"/>
      <c r="B114" s="66" t="s">
        <v>6044</v>
      </c>
      <c r="C114" s="66"/>
      <c r="D114" s="66"/>
      <c r="E114" s="66"/>
      <c r="F114" s="96"/>
      <c r="G114" s="96"/>
      <c r="H114" s="96"/>
      <c r="I114" s="96"/>
      <c r="J114" s="99"/>
      <c r="K114" s="98"/>
      <c r="L114" s="66"/>
      <c r="M114" s="68"/>
      <c r="N114" s="68"/>
      <c r="O114" s="96"/>
      <c r="P114" s="69"/>
      <c r="Q114" s="96"/>
      <c r="R114" s="96"/>
      <c r="S114" s="69"/>
      <c r="T114" s="67"/>
      <c r="U114" s="67"/>
      <c r="V114" s="67"/>
      <c r="W114" s="67"/>
      <c r="X114" s="67"/>
      <c r="Y114" s="71"/>
      <c r="Z114" s="1"/>
    </row>
    <row r="115" spans="1:26" ht="36" customHeight="1">
      <c r="A115" s="1"/>
      <c r="B115" s="66" t="s">
        <v>6045</v>
      </c>
      <c r="C115" s="66"/>
      <c r="D115" s="66"/>
      <c r="E115" s="66"/>
      <c r="F115" s="96"/>
      <c r="G115" s="96"/>
      <c r="H115" s="96"/>
      <c r="I115" s="96"/>
      <c r="J115" s="99"/>
      <c r="K115" s="98"/>
      <c r="L115" s="66"/>
      <c r="M115" s="68"/>
      <c r="N115" s="68"/>
      <c r="O115" s="96"/>
      <c r="P115" s="69"/>
      <c r="Q115" s="69"/>
      <c r="R115" s="69"/>
      <c r="S115" s="69"/>
      <c r="T115" s="67"/>
      <c r="U115" s="67"/>
      <c r="V115" s="67"/>
      <c r="W115" s="67"/>
      <c r="X115" s="67"/>
      <c r="Y115" s="71"/>
      <c r="Z115" s="1"/>
    </row>
    <row r="116" spans="1:26" ht="36" customHeight="1">
      <c r="A116" s="1"/>
      <c r="B116" s="66" t="s">
        <v>6046</v>
      </c>
      <c r="C116" s="66"/>
      <c r="D116" s="66"/>
      <c r="E116" s="66"/>
      <c r="F116" s="96"/>
      <c r="G116" s="96"/>
      <c r="H116" s="96"/>
      <c r="I116" s="96"/>
      <c r="J116" s="99"/>
      <c r="K116" s="98"/>
      <c r="L116" s="66"/>
      <c r="M116" s="68"/>
      <c r="N116" s="68"/>
      <c r="O116" s="96"/>
      <c r="P116" s="69"/>
      <c r="Q116" s="69"/>
      <c r="R116" s="96"/>
      <c r="S116" s="69"/>
      <c r="T116" s="67"/>
      <c r="U116" s="67"/>
      <c r="V116" s="67"/>
      <c r="W116" s="67"/>
      <c r="X116" s="67"/>
      <c r="Y116" s="71"/>
      <c r="Z116" s="1"/>
    </row>
    <row r="117" spans="1:26" ht="36" customHeight="1">
      <c r="A117" s="1"/>
      <c r="B117" s="66" t="s">
        <v>6047</v>
      </c>
      <c r="C117" s="66"/>
      <c r="D117" s="66"/>
      <c r="E117" s="66"/>
      <c r="F117" s="96"/>
      <c r="G117" s="96"/>
      <c r="H117" s="96"/>
      <c r="I117" s="96"/>
      <c r="J117" s="99"/>
      <c r="K117" s="98"/>
      <c r="L117" s="66"/>
      <c r="M117" s="68"/>
      <c r="N117" s="68"/>
      <c r="O117" s="96"/>
      <c r="P117" s="69"/>
      <c r="Q117" s="69"/>
      <c r="R117" s="96"/>
      <c r="S117" s="69"/>
      <c r="T117" s="67"/>
      <c r="U117" s="67"/>
      <c r="V117" s="67"/>
      <c r="W117" s="67"/>
      <c r="X117" s="67"/>
      <c r="Y117" s="71"/>
      <c r="Z117" s="1"/>
    </row>
    <row r="118" spans="1:26" ht="36" customHeight="1">
      <c r="A118" s="1"/>
      <c r="B118" s="66" t="s">
        <v>6048</v>
      </c>
      <c r="C118" s="66"/>
      <c r="D118" s="66"/>
      <c r="E118" s="66"/>
      <c r="F118" s="96"/>
      <c r="G118" s="96"/>
      <c r="H118" s="96"/>
      <c r="I118" s="96"/>
      <c r="J118" s="99"/>
      <c r="K118" s="108"/>
      <c r="L118" s="66"/>
      <c r="M118" s="68"/>
      <c r="N118" s="68"/>
      <c r="O118" s="96"/>
      <c r="P118" s="69"/>
      <c r="Q118" s="69"/>
      <c r="R118" s="69"/>
      <c r="S118" s="69"/>
      <c r="T118" s="67"/>
      <c r="U118" s="67"/>
      <c r="V118" s="67"/>
      <c r="W118" s="67"/>
      <c r="X118" s="67"/>
      <c r="Y118" s="67"/>
      <c r="Z118" s="1"/>
    </row>
    <row r="119" spans="1:26" ht="36" customHeight="1">
      <c r="A119" s="1"/>
      <c r="B119" s="66" t="s">
        <v>6049</v>
      </c>
      <c r="C119" s="66"/>
      <c r="D119" s="66"/>
      <c r="E119" s="66"/>
      <c r="F119" s="96"/>
      <c r="G119" s="96"/>
      <c r="H119" s="96"/>
      <c r="I119" s="96"/>
      <c r="J119" s="99"/>
      <c r="K119" s="103"/>
      <c r="L119" s="66"/>
      <c r="M119" s="68"/>
      <c r="N119" s="68"/>
      <c r="O119" s="96"/>
      <c r="P119" s="69"/>
      <c r="Q119" s="96"/>
      <c r="R119" s="96"/>
      <c r="S119" s="69"/>
      <c r="T119" s="67"/>
      <c r="U119" s="67"/>
      <c r="V119" s="67"/>
      <c r="W119" s="67"/>
      <c r="X119" s="67"/>
      <c r="Y119" s="67"/>
      <c r="Z119" s="1"/>
    </row>
    <row r="120" spans="1:26" ht="36" customHeight="1">
      <c r="A120" s="1"/>
      <c r="B120" s="66" t="s">
        <v>6050</v>
      </c>
      <c r="C120" s="66"/>
      <c r="D120" s="66"/>
      <c r="E120" s="66"/>
      <c r="F120" s="96"/>
      <c r="G120" s="96"/>
      <c r="H120" s="96"/>
      <c r="I120" s="96"/>
      <c r="J120" s="99"/>
      <c r="K120" s="103"/>
      <c r="L120" s="66"/>
      <c r="M120" s="68"/>
      <c r="N120" s="68"/>
      <c r="O120" s="96"/>
      <c r="P120" s="69"/>
      <c r="Q120" s="69"/>
      <c r="R120" s="69"/>
      <c r="S120" s="69"/>
      <c r="T120" s="67"/>
      <c r="U120" s="67"/>
      <c r="V120" s="67"/>
      <c r="W120" s="67"/>
      <c r="X120" s="67"/>
      <c r="Y120" s="67"/>
      <c r="Z120" s="1"/>
    </row>
    <row r="121" spans="1:26" ht="36" customHeight="1">
      <c r="A121" s="1"/>
      <c r="B121" s="66" t="s">
        <v>6051</v>
      </c>
      <c r="C121" s="66"/>
      <c r="D121" s="66"/>
      <c r="E121" s="66"/>
      <c r="F121" s="96"/>
      <c r="G121" s="96"/>
      <c r="H121" s="96"/>
      <c r="I121" s="96"/>
      <c r="J121" s="99"/>
      <c r="K121" s="103"/>
      <c r="L121" s="66"/>
      <c r="M121" s="68"/>
      <c r="N121" s="68"/>
      <c r="O121" s="96"/>
      <c r="P121" s="69"/>
      <c r="Q121" s="96"/>
      <c r="R121" s="96"/>
      <c r="S121" s="69"/>
      <c r="T121" s="67"/>
      <c r="U121" s="67"/>
      <c r="V121" s="67"/>
      <c r="W121" s="67"/>
      <c r="X121" s="67"/>
      <c r="Y121" s="71"/>
      <c r="Z121" s="1"/>
    </row>
    <row r="122" spans="1:26" ht="36" customHeight="1">
      <c r="A122" s="1"/>
      <c r="B122" s="66" t="s">
        <v>6052</v>
      </c>
      <c r="C122" s="66"/>
      <c r="D122" s="66"/>
      <c r="E122" s="66"/>
      <c r="F122" s="96"/>
      <c r="G122" s="96"/>
      <c r="H122" s="96"/>
      <c r="I122" s="96"/>
      <c r="J122" s="99"/>
      <c r="K122" s="103"/>
      <c r="L122" s="66"/>
      <c r="M122" s="68"/>
      <c r="N122" s="68"/>
      <c r="O122" s="96"/>
      <c r="P122" s="69"/>
      <c r="Q122" s="69"/>
      <c r="R122" s="96"/>
      <c r="S122" s="69"/>
      <c r="T122" s="67"/>
      <c r="U122" s="67"/>
      <c r="V122" s="67"/>
      <c r="W122" s="67"/>
      <c r="X122" s="67"/>
      <c r="Y122" s="71"/>
      <c r="Z122" s="1"/>
    </row>
    <row r="123" spans="1:26" ht="36" customHeight="1">
      <c r="A123" s="1"/>
      <c r="B123" s="66" t="s">
        <v>6053</v>
      </c>
      <c r="C123" s="66"/>
      <c r="D123" s="66"/>
      <c r="E123" s="66"/>
      <c r="F123" s="96"/>
      <c r="G123" s="96"/>
      <c r="H123" s="96"/>
      <c r="I123" s="96"/>
      <c r="J123" s="99"/>
      <c r="K123" s="103"/>
      <c r="L123" s="66"/>
      <c r="M123" s="68"/>
      <c r="N123" s="68"/>
      <c r="O123" s="96"/>
      <c r="P123" s="69"/>
      <c r="Q123" s="69"/>
      <c r="R123" s="96"/>
      <c r="S123" s="69"/>
      <c r="T123" s="67"/>
      <c r="U123" s="67"/>
      <c r="V123" s="67"/>
      <c r="W123" s="67"/>
      <c r="X123" s="67"/>
      <c r="Y123" s="71"/>
      <c r="Z123" s="1"/>
    </row>
    <row r="124" spans="1:26" ht="36" customHeight="1">
      <c r="A124" s="1"/>
      <c r="B124" s="66" t="s">
        <v>6054</v>
      </c>
      <c r="C124" s="66"/>
      <c r="D124" s="66"/>
      <c r="E124" s="66"/>
      <c r="F124" s="96"/>
      <c r="G124" s="96"/>
      <c r="H124" s="96"/>
      <c r="I124" s="96"/>
      <c r="J124" s="99"/>
      <c r="K124" s="103"/>
      <c r="L124" s="66"/>
      <c r="M124" s="68"/>
      <c r="N124" s="68"/>
      <c r="O124" s="96"/>
      <c r="P124" s="69"/>
      <c r="Q124" s="69"/>
      <c r="R124" s="96"/>
      <c r="S124" s="69"/>
      <c r="T124" s="67"/>
      <c r="U124" s="67"/>
      <c r="V124" s="67"/>
      <c r="W124" s="67"/>
      <c r="X124" s="67"/>
      <c r="Y124" s="71"/>
      <c r="Z124" s="1"/>
    </row>
    <row r="125" spans="1:26" ht="36" customHeight="1">
      <c r="A125" s="1"/>
      <c r="B125" s="66" t="s">
        <v>6055</v>
      </c>
      <c r="C125" s="66"/>
      <c r="D125" s="66"/>
      <c r="E125" s="66"/>
      <c r="F125" s="96"/>
      <c r="G125" s="96"/>
      <c r="H125" s="96"/>
      <c r="I125" s="96"/>
      <c r="J125" s="99"/>
      <c r="K125" s="103"/>
      <c r="L125" s="66"/>
      <c r="M125" s="68"/>
      <c r="N125" s="68"/>
      <c r="O125" s="96"/>
      <c r="P125" s="69"/>
      <c r="Q125" s="69"/>
      <c r="R125" s="96"/>
      <c r="S125" s="69"/>
      <c r="T125" s="67"/>
      <c r="U125" s="67"/>
      <c r="V125" s="67"/>
      <c r="W125" s="67"/>
      <c r="X125" s="67"/>
      <c r="Y125" s="71"/>
      <c r="Z125" s="1"/>
    </row>
    <row r="126" spans="1:26" ht="36" customHeight="1">
      <c r="A126" s="1"/>
      <c r="B126" s="66" t="s">
        <v>6056</v>
      </c>
      <c r="C126" s="66"/>
      <c r="D126" s="66"/>
      <c r="E126" s="66"/>
      <c r="F126" s="96"/>
      <c r="G126" s="96"/>
      <c r="H126" s="96"/>
      <c r="I126" s="96"/>
      <c r="J126" s="99"/>
      <c r="K126" s="98"/>
      <c r="L126" s="66"/>
      <c r="M126" s="68"/>
      <c r="N126" s="68"/>
      <c r="O126" s="96"/>
      <c r="P126" s="69"/>
      <c r="Q126" s="69"/>
      <c r="R126" s="96"/>
      <c r="S126" s="69"/>
      <c r="T126" s="67"/>
      <c r="U126" s="67"/>
      <c r="V126" s="67"/>
      <c r="W126" s="67"/>
      <c r="X126" s="67"/>
      <c r="Y126" s="71"/>
      <c r="Z126" s="1"/>
    </row>
    <row r="127" spans="1:26" ht="36" customHeight="1">
      <c r="A127" s="1"/>
      <c r="B127" s="66" t="s">
        <v>6057</v>
      </c>
      <c r="C127" s="66"/>
      <c r="D127" s="66"/>
      <c r="E127" s="66"/>
      <c r="F127" s="96"/>
      <c r="G127" s="96"/>
      <c r="H127" s="96"/>
      <c r="I127" s="96"/>
      <c r="J127" s="99"/>
      <c r="K127" s="98"/>
      <c r="L127" s="66"/>
      <c r="M127" s="68"/>
      <c r="N127" s="68"/>
      <c r="O127" s="96"/>
      <c r="P127" s="69"/>
      <c r="Q127" s="69"/>
      <c r="R127" s="96"/>
      <c r="S127" s="69"/>
      <c r="T127" s="67"/>
      <c r="U127" s="67"/>
      <c r="V127" s="67"/>
      <c r="W127" s="67"/>
      <c r="X127" s="67"/>
      <c r="Y127" s="71"/>
      <c r="Z127" s="1"/>
    </row>
    <row r="128" spans="1:26" ht="36" customHeight="1">
      <c r="A128" s="1"/>
      <c r="B128" s="66" t="s">
        <v>6058</v>
      </c>
      <c r="C128" s="66"/>
      <c r="D128" s="66"/>
      <c r="E128" s="66"/>
      <c r="F128" s="96"/>
      <c r="G128" s="96"/>
      <c r="H128" s="96"/>
      <c r="I128" s="96"/>
      <c r="J128" s="99"/>
      <c r="K128" s="103"/>
      <c r="L128" s="66"/>
      <c r="M128" s="68"/>
      <c r="N128" s="68"/>
      <c r="O128" s="96"/>
      <c r="P128" s="69"/>
      <c r="Q128" s="96"/>
      <c r="R128" s="96"/>
      <c r="S128" s="69"/>
      <c r="T128" s="67"/>
      <c r="U128" s="67"/>
      <c r="V128" s="67"/>
      <c r="W128" s="67"/>
      <c r="X128" s="67"/>
      <c r="Y128" s="71"/>
      <c r="Z128" s="1"/>
    </row>
    <row r="129" spans="1:26" ht="36" customHeight="1">
      <c r="A129" s="1"/>
      <c r="B129" s="66" t="s">
        <v>6059</v>
      </c>
      <c r="C129" s="66"/>
      <c r="D129" s="66"/>
      <c r="E129" s="66"/>
      <c r="F129" s="96"/>
      <c r="G129" s="96"/>
      <c r="H129" s="96"/>
      <c r="I129" s="96"/>
      <c r="J129" s="99"/>
      <c r="K129" s="103"/>
      <c r="L129" s="66"/>
      <c r="M129" s="68"/>
      <c r="N129" s="68"/>
      <c r="O129" s="96"/>
      <c r="P129" s="69"/>
      <c r="Q129" s="96"/>
      <c r="R129" s="96"/>
      <c r="S129" s="69"/>
      <c r="T129" s="67"/>
      <c r="U129" s="67"/>
      <c r="V129" s="67"/>
      <c r="W129" s="67"/>
      <c r="X129" s="67"/>
      <c r="Y129" s="71"/>
      <c r="Z129" s="1"/>
    </row>
    <row r="130" spans="1:26" ht="36" customHeight="1">
      <c r="A130" s="1"/>
      <c r="B130" s="66" t="s">
        <v>6060</v>
      </c>
      <c r="C130" s="66"/>
      <c r="D130" s="66"/>
      <c r="E130" s="66"/>
      <c r="F130" s="96"/>
      <c r="G130" s="96"/>
      <c r="H130" s="96"/>
      <c r="I130" s="96"/>
      <c r="J130" s="99"/>
      <c r="K130" s="103"/>
      <c r="L130" s="66"/>
      <c r="M130" s="68"/>
      <c r="N130" s="68"/>
      <c r="O130" s="96"/>
      <c r="P130" s="69"/>
      <c r="Q130" s="96"/>
      <c r="R130" s="96"/>
      <c r="S130" s="69"/>
      <c r="T130" s="67"/>
      <c r="U130" s="67"/>
      <c r="V130" s="67"/>
      <c r="W130" s="67"/>
      <c r="X130" s="67"/>
      <c r="Y130" s="71"/>
      <c r="Z130" s="1"/>
    </row>
    <row r="131" spans="1:26" ht="36" customHeight="1">
      <c r="A131" s="1"/>
      <c r="B131" s="66" t="s">
        <v>6061</v>
      </c>
      <c r="C131" s="66"/>
      <c r="D131" s="66"/>
      <c r="E131" s="66"/>
      <c r="F131" s="96"/>
      <c r="G131" s="96"/>
      <c r="H131" s="96"/>
      <c r="I131" s="96"/>
      <c r="J131" s="99"/>
      <c r="K131" s="103"/>
      <c r="L131" s="66"/>
      <c r="M131" s="68"/>
      <c r="N131" s="68"/>
      <c r="O131" s="96"/>
      <c r="P131" s="69"/>
      <c r="Q131" s="96"/>
      <c r="R131" s="96"/>
      <c r="S131" s="69"/>
      <c r="T131" s="67"/>
      <c r="U131" s="67"/>
      <c r="V131" s="67"/>
      <c r="W131" s="67"/>
      <c r="X131" s="67"/>
      <c r="Y131" s="71"/>
      <c r="Z131" s="1"/>
    </row>
    <row r="132" spans="1:26" ht="36" customHeight="1">
      <c r="A132" s="1"/>
      <c r="B132" s="66" t="s">
        <v>6062</v>
      </c>
      <c r="C132" s="66"/>
      <c r="D132" s="66"/>
      <c r="E132" s="66"/>
      <c r="F132" s="96"/>
      <c r="G132" s="96"/>
      <c r="H132" s="96"/>
      <c r="I132" s="96"/>
      <c r="J132" s="99"/>
      <c r="K132" s="103"/>
      <c r="L132" s="66"/>
      <c r="M132" s="68"/>
      <c r="N132" s="68"/>
      <c r="O132" s="96"/>
      <c r="P132" s="69"/>
      <c r="Q132" s="69"/>
      <c r="R132" s="69"/>
      <c r="S132" s="69"/>
      <c r="T132" s="109"/>
      <c r="U132" s="67"/>
      <c r="V132" s="67"/>
      <c r="W132" s="67"/>
      <c r="X132" s="67"/>
      <c r="Y132" s="71"/>
      <c r="Z132" s="1"/>
    </row>
    <row r="133" spans="1:26" ht="34.5" customHeight="1">
      <c r="A133" s="1"/>
      <c r="B133" s="66" t="s">
        <v>6063</v>
      </c>
      <c r="C133" s="66"/>
      <c r="D133" s="66"/>
      <c r="E133" s="66"/>
      <c r="F133" s="96"/>
      <c r="G133" s="96"/>
      <c r="H133" s="96"/>
      <c r="I133" s="96"/>
      <c r="J133" s="99"/>
      <c r="K133" s="103"/>
      <c r="L133" s="66"/>
      <c r="M133" s="68"/>
      <c r="N133" s="68"/>
      <c r="O133" s="96"/>
      <c r="P133" s="69"/>
      <c r="Q133" s="69"/>
      <c r="R133" s="96"/>
      <c r="S133" s="69"/>
      <c r="T133" s="67"/>
      <c r="U133" s="67"/>
      <c r="V133" s="67"/>
      <c r="W133" s="67"/>
      <c r="X133" s="67"/>
      <c r="Y133" s="71"/>
      <c r="Z133" s="1"/>
    </row>
    <row r="134" spans="1:26" ht="34.5" customHeight="1">
      <c r="A134" s="1"/>
      <c r="B134" s="66" t="s">
        <v>6064</v>
      </c>
      <c r="C134" s="66"/>
      <c r="D134" s="66"/>
      <c r="E134" s="66"/>
      <c r="F134" s="96"/>
      <c r="G134" s="96"/>
      <c r="H134" s="96"/>
      <c r="I134" s="96"/>
      <c r="J134" s="99"/>
      <c r="K134" s="103"/>
      <c r="L134" s="66"/>
      <c r="M134" s="68"/>
      <c r="N134" s="68"/>
      <c r="O134" s="96"/>
      <c r="P134" s="69"/>
      <c r="Q134" s="96"/>
      <c r="R134" s="96"/>
      <c r="S134" s="69"/>
      <c r="T134" s="67"/>
      <c r="U134" s="67"/>
      <c r="V134" s="67"/>
      <c r="W134" s="67"/>
      <c r="X134" s="67"/>
      <c r="Y134" s="71"/>
      <c r="Z134" s="1"/>
    </row>
    <row r="135" spans="1:26" ht="34.5" customHeight="1">
      <c r="A135" s="1"/>
      <c r="B135" s="66" t="s">
        <v>6065</v>
      </c>
      <c r="C135" s="66"/>
      <c r="D135" s="66"/>
      <c r="E135" s="66"/>
      <c r="F135" s="96"/>
      <c r="G135" s="96"/>
      <c r="H135" s="96"/>
      <c r="I135" s="96"/>
      <c r="J135" s="99"/>
      <c r="K135" s="103"/>
      <c r="L135" s="66"/>
      <c r="M135" s="68"/>
      <c r="N135" s="68"/>
      <c r="O135" s="96"/>
      <c r="P135" s="69"/>
      <c r="Q135" s="96"/>
      <c r="R135" s="96"/>
      <c r="S135" s="69"/>
      <c r="T135" s="67"/>
      <c r="U135" s="67"/>
      <c r="V135" s="67"/>
      <c r="W135" s="67"/>
      <c r="X135" s="67"/>
      <c r="Y135" s="71"/>
      <c r="Z135" s="1"/>
    </row>
    <row r="136" spans="1:26" ht="34.5" customHeight="1">
      <c r="A136" s="1"/>
      <c r="B136" s="66" t="s">
        <v>6066</v>
      </c>
      <c r="C136" s="66"/>
      <c r="D136" s="66"/>
      <c r="E136" s="66"/>
      <c r="F136" s="96"/>
      <c r="G136" s="96"/>
      <c r="H136" s="96"/>
      <c r="I136" s="96"/>
      <c r="J136" s="99"/>
      <c r="K136" s="103"/>
      <c r="L136" s="66"/>
      <c r="M136" s="68"/>
      <c r="N136" s="68"/>
      <c r="O136" s="96"/>
      <c r="P136" s="69"/>
      <c r="Q136" s="96"/>
      <c r="R136" s="96"/>
      <c r="S136" s="69"/>
      <c r="T136" s="67"/>
      <c r="U136" s="67"/>
      <c r="V136" s="67"/>
      <c r="W136" s="67"/>
      <c r="X136" s="67"/>
      <c r="Y136" s="71"/>
      <c r="Z136" s="1"/>
    </row>
    <row r="137" spans="1:26" ht="34.5" customHeight="1">
      <c r="A137" s="1"/>
      <c r="B137" s="66" t="s">
        <v>6067</v>
      </c>
      <c r="C137" s="66"/>
      <c r="D137" s="66"/>
      <c r="E137" s="66"/>
      <c r="F137" s="96"/>
      <c r="G137" s="96"/>
      <c r="H137" s="96"/>
      <c r="I137" s="96"/>
      <c r="J137" s="99"/>
      <c r="K137" s="103"/>
      <c r="L137" s="66"/>
      <c r="M137" s="68"/>
      <c r="N137" s="68"/>
      <c r="O137" s="96"/>
      <c r="P137" s="69"/>
      <c r="Q137" s="69"/>
      <c r="R137" s="96"/>
      <c r="S137" s="69"/>
      <c r="T137" s="67"/>
      <c r="U137" s="67"/>
      <c r="V137" s="67"/>
      <c r="W137" s="67"/>
      <c r="X137" s="67"/>
      <c r="Y137" s="71"/>
      <c r="Z137" s="1"/>
    </row>
    <row r="138" spans="1:26" ht="34.5" customHeight="1">
      <c r="A138" s="1"/>
      <c r="B138" s="66" t="s">
        <v>6068</v>
      </c>
      <c r="C138" s="66"/>
      <c r="D138" s="66"/>
      <c r="E138" s="66"/>
      <c r="F138" s="96"/>
      <c r="G138" s="96"/>
      <c r="H138" s="96"/>
      <c r="I138" s="96"/>
      <c r="J138" s="99"/>
      <c r="K138" s="103"/>
      <c r="L138" s="66"/>
      <c r="M138" s="68"/>
      <c r="N138" s="68"/>
      <c r="O138" s="96"/>
      <c r="P138" s="69"/>
      <c r="Q138" s="96"/>
      <c r="R138" s="96"/>
      <c r="S138" s="69"/>
      <c r="T138" s="67"/>
      <c r="U138" s="67"/>
      <c r="V138" s="67"/>
      <c r="W138" s="67"/>
      <c r="X138" s="67"/>
      <c r="Y138" s="71"/>
      <c r="Z138" s="1"/>
    </row>
    <row r="139" spans="1:26" ht="34.5" customHeight="1">
      <c r="A139" s="1"/>
      <c r="B139" s="66" t="s">
        <v>6069</v>
      </c>
      <c r="C139" s="66"/>
      <c r="D139" s="66"/>
      <c r="E139" s="66"/>
      <c r="F139" s="96"/>
      <c r="G139" s="96"/>
      <c r="H139" s="96"/>
      <c r="I139" s="96"/>
      <c r="J139" s="99"/>
      <c r="K139" s="103"/>
      <c r="L139" s="66"/>
      <c r="M139" s="68"/>
      <c r="N139" s="68"/>
      <c r="O139" s="96"/>
      <c r="P139" s="69"/>
      <c r="Q139" s="96"/>
      <c r="R139" s="96"/>
      <c r="S139" s="69"/>
      <c r="T139" s="67"/>
      <c r="U139" s="67"/>
      <c r="V139" s="67"/>
      <c r="W139" s="67"/>
      <c r="X139" s="67"/>
      <c r="Y139" s="71"/>
      <c r="Z139" s="1"/>
    </row>
    <row r="140" spans="1:26" ht="34.5" customHeight="1">
      <c r="A140" s="1"/>
      <c r="B140" s="66" t="s">
        <v>6070</v>
      </c>
      <c r="C140" s="66"/>
      <c r="D140" s="66"/>
      <c r="E140" s="66"/>
      <c r="F140" s="96"/>
      <c r="G140" s="96"/>
      <c r="H140" s="96"/>
      <c r="I140" s="96"/>
      <c r="J140" s="99"/>
      <c r="K140" s="103"/>
      <c r="L140" s="66"/>
      <c r="M140" s="68"/>
      <c r="N140" s="68"/>
      <c r="O140" s="96"/>
      <c r="P140" s="69"/>
      <c r="Q140" s="96"/>
      <c r="R140" s="96"/>
      <c r="S140" s="69"/>
      <c r="T140" s="67"/>
      <c r="U140" s="67"/>
      <c r="V140" s="67"/>
      <c r="W140" s="67"/>
      <c r="X140" s="67"/>
      <c r="Y140" s="71"/>
      <c r="Z140" s="1"/>
    </row>
    <row r="141" spans="1:26" ht="34.5" customHeight="1">
      <c r="A141" s="1"/>
      <c r="B141" s="66" t="s">
        <v>6071</v>
      </c>
      <c r="C141" s="66"/>
      <c r="D141" s="66"/>
      <c r="E141" s="66"/>
      <c r="F141" s="96"/>
      <c r="G141" s="96"/>
      <c r="H141" s="96"/>
      <c r="I141" s="96"/>
      <c r="J141" s="99"/>
      <c r="K141" s="103"/>
      <c r="L141" s="66"/>
      <c r="M141" s="68"/>
      <c r="N141" s="68"/>
      <c r="O141" s="96"/>
      <c r="P141" s="69"/>
      <c r="Q141" s="69"/>
      <c r="R141" s="96"/>
      <c r="S141" s="69"/>
      <c r="T141" s="67"/>
      <c r="U141" s="67"/>
      <c r="V141" s="67"/>
      <c r="W141" s="67"/>
      <c r="X141" s="67"/>
      <c r="Y141" s="71"/>
      <c r="Z141" s="1"/>
    </row>
    <row r="142" spans="1:26" ht="34.5" customHeight="1">
      <c r="A142" s="1"/>
      <c r="B142" s="66" t="s">
        <v>6072</v>
      </c>
      <c r="C142" s="66"/>
      <c r="D142" s="66"/>
      <c r="E142" s="66"/>
      <c r="F142" s="96"/>
      <c r="G142" s="96"/>
      <c r="H142" s="96"/>
      <c r="I142" s="96"/>
      <c r="J142" s="99"/>
      <c r="K142" s="103"/>
      <c r="L142" s="66"/>
      <c r="M142" s="68"/>
      <c r="N142" s="68"/>
      <c r="O142" s="96"/>
      <c r="P142" s="69"/>
      <c r="Q142" s="96"/>
      <c r="R142" s="96"/>
      <c r="S142" s="69"/>
      <c r="T142" s="67"/>
      <c r="U142" s="67"/>
      <c r="V142" s="67"/>
      <c r="W142" s="67"/>
      <c r="X142" s="67"/>
      <c r="Y142" s="67"/>
      <c r="Z142" s="1"/>
    </row>
    <row r="143" spans="1:26" ht="34.5" customHeight="1">
      <c r="A143" s="1"/>
      <c r="B143" s="66" t="s">
        <v>6073</v>
      </c>
      <c r="C143" s="66"/>
      <c r="D143" s="66"/>
      <c r="E143" s="66"/>
      <c r="F143" s="96"/>
      <c r="G143" s="96"/>
      <c r="H143" s="96"/>
      <c r="I143" s="96"/>
      <c r="J143" s="99"/>
      <c r="K143" s="103"/>
      <c r="L143" s="66"/>
      <c r="M143" s="68"/>
      <c r="N143" s="68"/>
      <c r="O143" s="96"/>
      <c r="P143" s="69"/>
      <c r="Q143" s="96"/>
      <c r="R143" s="96"/>
      <c r="S143" s="69"/>
      <c r="T143" s="67"/>
      <c r="U143" s="67"/>
      <c r="V143" s="67"/>
      <c r="W143" s="67"/>
      <c r="X143" s="67"/>
      <c r="Y143" s="67"/>
      <c r="Z143" s="1"/>
    </row>
    <row r="144" spans="1:26" ht="34.5" customHeight="1">
      <c r="A144" s="1"/>
      <c r="B144" s="66" t="s">
        <v>6074</v>
      </c>
      <c r="C144" s="66"/>
      <c r="D144" s="66"/>
      <c r="E144" s="66"/>
      <c r="F144" s="96"/>
      <c r="G144" s="96"/>
      <c r="H144" s="96"/>
      <c r="I144" s="96"/>
      <c r="J144" s="99"/>
      <c r="K144" s="103"/>
      <c r="L144" s="66"/>
      <c r="M144" s="68"/>
      <c r="N144" s="68"/>
      <c r="O144" s="96"/>
      <c r="P144" s="69"/>
      <c r="Q144" s="96"/>
      <c r="R144" s="96"/>
      <c r="S144" s="69"/>
      <c r="T144" s="67"/>
      <c r="U144" s="67"/>
      <c r="V144" s="67"/>
      <c r="W144" s="67"/>
      <c r="X144" s="67"/>
      <c r="Y144" s="67"/>
      <c r="Z144" s="1"/>
    </row>
    <row r="145" spans="1:26" ht="34.5" customHeight="1">
      <c r="A145" s="1"/>
      <c r="B145" s="66" t="s">
        <v>6075</v>
      </c>
      <c r="C145" s="66"/>
      <c r="D145" s="66"/>
      <c r="E145" s="66"/>
      <c r="F145" s="96"/>
      <c r="G145" s="96"/>
      <c r="H145" s="96"/>
      <c r="I145" s="96"/>
      <c r="J145" s="99"/>
      <c r="K145" s="103"/>
      <c r="L145" s="66"/>
      <c r="M145" s="68"/>
      <c r="N145" s="68"/>
      <c r="O145" s="96"/>
      <c r="P145" s="69"/>
      <c r="Q145" s="69"/>
      <c r="R145" s="96"/>
      <c r="S145" s="69"/>
      <c r="T145" s="67"/>
      <c r="U145" s="67"/>
      <c r="V145" s="67"/>
      <c r="W145" s="67"/>
      <c r="X145" s="67"/>
      <c r="Y145" s="67"/>
      <c r="Z145" s="1"/>
    </row>
    <row r="146" spans="1:26" ht="34.5" customHeight="1">
      <c r="A146" s="1"/>
      <c r="B146" s="66" t="s">
        <v>6076</v>
      </c>
      <c r="C146" s="66"/>
      <c r="D146" s="66"/>
      <c r="E146" s="66"/>
      <c r="F146" s="96"/>
      <c r="G146" s="96"/>
      <c r="H146" s="87"/>
      <c r="I146" s="96"/>
      <c r="J146" s="110"/>
      <c r="K146" s="103"/>
      <c r="L146" s="66"/>
      <c r="M146" s="68"/>
      <c r="N146" s="68"/>
      <c r="O146" s="96"/>
      <c r="P146" s="69"/>
      <c r="Q146" s="96"/>
      <c r="R146" s="96"/>
      <c r="S146" s="69"/>
      <c r="T146" s="67"/>
      <c r="U146" s="67"/>
      <c r="V146" s="67"/>
      <c r="W146" s="67"/>
      <c r="X146" s="67"/>
      <c r="Y146" s="67"/>
      <c r="Z146" s="1"/>
    </row>
    <row r="147" spans="1:26" ht="34.5" customHeight="1">
      <c r="A147" s="1"/>
      <c r="B147" s="66" t="s">
        <v>6077</v>
      </c>
      <c r="C147" s="66"/>
      <c r="D147" s="66"/>
      <c r="E147" s="66"/>
      <c r="F147" s="96"/>
      <c r="G147" s="96"/>
      <c r="H147" s="96"/>
      <c r="I147" s="96"/>
      <c r="J147" s="99"/>
      <c r="K147" s="103"/>
      <c r="L147" s="66"/>
      <c r="M147" s="68"/>
      <c r="N147" s="68"/>
      <c r="O147" s="96"/>
      <c r="P147" s="69"/>
      <c r="Q147" s="69"/>
      <c r="R147" s="96"/>
      <c r="S147" s="69"/>
      <c r="T147" s="67"/>
      <c r="U147" s="67"/>
      <c r="V147" s="67"/>
      <c r="W147" s="67"/>
      <c r="X147" s="67"/>
      <c r="Y147" s="71"/>
      <c r="Z147" s="1"/>
    </row>
    <row r="148" spans="1:26" ht="34.5" customHeight="1">
      <c r="A148" s="1"/>
      <c r="B148" s="66" t="s">
        <v>6078</v>
      </c>
      <c r="C148" s="66"/>
      <c r="D148" s="66"/>
      <c r="E148" s="66"/>
      <c r="F148" s="96"/>
      <c r="G148" s="96"/>
      <c r="H148" s="96"/>
      <c r="I148" s="96"/>
      <c r="J148" s="99"/>
      <c r="K148" s="103"/>
      <c r="L148" s="66"/>
      <c r="M148" s="68"/>
      <c r="N148" s="68"/>
      <c r="O148" s="96"/>
      <c r="P148" s="69"/>
      <c r="Q148" s="96"/>
      <c r="R148" s="96"/>
      <c r="S148" s="69"/>
      <c r="T148" s="67"/>
      <c r="U148" s="67"/>
      <c r="V148" s="67"/>
      <c r="W148" s="67"/>
      <c r="X148" s="67"/>
      <c r="Y148" s="67"/>
      <c r="Z148" s="1"/>
    </row>
    <row r="149" spans="1:26" ht="34.5" customHeight="1">
      <c r="A149" s="1"/>
      <c r="B149" s="66" t="s">
        <v>6079</v>
      </c>
      <c r="C149" s="66"/>
      <c r="D149" s="66"/>
      <c r="E149" s="66"/>
      <c r="F149" s="96"/>
      <c r="G149" s="96"/>
      <c r="H149" s="96"/>
      <c r="I149" s="96"/>
      <c r="J149" s="99"/>
      <c r="K149" s="103"/>
      <c r="L149" s="66"/>
      <c r="M149" s="68"/>
      <c r="N149" s="68"/>
      <c r="O149" s="96"/>
      <c r="P149" s="69"/>
      <c r="Q149" s="69"/>
      <c r="R149" s="96"/>
      <c r="S149" s="69"/>
      <c r="T149" s="67"/>
      <c r="U149" s="67"/>
      <c r="V149" s="67"/>
      <c r="W149" s="67"/>
      <c r="X149" s="67"/>
      <c r="Y149" s="67"/>
      <c r="Z149" s="1"/>
    </row>
    <row r="150" spans="1:26" ht="34.5" customHeight="1">
      <c r="A150" s="1"/>
      <c r="B150" s="66" t="s">
        <v>6080</v>
      </c>
      <c r="C150" s="66"/>
      <c r="D150" s="66"/>
      <c r="E150" s="66"/>
      <c r="F150" s="96"/>
      <c r="G150" s="96"/>
      <c r="H150" s="96"/>
      <c r="I150" s="96"/>
      <c r="J150" s="99"/>
      <c r="K150" s="103"/>
      <c r="L150" s="66"/>
      <c r="M150" s="68"/>
      <c r="N150" s="68"/>
      <c r="O150" s="96"/>
      <c r="P150" s="69"/>
      <c r="Q150" s="96"/>
      <c r="R150" s="96"/>
      <c r="S150" s="96"/>
      <c r="T150" s="67"/>
      <c r="U150" s="67"/>
      <c r="V150" s="67"/>
      <c r="W150" s="67"/>
      <c r="X150" s="67"/>
      <c r="Y150" s="71"/>
      <c r="Z150" s="1"/>
    </row>
    <row r="151" spans="1:26" ht="34.5" customHeight="1">
      <c r="A151" s="1"/>
      <c r="B151" s="66" t="s">
        <v>6081</v>
      </c>
      <c r="C151" s="66"/>
      <c r="D151" s="66"/>
      <c r="E151" s="66"/>
      <c r="F151" s="96"/>
      <c r="G151" s="66"/>
      <c r="H151" s="66"/>
      <c r="I151" s="96"/>
      <c r="J151" s="111"/>
      <c r="K151" s="103"/>
      <c r="L151" s="66"/>
      <c r="M151" s="68"/>
      <c r="N151" s="68"/>
      <c r="O151" s="96"/>
      <c r="P151" s="69"/>
      <c r="Q151" s="96"/>
      <c r="R151" s="96"/>
      <c r="S151" s="69"/>
      <c r="T151" s="67"/>
      <c r="U151" s="67"/>
      <c r="V151" s="67"/>
      <c r="W151" s="67"/>
      <c r="X151" s="67"/>
      <c r="Y151" s="71"/>
      <c r="Z151" s="1"/>
    </row>
    <row r="152" spans="1:26" ht="34.5" customHeight="1">
      <c r="A152" s="1"/>
      <c r="B152" s="66" t="s">
        <v>6082</v>
      </c>
      <c r="C152" s="66"/>
      <c r="D152" s="66"/>
      <c r="E152" s="66"/>
      <c r="F152" s="96"/>
      <c r="G152" s="66"/>
      <c r="H152" s="66"/>
      <c r="I152" s="96"/>
      <c r="J152" s="111"/>
      <c r="K152" s="103"/>
      <c r="L152" s="66"/>
      <c r="M152" s="68"/>
      <c r="N152" s="68"/>
      <c r="O152" s="96"/>
      <c r="P152" s="69"/>
      <c r="Q152" s="96"/>
      <c r="R152" s="96"/>
      <c r="S152" s="69"/>
      <c r="T152" s="67"/>
      <c r="U152" s="67"/>
      <c r="V152" s="67"/>
      <c r="W152" s="67"/>
      <c r="X152" s="67"/>
      <c r="Y152" s="67"/>
      <c r="Z152" s="1"/>
    </row>
    <row r="153" spans="1:26" ht="36" customHeight="1">
      <c r="A153" s="1"/>
      <c r="B153" s="66" t="s">
        <v>6083</v>
      </c>
      <c r="C153" s="66"/>
      <c r="D153" s="66"/>
      <c r="E153" s="66"/>
      <c r="F153" s="96"/>
      <c r="G153" s="66"/>
      <c r="H153" s="66"/>
      <c r="I153" s="96"/>
      <c r="J153" s="111"/>
      <c r="K153" s="103"/>
      <c r="L153" s="66"/>
      <c r="M153" s="68"/>
      <c r="N153" s="68"/>
      <c r="O153" s="96"/>
      <c r="P153" s="69"/>
      <c r="Q153" s="69"/>
      <c r="R153" s="69"/>
      <c r="S153" s="69"/>
      <c r="T153" s="67"/>
      <c r="U153" s="67"/>
      <c r="V153" s="67"/>
      <c r="W153" s="67"/>
      <c r="X153" s="67"/>
      <c r="Y153" s="67"/>
      <c r="Z153" s="1"/>
    </row>
    <row r="154" spans="1:26" ht="36" customHeight="1">
      <c r="A154" s="1"/>
      <c r="B154" s="66" t="s">
        <v>6084</v>
      </c>
      <c r="C154" s="66"/>
      <c r="D154" s="66"/>
      <c r="E154" s="66"/>
      <c r="F154" s="96"/>
      <c r="G154" s="96"/>
      <c r="H154" s="96"/>
      <c r="I154" s="96"/>
      <c r="J154" s="99"/>
      <c r="K154" s="103"/>
      <c r="L154" s="66"/>
      <c r="M154" s="68"/>
      <c r="N154" s="68"/>
      <c r="O154" s="96"/>
      <c r="P154" s="69"/>
      <c r="Q154" s="69"/>
      <c r="R154" s="96"/>
      <c r="S154" s="69"/>
      <c r="T154" s="67"/>
      <c r="U154" s="67"/>
      <c r="V154" s="67"/>
      <c r="W154" s="67"/>
      <c r="X154" s="67"/>
      <c r="Y154" s="67"/>
      <c r="Z154" s="1"/>
    </row>
    <row r="155" spans="1:26" ht="36" customHeight="1">
      <c r="A155" s="1"/>
      <c r="B155" s="66" t="s">
        <v>6085</v>
      </c>
      <c r="C155" s="66"/>
      <c r="D155" s="66"/>
      <c r="E155" s="66"/>
      <c r="F155" s="96"/>
      <c r="G155" s="96"/>
      <c r="H155" s="96"/>
      <c r="I155" s="96"/>
      <c r="J155" s="99"/>
      <c r="K155" s="103"/>
      <c r="L155" s="66"/>
      <c r="M155" s="68"/>
      <c r="N155" s="68"/>
      <c r="O155" s="96"/>
      <c r="P155" s="69"/>
      <c r="Q155" s="96"/>
      <c r="R155" s="96"/>
      <c r="S155" s="69"/>
      <c r="T155" s="67"/>
      <c r="U155" s="67"/>
      <c r="V155" s="67"/>
      <c r="W155" s="67"/>
      <c r="X155" s="67"/>
      <c r="Y155" s="67"/>
      <c r="Z155" s="1"/>
    </row>
    <row r="156" spans="1:26" ht="36" customHeight="1">
      <c r="A156" s="1"/>
      <c r="B156" s="66" t="s">
        <v>6086</v>
      </c>
      <c r="C156" s="66"/>
      <c r="D156" s="66"/>
      <c r="E156" s="66"/>
      <c r="F156" s="96"/>
      <c r="G156" s="96"/>
      <c r="H156" s="96"/>
      <c r="I156" s="96"/>
      <c r="J156" s="99"/>
      <c r="K156" s="103"/>
      <c r="L156" s="66"/>
      <c r="M156" s="68"/>
      <c r="N156" s="68"/>
      <c r="O156" s="96"/>
      <c r="P156" s="69"/>
      <c r="Q156" s="96"/>
      <c r="R156" s="96"/>
      <c r="S156" s="69"/>
      <c r="T156" s="67"/>
      <c r="U156" s="67"/>
      <c r="V156" s="67"/>
      <c r="W156" s="67"/>
      <c r="X156" s="67"/>
      <c r="Y156" s="67"/>
      <c r="Z156" s="1"/>
    </row>
    <row r="157" spans="1:26" ht="36" customHeight="1">
      <c r="A157" s="1"/>
      <c r="B157" s="66" t="s">
        <v>6087</v>
      </c>
      <c r="C157" s="66"/>
      <c r="D157" s="66"/>
      <c r="E157" s="66"/>
      <c r="F157" s="96"/>
      <c r="G157" s="96"/>
      <c r="H157" s="96"/>
      <c r="I157" s="96"/>
      <c r="J157" s="99"/>
      <c r="K157" s="103"/>
      <c r="L157" s="66"/>
      <c r="M157" s="68"/>
      <c r="N157" s="68"/>
      <c r="O157" s="96"/>
      <c r="P157" s="69"/>
      <c r="Q157" s="96"/>
      <c r="R157" s="96"/>
      <c r="S157" s="69"/>
      <c r="T157" s="67"/>
      <c r="U157" s="67"/>
      <c r="V157" s="67"/>
      <c r="W157" s="67"/>
      <c r="X157" s="67"/>
      <c r="Y157" s="67"/>
      <c r="Z157" s="1"/>
    </row>
    <row r="158" spans="1:26" ht="36" customHeight="1">
      <c r="A158" s="1"/>
      <c r="B158" s="66" t="s">
        <v>6088</v>
      </c>
      <c r="C158" s="66"/>
      <c r="D158" s="66"/>
      <c r="E158" s="66"/>
      <c r="F158" s="96"/>
      <c r="G158" s="96"/>
      <c r="H158" s="96"/>
      <c r="I158" s="96"/>
      <c r="J158" s="99"/>
      <c r="K158" s="103"/>
      <c r="L158" s="66"/>
      <c r="M158" s="68"/>
      <c r="N158" s="68"/>
      <c r="O158" s="96"/>
      <c r="P158" s="69"/>
      <c r="Q158" s="96"/>
      <c r="R158" s="96"/>
      <c r="S158" s="69"/>
      <c r="T158" s="67"/>
      <c r="U158" s="67"/>
      <c r="V158" s="67"/>
      <c r="W158" s="67"/>
      <c r="X158" s="67"/>
      <c r="Y158" s="67"/>
      <c r="Z158" s="1"/>
    </row>
    <row r="159" spans="1:26" ht="36" customHeight="1">
      <c r="A159" s="1"/>
      <c r="B159" s="66" t="s">
        <v>6089</v>
      </c>
      <c r="C159" s="66"/>
      <c r="D159" s="66"/>
      <c r="E159" s="66"/>
      <c r="F159" s="96"/>
      <c r="G159" s="96"/>
      <c r="H159" s="96"/>
      <c r="I159" s="96"/>
      <c r="J159" s="99"/>
      <c r="K159" s="103"/>
      <c r="L159" s="66"/>
      <c r="M159" s="68"/>
      <c r="N159" s="68"/>
      <c r="O159" s="96"/>
      <c r="P159" s="69"/>
      <c r="Q159" s="69"/>
      <c r="R159" s="96"/>
      <c r="S159" s="69"/>
      <c r="T159" s="67"/>
      <c r="U159" s="67"/>
      <c r="V159" s="67"/>
      <c r="W159" s="67"/>
      <c r="X159" s="67"/>
      <c r="Y159" s="67"/>
      <c r="Z159" s="1"/>
    </row>
    <row r="160" spans="1:26" ht="36" customHeight="1">
      <c r="A160" s="1"/>
      <c r="B160" s="66" t="s">
        <v>6090</v>
      </c>
      <c r="C160" s="66"/>
      <c r="D160" s="66"/>
      <c r="E160" s="66"/>
      <c r="F160" s="96"/>
      <c r="G160" s="96"/>
      <c r="H160" s="96"/>
      <c r="I160" s="96"/>
      <c r="J160" s="99"/>
      <c r="K160" s="103"/>
      <c r="L160" s="66"/>
      <c r="M160" s="68"/>
      <c r="N160" s="68"/>
      <c r="O160" s="96"/>
      <c r="P160" s="69"/>
      <c r="Q160" s="96"/>
      <c r="R160" s="96"/>
      <c r="S160" s="69"/>
      <c r="T160" s="67"/>
      <c r="U160" s="67"/>
      <c r="V160" s="67"/>
      <c r="W160" s="67"/>
      <c r="X160" s="67"/>
      <c r="Y160" s="67"/>
      <c r="Z160" s="1"/>
    </row>
    <row r="161" spans="1:26" ht="36" customHeight="1">
      <c r="A161" s="1"/>
      <c r="B161" s="66" t="s">
        <v>6091</v>
      </c>
      <c r="C161" s="66"/>
      <c r="D161" s="66"/>
      <c r="E161" s="66"/>
      <c r="F161" s="96"/>
      <c r="G161" s="96"/>
      <c r="H161" s="96"/>
      <c r="I161" s="96"/>
      <c r="J161" s="99"/>
      <c r="K161" s="103"/>
      <c r="L161" s="66"/>
      <c r="M161" s="68"/>
      <c r="N161" s="68"/>
      <c r="O161" s="96"/>
      <c r="P161" s="69"/>
      <c r="Q161" s="96"/>
      <c r="R161" s="96"/>
      <c r="S161" s="69"/>
      <c r="T161" s="67"/>
      <c r="U161" s="67"/>
      <c r="V161" s="67"/>
      <c r="W161" s="67"/>
      <c r="X161" s="67"/>
      <c r="Y161" s="67"/>
      <c r="Z161" s="1"/>
    </row>
    <row r="162" spans="1:26" ht="34.5" customHeight="1">
      <c r="A162" s="1"/>
      <c r="B162" s="66" t="s">
        <v>6092</v>
      </c>
      <c r="C162" s="66"/>
      <c r="D162" s="66"/>
      <c r="E162" s="66"/>
      <c r="F162" s="96"/>
      <c r="G162" s="96"/>
      <c r="H162" s="96"/>
      <c r="I162" s="96"/>
      <c r="J162" s="99"/>
      <c r="K162" s="103"/>
      <c r="L162" s="66"/>
      <c r="M162" s="68"/>
      <c r="N162" s="68"/>
      <c r="O162" s="96"/>
      <c r="P162" s="69"/>
      <c r="Q162" s="96"/>
      <c r="R162" s="96"/>
      <c r="S162" s="69"/>
      <c r="T162" s="67"/>
      <c r="U162" s="67"/>
      <c r="V162" s="67"/>
      <c r="W162" s="67"/>
      <c r="X162" s="67"/>
      <c r="Y162" s="67"/>
      <c r="Z162" s="1"/>
    </row>
    <row r="163" spans="1:26" ht="34.5" customHeight="1">
      <c r="A163" s="1"/>
      <c r="B163" s="66" t="s">
        <v>6093</v>
      </c>
      <c r="C163" s="66"/>
      <c r="D163" s="66"/>
      <c r="E163" s="66"/>
      <c r="F163" s="96"/>
      <c r="G163" s="96"/>
      <c r="H163" s="96"/>
      <c r="I163" s="96"/>
      <c r="J163" s="99"/>
      <c r="K163" s="103"/>
      <c r="L163" s="66"/>
      <c r="M163" s="68"/>
      <c r="N163" s="68"/>
      <c r="O163" s="96"/>
      <c r="P163" s="69"/>
      <c r="Q163" s="96"/>
      <c r="R163" s="96"/>
      <c r="S163" s="69"/>
      <c r="T163" s="67"/>
      <c r="U163" s="67"/>
      <c r="V163" s="67"/>
      <c r="W163" s="67"/>
      <c r="X163" s="67"/>
      <c r="Y163" s="67"/>
      <c r="Z163" s="1"/>
    </row>
    <row r="164" spans="1:26" ht="36" customHeight="1">
      <c r="A164" s="1"/>
      <c r="B164" s="66" t="s">
        <v>6094</v>
      </c>
      <c r="C164" s="66"/>
      <c r="D164" s="66"/>
      <c r="E164" s="66"/>
      <c r="F164" s="96"/>
      <c r="G164" s="96"/>
      <c r="H164" s="96"/>
      <c r="I164" s="96"/>
      <c r="J164" s="99"/>
      <c r="K164" s="103"/>
      <c r="L164" s="66"/>
      <c r="M164" s="68"/>
      <c r="N164" s="68"/>
      <c r="O164" s="96"/>
      <c r="P164" s="69"/>
      <c r="Q164" s="69"/>
      <c r="R164" s="96"/>
      <c r="S164" s="69"/>
      <c r="T164" s="67"/>
      <c r="U164" s="67"/>
      <c r="V164" s="67"/>
      <c r="W164" s="67"/>
      <c r="X164" s="67"/>
      <c r="Y164" s="67"/>
      <c r="Z164" s="1"/>
    </row>
    <row r="165" spans="1:26" ht="36" customHeight="1">
      <c r="A165" s="1"/>
      <c r="B165" s="66" t="s">
        <v>6095</v>
      </c>
      <c r="C165" s="66"/>
      <c r="D165" s="66"/>
      <c r="E165" s="66"/>
      <c r="F165" s="96"/>
      <c r="G165" s="96"/>
      <c r="H165" s="96"/>
      <c r="I165" s="96"/>
      <c r="J165" s="99"/>
      <c r="K165" s="103"/>
      <c r="L165" s="66"/>
      <c r="M165" s="68"/>
      <c r="N165" s="68"/>
      <c r="O165" s="96"/>
      <c r="P165" s="69"/>
      <c r="Q165" s="69"/>
      <c r="R165" s="96"/>
      <c r="S165" s="69"/>
      <c r="T165" s="67"/>
      <c r="U165" s="67"/>
      <c r="V165" s="67"/>
      <c r="W165" s="67"/>
      <c r="X165" s="67"/>
      <c r="Y165" s="67"/>
      <c r="Z165" s="1"/>
    </row>
    <row r="166" spans="1:26" ht="36" customHeight="1">
      <c r="A166" s="1"/>
      <c r="B166" s="66" t="s">
        <v>6096</v>
      </c>
      <c r="C166" s="66"/>
      <c r="D166" s="66"/>
      <c r="E166" s="66"/>
      <c r="F166" s="96"/>
      <c r="G166" s="96"/>
      <c r="H166" s="96"/>
      <c r="I166" s="96"/>
      <c r="J166" s="99"/>
      <c r="K166" s="103"/>
      <c r="L166" s="66"/>
      <c r="M166" s="68"/>
      <c r="N166" s="68"/>
      <c r="O166" s="96"/>
      <c r="P166" s="69"/>
      <c r="Q166" s="96"/>
      <c r="R166" s="96"/>
      <c r="S166" s="69"/>
      <c r="T166" s="67"/>
      <c r="U166" s="67"/>
      <c r="V166" s="67"/>
      <c r="W166" s="67"/>
      <c r="X166" s="67"/>
      <c r="Y166" s="67"/>
      <c r="Z166" s="1"/>
    </row>
    <row r="167" spans="1:26" ht="36" customHeight="1">
      <c r="A167" s="1"/>
      <c r="B167" s="66" t="s">
        <v>6097</v>
      </c>
      <c r="C167" s="66"/>
      <c r="D167" s="66"/>
      <c r="E167" s="66"/>
      <c r="F167" s="96"/>
      <c r="G167" s="96"/>
      <c r="H167" s="96"/>
      <c r="I167" s="96"/>
      <c r="J167" s="99"/>
      <c r="K167" s="103"/>
      <c r="L167" s="66"/>
      <c r="M167" s="68"/>
      <c r="N167" s="68"/>
      <c r="O167" s="96"/>
      <c r="P167" s="69"/>
      <c r="Q167" s="69"/>
      <c r="R167" s="96"/>
      <c r="S167" s="69"/>
      <c r="T167" s="67"/>
      <c r="U167" s="67"/>
      <c r="V167" s="67"/>
      <c r="W167" s="67"/>
      <c r="X167" s="67"/>
      <c r="Y167" s="67"/>
      <c r="Z167" s="1"/>
    </row>
    <row r="168" spans="1:26" ht="36" customHeight="1">
      <c r="A168" s="1"/>
      <c r="B168" s="66" t="s">
        <v>6098</v>
      </c>
      <c r="C168" s="66"/>
      <c r="D168" s="66"/>
      <c r="E168" s="66"/>
      <c r="F168" s="96"/>
      <c r="G168" s="96"/>
      <c r="H168" s="96"/>
      <c r="I168" s="96"/>
      <c r="J168" s="99"/>
      <c r="K168" s="103"/>
      <c r="L168" s="66"/>
      <c r="M168" s="68"/>
      <c r="N168" s="68"/>
      <c r="O168" s="96"/>
      <c r="P168" s="69"/>
      <c r="Q168" s="96"/>
      <c r="R168" s="96"/>
      <c r="S168" s="69"/>
      <c r="T168" s="67"/>
      <c r="U168" s="67"/>
      <c r="V168" s="67"/>
      <c r="W168" s="67"/>
      <c r="X168" s="67"/>
      <c r="Y168" s="67"/>
      <c r="Z168" s="1"/>
    </row>
    <row r="169" spans="1:26" ht="36" customHeight="1">
      <c r="A169" s="1"/>
      <c r="B169" s="66" t="s">
        <v>6099</v>
      </c>
      <c r="C169" s="66"/>
      <c r="D169" s="66"/>
      <c r="E169" s="66"/>
      <c r="F169" s="96"/>
      <c r="G169" s="96"/>
      <c r="H169" s="96"/>
      <c r="I169" s="96"/>
      <c r="J169" s="99"/>
      <c r="K169" s="103"/>
      <c r="L169" s="66"/>
      <c r="M169" s="68"/>
      <c r="N169" s="68"/>
      <c r="O169" s="96"/>
      <c r="P169" s="69"/>
      <c r="Q169" s="96"/>
      <c r="R169" s="96"/>
      <c r="S169" s="69"/>
      <c r="T169" s="67"/>
      <c r="U169" s="67"/>
      <c r="V169" s="67"/>
      <c r="W169" s="67"/>
      <c r="X169" s="67"/>
      <c r="Y169" s="67"/>
      <c r="Z169" s="1"/>
    </row>
    <row r="170" spans="1:26" ht="36" customHeight="1">
      <c r="A170" s="1"/>
      <c r="B170" s="66" t="s">
        <v>6100</v>
      </c>
      <c r="C170" s="66"/>
      <c r="D170" s="66"/>
      <c r="E170" s="66"/>
      <c r="F170" s="96"/>
      <c r="G170" s="96"/>
      <c r="H170" s="96"/>
      <c r="I170" s="96"/>
      <c r="J170" s="99"/>
      <c r="K170" s="103"/>
      <c r="L170" s="66"/>
      <c r="M170" s="68"/>
      <c r="N170" s="68"/>
      <c r="O170" s="96"/>
      <c r="P170" s="69"/>
      <c r="Q170" s="69"/>
      <c r="R170" s="96"/>
      <c r="S170" s="69"/>
      <c r="T170" s="67"/>
      <c r="U170" s="67"/>
      <c r="V170" s="67"/>
      <c r="W170" s="67"/>
      <c r="X170" s="67"/>
      <c r="Y170" s="67"/>
      <c r="Z170" s="1"/>
    </row>
    <row r="171" spans="1:26" ht="36" customHeight="1">
      <c r="A171" s="1"/>
      <c r="B171" s="66" t="s">
        <v>6101</v>
      </c>
      <c r="C171" s="66"/>
      <c r="D171" s="66"/>
      <c r="E171" s="66"/>
      <c r="F171" s="96"/>
      <c r="G171" s="96"/>
      <c r="H171" s="96"/>
      <c r="I171" s="96"/>
      <c r="J171" s="99"/>
      <c r="K171" s="103"/>
      <c r="L171" s="66"/>
      <c r="M171" s="68"/>
      <c r="N171" s="68"/>
      <c r="O171" s="96"/>
      <c r="P171" s="69"/>
      <c r="Q171" s="96"/>
      <c r="R171" s="96"/>
      <c r="S171" s="69"/>
      <c r="T171" s="67"/>
      <c r="U171" s="67"/>
      <c r="V171" s="67"/>
      <c r="W171" s="67"/>
      <c r="X171" s="67"/>
      <c r="Y171" s="67"/>
      <c r="Z171" s="1"/>
    </row>
    <row r="172" spans="1:26" ht="36" customHeight="1">
      <c r="A172" s="1"/>
      <c r="B172" s="66" t="s">
        <v>6102</v>
      </c>
      <c r="C172" s="66"/>
      <c r="D172" s="66"/>
      <c r="E172" s="66"/>
      <c r="F172" s="96"/>
      <c r="G172" s="96"/>
      <c r="H172" s="96"/>
      <c r="I172" s="96"/>
      <c r="J172" s="96"/>
      <c r="K172" s="103"/>
      <c r="L172" s="66"/>
      <c r="M172" s="68"/>
      <c r="N172" s="68"/>
      <c r="O172" s="96"/>
      <c r="P172" s="69"/>
      <c r="Q172" s="69"/>
      <c r="R172" s="96"/>
      <c r="S172" s="69"/>
      <c r="T172" s="67"/>
      <c r="U172" s="67"/>
      <c r="V172" s="67"/>
      <c r="W172" s="67"/>
      <c r="X172" s="67"/>
      <c r="Y172" s="67"/>
      <c r="Z172" s="1"/>
    </row>
    <row r="173" spans="1:26" ht="36" customHeight="1">
      <c r="A173" s="1"/>
      <c r="B173" s="66" t="s">
        <v>6103</v>
      </c>
      <c r="C173" s="66"/>
      <c r="D173" s="66"/>
      <c r="E173" s="66"/>
      <c r="F173" s="96"/>
      <c r="G173" s="96"/>
      <c r="H173" s="96"/>
      <c r="I173" s="96"/>
      <c r="J173" s="99"/>
      <c r="K173" s="103"/>
      <c r="L173" s="66"/>
      <c r="M173" s="68"/>
      <c r="N173" s="68"/>
      <c r="O173" s="96"/>
      <c r="P173" s="69"/>
      <c r="Q173" s="69"/>
      <c r="R173" s="96"/>
      <c r="S173" s="69"/>
      <c r="T173" s="67"/>
      <c r="U173" s="67"/>
      <c r="V173" s="67"/>
      <c r="W173" s="67"/>
      <c r="X173" s="67"/>
      <c r="Y173" s="67"/>
      <c r="Z173" s="1"/>
    </row>
    <row r="174" spans="1:26" ht="36" customHeight="1">
      <c r="A174" s="1"/>
      <c r="B174" s="66" t="s">
        <v>6104</v>
      </c>
      <c r="C174" s="66"/>
      <c r="D174" s="66"/>
      <c r="E174" s="66"/>
      <c r="F174" s="96"/>
      <c r="G174" s="96"/>
      <c r="H174" s="96"/>
      <c r="I174" s="96"/>
      <c r="J174" s="99"/>
      <c r="K174" s="103"/>
      <c r="L174" s="66"/>
      <c r="M174" s="68"/>
      <c r="N174" s="68"/>
      <c r="O174" s="96"/>
      <c r="P174" s="69"/>
      <c r="Q174" s="96"/>
      <c r="R174" s="96"/>
      <c r="S174" s="69"/>
      <c r="T174" s="67"/>
      <c r="U174" s="67"/>
      <c r="V174" s="67"/>
      <c r="W174" s="67"/>
      <c r="X174" s="67"/>
      <c r="Y174" s="67"/>
      <c r="Z174" s="1"/>
    </row>
    <row r="175" spans="1:26" ht="36" customHeight="1">
      <c r="A175" s="1"/>
      <c r="B175" s="66" t="s">
        <v>6105</v>
      </c>
      <c r="C175" s="66"/>
      <c r="D175" s="66"/>
      <c r="E175" s="66"/>
      <c r="F175" s="96"/>
      <c r="G175" s="96"/>
      <c r="H175" s="96"/>
      <c r="I175" s="96"/>
      <c r="J175" s="99"/>
      <c r="K175" s="103"/>
      <c r="L175" s="66"/>
      <c r="M175" s="68"/>
      <c r="N175" s="68"/>
      <c r="O175" s="96"/>
      <c r="P175" s="69"/>
      <c r="Q175" s="69"/>
      <c r="R175" s="96"/>
      <c r="S175" s="69"/>
      <c r="T175" s="67"/>
      <c r="U175" s="67"/>
      <c r="V175" s="67"/>
      <c r="W175" s="67"/>
      <c r="X175" s="67"/>
      <c r="Y175" s="67"/>
      <c r="Z175" s="1"/>
    </row>
    <row r="176" spans="1:26" ht="36" customHeight="1">
      <c r="A176" s="1"/>
      <c r="B176" s="66" t="s">
        <v>6106</v>
      </c>
      <c r="C176" s="66"/>
      <c r="D176" s="66"/>
      <c r="E176" s="66"/>
      <c r="F176" s="96"/>
      <c r="G176" s="96"/>
      <c r="H176" s="96"/>
      <c r="I176" s="96"/>
      <c r="J176" s="99"/>
      <c r="K176" s="103"/>
      <c r="L176" s="66"/>
      <c r="M176" s="68"/>
      <c r="N176" s="68"/>
      <c r="O176" s="96"/>
      <c r="P176" s="69"/>
      <c r="Q176" s="96"/>
      <c r="R176" s="96"/>
      <c r="S176" s="69"/>
      <c r="T176" s="67"/>
      <c r="U176" s="67"/>
      <c r="V176" s="67"/>
      <c r="W176" s="67"/>
      <c r="X176" s="67"/>
      <c r="Y176" s="67"/>
      <c r="Z176" s="1"/>
    </row>
    <row r="177" spans="1:26" ht="36" customHeight="1">
      <c r="A177" s="1"/>
      <c r="B177" s="66" t="s">
        <v>6107</v>
      </c>
      <c r="C177" s="66"/>
      <c r="D177" s="66"/>
      <c r="E177" s="66"/>
      <c r="F177" s="96"/>
      <c r="G177" s="96"/>
      <c r="H177" s="96"/>
      <c r="I177" s="96"/>
      <c r="J177" s="99"/>
      <c r="K177" s="103"/>
      <c r="L177" s="66"/>
      <c r="M177" s="68"/>
      <c r="N177" s="68"/>
      <c r="O177" s="96"/>
      <c r="P177" s="69"/>
      <c r="Q177" s="96"/>
      <c r="R177" s="96"/>
      <c r="S177" s="69"/>
      <c r="T177" s="67"/>
      <c r="U177" s="67"/>
      <c r="V177" s="67"/>
      <c r="W177" s="67"/>
      <c r="X177" s="67"/>
      <c r="Y177" s="67"/>
      <c r="Z177" s="1"/>
    </row>
    <row r="178" spans="1:26" ht="36" customHeight="1">
      <c r="A178" s="1"/>
      <c r="B178" s="66" t="s">
        <v>6108</v>
      </c>
      <c r="C178" s="66"/>
      <c r="D178" s="66"/>
      <c r="E178" s="66"/>
      <c r="F178" s="96"/>
      <c r="G178" s="96"/>
      <c r="H178" s="96"/>
      <c r="I178" s="96"/>
      <c r="J178" s="99"/>
      <c r="K178" s="103"/>
      <c r="L178" s="66"/>
      <c r="M178" s="68"/>
      <c r="N178" s="68"/>
      <c r="O178" s="96"/>
      <c r="P178" s="69"/>
      <c r="Q178" s="96"/>
      <c r="R178" s="96"/>
      <c r="S178" s="69"/>
      <c r="T178" s="67"/>
      <c r="U178" s="67"/>
      <c r="V178" s="67"/>
      <c r="W178" s="67"/>
      <c r="X178" s="67"/>
      <c r="Y178" s="67"/>
      <c r="Z178" s="1"/>
    </row>
    <row r="179" spans="1:26" ht="36" customHeight="1">
      <c r="A179" s="1"/>
      <c r="B179" s="66" t="s">
        <v>6109</v>
      </c>
      <c r="C179" s="66"/>
      <c r="D179" s="66"/>
      <c r="E179" s="66"/>
      <c r="F179" s="96"/>
      <c r="G179" s="96"/>
      <c r="H179" s="96"/>
      <c r="I179" s="96"/>
      <c r="J179" s="99"/>
      <c r="K179" s="103"/>
      <c r="L179" s="66"/>
      <c r="M179" s="68"/>
      <c r="N179" s="68"/>
      <c r="O179" s="96"/>
      <c r="P179" s="69"/>
      <c r="Q179" s="96"/>
      <c r="R179" s="96"/>
      <c r="S179" s="69"/>
      <c r="T179" s="67"/>
      <c r="U179" s="67"/>
      <c r="V179" s="67"/>
      <c r="W179" s="67"/>
      <c r="X179" s="67"/>
      <c r="Y179" s="67"/>
      <c r="Z179" s="1"/>
    </row>
    <row r="180" spans="1:26" ht="36" customHeight="1">
      <c r="A180" s="1"/>
      <c r="B180" s="66" t="s">
        <v>6110</v>
      </c>
      <c r="C180" s="66"/>
      <c r="D180" s="66"/>
      <c r="E180" s="66"/>
      <c r="F180" s="96"/>
      <c r="G180" s="96"/>
      <c r="H180" s="96"/>
      <c r="I180" s="96"/>
      <c r="J180" s="99"/>
      <c r="K180" s="103"/>
      <c r="L180" s="66"/>
      <c r="M180" s="68"/>
      <c r="N180" s="68"/>
      <c r="O180" s="96"/>
      <c r="P180" s="69"/>
      <c r="Q180" s="96"/>
      <c r="R180" s="96"/>
      <c r="S180" s="69"/>
      <c r="T180" s="67"/>
      <c r="U180" s="67"/>
      <c r="V180" s="67"/>
      <c r="W180" s="67"/>
      <c r="X180" s="67"/>
      <c r="Y180" s="67"/>
      <c r="Z180" s="1"/>
    </row>
    <row r="181" spans="1:26" ht="36" customHeight="1">
      <c r="A181" s="1"/>
      <c r="B181" s="66" t="s">
        <v>6111</v>
      </c>
      <c r="C181" s="66"/>
      <c r="D181" s="66"/>
      <c r="E181" s="66"/>
      <c r="F181" s="96"/>
      <c r="G181" s="96"/>
      <c r="H181" s="96"/>
      <c r="I181" s="96"/>
      <c r="J181" s="99"/>
      <c r="K181" s="103"/>
      <c r="L181" s="66"/>
      <c r="M181" s="68"/>
      <c r="N181" s="68"/>
      <c r="O181" s="96"/>
      <c r="P181" s="69"/>
      <c r="Q181" s="69"/>
      <c r="R181" s="96"/>
      <c r="S181" s="69"/>
      <c r="T181" s="67"/>
      <c r="U181" s="67"/>
      <c r="V181" s="67"/>
      <c r="W181" s="67"/>
      <c r="X181" s="67"/>
      <c r="Y181" s="67"/>
      <c r="Z181" s="1"/>
    </row>
    <row r="182" spans="1:26" ht="48" customHeight="1">
      <c r="A182" s="1"/>
      <c r="B182" s="66" t="s">
        <v>6112</v>
      </c>
      <c r="C182" s="66"/>
      <c r="D182" s="66"/>
      <c r="E182" s="66"/>
      <c r="F182" s="96"/>
      <c r="G182" s="96"/>
      <c r="H182" s="96"/>
      <c r="I182" s="96"/>
      <c r="J182" s="99"/>
      <c r="K182" s="103"/>
      <c r="L182" s="66"/>
      <c r="M182" s="68"/>
      <c r="N182" s="68"/>
      <c r="O182" s="96"/>
      <c r="P182" s="69"/>
      <c r="Q182" s="69"/>
      <c r="R182" s="96"/>
      <c r="S182" s="69"/>
      <c r="T182" s="67"/>
      <c r="U182" s="67"/>
      <c r="V182" s="67"/>
      <c r="W182" s="67"/>
      <c r="X182" s="67"/>
      <c r="Y182" s="67"/>
      <c r="Z182" s="1"/>
    </row>
    <row r="183" spans="1:26" ht="36" customHeight="1">
      <c r="A183" s="1"/>
      <c r="B183" s="66" t="s">
        <v>6113</v>
      </c>
      <c r="C183" s="66"/>
      <c r="D183" s="66"/>
      <c r="E183" s="66"/>
      <c r="F183" s="96"/>
      <c r="G183" s="96"/>
      <c r="H183" s="96"/>
      <c r="I183" s="96"/>
      <c r="J183" s="99"/>
      <c r="K183" s="103"/>
      <c r="L183" s="66"/>
      <c r="M183" s="68"/>
      <c r="N183" s="68"/>
      <c r="O183" s="96"/>
      <c r="P183" s="69"/>
      <c r="Q183" s="69"/>
      <c r="R183" s="96"/>
      <c r="S183" s="69"/>
      <c r="T183" s="67"/>
      <c r="U183" s="67"/>
      <c r="V183" s="67"/>
      <c r="W183" s="67"/>
      <c r="X183" s="67"/>
      <c r="Y183" s="67"/>
      <c r="Z183" s="1"/>
    </row>
    <row r="184" spans="1:26" ht="39.75" customHeight="1">
      <c r="A184" s="1"/>
      <c r="B184" s="66" t="s">
        <v>6114</v>
      </c>
      <c r="C184" s="66"/>
      <c r="D184" s="66"/>
      <c r="E184" s="66"/>
      <c r="F184" s="96"/>
      <c r="G184" s="96"/>
      <c r="H184" s="96"/>
      <c r="I184" s="96"/>
      <c r="J184" s="99"/>
      <c r="K184" s="103"/>
      <c r="L184" s="66"/>
      <c r="M184" s="68"/>
      <c r="N184" s="68"/>
      <c r="O184" s="96"/>
      <c r="P184" s="69"/>
      <c r="Q184" s="69"/>
      <c r="R184" s="96"/>
      <c r="S184" s="69"/>
      <c r="T184" s="67"/>
      <c r="U184" s="67"/>
      <c r="V184" s="67"/>
      <c r="W184" s="67"/>
      <c r="X184" s="67"/>
      <c r="Y184" s="71"/>
      <c r="Z184" s="1"/>
    </row>
    <row r="185" spans="1:26" ht="40.5" customHeight="1">
      <c r="A185" s="1"/>
      <c r="B185" s="66" t="s">
        <v>6115</v>
      </c>
      <c r="C185" s="66"/>
      <c r="D185" s="66"/>
      <c r="E185" s="66"/>
      <c r="F185" s="96"/>
      <c r="G185" s="96"/>
      <c r="H185" s="96"/>
      <c r="I185" s="96"/>
      <c r="J185" s="99"/>
      <c r="K185" s="103"/>
      <c r="L185" s="66"/>
      <c r="M185" s="68"/>
      <c r="N185" s="68"/>
      <c r="O185" s="96"/>
      <c r="P185" s="69"/>
      <c r="Q185" s="96"/>
      <c r="R185" s="96"/>
      <c r="S185" s="69"/>
      <c r="T185" s="67"/>
      <c r="U185" s="67"/>
      <c r="V185" s="67"/>
      <c r="W185" s="67"/>
      <c r="X185" s="67"/>
      <c r="Y185" s="71"/>
      <c r="Z185" s="1"/>
    </row>
    <row r="186" spans="1:26" ht="36" customHeight="1">
      <c r="A186" s="1"/>
      <c r="B186" s="66" t="s">
        <v>6116</v>
      </c>
      <c r="C186" s="66"/>
      <c r="D186" s="66"/>
      <c r="E186" s="66"/>
      <c r="F186" s="96"/>
      <c r="G186" s="96"/>
      <c r="H186" s="96"/>
      <c r="I186" s="96"/>
      <c r="J186" s="99"/>
      <c r="K186" s="103"/>
      <c r="L186" s="66"/>
      <c r="M186" s="68"/>
      <c r="N186" s="68"/>
      <c r="O186" s="96"/>
      <c r="P186" s="69"/>
      <c r="Q186" s="96"/>
      <c r="R186" s="96"/>
      <c r="S186" s="69"/>
      <c r="T186" s="67"/>
      <c r="U186" s="67"/>
      <c r="V186" s="67"/>
      <c r="W186" s="67"/>
      <c r="X186" s="67"/>
      <c r="Y186" s="71"/>
      <c r="Z186" s="1"/>
    </row>
    <row r="187" spans="1:26" ht="36" customHeight="1">
      <c r="A187" s="1"/>
      <c r="B187" s="66" t="s">
        <v>6117</v>
      </c>
      <c r="C187" s="66"/>
      <c r="D187" s="66"/>
      <c r="E187" s="66"/>
      <c r="F187" s="96"/>
      <c r="G187" s="96"/>
      <c r="H187" s="96"/>
      <c r="I187" s="96"/>
      <c r="J187" s="99"/>
      <c r="K187" s="103"/>
      <c r="L187" s="66"/>
      <c r="M187" s="68"/>
      <c r="N187" s="68"/>
      <c r="O187" s="96"/>
      <c r="P187" s="69"/>
      <c r="Q187" s="96"/>
      <c r="R187" s="96"/>
      <c r="S187" s="69"/>
      <c r="T187" s="67"/>
      <c r="U187" s="67"/>
      <c r="V187" s="67"/>
      <c r="W187" s="67"/>
      <c r="X187" s="67"/>
      <c r="Y187" s="67"/>
      <c r="Z187" s="1"/>
    </row>
    <row r="188" spans="1:26" ht="36" customHeight="1">
      <c r="A188" s="1"/>
      <c r="B188" s="66" t="s">
        <v>6118</v>
      </c>
      <c r="C188" s="66"/>
      <c r="D188" s="66"/>
      <c r="E188" s="66"/>
      <c r="F188" s="96"/>
      <c r="G188" s="96"/>
      <c r="H188" s="96"/>
      <c r="I188" s="96"/>
      <c r="J188" s="99"/>
      <c r="K188" s="103"/>
      <c r="L188" s="66"/>
      <c r="M188" s="68"/>
      <c r="N188" s="68"/>
      <c r="O188" s="96"/>
      <c r="P188" s="69"/>
      <c r="Q188" s="96"/>
      <c r="R188" s="96"/>
      <c r="S188" s="69"/>
      <c r="T188" s="67"/>
      <c r="U188" s="67"/>
      <c r="V188" s="67"/>
      <c r="W188" s="67"/>
      <c r="X188" s="67"/>
      <c r="Y188" s="67"/>
      <c r="Z188" s="1"/>
    </row>
    <row r="189" spans="1:26" ht="36" customHeight="1">
      <c r="A189" s="1"/>
      <c r="B189" s="66" t="s">
        <v>6119</v>
      </c>
      <c r="C189" s="66"/>
      <c r="D189" s="66"/>
      <c r="E189" s="66"/>
      <c r="F189" s="96"/>
      <c r="G189" s="96"/>
      <c r="H189" s="96"/>
      <c r="I189" s="96"/>
      <c r="J189" s="99"/>
      <c r="K189" s="103"/>
      <c r="L189" s="66"/>
      <c r="M189" s="68"/>
      <c r="N189" s="68"/>
      <c r="O189" s="96"/>
      <c r="P189" s="69"/>
      <c r="Q189" s="96"/>
      <c r="R189" s="96"/>
      <c r="S189" s="69"/>
      <c r="T189" s="67"/>
      <c r="U189" s="67"/>
      <c r="V189" s="67"/>
      <c r="W189" s="67"/>
      <c r="X189" s="67"/>
      <c r="Y189" s="67"/>
      <c r="Z189" s="1"/>
    </row>
    <row r="190" spans="1:26" ht="36" customHeight="1">
      <c r="A190" s="1"/>
      <c r="B190" s="66" t="s">
        <v>6120</v>
      </c>
      <c r="C190" s="66"/>
      <c r="D190" s="66"/>
      <c r="E190" s="66"/>
      <c r="F190" s="96"/>
      <c r="G190" s="96"/>
      <c r="H190" s="96"/>
      <c r="I190" s="96"/>
      <c r="J190" s="99"/>
      <c r="K190" s="103"/>
      <c r="L190" s="66"/>
      <c r="M190" s="68"/>
      <c r="N190" s="68"/>
      <c r="O190" s="96"/>
      <c r="P190" s="69"/>
      <c r="Q190" s="69"/>
      <c r="R190" s="96"/>
      <c r="S190" s="69"/>
      <c r="T190" s="67"/>
      <c r="U190" s="67"/>
      <c r="V190" s="67"/>
      <c r="W190" s="67"/>
      <c r="X190" s="67"/>
      <c r="Y190" s="71"/>
      <c r="Z190" s="1"/>
    </row>
    <row r="191" spans="1:26" ht="36" customHeight="1">
      <c r="A191" s="1"/>
      <c r="B191" s="66" t="s">
        <v>6121</v>
      </c>
      <c r="C191" s="66"/>
      <c r="D191" s="66"/>
      <c r="E191" s="66"/>
      <c r="F191" s="96"/>
      <c r="G191" s="96"/>
      <c r="H191" s="96"/>
      <c r="I191" s="96"/>
      <c r="J191" s="99"/>
      <c r="K191" s="103"/>
      <c r="L191" s="66"/>
      <c r="M191" s="68"/>
      <c r="N191" s="68"/>
      <c r="O191" s="96"/>
      <c r="P191" s="69"/>
      <c r="Q191" s="96"/>
      <c r="R191" s="96"/>
      <c r="S191" s="69"/>
      <c r="T191" s="67"/>
      <c r="U191" s="67"/>
      <c r="V191" s="67"/>
      <c r="W191" s="67"/>
      <c r="X191" s="67"/>
      <c r="Y191" s="71"/>
      <c r="Z191" s="1"/>
    </row>
    <row r="192" spans="1:26" ht="36" customHeight="1">
      <c r="A192" s="1"/>
      <c r="B192" s="66" t="s">
        <v>6122</v>
      </c>
      <c r="C192" s="66"/>
      <c r="D192" s="66"/>
      <c r="E192" s="66"/>
      <c r="F192" s="96"/>
      <c r="G192" s="96"/>
      <c r="H192" s="96"/>
      <c r="I192" s="96"/>
      <c r="J192" s="99"/>
      <c r="K192" s="103"/>
      <c r="L192" s="66"/>
      <c r="M192" s="99"/>
      <c r="N192" s="112"/>
      <c r="O192" s="96"/>
      <c r="P192" s="69"/>
      <c r="Q192" s="96"/>
      <c r="R192" s="96"/>
      <c r="S192" s="69"/>
      <c r="T192" s="67"/>
      <c r="U192" s="67"/>
      <c r="V192" s="67"/>
      <c r="W192" s="67"/>
      <c r="X192" s="67"/>
      <c r="Y192" s="67"/>
      <c r="Z192" s="1"/>
    </row>
    <row r="193" spans="1:26" ht="36" customHeight="1">
      <c r="A193" s="1"/>
      <c r="B193" s="66" t="s">
        <v>6123</v>
      </c>
      <c r="C193" s="66"/>
      <c r="D193" s="66"/>
      <c r="E193" s="66"/>
      <c r="F193" s="96"/>
      <c r="G193" s="96"/>
      <c r="H193" s="96"/>
      <c r="I193" s="96"/>
      <c r="J193" s="96"/>
      <c r="K193" s="103"/>
      <c r="L193" s="66"/>
      <c r="M193" s="68"/>
      <c r="N193" s="68"/>
      <c r="O193" s="96"/>
      <c r="P193" s="69"/>
      <c r="Q193" s="96"/>
      <c r="R193" s="96"/>
      <c r="S193" s="69"/>
      <c r="T193" s="67"/>
      <c r="U193" s="67"/>
      <c r="V193" s="67"/>
      <c r="W193" s="67"/>
      <c r="X193" s="67"/>
      <c r="Y193" s="67"/>
      <c r="Z193" s="1"/>
    </row>
    <row r="194" spans="1:26" ht="34.5" customHeight="1">
      <c r="A194" s="1"/>
      <c r="B194" s="66" t="s">
        <v>6124</v>
      </c>
      <c r="C194" s="66"/>
      <c r="D194" s="66"/>
      <c r="E194" s="66"/>
      <c r="F194" s="96"/>
      <c r="G194" s="96"/>
      <c r="H194" s="96"/>
      <c r="I194" s="96"/>
      <c r="J194" s="96"/>
      <c r="K194" s="103"/>
      <c r="L194" s="66"/>
      <c r="M194" s="99"/>
      <c r="N194" s="113"/>
      <c r="O194" s="96"/>
      <c r="P194" s="69"/>
      <c r="Q194" s="96"/>
      <c r="R194" s="96"/>
      <c r="S194" s="69"/>
      <c r="T194" s="67"/>
      <c r="U194" s="67"/>
      <c r="V194" s="67"/>
      <c r="W194" s="67"/>
      <c r="X194" s="67"/>
      <c r="Y194" s="67"/>
      <c r="Z194" s="1"/>
    </row>
    <row r="195" spans="1:26" ht="34.5" customHeight="1">
      <c r="A195" s="1" t="s">
        <v>520</v>
      </c>
      <c r="B195" s="66" t="s">
        <v>6125</v>
      </c>
      <c r="C195" s="66"/>
      <c r="D195" s="66"/>
      <c r="E195" s="66"/>
      <c r="F195" s="96"/>
      <c r="G195" s="96"/>
      <c r="H195" s="96"/>
      <c r="I195" s="96"/>
      <c r="J195" s="96"/>
      <c r="K195" s="103"/>
      <c r="L195" s="66"/>
      <c r="M195" s="99"/>
      <c r="N195" s="112"/>
      <c r="O195" s="96"/>
      <c r="P195" s="69"/>
      <c r="Q195" s="96"/>
      <c r="R195" s="96"/>
      <c r="S195" s="69"/>
      <c r="T195" s="67"/>
      <c r="U195" s="67"/>
      <c r="V195" s="67"/>
      <c r="W195" s="67"/>
      <c r="X195" s="67"/>
      <c r="Y195" s="71"/>
      <c r="Z195" s="1"/>
    </row>
    <row r="196" spans="1:26" ht="34.5" customHeight="1">
      <c r="A196" s="1"/>
      <c r="B196" s="66" t="s">
        <v>6126</v>
      </c>
      <c r="C196" s="66"/>
      <c r="D196" s="66"/>
      <c r="E196" s="66"/>
      <c r="F196" s="96"/>
      <c r="G196" s="96"/>
      <c r="H196" s="96"/>
      <c r="I196" s="96"/>
      <c r="J196" s="96"/>
      <c r="K196" s="103"/>
      <c r="L196" s="66"/>
      <c r="M196" s="68"/>
      <c r="N196" s="68"/>
      <c r="O196" s="96"/>
      <c r="P196" s="69"/>
      <c r="Q196" s="96"/>
      <c r="R196" s="96"/>
      <c r="S196" s="69"/>
      <c r="T196" s="67"/>
      <c r="U196" s="67"/>
      <c r="V196" s="67"/>
      <c r="W196" s="67"/>
      <c r="X196" s="67"/>
      <c r="Y196" s="71"/>
      <c r="Z196" s="1"/>
    </row>
    <row r="197" spans="1:26" ht="34.5" customHeight="1">
      <c r="A197" s="1"/>
      <c r="B197" s="66" t="s">
        <v>6127</v>
      </c>
      <c r="C197" s="66"/>
      <c r="D197" s="66"/>
      <c r="E197" s="66"/>
      <c r="F197" s="96"/>
      <c r="G197" s="96"/>
      <c r="H197" s="96"/>
      <c r="I197" s="96"/>
      <c r="J197" s="96"/>
      <c r="K197" s="103"/>
      <c r="L197" s="66"/>
      <c r="M197" s="68"/>
      <c r="N197" s="68"/>
      <c r="O197" s="96"/>
      <c r="P197" s="69"/>
      <c r="Q197" s="69"/>
      <c r="R197" s="96"/>
      <c r="S197" s="69"/>
      <c r="T197" s="67"/>
      <c r="U197" s="67"/>
      <c r="V197" s="67"/>
      <c r="W197" s="67"/>
      <c r="X197" s="67"/>
      <c r="Y197" s="71"/>
      <c r="Z197" s="1"/>
    </row>
    <row r="198" spans="1:26" ht="34.5" customHeight="1">
      <c r="A198" s="1"/>
      <c r="B198" s="66" t="s">
        <v>6128</v>
      </c>
      <c r="C198" s="66"/>
      <c r="D198" s="66"/>
      <c r="E198" s="66"/>
      <c r="F198" s="96"/>
      <c r="G198" s="96"/>
      <c r="H198" s="96"/>
      <c r="I198" s="96"/>
      <c r="J198" s="96"/>
      <c r="K198" s="103"/>
      <c r="L198" s="66"/>
      <c r="M198" s="68"/>
      <c r="N198" s="68"/>
      <c r="O198" s="96"/>
      <c r="P198" s="69"/>
      <c r="Q198" s="96"/>
      <c r="R198" s="96"/>
      <c r="S198" s="69"/>
      <c r="T198" s="67"/>
      <c r="U198" s="67"/>
      <c r="V198" s="67"/>
      <c r="W198" s="67"/>
      <c r="X198" s="67"/>
      <c r="Y198" s="67"/>
      <c r="Z198" s="1"/>
    </row>
    <row r="199" spans="1:26" ht="34.5" customHeight="1">
      <c r="A199" s="1"/>
      <c r="B199" s="66" t="s">
        <v>6129</v>
      </c>
      <c r="C199" s="66"/>
      <c r="D199" s="66"/>
      <c r="E199" s="66"/>
      <c r="F199" s="96"/>
      <c r="G199" s="96"/>
      <c r="H199" s="96"/>
      <c r="I199" s="96"/>
      <c r="J199" s="96"/>
      <c r="K199" s="103"/>
      <c r="L199" s="66"/>
      <c r="M199" s="68"/>
      <c r="N199" s="68"/>
      <c r="O199" s="96"/>
      <c r="P199" s="69"/>
      <c r="Q199" s="96"/>
      <c r="R199" s="96"/>
      <c r="S199" s="69"/>
      <c r="T199" s="67"/>
      <c r="U199" s="67"/>
      <c r="V199" s="67"/>
      <c r="W199" s="67"/>
      <c r="X199" s="67"/>
      <c r="Y199" s="71"/>
      <c r="Z199" s="1"/>
    </row>
    <row r="200" spans="1:26" ht="36" customHeight="1">
      <c r="A200" s="1"/>
      <c r="B200" s="66" t="s">
        <v>6130</v>
      </c>
      <c r="C200" s="66"/>
      <c r="D200" s="66"/>
      <c r="E200" s="66"/>
      <c r="F200" s="96"/>
      <c r="G200" s="96"/>
      <c r="H200" s="96"/>
      <c r="I200" s="96"/>
      <c r="J200" s="96"/>
      <c r="K200" s="103"/>
      <c r="L200" s="66"/>
      <c r="M200" s="68"/>
      <c r="N200" s="68"/>
      <c r="O200" s="96"/>
      <c r="P200" s="69"/>
      <c r="Q200" s="96"/>
      <c r="R200" s="96"/>
      <c r="S200" s="69"/>
      <c r="T200" s="67"/>
      <c r="U200" s="67"/>
      <c r="V200" s="67"/>
      <c r="W200" s="67"/>
      <c r="X200" s="67"/>
      <c r="Y200" s="71"/>
      <c r="Z200" s="1"/>
    </row>
    <row r="201" spans="1:26" ht="36" customHeight="1">
      <c r="A201" s="1"/>
      <c r="B201" s="66" t="s">
        <v>6131</v>
      </c>
      <c r="C201" s="66"/>
      <c r="D201" s="66"/>
      <c r="E201" s="66"/>
      <c r="F201" s="96"/>
      <c r="G201" s="96"/>
      <c r="H201" s="96"/>
      <c r="I201" s="96"/>
      <c r="J201" s="96"/>
      <c r="K201" s="103"/>
      <c r="L201" s="66"/>
      <c r="M201" s="68"/>
      <c r="N201" s="68"/>
      <c r="O201" s="96"/>
      <c r="P201" s="69"/>
      <c r="Q201" s="96"/>
      <c r="R201" s="96"/>
      <c r="S201" s="69"/>
      <c r="T201" s="67"/>
      <c r="U201" s="67"/>
      <c r="V201" s="67"/>
      <c r="W201" s="67"/>
      <c r="X201" s="67"/>
      <c r="Y201" s="71"/>
      <c r="Z201" s="1"/>
    </row>
    <row r="202" spans="1:26" ht="36" customHeight="1">
      <c r="A202" s="1"/>
      <c r="B202" s="66" t="s">
        <v>6132</v>
      </c>
      <c r="C202" s="66"/>
      <c r="D202" s="66"/>
      <c r="E202" s="66"/>
      <c r="F202" s="96"/>
      <c r="G202" s="96"/>
      <c r="H202" s="96"/>
      <c r="I202" s="96"/>
      <c r="J202" s="96"/>
      <c r="K202" s="103"/>
      <c r="L202" s="66"/>
      <c r="M202" s="68"/>
      <c r="N202" s="68"/>
      <c r="O202" s="96"/>
      <c r="P202" s="69"/>
      <c r="Q202" s="69"/>
      <c r="R202" s="96"/>
      <c r="S202" s="69"/>
      <c r="T202" s="67"/>
      <c r="U202" s="67"/>
      <c r="V202" s="67"/>
      <c r="W202" s="67"/>
      <c r="X202" s="67"/>
      <c r="Y202" s="71"/>
      <c r="Z202" s="1"/>
    </row>
    <row r="203" spans="1:26" ht="36" customHeight="1">
      <c r="A203" s="1"/>
      <c r="B203" s="66" t="s">
        <v>6133</v>
      </c>
      <c r="C203" s="66"/>
      <c r="D203" s="66"/>
      <c r="E203" s="66"/>
      <c r="F203" s="96"/>
      <c r="G203" s="96"/>
      <c r="H203" s="96"/>
      <c r="I203" s="96"/>
      <c r="J203" s="96"/>
      <c r="K203" s="103"/>
      <c r="L203" s="66"/>
      <c r="M203" s="68"/>
      <c r="N203" s="68"/>
      <c r="O203" s="96"/>
      <c r="P203" s="69"/>
      <c r="Q203" s="96"/>
      <c r="R203" s="96"/>
      <c r="S203" s="69"/>
      <c r="T203" s="67"/>
      <c r="U203" s="67"/>
      <c r="V203" s="67"/>
      <c r="W203" s="67"/>
      <c r="X203" s="67"/>
      <c r="Y203" s="71"/>
      <c r="Z203" s="1"/>
    </row>
    <row r="204" spans="1:26" ht="36" customHeight="1">
      <c r="A204" s="1"/>
      <c r="B204" s="66" t="s">
        <v>6134</v>
      </c>
      <c r="C204" s="66"/>
      <c r="D204" s="66"/>
      <c r="E204" s="66"/>
      <c r="F204" s="96"/>
      <c r="G204" s="96"/>
      <c r="H204" s="96"/>
      <c r="I204" s="96"/>
      <c r="J204" s="96"/>
      <c r="K204" s="103"/>
      <c r="L204" s="66"/>
      <c r="M204" s="68"/>
      <c r="N204" s="68"/>
      <c r="O204" s="96"/>
      <c r="P204" s="69"/>
      <c r="Q204" s="69"/>
      <c r="R204" s="96"/>
      <c r="S204" s="69"/>
      <c r="T204" s="67"/>
      <c r="U204" s="67"/>
      <c r="V204" s="67"/>
      <c r="W204" s="67"/>
      <c r="X204" s="67"/>
      <c r="Y204" s="71"/>
      <c r="Z204" s="1"/>
    </row>
    <row r="205" spans="1:26" ht="36" customHeight="1">
      <c r="A205" s="1"/>
      <c r="B205" s="66" t="s">
        <v>6135</v>
      </c>
      <c r="C205" s="66"/>
      <c r="D205" s="66"/>
      <c r="E205" s="66"/>
      <c r="F205" s="96"/>
      <c r="G205" s="96"/>
      <c r="H205" s="96"/>
      <c r="I205" s="96"/>
      <c r="J205" s="96"/>
      <c r="K205" s="103"/>
      <c r="L205" s="66"/>
      <c r="M205" s="68"/>
      <c r="N205" s="68"/>
      <c r="O205" s="96"/>
      <c r="P205" s="69"/>
      <c r="Q205" s="69"/>
      <c r="R205" s="96"/>
      <c r="S205" s="69"/>
      <c r="T205" s="67"/>
      <c r="U205" s="67"/>
      <c r="V205" s="67"/>
      <c r="W205" s="67"/>
      <c r="X205" s="67"/>
      <c r="Y205" s="71"/>
      <c r="Z205" s="1"/>
    </row>
    <row r="206" spans="1:26" ht="36" customHeight="1">
      <c r="A206" s="1"/>
      <c r="B206" s="66" t="s">
        <v>6136</v>
      </c>
      <c r="C206" s="66"/>
      <c r="D206" s="66"/>
      <c r="E206" s="66"/>
      <c r="F206" s="96"/>
      <c r="G206" s="96"/>
      <c r="H206" s="96"/>
      <c r="I206" s="96"/>
      <c r="J206" s="96"/>
      <c r="K206" s="103"/>
      <c r="L206" s="66"/>
      <c r="M206" s="68"/>
      <c r="N206" s="68"/>
      <c r="O206" s="96"/>
      <c r="P206" s="114"/>
      <c r="Q206" s="96"/>
      <c r="R206" s="96"/>
      <c r="S206" s="69"/>
      <c r="T206" s="67"/>
      <c r="U206" s="67"/>
      <c r="V206" s="67"/>
      <c r="W206" s="67"/>
      <c r="X206" s="67"/>
      <c r="Y206" s="71"/>
      <c r="Z206" s="1"/>
    </row>
    <row r="207" spans="1:26" ht="36" customHeight="1">
      <c r="A207" s="1"/>
      <c r="B207" s="66" t="s">
        <v>6137</v>
      </c>
      <c r="C207" s="66"/>
      <c r="D207" s="66"/>
      <c r="E207" s="66"/>
      <c r="F207" s="96"/>
      <c r="G207" s="96"/>
      <c r="H207" s="96"/>
      <c r="I207" s="96"/>
      <c r="J207" s="96"/>
      <c r="K207" s="103"/>
      <c r="L207" s="66"/>
      <c r="M207" s="68"/>
      <c r="N207" s="68"/>
      <c r="O207" s="96"/>
      <c r="P207" s="69"/>
      <c r="Q207" s="69"/>
      <c r="R207" s="96"/>
      <c r="S207" s="69"/>
      <c r="T207" s="67"/>
      <c r="U207" s="67"/>
      <c r="V207" s="67"/>
      <c r="W207" s="67"/>
      <c r="X207" s="67"/>
      <c r="Y207" s="71"/>
      <c r="Z207" s="1"/>
    </row>
    <row r="208" spans="1:26" ht="36" customHeight="1">
      <c r="A208" s="1"/>
      <c r="B208" s="66" t="s">
        <v>6138</v>
      </c>
      <c r="C208" s="66"/>
      <c r="D208" s="66"/>
      <c r="E208" s="66"/>
      <c r="F208" s="96"/>
      <c r="G208" s="96"/>
      <c r="H208" s="96"/>
      <c r="I208" s="96"/>
      <c r="J208" s="96"/>
      <c r="K208" s="103"/>
      <c r="L208" s="66"/>
      <c r="M208" s="68"/>
      <c r="N208" s="68"/>
      <c r="O208" s="96"/>
      <c r="P208" s="69"/>
      <c r="Q208" s="69"/>
      <c r="R208" s="96"/>
      <c r="S208" s="69"/>
      <c r="T208" s="67"/>
      <c r="U208" s="67"/>
      <c r="V208" s="67"/>
      <c r="W208" s="67"/>
      <c r="X208" s="67"/>
      <c r="Y208" s="71"/>
      <c r="Z208" s="1"/>
    </row>
    <row r="209" spans="1:26" ht="36" customHeight="1">
      <c r="A209" s="1"/>
      <c r="B209" s="66" t="s">
        <v>6139</v>
      </c>
      <c r="C209" s="66"/>
      <c r="D209" s="66"/>
      <c r="E209" s="66"/>
      <c r="F209" s="96"/>
      <c r="G209" s="96"/>
      <c r="H209" s="96"/>
      <c r="I209" s="96"/>
      <c r="J209" s="96"/>
      <c r="K209" s="103"/>
      <c r="L209" s="66"/>
      <c r="M209" s="68"/>
      <c r="N209" s="68"/>
      <c r="O209" s="96"/>
      <c r="P209" s="69"/>
      <c r="Q209" s="69"/>
      <c r="R209" s="96"/>
      <c r="S209" s="69"/>
      <c r="T209" s="67"/>
      <c r="U209" s="67"/>
      <c r="V209" s="67"/>
      <c r="W209" s="67"/>
      <c r="X209" s="67"/>
      <c r="Y209" s="71"/>
      <c r="Z209" s="1"/>
    </row>
    <row r="210" spans="1:26" ht="36" customHeight="1">
      <c r="A210" s="1"/>
      <c r="B210" s="66" t="s">
        <v>6140</v>
      </c>
      <c r="C210" s="66"/>
      <c r="D210" s="66"/>
      <c r="E210" s="66"/>
      <c r="F210" s="96"/>
      <c r="G210" s="96"/>
      <c r="H210" s="96"/>
      <c r="I210" s="96"/>
      <c r="J210" s="96"/>
      <c r="K210" s="103"/>
      <c r="L210" s="66"/>
      <c r="M210" s="68"/>
      <c r="N210" s="68"/>
      <c r="O210" s="96"/>
      <c r="P210" s="69"/>
      <c r="Q210" s="69"/>
      <c r="R210" s="96"/>
      <c r="S210" s="69"/>
      <c r="T210" s="67"/>
      <c r="U210" s="67"/>
      <c r="V210" s="67"/>
      <c r="W210" s="67"/>
      <c r="X210" s="67"/>
      <c r="Y210" s="71"/>
      <c r="Z210" s="1"/>
    </row>
    <row r="211" spans="1:26" ht="36" customHeight="1">
      <c r="A211" s="1"/>
      <c r="B211" s="66" t="s">
        <v>6141</v>
      </c>
      <c r="C211" s="66"/>
      <c r="D211" s="66"/>
      <c r="E211" s="66"/>
      <c r="F211" s="96"/>
      <c r="G211" s="96"/>
      <c r="H211" s="96"/>
      <c r="I211" s="96"/>
      <c r="J211" s="96"/>
      <c r="K211" s="103"/>
      <c r="L211" s="66"/>
      <c r="M211" s="68"/>
      <c r="N211" s="68"/>
      <c r="O211" s="96"/>
      <c r="P211" s="69"/>
      <c r="Q211" s="69"/>
      <c r="R211" s="96"/>
      <c r="S211" s="69"/>
      <c r="T211" s="67"/>
      <c r="U211" s="67"/>
      <c r="V211" s="67"/>
      <c r="W211" s="67"/>
      <c r="X211" s="67"/>
      <c r="Y211" s="71"/>
      <c r="Z211" s="1"/>
    </row>
    <row r="212" spans="1:26" ht="36" customHeight="1">
      <c r="A212" s="1"/>
      <c r="B212" s="66" t="s">
        <v>6142</v>
      </c>
      <c r="C212" s="66"/>
      <c r="D212" s="66"/>
      <c r="E212" s="66"/>
      <c r="F212" s="96"/>
      <c r="G212" s="96"/>
      <c r="H212" s="96"/>
      <c r="I212" s="96"/>
      <c r="J212" s="96"/>
      <c r="K212" s="103"/>
      <c r="L212" s="66"/>
      <c r="M212" s="68"/>
      <c r="N212" s="68"/>
      <c r="O212" s="96"/>
      <c r="P212" s="69"/>
      <c r="Q212" s="69"/>
      <c r="R212" s="96"/>
      <c r="S212" s="69"/>
      <c r="T212" s="67"/>
      <c r="U212" s="67"/>
      <c r="V212" s="67"/>
      <c r="W212" s="67"/>
      <c r="X212" s="67"/>
      <c r="Y212" s="71"/>
      <c r="Z212" s="1"/>
    </row>
    <row r="213" spans="1:26" ht="36" customHeight="1">
      <c r="A213" s="1"/>
      <c r="B213" s="66" t="s">
        <v>6143</v>
      </c>
      <c r="C213" s="66"/>
      <c r="D213" s="66"/>
      <c r="E213" s="66"/>
      <c r="F213" s="66"/>
      <c r="G213" s="96"/>
      <c r="H213" s="96"/>
      <c r="I213" s="96"/>
      <c r="J213" s="96"/>
      <c r="K213" s="103"/>
      <c r="L213" s="66"/>
      <c r="M213" s="68"/>
      <c r="N213" s="68"/>
      <c r="O213" s="96"/>
      <c r="P213" s="69"/>
      <c r="Q213" s="69"/>
      <c r="R213" s="96"/>
      <c r="S213" s="69"/>
      <c r="T213" s="67"/>
      <c r="U213" s="67"/>
      <c r="V213" s="67"/>
      <c r="W213" s="67"/>
      <c r="X213" s="67"/>
      <c r="Y213" s="71"/>
      <c r="Z213" s="1"/>
    </row>
    <row r="214" spans="1:26" ht="36" customHeight="1">
      <c r="A214" s="1"/>
      <c r="B214" s="66" t="s">
        <v>6144</v>
      </c>
      <c r="C214" s="66"/>
      <c r="D214" s="66"/>
      <c r="E214" s="66"/>
      <c r="F214" s="96"/>
      <c r="G214" s="96"/>
      <c r="H214" s="96"/>
      <c r="I214" s="96"/>
      <c r="J214" s="96"/>
      <c r="K214" s="103"/>
      <c r="L214" s="66"/>
      <c r="M214" s="68"/>
      <c r="N214" s="68"/>
      <c r="O214" s="96"/>
      <c r="P214" s="69"/>
      <c r="Q214" s="96"/>
      <c r="R214" s="96"/>
      <c r="S214" s="69"/>
      <c r="T214" s="67"/>
      <c r="U214" s="67"/>
      <c r="V214" s="67"/>
      <c r="W214" s="71"/>
      <c r="X214" s="71"/>
      <c r="Y214" s="71"/>
      <c r="Z214" s="1"/>
    </row>
    <row r="215" spans="1:26" ht="36" customHeight="1">
      <c r="A215" s="1"/>
      <c r="B215" s="66" t="s">
        <v>6145</v>
      </c>
      <c r="C215" s="66"/>
      <c r="D215" s="66"/>
      <c r="E215" s="66"/>
      <c r="F215" s="96"/>
      <c r="G215" s="96"/>
      <c r="H215" s="96"/>
      <c r="I215" s="96"/>
      <c r="J215" s="96"/>
      <c r="K215" s="103"/>
      <c r="L215" s="66"/>
      <c r="M215" s="68"/>
      <c r="N215" s="68"/>
      <c r="O215" s="96"/>
      <c r="P215" s="69"/>
      <c r="Q215" s="96"/>
      <c r="R215" s="96"/>
      <c r="S215" s="69"/>
      <c r="T215" s="67"/>
      <c r="U215" s="67"/>
      <c r="V215" s="67"/>
      <c r="W215" s="71"/>
      <c r="X215" s="71"/>
      <c r="Y215" s="71"/>
      <c r="Z215" s="1"/>
    </row>
    <row r="216" spans="1:26" ht="36" customHeight="1">
      <c r="A216" s="1"/>
      <c r="B216" s="66" t="s">
        <v>6146</v>
      </c>
      <c r="C216" s="66"/>
      <c r="D216" s="66"/>
      <c r="E216" s="66"/>
      <c r="F216" s="96"/>
      <c r="G216" s="96"/>
      <c r="H216" s="96"/>
      <c r="I216" s="96"/>
      <c r="J216" s="96"/>
      <c r="K216" s="103"/>
      <c r="L216" s="66"/>
      <c r="M216" s="68"/>
      <c r="N216" s="68"/>
      <c r="O216" s="96"/>
      <c r="P216" s="69"/>
      <c r="Q216" s="96"/>
      <c r="R216" s="96"/>
      <c r="S216" s="69"/>
      <c r="T216" s="67"/>
      <c r="U216" s="67"/>
      <c r="V216" s="67"/>
      <c r="W216" s="67"/>
      <c r="X216" s="67"/>
      <c r="Y216" s="71"/>
      <c r="Z216" s="1"/>
    </row>
    <row r="217" spans="1:26" ht="36" customHeight="1">
      <c r="A217" s="1"/>
      <c r="B217" s="66" t="s">
        <v>6147</v>
      </c>
      <c r="C217" s="66"/>
      <c r="D217" s="66"/>
      <c r="E217" s="66"/>
      <c r="F217" s="96"/>
      <c r="G217" s="96"/>
      <c r="H217" s="96"/>
      <c r="I217" s="96"/>
      <c r="J217" s="96"/>
      <c r="K217" s="103"/>
      <c r="L217" s="66"/>
      <c r="M217" s="68"/>
      <c r="N217" s="68"/>
      <c r="O217" s="96"/>
      <c r="P217" s="69"/>
      <c r="Q217" s="69"/>
      <c r="R217" s="96"/>
      <c r="S217" s="69"/>
      <c r="T217" s="67"/>
      <c r="U217" s="67"/>
      <c r="V217" s="67"/>
      <c r="W217" s="67"/>
      <c r="X217" s="67"/>
      <c r="Y217" s="71"/>
      <c r="Z217" s="1"/>
    </row>
    <row r="218" spans="1:26" ht="36" customHeight="1">
      <c r="A218" s="1"/>
      <c r="B218" s="66" t="s">
        <v>6148</v>
      </c>
      <c r="C218" s="66"/>
      <c r="D218" s="66"/>
      <c r="E218" s="66"/>
      <c r="F218" s="96"/>
      <c r="G218" s="96"/>
      <c r="H218" s="96"/>
      <c r="I218" s="96"/>
      <c r="J218" s="96"/>
      <c r="K218" s="103"/>
      <c r="L218" s="66"/>
      <c r="M218" s="68"/>
      <c r="N218" s="68"/>
      <c r="O218" s="96"/>
      <c r="P218" s="69"/>
      <c r="Q218" s="69"/>
      <c r="R218" s="96"/>
      <c r="S218" s="69"/>
      <c r="T218" s="67"/>
      <c r="U218" s="67"/>
      <c r="V218" s="67"/>
      <c r="W218" s="67"/>
      <c r="X218" s="67"/>
      <c r="Y218" s="71"/>
      <c r="Z218" s="1"/>
    </row>
    <row r="219" spans="1:26" ht="36" customHeight="1">
      <c r="A219" s="1"/>
      <c r="B219" s="66" t="s">
        <v>6149</v>
      </c>
      <c r="C219" s="66"/>
      <c r="D219" s="66"/>
      <c r="E219" s="66"/>
      <c r="F219" s="96"/>
      <c r="G219" s="96"/>
      <c r="H219" s="96"/>
      <c r="I219" s="96"/>
      <c r="J219" s="96"/>
      <c r="K219" s="103"/>
      <c r="L219" s="66"/>
      <c r="M219" s="68"/>
      <c r="N219" s="68"/>
      <c r="O219" s="96"/>
      <c r="P219" s="69"/>
      <c r="Q219" s="96"/>
      <c r="R219" s="96"/>
      <c r="S219" s="69"/>
      <c r="T219" s="67"/>
      <c r="U219" s="67"/>
      <c r="V219" s="67"/>
      <c r="W219" s="67"/>
      <c r="X219" s="67"/>
      <c r="Y219" s="71"/>
      <c r="Z219" s="1"/>
    </row>
    <row r="220" spans="1:26" ht="36" customHeight="1">
      <c r="A220" s="1"/>
      <c r="B220" s="66" t="s">
        <v>6150</v>
      </c>
      <c r="C220" s="66"/>
      <c r="D220" s="66"/>
      <c r="E220" s="66"/>
      <c r="F220" s="96"/>
      <c r="G220" s="96"/>
      <c r="H220" s="96"/>
      <c r="I220" s="96"/>
      <c r="J220" s="96"/>
      <c r="K220" s="103"/>
      <c r="L220" s="66"/>
      <c r="M220" s="68"/>
      <c r="N220" s="68"/>
      <c r="O220" s="96"/>
      <c r="P220" s="69"/>
      <c r="Q220" s="69"/>
      <c r="R220" s="96"/>
      <c r="S220" s="69"/>
      <c r="T220" s="67"/>
      <c r="U220" s="67"/>
      <c r="V220" s="67"/>
      <c r="W220" s="67"/>
      <c r="X220" s="67"/>
      <c r="Y220" s="71"/>
      <c r="Z220" s="1"/>
    </row>
    <row r="221" spans="1:26" ht="36" customHeight="1">
      <c r="A221" s="1"/>
      <c r="B221" s="66" t="s">
        <v>6151</v>
      </c>
      <c r="C221" s="66"/>
      <c r="D221" s="66"/>
      <c r="E221" s="66"/>
      <c r="F221" s="96"/>
      <c r="G221" s="96"/>
      <c r="H221" s="96"/>
      <c r="I221" s="96"/>
      <c r="J221" s="96"/>
      <c r="K221" s="103"/>
      <c r="L221" s="66"/>
      <c r="M221" s="68"/>
      <c r="N221" s="68"/>
      <c r="O221" s="96"/>
      <c r="P221" s="69"/>
      <c r="Q221" s="69"/>
      <c r="R221" s="96"/>
      <c r="S221" s="69"/>
      <c r="T221" s="67"/>
      <c r="U221" s="67"/>
      <c r="V221" s="67"/>
      <c r="W221" s="67"/>
      <c r="X221" s="67"/>
      <c r="Y221" s="71"/>
      <c r="Z221" s="1"/>
    </row>
    <row r="222" spans="1:26" ht="36" customHeight="1">
      <c r="A222" s="1"/>
      <c r="B222" s="66" t="s">
        <v>6152</v>
      </c>
      <c r="C222" s="66"/>
      <c r="D222" s="66"/>
      <c r="E222" s="66"/>
      <c r="F222" s="96"/>
      <c r="G222" s="96"/>
      <c r="H222" s="96"/>
      <c r="I222" s="96"/>
      <c r="J222" s="96"/>
      <c r="K222" s="103"/>
      <c r="L222" s="66"/>
      <c r="M222" s="68"/>
      <c r="N222" s="68"/>
      <c r="O222" s="96"/>
      <c r="P222" s="69"/>
      <c r="Q222" s="69"/>
      <c r="R222" s="96"/>
      <c r="S222" s="69"/>
      <c r="T222" s="67"/>
      <c r="U222" s="67"/>
      <c r="V222" s="67"/>
      <c r="W222" s="67"/>
      <c r="X222" s="67"/>
      <c r="Y222" s="71"/>
      <c r="Z222" s="1"/>
    </row>
    <row r="223" spans="1:26" ht="36" customHeight="1">
      <c r="A223" s="1"/>
      <c r="B223" s="66" t="s">
        <v>6153</v>
      </c>
      <c r="C223" s="66"/>
      <c r="D223" s="66"/>
      <c r="E223" s="66"/>
      <c r="F223" s="96"/>
      <c r="G223" s="96"/>
      <c r="H223" s="96"/>
      <c r="I223" s="96"/>
      <c r="J223" s="96"/>
      <c r="K223" s="103"/>
      <c r="L223" s="66"/>
      <c r="M223" s="68"/>
      <c r="N223" s="68"/>
      <c r="O223" s="96"/>
      <c r="P223" s="69"/>
      <c r="Q223" s="69"/>
      <c r="R223" s="96"/>
      <c r="S223" s="69"/>
      <c r="T223" s="67"/>
      <c r="U223" s="67"/>
      <c r="V223" s="67"/>
      <c r="W223" s="67"/>
      <c r="X223" s="67"/>
      <c r="Y223" s="71"/>
      <c r="Z223" s="1"/>
    </row>
    <row r="224" spans="1:26" ht="36" customHeight="1">
      <c r="A224" s="1"/>
      <c r="B224" s="66" t="s">
        <v>6154</v>
      </c>
      <c r="C224" s="66"/>
      <c r="D224" s="66"/>
      <c r="E224" s="66"/>
      <c r="F224" s="96"/>
      <c r="G224" s="96"/>
      <c r="H224" s="96"/>
      <c r="I224" s="96"/>
      <c r="J224" s="96"/>
      <c r="K224" s="103"/>
      <c r="L224" s="66"/>
      <c r="M224" s="68"/>
      <c r="N224" s="68"/>
      <c r="O224" s="96"/>
      <c r="P224" s="69"/>
      <c r="Q224" s="69"/>
      <c r="R224" s="96"/>
      <c r="S224" s="69"/>
      <c r="T224" s="67"/>
      <c r="U224" s="67"/>
      <c r="V224" s="67"/>
      <c r="W224" s="67"/>
      <c r="X224" s="67"/>
      <c r="Y224" s="71"/>
      <c r="Z224" s="1"/>
    </row>
    <row r="225" spans="1:26" ht="36" customHeight="1">
      <c r="A225" s="1"/>
      <c r="B225" s="66" t="s">
        <v>6155</v>
      </c>
      <c r="C225" s="66"/>
      <c r="D225" s="66"/>
      <c r="E225" s="66"/>
      <c r="F225" s="96"/>
      <c r="G225" s="96"/>
      <c r="H225" s="96"/>
      <c r="I225" s="96"/>
      <c r="J225" s="96"/>
      <c r="K225" s="103"/>
      <c r="L225" s="66"/>
      <c r="M225" s="68"/>
      <c r="N225" s="68"/>
      <c r="O225" s="96"/>
      <c r="P225" s="69"/>
      <c r="Q225" s="96"/>
      <c r="R225" s="96"/>
      <c r="S225" s="69"/>
      <c r="T225" s="67"/>
      <c r="U225" s="67"/>
      <c r="V225" s="67"/>
      <c r="W225" s="67"/>
      <c r="X225" s="67"/>
      <c r="Y225" s="71"/>
      <c r="Z225" s="1"/>
    </row>
    <row r="226" spans="1:26" ht="36" customHeight="1">
      <c r="A226" s="1"/>
      <c r="B226" s="66" t="s">
        <v>6156</v>
      </c>
      <c r="C226" s="66"/>
      <c r="D226" s="66"/>
      <c r="E226" s="66"/>
      <c r="F226" s="96"/>
      <c r="G226" s="96"/>
      <c r="H226" s="96"/>
      <c r="I226" s="96"/>
      <c r="J226" s="96"/>
      <c r="K226" s="103"/>
      <c r="L226" s="66"/>
      <c r="M226" s="68"/>
      <c r="N226" s="68"/>
      <c r="O226" s="96"/>
      <c r="P226" s="69"/>
      <c r="Q226" s="96"/>
      <c r="R226" s="96"/>
      <c r="S226" s="69"/>
      <c r="T226" s="67"/>
      <c r="U226" s="67"/>
      <c r="V226" s="67"/>
      <c r="W226" s="67"/>
      <c r="X226" s="67"/>
      <c r="Y226" s="71"/>
      <c r="Z226" s="1"/>
    </row>
    <row r="227" spans="1:26" ht="36" customHeight="1">
      <c r="A227" s="1"/>
      <c r="B227" s="66" t="s">
        <v>6157</v>
      </c>
      <c r="C227" s="66"/>
      <c r="D227" s="66"/>
      <c r="E227" s="66"/>
      <c r="F227" s="96"/>
      <c r="G227" s="96"/>
      <c r="H227" s="96"/>
      <c r="I227" s="96"/>
      <c r="J227" s="96"/>
      <c r="K227" s="103"/>
      <c r="L227" s="66"/>
      <c r="M227" s="68"/>
      <c r="N227" s="68"/>
      <c r="O227" s="96"/>
      <c r="P227" s="69"/>
      <c r="Q227" s="69"/>
      <c r="R227" s="96"/>
      <c r="S227" s="69"/>
      <c r="T227" s="67"/>
      <c r="U227" s="67"/>
      <c r="V227" s="67"/>
      <c r="W227" s="67"/>
      <c r="X227" s="67"/>
      <c r="Y227" s="71"/>
      <c r="Z227" s="1"/>
    </row>
    <row r="228" spans="1:26" ht="36" customHeight="1">
      <c r="A228" s="1"/>
      <c r="B228" s="66" t="s">
        <v>6158</v>
      </c>
      <c r="C228" s="66"/>
      <c r="D228" s="66"/>
      <c r="E228" s="66"/>
      <c r="F228" s="96"/>
      <c r="G228" s="96"/>
      <c r="H228" s="96"/>
      <c r="I228" s="96"/>
      <c r="J228" s="96"/>
      <c r="K228" s="103"/>
      <c r="L228" s="66"/>
      <c r="M228" s="68"/>
      <c r="N228" s="68"/>
      <c r="O228" s="96"/>
      <c r="P228" s="69"/>
      <c r="Q228" s="69"/>
      <c r="R228" s="96"/>
      <c r="S228" s="69"/>
      <c r="T228" s="67"/>
      <c r="U228" s="67"/>
      <c r="V228" s="67"/>
      <c r="W228" s="67"/>
      <c r="X228" s="67"/>
      <c r="Y228" s="71"/>
      <c r="Z228" s="1"/>
    </row>
    <row r="229" spans="1:26" ht="36" customHeight="1">
      <c r="A229" s="1"/>
      <c r="B229" s="66" t="s">
        <v>6159</v>
      </c>
      <c r="C229" s="66"/>
      <c r="D229" s="66"/>
      <c r="E229" s="66"/>
      <c r="F229" s="96"/>
      <c r="G229" s="96"/>
      <c r="H229" s="96"/>
      <c r="I229" s="96"/>
      <c r="J229" s="96"/>
      <c r="K229" s="103"/>
      <c r="L229" s="66"/>
      <c r="M229" s="68"/>
      <c r="N229" s="68"/>
      <c r="O229" s="96"/>
      <c r="P229" s="69"/>
      <c r="Q229" s="69"/>
      <c r="R229" s="69"/>
      <c r="S229" s="69"/>
      <c r="T229" s="67"/>
      <c r="U229" s="67"/>
      <c r="V229" s="67"/>
      <c r="W229" s="67"/>
      <c r="X229" s="67"/>
      <c r="Y229" s="71"/>
      <c r="Z229" s="1"/>
    </row>
    <row r="230" spans="1:26" ht="36" customHeight="1">
      <c r="A230" s="1"/>
      <c r="B230" s="66" t="s">
        <v>6160</v>
      </c>
      <c r="C230" s="66"/>
      <c r="D230" s="66"/>
      <c r="E230" s="66"/>
      <c r="F230" s="96"/>
      <c r="G230" s="96"/>
      <c r="H230" s="96"/>
      <c r="I230" s="96"/>
      <c r="J230" s="96"/>
      <c r="K230" s="103"/>
      <c r="L230" s="66"/>
      <c r="M230" s="68"/>
      <c r="N230" s="68"/>
      <c r="O230" s="96"/>
      <c r="P230" s="69"/>
      <c r="Q230" s="96"/>
      <c r="R230" s="96"/>
      <c r="S230" s="69"/>
      <c r="T230" s="67"/>
      <c r="U230" s="67"/>
      <c r="V230" s="67"/>
      <c r="W230" s="67"/>
      <c r="X230" s="67"/>
      <c r="Y230" s="71"/>
      <c r="Z230" s="1"/>
    </row>
    <row r="231" spans="1:26" ht="36" customHeight="1">
      <c r="A231" s="1"/>
      <c r="B231" s="66" t="s">
        <v>6161</v>
      </c>
      <c r="C231" s="66"/>
      <c r="D231" s="66"/>
      <c r="E231" s="66"/>
      <c r="F231" s="96"/>
      <c r="G231" s="96"/>
      <c r="H231" s="96"/>
      <c r="I231" s="96"/>
      <c r="J231" s="96"/>
      <c r="K231" s="103"/>
      <c r="L231" s="66"/>
      <c r="M231" s="68"/>
      <c r="N231" s="68"/>
      <c r="O231" s="96"/>
      <c r="P231" s="69"/>
      <c r="Q231" s="69"/>
      <c r="R231" s="96"/>
      <c r="S231" s="69"/>
      <c r="T231" s="67"/>
      <c r="U231" s="67"/>
      <c r="V231" s="67"/>
      <c r="W231" s="67"/>
      <c r="X231" s="67"/>
      <c r="Y231" s="71"/>
      <c r="Z231" s="1"/>
    </row>
    <row r="232" spans="1:26" ht="36" customHeight="1">
      <c r="A232" s="1"/>
      <c r="B232" s="66" t="s">
        <v>6162</v>
      </c>
      <c r="C232" s="66"/>
      <c r="D232" s="66"/>
      <c r="E232" s="66"/>
      <c r="F232" s="96"/>
      <c r="G232" s="96"/>
      <c r="H232" s="96"/>
      <c r="I232" s="96"/>
      <c r="J232" s="96"/>
      <c r="K232" s="103"/>
      <c r="L232" s="66"/>
      <c r="M232" s="68"/>
      <c r="N232" s="68"/>
      <c r="O232" s="96"/>
      <c r="P232" s="69"/>
      <c r="Q232" s="69"/>
      <c r="R232" s="96"/>
      <c r="S232" s="69"/>
      <c r="T232" s="67"/>
      <c r="U232" s="67"/>
      <c r="V232" s="67"/>
      <c r="W232" s="67"/>
      <c r="X232" s="67"/>
      <c r="Y232" s="71"/>
      <c r="Z232" s="1"/>
    </row>
    <row r="233" spans="1:26" ht="36" customHeight="1">
      <c r="A233" s="1"/>
      <c r="B233" s="66" t="s">
        <v>6163</v>
      </c>
      <c r="C233" s="66"/>
      <c r="D233" s="66"/>
      <c r="E233" s="66"/>
      <c r="F233" s="96"/>
      <c r="G233" s="96"/>
      <c r="H233" s="96"/>
      <c r="I233" s="96"/>
      <c r="J233" s="96"/>
      <c r="K233" s="103"/>
      <c r="L233" s="66"/>
      <c r="M233" s="68"/>
      <c r="N233" s="68"/>
      <c r="O233" s="96"/>
      <c r="P233" s="69"/>
      <c r="Q233" s="69"/>
      <c r="R233" s="96"/>
      <c r="S233" s="69"/>
      <c r="T233" s="67"/>
      <c r="U233" s="67"/>
      <c r="V233" s="67"/>
      <c r="W233" s="67"/>
      <c r="X233" s="67"/>
      <c r="Y233" s="71"/>
      <c r="Z233" s="1"/>
    </row>
    <row r="234" spans="1:26" ht="36" customHeight="1">
      <c r="A234" s="1"/>
      <c r="B234" s="66" t="s">
        <v>6164</v>
      </c>
      <c r="C234" s="66"/>
      <c r="D234" s="66"/>
      <c r="E234" s="66"/>
      <c r="F234" s="96"/>
      <c r="G234" s="96"/>
      <c r="H234" s="96"/>
      <c r="I234" s="96"/>
      <c r="J234" s="96"/>
      <c r="K234" s="103"/>
      <c r="L234" s="66"/>
      <c r="M234" s="68"/>
      <c r="N234" s="68"/>
      <c r="O234" s="96"/>
      <c r="P234" s="69"/>
      <c r="Q234" s="69"/>
      <c r="R234" s="96"/>
      <c r="S234" s="69"/>
      <c r="T234" s="67"/>
      <c r="U234" s="67"/>
      <c r="V234" s="67"/>
      <c r="W234" s="67"/>
      <c r="X234" s="67"/>
      <c r="Y234" s="71"/>
      <c r="Z234" s="1"/>
    </row>
    <row r="235" spans="1:26" ht="33.75" customHeight="1">
      <c r="A235" s="1"/>
      <c r="B235" s="66" t="s">
        <v>6165</v>
      </c>
      <c r="C235" s="66"/>
      <c r="D235" s="66"/>
      <c r="E235" s="66"/>
      <c r="F235" s="96"/>
      <c r="G235" s="96"/>
      <c r="H235" s="96"/>
      <c r="I235" s="96"/>
      <c r="J235" s="96"/>
      <c r="K235" s="103"/>
      <c r="L235" s="66"/>
      <c r="M235" s="68"/>
      <c r="N235" s="68"/>
      <c r="O235" s="96"/>
      <c r="P235" s="69"/>
      <c r="Q235" s="69"/>
      <c r="R235" s="96"/>
      <c r="S235" s="69"/>
      <c r="T235" s="67"/>
      <c r="U235" s="67"/>
      <c r="V235" s="67"/>
      <c r="W235" s="67"/>
      <c r="X235" s="67"/>
      <c r="Y235" s="71"/>
      <c r="Z235" s="1"/>
    </row>
    <row r="236" spans="1:26" ht="36" customHeight="1">
      <c r="A236" s="1"/>
      <c r="B236" s="66" t="s">
        <v>6166</v>
      </c>
      <c r="C236" s="66"/>
      <c r="D236" s="66"/>
      <c r="E236" s="66"/>
      <c r="F236" s="96"/>
      <c r="G236" s="96"/>
      <c r="H236" s="96"/>
      <c r="I236" s="96"/>
      <c r="J236" s="96"/>
      <c r="K236" s="103"/>
      <c r="L236" s="66"/>
      <c r="M236" s="68"/>
      <c r="N236" s="68"/>
      <c r="O236" s="96"/>
      <c r="P236" s="69"/>
      <c r="Q236" s="96"/>
      <c r="R236" s="96"/>
      <c r="S236" s="69"/>
      <c r="T236" s="67"/>
      <c r="U236" s="67"/>
      <c r="V236" s="67"/>
      <c r="W236" s="67"/>
      <c r="X236" s="67"/>
      <c r="Y236" s="71"/>
      <c r="Z236" s="1"/>
    </row>
    <row r="237" spans="1:26" ht="36" customHeight="1">
      <c r="A237" s="1"/>
      <c r="B237" s="66" t="s">
        <v>6167</v>
      </c>
      <c r="C237" s="66"/>
      <c r="D237" s="66"/>
      <c r="E237" s="66"/>
      <c r="F237" s="96"/>
      <c r="G237" s="96"/>
      <c r="H237" s="96"/>
      <c r="I237" s="96"/>
      <c r="J237" s="96"/>
      <c r="K237" s="103"/>
      <c r="L237" s="66"/>
      <c r="M237" s="68"/>
      <c r="N237" s="68"/>
      <c r="O237" s="96"/>
      <c r="P237" s="69"/>
      <c r="Q237" s="69"/>
      <c r="R237" s="96"/>
      <c r="S237" s="69"/>
      <c r="T237" s="67"/>
      <c r="U237" s="67"/>
      <c r="V237" s="67"/>
      <c r="W237" s="67"/>
      <c r="X237" s="67"/>
      <c r="Y237" s="71"/>
      <c r="Z237" s="1"/>
    </row>
    <row r="238" spans="1:26" ht="36" customHeight="1">
      <c r="A238" s="1"/>
      <c r="B238" s="66" t="s">
        <v>6168</v>
      </c>
      <c r="C238" s="66"/>
      <c r="D238" s="66"/>
      <c r="E238" s="66"/>
      <c r="F238" s="96"/>
      <c r="G238" s="96"/>
      <c r="H238" s="96"/>
      <c r="I238" s="96"/>
      <c r="J238" s="96"/>
      <c r="K238" s="103"/>
      <c r="L238" s="66"/>
      <c r="M238" s="68"/>
      <c r="N238" s="68"/>
      <c r="O238" s="96"/>
      <c r="P238" s="69"/>
      <c r="Q238" s="69"/>
      <c r="R238" s="96"/>
      <c r="S238" s="69"/>
      <c r="T238" s="67"/>
      <c r="U238" s="67"/>
      <c r="V238" s="67"/>
      <c r="W238" s="67"/>
      <c r="X238" s="67"/>
      <c r="Y238" s="71"/>
      <c r="Z238" s="1"/>
    </row>
    <row r="239" spans="1:26" ht="36" customHeight="1">
      <c r="A239" s="1"/>
      <c r="B239" s="66" t="s">
        <v>6169</v>
      </c>
      <c r="C239" s="66"/>
      <c r="D239" s="66"/>
      <c r="E239" s="66"/>
      <c r="F239" s="96"/>
      <c r="G239" s="96"/>
      <c r="H239" s="96"/>
      <c r="I239" s="96"/>
      <c r="J239" s="96"/>
      <c r="K239" s="103"/>
      <c r="L239" s="66"/>
      <c r="M239" s="68"/>
      <c r="N239" s="68"/>
      <c r="O239" s="96"/>
      <c r="P239" s="69"/>
      <c r="Q239" s="69"/>
      <c r="R239" s="96"/>
      <c r="S239" s="69"/>
      <c r="T239" s="67"/>
      <c r="U239" s="67"/>
      <c r="V239" s="67"/>
      <c r="W239" s="67"/>
      <c r="X239" s="67"/>
      <c r="Y239" s="71"/>
      <c r="Z239" s="1"/>
    </row>
    <row r="240" spans="1:26" ht="36" customHeight="1">
      <c r="A240" s="1"/>
      <c r="B240" s="66" t="s">
        <v>6170</v>
      </c>
      <c r="C240" s="66"/>
      <c r="D240" s="66"/>
      <c r="E240" s="66"/>
      <c r="F240" s="96"/>
      <c r="G240" s="96"/>
      <c r="H240" s="96"/>
      <c r="I240" s="96"/>
      <c r="J240" s="96"/>
      <c r="K240" s="103"/>
      <c r="L240" s="66"/>
      <c r="M240" s="68"/>
      <c r="N240" s="68"/>
      <c r="O240" s="96"/>
      <c r="P240" s="69"/>
      <c r="Q240" s="69"/>
      <c r="R240" s="96"/>
      <c r="S240" s="69"/>
      <c r="T240" s="67"/>
      <c r="U240" s="67"/>
      <c r="V240" s="67"/>
      <c r="W240" s="67"/>
      <c r="X240" s="67"/>
      <c r="Y240" s="71"/>
      <c r="Z240" s="1"/>
    </row>
    <row r="241" spans="1:26" ht="36" customHeight="1">
      <c r="A241" s="1"/>
      <c r="B241" s="66" t="s">
        <v>6171</v>
      </c>
      <c r="C241" s="66"/>
      <c r="D241" s="66"/>
      <c r="E241" s="66"/>
      <c r="F241" s="96"/>
      <c r="G241" s="96"/>
      <c r="H241" s="96"/>
      <c r="I241" s="96"/>
      <c r="J241" s="96"/>
      <c r="K241" s="103"/>
      <c r="L241" s="66"/>
      <c r="M241" s="68"/>
      <c r="N241" s="68"/>
      <c r="O241" s="96"/>
      <c r="P241" s="69"/>
      <c r="Q241" s="96"/>
      <c r="R241" s="96"/>
      <c r="S241" s="69"/>
      <c r="T241" s="67"/>
      <c r="U241" s="67"/>
      <c r="V241" s="67"/>
      <c r="W241" s="67"/>
      <c r="X241" s="67"/>
      <c r="Y241" s="71"/>
      <c r="Z241" s="1"/>
    </row>
    <row r="242" spans="1:26" ht="36" customHeight="1">
      <c r="A242" s="1"/>
      <c r="B242" s="66" t="s">
        <v>6172</v>
      </c>
      <c r="C242" s="66"/>
      <c r="D242" s="66"/>
      <c r="E242" s="66"/>
      <c r="F242" s="96"/>
      <c r="G242" s="96"/>
      <c r="H242" s="96"/>
      <c r="I242" s="96"/>
      <c r="J242" s="96"/>
      <c r="K242" s="103"/>
      <c r="L242" s="66"/>
      <c r="M242" s="68"/>
      <c r="N242" s="68"/>
      <c r="O242" s="96"/>
      <c r="P242" s="69"/>
      <c r="Q242" s="69"/>
      <c r="R242" s="96"/>
      <c r="S242" s="69"/>
      <c r="T242" s="67"/>
      <c r="U242" s="67"/>
      <c r="V242" s="67"/>
      <c r="W242" s="67"/>
      <c r="X242" s="67"/>
      <c r="Y242" s="71"/>
      <c r="Z242" s="1"/>
    </row>
    <row r="243" spans="1:26" ht="36" customHeight="1">
      <c r="A243" s="1"/>
      <c r="B243" s="66" t="s">
        <v>6173</v>
      </c>
      <c r="C243" s="66"/>
      <c r="D243" s="66"/>
      <c r="E243" s="66"/>
      <c r="F243" s="96"/>
      <c r="G243" s="96"/>
      <c r="H243" s="96"/>
      <c r="I243" s="96"/>
      <c r="J243" s="96"/>
      <c r="K243" s="103"/>
      <c r="L243" s="66"/>
      <c r="M243" s="68"/>
      <c r="N243" s="68"/>
      <c r="O243" s="96"/>
      <c r="P243" s="69"/>
      <c r="Q243" s="69"/>
      <c r="R243" s="100"/>
      <c r="S243" s="100"/>
      <c r="T243" s="67"/>
      <c r="U243" s="67"/>
      <c r="V243" s="67"/>
      <c r="W243" s="67"/>
      <c r="X243" s="67"/>
      <c r="Y243" s="71"/>
      <c r="Z243" s="1"/>
    </row>
    <row r="244" spans="1:26" ht="36" customHeight="1">
      <c r="A244" s="1"/>
      <c r="B244" s="66" t="s">
        <v>6174</v>
      </c>
      <c r="C244" s="66"/>
      <c r="D244" s="66"/>
      <c r="E244" s="66"/>
      <c r="F244" s="96"/>
      <c r="G244" s="96"/>
      <c r="H244" s="96"/>
      <c r="I244" s="96"/>
      <c r="J244" s="96"/>
      <c r="K244" s="103"/>
      <c r="L244" s="66"/>
      <c r="M244" s="68"/>
      <c r="N244" s="68"/>
      <c r="O244" s="96"/>
      <c r="P244" s="69"/>
      <c r="Q244" s="69"/>
      <c r="R244" s="96"/>
      <c r="S244" s="69"/>
      <c r="T244" s="67"/>
      <c r="U244" s="67"/>
      <c r="V244" s="67"/>
      <c r="W244" s="67"/>
      <c r="X244" s="67"/>
      <c r="Y244" s="71"/>
      <c r="Z244" s="1"/>
    </row>
    <row r="245" spans="1:26" ht="36" customHeight="1">
      <c r="A245" s="1"/>
      <c r="B245" s="66" t="s">
        <v>6175</v>
      </c>
      <c r="C245" s="66"/>
      <c r="D245" s="66"/>
      <c r="E245" s="66"/>
      <c r="F245" s="96"/>
      <c r="G245" s="96"/>
      <c r="H245" s="96"/>
      <c r="I245" s="96"/>
      <c r="J245" s="96"/>
      <c r="K245" s="103"/>
      <c r="L245" s="66"/>
      <c r="M245" s="68"/>
      <c r="N245" s="68"/>
      <c r="O245" s="96"/>
      <c r="P245" s="69"/>
      <c r="Q245" s="96"/>
      <c r="R245" s="96"/>
      <c r="S245" s="69"/>
      <c r="T245" s="67"/>
      <c r="U245" s="67"/>
      <c r="V245" s="67"/>
      <c r="W245" s="67"/>
      <c r="X245" s="67"/>
      <c r="Y245" s="71"/>
      <c r="Z245" s="1"/>
    </row>
    <row r="246" spans="1:26" ht="36" customHeight="1">
      <c r="A246" s="1"/>
      <c r="B246" s="66" t="s">
        <v>6176</v>
      </c>
      <c r="C246" s="66"/>
      <c r="D246" s="66"/>
      <c r="E246" s="66"/>
      <c r="F246" s="96"/>
      <c r="G246" s="96"/>
      <c r="H246" s="96"/>
      <c r="I246" s="96"/>
      <c r="J246" s="96"/>
      <c r="K246" s="103"/>
      <c r="L246" s="66"/>
      <c r="M246" s="68"/>
      <c r="N246" s="68"/>
      <c r="O246" s="96"/>
      <c r="P246" s="69"/>
      <c r="Q246" s="69"/>
      <c r="R246" s="96"/>
      <c r="S246" s="69"/>
      <c r="T246" s="67"/>
      <c r="U246" s="67"/>
      <c r="V246" s="67"/>
      <c r="W246" s="67"/>
      <c r="X246" s="67"/>
      <c r="Y246" s="71"/>
      <c r="Z246" s="1"/>
    </row>
    <row r="247" spans="1:26" ht="36" customHeight="1">
      <c r="A247" s="1"/>
      <c r="B247" s="66" t="s">
        <v>6177</v>
      </c>
      <c r="C247" s="66"/>
      <c r="D247" s="66"/>
      <c r="E247" s="66"/>
      <c r="F247" s="96"/>
      <c r="G247" s="96"/>
      <c r="H247" s="96"/>
      <c r="I247" s="96"/>
      <c r="J247" s="96"/>
      <c r="K247" s="103"/>
      <c r="L247" s="66"/>
      <c r="M247" s="68"/>
      <c r="N247" s="68"/>
      <c r="O247" s="96"/>
      <c r="P247" s="69"/>
      <c r="Q247" s="69"/>
      <c r="R247" s="96"/>
      <c r="S247" s="69"/>
      <c r="T247" s="67"/>
      <c r="U247" s="67"/>
      <c r="V247" s="67"/>
      <c r="W247" s="67"/>
      <c r="X247" s="67"/>
      <c r="Y247" s="71"/>
      <c r="Z247" s="1"/>
    </row>
    <row r="248" spans="1:26" ht="36" customHeight="1">
      <c r="A248" s="1"/>
      <c r="B248" s="66" t="s">
        <v>6178</v>
      </c>
      <c r="C248" s="66"/>
      <c r="D248" s="66"/>
      <c r="E248" s="66"/>
      <c r="F248" s="96"/>
      <c r="G248" s="96"/>
      <c r="H248" s="96"/>
      <c r="I248" s="96"/>
      <c r="J248" s="96"/>
      <c r="K248" s="103"/>
      <c r="L248" s="66"/>
      <c r="M248" s="68"/>
      <c r="N248" s="68"/>
      <c r="O248" s="96"/>
      <c r="P248" s="69"/>
      <c r="Q248" s="96"/>
      <c r="R248" s="96"/>
      <c r="S248" s="69"/>
      <c r="T248" s="67"/>
      <c r="U248" s="67"/>
      <c r="V248" s="67"/>
      <c r="W248" s="67"/>
      <c r="X248" s="67"/>
      <c r="Y248" s="71"/>
      <c r="Z248" s="1"/>
    </row>
    <row r="249" spans="1:26" ht="36" customHeight="1">
      <c r="A249" s="1"/>
      <c r="B249" s="66" t="s">
        <v>6179</v>
      </c>
      <c r="C249" s="66"/>
      <c r="D249" s="66"/>
      <c r="E249" s="66"/>
      <c r="F249" s="96"/>
      <c r="G249" s="96"/>
      <c r="H249" s="96"/>
      <c r="I249" s="96"/>
      <c r="J249" s="96"/>
      <c r="K249" s="103"/>
      <c r="L249" s="66"/>
      <c r="M249" s="68"/>
      <c r="N249" s="68"/>
      <c r="O249" s="96"/>
      <c r="P249" s="69"/>
      <c r="Q249" s="96"/>
      <c r="R249" s="96"/>
      <c r="S249" s="69"/>
      <c r="T249" s="67"/>
      <c r="U249" s="67"/>
      <c r="V249" s="67"/>
      <c r="W249" s="67"/>
      <c r="X249" s="67"/>
      <c r="Y249" s="71"/>
      <c r="Z249" s="1"/>
    </row>
    <row r="250" spans="1:26" ht="36" customHeight="1">
      <c r="A250" s="1"/>
      <c r="B250" s="66" t="s">
        <v>6180</v>
      </c>
      <c r="C250" s="66"/>
      <c r="D250" s="66"/>
      <c r="E250" s="66"/>
      <c r="F250" s="96"/>
      <c r="G250" s="96"/>
      <c r="H250" s="96"/>
      <c r="I250" s="96"/>
      <c r="J250" s="96"/>
      <c r="K250" s="103"/>
      <c r="L250" s="66"/>
      <c r="M250" s="68"/>
      <c r="N250" s="68"/>
      <c r="O250" s="96"/>
      <c r="P250" s="69"/>
      <c r="Q250" s="96"/>
      <c r="R250" s="96"/>
      <c r="S250" s="69"/>
      <c r="T250" s="67"/>
      <c r="U250" s="67"/>
      <c r="V250" s="67"/>
      <c r="W250" s="67"/>
      <c r="X250" s="67"/>
      <c r="Y250" s="71"/>
      <c r="Z250" s="1"/>
    </row>
    <row r="251" spans="1:26" ht="36" customHeight="1">
      <c r="A251" s="1"/>
      <c r="B251" s="66" t="s">
        <v>6181</v>
      </c>
      <c r="C251" s="66"/>
      <c r="D251" s="66"/>
      <c r="E251" s="66"/>
      <c r="F251" s="96"/>
      <c r="G251" s="96"/>
      <c r="H251" s="96"/>
      <c r="I251" s="96"/>
      <c r="J251" s="96"/>
      <c r="K251" s="103"/>
      <c r="L251" s="66"/>
      <c r="M251" s="68"/>
      <c r="N251" s="68"/>
      <c r="O251" s="96"/>
      <c r="P251" s="69"/>
      <c r="Q251" s="69"/>
      <c r="R251" s="96"/>
      <c r="S251" s="69"/>
      <c r="T251" s="67"/>
      <c r="U251" s="67"/>
      <c r="V251" s="67"/>
      <c r="W251" s="67"/>
      <c r="X251" s="67"/>
      <c r="Y251" s="71"/>
      <c r="Z251" s="1"/>
    </row>
    <row r="252" spans="1:26" ht="36" customHeight="1">
      <c r="A252" s="1"/>
      <c r="B252" s="66" t="s">
        <v>6182</v>
      </c>
      <c r="C252" s="66"/>
      <c r="D252" s="66"/>
      <c r="E252" s="66"/>
      <c r="F252" s="96"/>
      <c r="G252" s="96"/>
      <c r="H252" s="96"/>
      <c r="I252" s="96"/>
      <c r="J252" s="96"/>
      <c r="K252" s="103"/>
      <c r="L252" s="66"/>
      <c r="M252" s="68"/>
      <c r="N252" s="68"/>
      <c r="O252" s="96"/>
      <c r="P252" s="69"/>
      <c r="Q252" s="96"/>
      <c r="R252" s="96"/>
      <c r="S252" s="69"/>
      <c r="T252" s="67"/>
      <c r="U252" s="67"/>
      <c r="V252" s="67"/>
      <c r="W252" s="67"/>
      <c r="X252" s="67"/>
      <c r="Y252" s="71"/>
      <c r="Z252" s="1"/>
    </row>
    <row r="253" spans="1:26" ht="36" customHeight="1">
      <c r="A253" s="1"/>
      <c r="B253" s="66" t="s">
        <v>6183</v>
      </c>
      <c r="C253" s="66"/>
      <c r="D253" s="66"/>
      <c r="E253" s="66"/>
      <c r="F253" s="96"/>
      <c r="G253" s="96"/>
      <c r="H253" s="96"/>
      <c r="I253" s="96"/>
      <c r="J253" s="96"/>
      <c r="K253" s="103"/>
      <c r="L253" s="66"/>
      <c r="M253" s="68"/>
      <c r="N253" s="68"/>
      <c r="O253" s="96"/>
      <c r="P253" s="69"/>
      <c r="Q253" s="96"/>
      <c r="R253" s="96"/>
      <c r="S253" s="69"/>
      <c r="T253" s="67"/>
      <c r="U253" s="67"/>
      <c r="V253" s="67"/>
      <c r="W253" s="67"/>
      <c r="X253" s="67"/>
      <c r="Y253" s="71"/>
      <c r="Z253" s="1"/>
    </row>
    <row r="254" spans="1:26" ht="36" customHeight="1">
      <c r="A254" s="1"/>
      <c r="B254" s="66" t="s">
        <v>6184</v>
      </c>
      <c r="C254" s="66"/>
      <c r="D254" s="66"/>
      <c r="E254" s="66"/>
      <c r="F254" s="96"/>
      <c r="G254" s="96"/>
      <c r="H254" s="96"/>
      <c r="I254" s="96"/>
      <c r="J254" s="96"/>
      <c r="K254" s="103"/>
      <c r="L254" s="66"/>
      <c r="M254" s="68"/>
      <c r="N254" s="68"/>
      <c r="O254" s="96"/>
      <c r="P254" s="69"/>
      <c r="Q254" s="96"/>
      <c r="R254" s="96"/>
      <c r="S254" s="69"/>
      <c r="T254" s="67"/>
      <c r="U254" s="67"/>
      <c r="V254" s="67"/>
      <c r="W254" s="67"/>
      <c r="X254" s="67"/>
      <c r="Y254" s="71"/>
      <c r="Z254" s="1"/>
    </row>
    <row r="255" spans="1:26" ht="36" customHeight="1">
      <c r="A255" s="1"/>
      <c r="B255" s="66" t="s">
        <v>6185</v>
      </c>
      <c r="C255" s="66"/>
      <c r="D255" s="66"/>
      <c r="E255" s="66"/>
      <c r="F255" s="96"/>
      <c r="G255" s="96"/>
      <c r="H255" s="96"/>
      <c r="I255" s="96"/>
      <c r="J255" s="96"/>
      <c r="K255" s="103"/>
      <c r="L255" s="66"/>
      <c r="M255" s="68"/>
      <c r="N255" s="68"/>
      <c r="O255" s="96"/>
      <c r="P255" s="69"/>
      <c r="Q255" s="69"/>
      <c r="R255" s="96"/>
      <c r="S255" s="69"/>
      <c r="T255" s="67"/>
      <c r="U255" s="67"/>
      <c r="V255" s="67"/>
      <c r="W255" s="67"/>
      <c r="X255" s="67"/>
      <c r="Y255" s="71"/>
      <c r="Z255" s="1"/>
    </row>
    <row r="256" spans="1:26" ht="36" customHeight="1">
      <c r="A256" s="1"/>
      <c r="B256" s="66" t="s">
        <v>6186</v>
      </c>
      <c r="C256" s="66"/>
      <c r="D256" s="66"/>
      <c r="E256" s="66"/>
      <c r="F256" s="96"/>
      <c r="G256" s="96"/>
      <c r="H256" s="96"/>
      <c r="I256" s="96"/>
      <c r="J256" s="96"/>
      <c r="K256" s="103"/>
      <c r="L256" s="66"/>
      <c r="M256" s="68"/>
      <c r="N256" s="68"/>
      <c r="O256" s="96"/>
      <c r="P256" s="69"/>
      <c r="Q256" s="96"/>
      <c r="R256" s="96"/>
      <c r="S256" s="69"/>
      <c r="T256" s="67"/>
      <c r="U256" s="67"/>
      <c r="V256" s="67"/>
      <c r="W256" s="67"/>
      <c r="X256" s="67"/>
      <c r="Y256" s="71"/>
      <c r="Z256" s="1"/>
    </row>
    <row r="257" spans="1:26" ht="36" customHeight="1">
      <c r="A257" s="1"/>
      <c r="B257" s="66" t="s">
        <v>6187</v>
      </c>
      <c r="C257" s="66"/>
      <c r="D257" s="66"/>
      <c r="E257" s="66"/>
      <c r="F257" s="96"/>
      <c r="G257" s="96"/>
      <c r="H257" s="96"/>
      <c r="I257" s="96"/>
      <c r="J257" s="96"/>
      <c r="K257" s="103"/>
      <c r="L257" s="66"/>
      <c r="M257" s="68"/>
      <c r="N257" s="68"/>
      <c r="O257" s="96"/>
      <c r="P257" s="69"/>
      <c r="Q257" s="96"/>
      <c r="R257" s="96"/>
      <c r="S257" s="69"/>
      <c r="T257" s="67"/>
      <c r="U257" s="67"/>
      <c r="V257" s="67"/>
      <c r="W257" s="67"/>
      <c r="X257" s="67"/>
      <c r="Y257" s="71"/>
      <c r="Z257" s="1"/>
    </row>
    <row r="258" spans="1:26" ht="36" customHeight="1">
      <c r="A258" s="1"/>
      <c r="B258" s="66" t="s">
        <v>6188</v>
      </c>
      <c r="C258" s="66"/>
      <c r="D258" s="66"/>
      <c r="E258" s="66"/>
      <c r="F258" s="96"/>
      <c r="G258" s="96"/>
      <c r="H258" s="96"/>
      <c r="I258" s="96"/>
      <c r="J258" s="96"/>
      <c r="K258" s="103"/>
      <c r="L258" s="66"/>
      <c r="M258" s="68"/>
      <c r="N258" s="68"/>
      <c r="O258" s="96"/>
      <c r="P258" s="69"/>
      <c r="Q258" s="69"/>
      <c r="R258" s="96"/>
      <c r="S258" s="69"/>
      <c r="T258" s="67"/>
      <c r="U258" s="67"/>
      <c r="V258" s="67"/>
      <c r="W258" s="71"/>
      <c r="X258" s="71"/>
      <c r="Y258" s="71"/>
      <c r="Z258" s="1"/>
    </row>
    <row r="259" spans="1:26" ht="36" customHeight="1">
      <c r="A259" s="1"/>
      <c r="B259" s="66" t="s">
        <v>6189</v>
      </c>
      <c r="C259" s="66"/>
      <c r="D259" s="66"/>
      <c r="E259" s="66"/>
      <c r="F259" s="96"/>
      <c r="G259" s="96"/>
      <c r="H259" s="96"/>
      <c r="I259" s="96"/>
      <c r="J259" s="96"/>
      <c r="K259" s="103"/>
      <c r="L259" s="66"/>
      <c r="M259" s="68"/>
      <c r="N259" s="68"/>
      <c r="O259" s="96"/>
      <c r="P259" s="69"/>
      <c r="Q259" s="69"/>
      <c r="R259" s="96"/>
      <c r="S259" s="69"/>
      <c r="T259" s="67"/>
      <c r="U259" s="67"/>
      <c r="V259" s="67"/>
      <c r="W259" s="71"/>
      <c r="X259" s="71"/>
      <c r="Y259" s="71"/>
      <c r="Z259" s="1"/>
    </row>
    <row r="260" spans="1:26" ht="36" customHeight="1">
      <c r="A260" s="1"/>
      <c r="B260" s="66" t="s">
        <v>6190</v>
      </c>
      <c r="C260" s="66"/>
      <c r="D260" s="66"/>
      <c r="E260" s="66"/>
      <c r="F260" s="96"/>
      <c r="G260" s="96"/>
      <c r="H260" s="96"/>
      <c r="I260" s="96"/>
      <c r="J260" s="96"/>
      <c r="K260" s="103"/>
      <c r="L260" s="66"/>
      <c r="M260" s="68"/>
      <c r="N260" s="68"/>
      <c r="O260" s="96"/>
      <c r="P260" s="69"/>
      <c r="Q260" s="96"/>
      <c r="R260" s="96"/>
      <c r="S260" s="69"/>
      <c r="T260" s="67"/>
      <c r="U260" s="67"/>
      <c r="V260" s="67"/>
      <c r="W260" s="71"/>
      <c r="X260" s="71"/>
      <c r="Y260" s="71"/>
      <c r="Z260" s="1"/>
    </row>
    <row r="261" spans="1:26" ht="36" customHeight="1">
      <c r="A261" s="1"/>
      <c r="B261" s="66" t="s">
        <v>6191</v>
      </c>
      <c r="C261" s="66"/>
      <c r="D261" s="66"/>
      <c r="E261" s="66"/>
      <c r="F261" s="96"/>
      <c r="G261" s="96"/>
      <c r="H261" s="96"/>
      <c r="I261" s="96"/>
      <c r="J261" s="96"/>
      <c r="K261" s="103"/>
      <c r="L261" s="66"/>
      <c r="M261" s="68"/>
      <c r="N261" s="68"/>
      <c r="O261" s="96"/>
      <c r="P261" s="69"/>
      <c r="Q261" s="69"/>
      <c r="R261" s="96"/>
      <c r="S261" s="69"/>
      <c r="T261" s="67"/>
      <c r="U261" s="67"/>
      <c r="V261" s="67"/>
      <c r="W261" s="71"/>
      <c r="X261" s="71"/>
      <c r="Y261" s="71"/>
      <c r="Z261" s="1"/>
    </row>
    <row r="262" spans="1:26" ht="36" customHeight="1">
      <c r="A262" s="1"/>
      <c r="B262" s="66" t="s">
        <v>6192</v>
      </c>
      <c r="C262" s="66"/>
      <c r="D262" s="66"/>
      <c r="E262" s="66"/>
      <c r="F262" s="96"/>
      <c r="G262" s="96"/>
      <c r="H262" s="96"/>
      <c r="I262" s="96"/>
      <c r="J262" s="96"/>
      <c r="K262" s="103"/>
      <c r="L262" s="66"/>
      <c r="M262" s="68"/>
      <c r="N262" s="68"/>
      <c r="O262" s="96"/>
      <c r="P262" s="69"/>
      <c r="Q262" s="69"/>
      <c r="R262" s="96"/>
      <c r="S262" s="69"/>
      <c r="T262" s="67"/>
      <c r="U262" s="67"/>
      <c r="V262" s="67"/>
      <c r="W262" s="71"/>
      <c r="X262" s="71"/>
      <c r="Y262" s="71"/>
      <c r="Z262" s="1"/>
    </row>
    <row r="263" spans="1:26" ht="36" customHeight="1">
      <c r="A263" s="1"/>
      <c r="B263" s="66" t="s">
        <v>6193</v>
      </c>
      <c r="C263" s="66"/>
      <c r="D263" s="66"/>
      <c r="E263" s="66"/>
      <c r="F263" s="96"/>
      <c r="G263" s="96"/>
      <c r="H263" s="96"/>
      <c r="I263" s="96"/>
      <c r="J263" s="96"/>
      <c r="K263" s="103"/>
      <c r="L263" s="66"/>
      <c r="M263" s="68"/>
      <c r="N263" s="68"/>
      <c r="O263" s="96"/>
      <c r="P263" s="69"/>
      <c r="Q263" s="96"/>
      <c r="R263" s="96"/>
      <c r="S263" s="69"/>
      <c r="T263" s="67"/>
      <c r="U263" s="67"/>
      <c r="V263" s="67"/>
      <c r="W263" s="71"/>
      <c r="X263" s="71"/>
      <c r="Y263" s="71"/>
      <c r="Z263" s="1"/>
    </row>
    <row r="264" spans="1:26" ht="36" customHeight="1">
      <c r="A264" s="1"/>
      <c r="B264" s="66" t="s">
        <v>6194</v>
      </c>
      <c r="C264" s="66"/>
      <c r="D264" s="66"/>
      <c r="E264" s="66"/>
      <c r="F264" s="96"/>
      <c r="G264" s="96"/>
      <c r="H264" s="96"/>
      <c r="I264" s="96"/>
      <c r="J264" s="96"/>
      <c r="K264" s="103"/>
      <c r="L264" s="66"/>
      <c r="M264" s="68"/>
      <c r="N264" s="68"/>
      <c r="O264" s="96"/>
      <c r="P264" s="69"/>
      <c r="Q264" s="69"/>
      <c r="R264" s="96"/>
      <c r="S264" s="69"/>
      <c r="T264" s="67"/>
      <c r="U264" s="67"/>
      <c r="V264" s="67"/>
      <c r="W264" s="71"/>
      <c r="X264" s="71"/>
      <c r="Y264" s="71"/>
      <c r="Z264" s="1"/>
    </row>
    <row r="265" spans="1:26" ht="36" customHeight="1">
      <c r="A265" s="1"/>
      <c r="B265" s="66" t="s">
        <v>6195</v>
      </c>
      <c r="C265" s="66"/>
      <c r="D265" s="66"/>
      <c r="E265" s="66"/>
      <c r="F265" s="96"/>
      <c r="G265" s="96"/>
      <c r="H265" s="96"/>
      <c r="I265" s="96"/>
      <c r="J265" s="96"/>
      <c r="K265" s="103"/>
      <c r="L265" s="66"/>
      <c r="M265" s="68"/>
      <c r="N265" s="68"/>
      <c r="O265" s="96"/>
      <c r="P265" s="69"/>
      <c r="Q265" s="69"/>
      <c r="R265" s="96"/>
      <c r="S265" s="69"/>
      <c r="T265" s="67"/>
      <c r="U265" s="67"/>
      <c r="V265" s="67"/>
      <c r="W265" s="71"/>
      <c r="X265" s="71"/>
      <c r="Y265" s="71"/>
      <c r="Z265" s="1"/>
    </row>
    <row r="266" spans="1:26" ht="36" customHeight="1">
      <c r="A266" s="1"/>
      <c r="B266" s="66" t="s">
        <v>6196</v>
      </c>
      <c r="C266" s="66"/>
      <c r="D266" s="66"/>
      <c r="E266" s="66"/>
      <c r="F266" s="96"/>
      <c r="G266" s="96"/>
      <c r="H266" s="96"/>
      <c r="I266" s="96"/>
      <c r="J266" s="96"/>
      <c r="K266" s="103"/>
      <c r="L266" s="66"/>
      <c r="M266" s="68"/>
      <c r="N266" s="68"/>
      <c r="O266" s="96"/>
      <c r="P266" s="69"/>
      <c r="Q266" s="69"/>
      <c r="R266" s="96"/>
      <c r="S266" s="69"/>
      <c r="T266" s="67"/>
      <c r="U266" s="67"/>
      <c r="V266" s="67"/>
      <c r="W266" s="71"/>
      <c r="X266" s="71"/>
      <c r="Y266" s="71"/>
      <c r="Z266" s="1"/>
    </row>
    <row r="267" spans="1:26" ht="36" customHeight="1">
      <c r="A267" s="1"/>
      <c r="B267" s="66" t="s">
        <v>6197</v>
      </c>
      <c r="C267" s="66"/>
      <c r="D267" s="66"/>
      <c r="E267" s="66"/>
      <c r="F267" s="96"/>
      <c r="G267" s="96"/>
      <c r="H267" s="96"/>
      <c r="I267" s="96"/>
      <c r="J267" s="96"/>
      <c r="K267" s="103"/>
      <c r="L267" s="66"/>
      <c r="M267" s="68"/>
      <c r="N267" s="68"/>
      <c r="O267" s="96"/>
      <c r="P267" s="69"/>
      <c r="Q267" s="69"/>
      <c r="R267" s="96"/>
      <c r="S267" s="69"/>
      <c r="T267" s="67"/>
      <c r="U267" s="67"/>
      <c r="V267" s="67"/>
      <c r="W267" s="71"/>
      <c r="X267" s="71"/>
      <c r="Y267" s="71"/>
      <c r="Z267" s="1"/>
    </row>
    <row r="268" spans="1:26" ht="36" customHeight="1">
      <c r="A268" s="1"/>
      <c r="B268" s="66" t="s">
        <v>6198</v>
      </c>
      <c r="C268" s="66"/>
      <c r="D268" s="66"/>
      <c r="E268" s="66"/>
      <c r="F268" s="96"/>
      <c r="G268" s="96"/>
      <c r="H268" s="96"/>
      <c r="I268" s="96"/>
      <c r="J268" s="96"/>
      <c r="K268" s="103"/>
      <c r="L268" s="66"/>
      <c r="M268" s="68"/>
      <c r="N268" s="68"/>
      <c r="O268" s="96"/>
      <c r="P268" s="69"/>
      <c r="Q268" s="69"/>
      <c r="R268" s="96"/>
      <c r="S268" s="69"/>
      <c r="T268" s="67"/>
      <c r="U268" s="67"/>
      <c r="V268" s="67"/>
      <c r="W268" s="71"/>
      <c r="X268" s="71"/>
      <c r="Y268" s="71"/>
      <c r="Z268" s="1"/>
    </row>
    <row r="269" spans="1:26" ht="36" customHeight="1">
      <c r="A269" s="1"/>
      <c r="B269" s="66" t="s">
        <v>6199</v>
      </c>
      <c r="C269" s="66"/>
      <c r="D269" s="66"/>
      <c r="E269" s="66"/>
      <c r="F269" s="96"/>
      <c r="G269" s="96"/>
      <c r="H269" s="96"/>
      <c r="I269" s="96"/>
      <c r="J269" s="96"/>
      <c r="K269" s="103"/>
      <c r="L269" s="66"/>
      <c r="M269" s="68"/>
      <c r="N269" s="68"/>
      <c r="O269" s="96"/>
      <c r="P269" s="69"/>
      <c r="Q269" s="96"/>
      <c r="R269" s="96"/>
      <c r="S269" s="69"/>
      <c r="T269" s="67"/>
      <c r="U269" s="67"/>
      <c r="V269" s="67"/>
      <c r="W269" s="71"/>
      <c r="X269" s="71"/>
      <c r="Y269" s="71"/>
      <c r="Z269" s="1"/>
    </row>
    <row r="270" spans="1:26" ht="36" customHeight="1">
      <c r="A270" s="1"/>
      <c r="B270" s="66" t="s">
        <v>6200</v>
      </c>
      <c r="C270" s="66"/>
      <c r="D270" s="66"/>
      <c r="E270" s="66"/>
      <c r="F270" s="96"/>
      <c r="G270" s="96"/>
      <c r="H270" s="96"/>
      <c r="I270" s="96"/>
      <c r="J270" s="96"/>
      <c r="K270" s="103"/>
      <c r="L270" s="66"/>
      <c r="M270" s="68"/>
      <c r="N270" s="68"/>
      <c r="O270" s="96"/>
      <c r="P270" s="69"/>
      <c r="Q270" s="69"/>
      <c r="R270" s="96"/>
      <c r="S270" s="69"/>
      <c r="T270" s="67"/>
      <c r="U270" s="67"/>
      <c r="V270" s="67"/>
      <c r="W270" s="71"/>
      <c r="X270" s="71"/>
      <c r="Y270" s="71"/>
      <c r="Z270" s="1"/>
    </row>
    <row r="271" spans="1:26" ht="36" customHeight="1">
      <c r="A271" s="1"/>
      <c r="B271" s="66" t="s">
        <v>6201</v>
      </c>
      <c r="C271" s="66"/>
      <c r="D271" s="66"/>
      <c r="E271" s="66"/>
      <c r="F271" s="96"/>
      <c r="G271" s="96"/>
      <c r="H271" s="96"/>
      <c r="I271" s="96"/>
      <c r="J271" s="96"/>
      <c r="K271" s="103"/>
      <c r="L271" s="66"/>
      <c r="M271" s="68"/>
      <c r="N271" s="68"/>
      <c r="O271" s="96"/>
      <c r="P271" s="69"/>
      <c r="Q271" s="69"/>
      <c r="R271" s="96"/>
      <c r="S271" s="69"/>
      <c r="T271" s="67"/>
      <c r="U271" s="67"/>
      <c r="V271" s="67"/>
      <c r="W271" s="71"/>
      <c r="X271" s="71"/>
      <c r="Y271" s="71"/>
      <c r="Z271" s="1"/>
    </row>
    <row r="272" spans="1:26" ht="36" customHeight="1">
      <c r="A272" s="1"/>
      <c r="B272" s="66" t="s">
        <v>6202</v>
      </c>
      <c r="C272" s="66"/>
      <c r="D272" s="66"/>
      <c r="E272" s="66"/>
      <c r="F272" s="96"/>
      <c r="G272" s="96"/>
      <c r="H272" s="96"/>
      <c r="I272" s="96"/>
      <c r="J272" s="96"/>
      <c r="K272" s="103"/>
      <c r="L272" s="66"/>
      <c r="M272" s="68"/>
      <c r="N272" s="68"/>
      <c r="O272" s="96"/>
      <c r="P272" s="69"/>
      <c r="Q272" s="69"/>
      <c r="R272" s="96"/>
      <c r="S272" s="69"/>
      <c r="T272" s="67"/>
      <c r="U272" s="67"/>
      <c r="V272" s="67"/>
      <c r="W272" s="71"/>
      <c r="X272" s="71"/>
      <c r="Y272" s="71"/>
      <c r="Z272" s="1"/>
    </row>
    <row r="273" spans="1:26" ht="36" customHeight="1">
      <c r="A273" s="1"/>
      <c r="B273" s="66" t="s">
        <v>6203</v>
      </c>
      <c r="C273" s="66"/>
      <c r="D273" s="66"/>
      <c r="E273" s="66"/>
      <c r="F273" s="96"/>
      <c r="G273" s="96"/>
      <c r="H273" s="96"/>
      <c r="I273" s="96"/>
      <c r="J273" s="96"/>
      <c r="K273" s="103"/>
      <c r="L273" s="66"/>
      <c r="M273" s="68"/>
      <c r="N273" s="68"/>
      <c r="O273" s="96"/>
      <c r="P273" s="69"/>
      <c r="Q273" s="69"/>
      <c r="R273" s="96"/>
      <c r="S273" s="100"/>
      <c r="T273" s="67"/>
      <c r="U273" s="67"/>
      <c r="V273" s="67"/>
      <c r="W273" s="71"/>
      <c r="X273" s="71"/>
      <c r="Y273" s="71"/>
      <c r="Z273" s="1"/>
    </row>
    <row r="274" spans="1:26" ht="36" customHeight="1">
      <c r="A274" s="1"/>
      <c r="B274" s="66" t="s">
        <v>6204</v>
      </c>
      <c r="C274" s="66"/>
      <c r="D274" s="66"/>
      <c r="E274" s="66"/>
      <c r="F274" s="96"/>
      <c r="G274" s="96"/>
      <c r="H274" s="96"/>
      <c r="I274" s="96"/>
      <c r="J274" s="96"/>
      <c r="K274" s="103"/>
      <c r="L274" s="66"/>
      <c r="M274" s="68"/>
      <c r="N274" s="68"/>
      <c r="O274" s="96"/>
      <c r="P274" s="69"/>
      <c r="Q274" s="69"/>
      <c r="R274" s="96"/>
      <c r="S274" s="69"/>
      <c r="T274" s="67"/>
      <c r="U274" s="67"/>
      <c r="V274" s="67"/>
      <c r="W274" s="71"/>
      <c r="X274" s="71"/>
      <c r="Y274" s="71"/>
      <c r="Z274" s="1"/>
    </row>
    <row r="275" spans="1:26" ht="36" customHeight="1">
      <c r="A275" s="1"/>
      <c r="B275" s="66" t="s">
        <v>6205</v>
      </c>
      <c r="C275" s="66"/>
      <c r="D275" s="66"/>
      <c r="E275" s="66"/>
      <c r="F275" s="96"/>
      <c r="G275" s="96"/>
      <c r="H275" s="96"/>
      <c r="I275" s="96"/>
      <c r="J275" s="96"/>
      <c r="K275" s="103"/>
      <c r="L275" s="66"/>
      <c r="M275" s="68"/>
      <c r="N275" s="68"/>
      <c r="O275" s="96"/>
      <c r="P275" s="69"/>
      <c r="Q275" s="69"/>
      <c r="R275" s="96"/>
      <c r="S275" s="69"/>
      <c r="T275" s="67"/>
      <c r="U275" s="67"/>
      <c r="V275" s="67"/>
      <c r="W275" s="71"/>
      <c r="X275" s="71"/>
      <c r="Y275" s="71"/>
      <c r="Z275" s="1"/>
    </row>
    <row r="276" spans="1:26" ht="36" customHeight="1">
      <c r="A276" s="1"/>
      <c r="B276" s="66" t="s">
        <v>6206</v>
      </c>
      <c r="C276" s="66"/>
      <c r="D276" s="66"/>
      <c r="E276" s="66"/>
      <c r="F276" s="96"/>
      <c r="G276" s="96"/>
      <c r="H276" s="96"/>
      <c r="I276" s="96"/>
      <c r="J276" s="96"/>
      <c r="K276" s="103"/>
      <c r="L276" s="66"/>
      <c r="M276" s="68"/>
      <c r="N276" s="68"/>
      <c r="O276" s="96"/>
      <c r="P276" s="69"/>
      <c r="Q276" s="69"/>
      <c r="R276" s="96"/>
      <c r="S276" s="69"/>
      <c r="T276" s="67"/>
      <c r="U276" s="67"/>
      <c r="V276" s="67"/>
      <c r="W276" s="71"/>
      <c r="X276" s="71"/>
      <c r="Y276" s="71"/>
      <c r="Z276" s="1"/>
    </row>
    <row r="277" spans="1:26" ht="36" customHeight="1">
      <c r="A277" s="1"/>
      <c r="B277" s="66" t="s">
        <v>6207</v>
      </c>
      <c r="C277" s="66"/>
      <c r="D277" s="66"/>
      <c r="E277" s="66"/>
      <c r="F277" s="96"/>
      <c r="G277" s="96"/>
      <c r="H277" s="96"/>
      <c r="I277" s="96"/>
      <c r="J277" s="96"/>
      <c r="K277" s="103"/>
      <c r="L277" s="66"/>
      <c r="M277" s="68"/>
      <c r="N277" s="68"/>
      <c r="O277" s="96"/>
      <c r="P277" s="69"/>
      <c r="Q277" s="69"/>
      <c r="R277" s="96"/>
      <c r="S277" s="69"/>
      <c r="T277" s="67"/>
      <c r="U277" s="67"/>
      <c r="V277" s="67"/>
      <c r="W277" s="71"/>
      <c r="X277" s="71"/>
      <c r="Y277" s="71"/>
      <c r="Z277" s="1"/>
    </row>
    <row r="278" spans="1:26" ht="36" customHeight="1">
      <c r="A278" s="1"/>
      <c r="B278" s="66" t="s">
        <v>6208</v>
      </c>
      <c r="C278" s="66"/>
      <c r="D278" s="66"/>
      <c r="E278" s="66"/>
      <c r="F278" s="96"/>
      <c r="G278" s="96"/>
      <c r="H278" s="96"/>
      <c r="I278" s="96"/>
      <c r="J278" s="96"/>
      <c r="K278" s="103"/>
      <c r="L278" s="66"/>
      <c r="M278" s="68"/>
      <c r="N278" s="68"/>
      <c r="O278" s="96"/>
      <c r="P278" s="69"/>
      <c r="Q278" s="69"/>
      <c r="R278" s="96"/>
      <c r="S278" s="69"/>
      <c r="T278" s="67"/>
      <c r="U278" s="67"/>
      <c r="V278" s="67"/>
      <c r="W278" s="71"/>
      <c r="X278" s="71"/>
      <c r="Y278" s="71"/>
      <c r="Z278" s="1"/>
    </row>
    <row r="279" spans="1:26" ht="36" customHeight="1">
      <c r="A279" s="1"/>
      <c r="B279" s="66" t="s">
        <v>6209</v>
      </c>
      <c r="C279" s="66"/>
      <c r="D279" s="66"/>
      <c r="E279" s="66"/>
      <c r="F279" s="96"/>
      <c r="G279" s="96"/>
      <c r="H279" s="96"/>
      <c r="I279" s="96"/>
      <c r="J279" s="96"/>
      <c r="K279" s="103"/>
      <c r="L279" s="66"/>
      <c r="M279" s="68"/>
      <c r="N279" s="68"/>
      <c r="O279" s="96"/>
      <c r="P279" s="69"/>
      <c r="Q279" s="96"/>
      <c r="R279" s="96"/>
      <c r="S279" s="69"/>
      <c r="T279" s="67"/>
      <c r="U279" s="67"/>
      <c r="V279" s="67"/>
      <c r="W279" s="71"/>
      <c r="X279" s="71"/>
      <c r="Y279" s="71"/>
      <c r="Z279" s="1"/>
    </row>
    <row r="280" spans="1:26" ht="36" customHeight="1">
      <c r="A280" s="1"/>
      <c r="B280" s="66" t="s">
        <v>6210</v>
      </c>
      <c r="C280" s="66"/>
      <c r="D280" s="66"/>
      <c r="E280" s="66"/>
      <c r="F280" s="96"/>
      <c r="G280" s="96"/>
      <c r="H280" s="96"/>
      <c r="I280" s="96"/>
      <c r="J280" s="96"/>
      <c r="K280" s="103"/>
      <c r="L280" s="66"/>
      <c r="M280" s="68"/>
      <c r="N280" s="68"/>
      <c r="O280" s="96"/>
      <c r="P280" s="69"/>
      <c r="Q280" s="69"/>
      <c r="R280" s="96"/>
      <c r="S280" s="69"/>
      <c r="T280" s="67"/>
      <c r="U280" s="67"/>
      <c r="V280" s="67"/>
      <c r="W280" s="71"/>
      <c r="X280" s="71"/>
      <c r="Y280" s="71"/>
      <c r="Z280" s="1"/>
    </row>
    <row r="281" spans="1:26" ht="36" customHeight="1">
      <c r="A281" s="1"/>
      <c r="B281" s="66" t="s">
        <v>6211</v>
      </c>
      <c r="C281" s="66"/>
      <c r="D281" s="66"/>
      <c r="E281" s="66"/>
      <c r="F281" s="96"/>
      <c r="G281" s="96"/>
      <c r="H281" s="96"/>
      <c r="I281" s="96"/>
      <c r="J281" s="96"/>
      <c r="K281" s="103"/>
      <c r="L281" s="66"/>
      <c r="M281" s="68"/>
      <c r="N281" s="68"/>
      <c r="O281" s="96"/>
      <c r="P281" s="69"/>
      <c r="Q281" s="69"/>
      <c r="R281" s="96"/>
      <c r="S281" s="69"/>
      <c r="T281" s="67"/>
      <c r="U281" s="67"/>
      <c r="V281" s="67"/>
      <c r="W281" s="71"/>
      <c r="X281" s="71"/>
      <c r="Y281" s="71"/>
      <c r="Z281" s="1"/>
    </row>
    <row r="282" spans="1:26" ht="36" customHeight="1">
      <c r="A282" s="93"/>
      <c r="B282" s="66" t="s">
        <v>6212</v>
      </c>
      <c r="C282" s="66"/>
      <c r="D282" s="66"/>
      <c r="E282" s="66"/>
      <c r="F282" s="96"/>
      <c r="G282" s="96"/>
      <c r="H282" s="96"/>
      <c r="I282" s="96"/>
      <c r="J282" s="96"/>
      <c r="K282" s="103"/>
      <c r="L282" s="66"/>
      <c r="M282" s="68"/>
      <c r="N282" s="68"/>
      <c r="O282" s="96"/>
      <c r="P282" s="69"/>
      <c r="Q282" s="96"/>
      <c r="R282" s="96"/>
      <c r="S282" s="69"/>
      <c r="T282" s="67"/>
      <c r="U282" s="67"/>
      <c r="V282" s="67"/>
      <c r="W282" s="71"/>
      <c r="X282" s="71"/>
      <c r="Y282" s="71"/>
      <c r="Z282" s="1"/>
    </row>
    <row r="283" spans="1:26" ht="36" customHeight="1">
      <c r="A283" s="1"/>
      <c r="B283" s="66" t="s">
        <v>6213</v>
      </c>
      <c r="C283" s="66"/>
      <c r="D283" s="66"/>
      <c r="E283" s="66"/>
      <c r="F283" s="96"/>
      <c r="G283" s="96"/>
      <c r="H283" s="96"/>
      <c r="I283" s="96"/>
      <c r="J283" s="96"/>
      <c r="K283" s="103"/>
      <c r="L283" s="66"/>
      <c r="M283" s="68"/>
      <c r="N283" s="68"/>
      <c r="O283" s="96"/>
      <c r="P283" s="69"/>
      <c r="Q283" s="96"/>
      <c r="R283" s="96"/>
      <c r="S283" s="69"/>
      <c r="T283" s="67"/>
      <c r="U283" s="67"/>
      <c r="V283" s="71"/>
      <c r="W283" s="71"/>
      <c r="X283" s="71"/>
      <c r="Y283" s="71"/>
      <c r="Z283" s="1"/>
    </row>
    <row r="284" spans="1:26" ht="36" customHeight="1">
      <c r="A284" s="1"/>
      <c r="B284" s="66" t="s">
        <v>6214</v>
      </c>
      <c r="C284" s="66"/>
      <c r="D284" s="66"/>
      <c r="E284" s="66"/>
      <c r="F284" s="96"/>
      <c r="G284" s="96"/>
      <c r="H284" s="96"/>
      <c r="I284" s="96"/>
      <c r="J284" s="96"/>
      <c r="K284" s="103"/>
      <c r="L284" s="66"/>
      <c r="M284" s="68"/>
      <c r="N284" s="68"/>
      <c r="O284" s="96"/>
      <c r="P284" s="69"/>
      <c r="Q284" s="69"/>
      <c r="R284" s="96"/>
      <c r="S284" s="69"/>
      <c r="T284" s="67"/>
      <c r="U284" s="67"/>
      <c r="V284" s="67"/>
      <c r="W284" s="71"/>
      <c r="X284" s="71"/>
      <c r="Y284" s="71"/>
      <c r="Z284" s="1"/>
    </row>
    <row r="285" spans="1:26" ht="36" customHeight="1">
      <c r="A285" s="1"/>
      <c r="B285" s="66" t="s">
        <v>6215</v>
      </c>
      <c r="C285" s="66"/>
      <c r="D285" s="66"/>
      <c r="E285" s="66"/>
      <c r="F285" s="96"/>
      <c r="G285" s="96"/>
      <c r="H285" s="96"/>
      <c r="I285" s="96"/>
      <c r="J285" s="96"/>
      <c r="K285" s="103"/>
      <c r="L285" s="66"/>
      <c r="M285" s="68"/>
      <c r="N285" s="68"/>
      <c r="O285" s="96"/>
      <c r="P285" s="69"/>
      <c r="Q285" s="69"/>
      <c r="R285" s="96"/>
      <c r="S285" s="69"/>
      <c r="T285" s="67"/>
      <c r="U285" s="67"/>
      <c r="V285" s="67"/>
      <c r="W285" s="71"/>
      <c r="X285" s="71"/>
      <c r="Y285" s="71"/>
      <c r="Z285" s="1"/>
    </row>
    <row r="286" spans="1:26" ht="36" customHeight="1">
      <c r="A286" s="1"/>
      <c r="B286" s="66" t="s">
        <v>6216</v>
      </c>
      <c r="C286" s="66"/>
      <c r="D286" s="66"/>
      <c r="E286" s="66"/>
      <c r="F286" s="96"/>
      <c r="G286" s="96"/>
      <c r="H286" s="96"/>
      <c r="I286" s="96"/>
      <c r="J286" s="96"/>
      <c r="K286" s="103"/>
      <c r="L286" s="66"/>
      <c r="M286" s="68"/>
      <c r="N286" s="68"/>
      <c r="O286" s="96"/>
      <c r="P286" s="69"/>
      <c r="Q286" s="96"/>
      <c r="R286" s="96"/>
      <c r="S286" s="69"/>
      <c r="T286" s="67"/>
      <c r="U286" s="67"/>
      <c r="V286" s="67"/>
      <c r="W286" s="71"/>
      <c r="X286" s="71"/>
      <c r="Y286" s="71"/>
      <c r="Z286" s="1"/>
    </row>
    <row r="287" spans="1:26" ht="36" customHeight="1">
      <c r="A287" s="1"/>
      <c r="B287" s="66" t="s">
        <v>6217</v>
      </c>
      <c r="C287" s="66"/>
      <c r="D287" s="66"/>
      <c r="E287" s="66"/>
      <c r="F287" s="96"/>
      <c r="G287" s="96"/>
      <c r="H287" s="96"/>
      <c r="I287" s="96"/>
      <c r="J287" s="96"/>
      <c r="K287" s="103"/>
      <c r="L287" s="66"/>
      <c r="M287" s="68"/>
      <c r="N287" s="68"/>
      <c r="O287" s="96"/>
      <c r="P287" s="69"/>
      <c r="Q287" s="69"/>
      <c r="R287" s="96"/>
      <c r="S287" s="69"/>
      <c r="T287" s="67"/>
      <c r="U287" s="67"/>
      <c r="V287" s="67"/>
      <c r="W287" s="71"/>
      <c r="X287" s="71"/>
      <c r="Y287" s="71"/>
      <c r="Z287" s="1"/>
    </row>
    <row r="288" spans="1:26" ht="36" customHeight="1">
      <c r="A288" s="1"/>
      <c r="B288" s="66" t="s">
        <v>6218</v>
      </c>
      <c r="C288" s="66"/>
      <c r="D288" s="66"/>
      <c r="E288" s="66"/>
      <c r="F288" s="96"/>
      <c r="G288" s="96"/>
      <c r="H288" s="96"/>
      <c r="I288" s="96"/>
      <c r="J288" s="96"/>
      <c r="K288" s="103"/>
      <c r="L288" s="66"/>
      <c r="M288" s="68"/>
      <c r="N288" s="68"/>
      <c r="O288" s="96"/>
      <c r="P288" s="69"/>
      <c r="Q288" s="69"/>
      <c r="R288" s="96"/>
      <c r="S288" s="69"/>
      <c r="T288" s="67"/>
      <c r="U288" s="67"/>
      <c r="V288" s="67"/>
      <c r="W288" s="71"/>
      <c r="X288" s="71"/>
      <c r="Y288" s="71"/>
      <c r="Z288" s="1"/>
    </row>
    <row r="289" spans="1:26" ht="36" customHeight="1">
      <c r="A289" s="1"/>
      <c r="B289" s="66" t="s">
        <v>6219</v>
      </c>
      <c r="C289" s="66"/>
      <c r="D289" s="66"/>
      <c r="E289" s="66"/>
      <c r="F289" s="96"/>
      <c r="G289" s="96"/>
      <c r="H289" s="96"/>
      <c r="I289" s="96"/>
      <c r="J289" s="96"/>
      <c r="K289" s="103"/>
      <c r="L289" s="66"/>
      <c r="M289" s="68"/>
      <c r="N289" s="68"/>
      <c r="O289" s="96"/>
      <c r="P289" s="69"/>
      <c r="Q289" s="69"/>
      <c r="R289" s="96"/>
      <c r="S289" s="69"/>
      <c r="T289" s="67"/>
      <c r="U289" s="67"/>
      <c r="V289" s="67"/>
      <c r="W289" s="71"/>
      <c r="X289" s="71"/>
      <c r="Y289" s="71"/>
      <c r="Z289" s="1"/>
    </row>
    <row r="290" spans="1:26" ht="36" customHeight="1">
      <c r="A290" s="1"/>
      <c r="B290" s="66" t="s">
        <v>6220</v>
      </c>
      <c r="C290" s="66"/>
      <c r="D290" s="66"/>
      <c r="E290" s="66"/>
      <c r="F290" s="96"/>
      <c r="G290" s="96"/>
      <c r="H290" s="96"/>
      <c r="I290" s="96"/>
      <c r="J290" s="96"/>
      <c r="K290" s="103"/>
      <c r="L290" s="66"/>
      <c r="M290" s="68"/>
      <c r="N290" s="68"/>
      <c r="O290" s="96"/>
      <c r="P290" s="69"/>
      <c r="Q290" s="69"/>
      <c r="R290" s="69"/>
      <c r="S290" s="69"/>
      <c r="T290" s="67"/>
      <c r="U290" s="67"/>
      <c r="V290" s="67"/>
      <c r="W290" s="71"/>
      <c r="X290" s="71"/>
      <c r="Y290" s="71"/>
      <c r="Z290" s="1"/>
    </row>
    <row r="291" spans="1:26" ht="36" customHeight="1">
      <c r="A291" s="1"/>
      <c r="B291" s="66" t="s">
        <v>6221</v>
      </c>
      <c r="C291" s="66"/>
      <c r="D291" s="66"/>
      <c r="E291" s="66"/>
      <c r="F291" s="96"/>
      <c r="G291" s="96"/>
      <c r="H291" s="96"/>
      <c r="I291" s="96"/>
      <c r="J291" s="96"/>
      <c r="K291" s="103"/>
      <c r="L291" s="66"/>
      <c r="M291" s="68"/>
      <c r="N291" s="68"/>
      <c r="O291" s="96"/>
      <c r="P291" s="69"/>
      <c r="Q291" s="69"/>
      <c r="R291" s="96"/>
      <c r="S291" s="69"/>
      <c r="T291" s="67"/>
      <c r="U291" s="67"/>
      <c r="V291" s="67"/>
      <c r="W291" s="71"/>
      <c r="X291" s="71"/>
      <c r="Y291" s="71"/>
      <c r="Z291" s="1"/>
    </row>
    <row r="292" spans="1:26" ht="36" customHeight="1">
      <c r="A292" s="1"/>
      <c r="B292" s="66" t="s">
        <v>6222</v>
      </c>
      <c r="C292" s="66"/>
      <c r="D292" s="66"/>
      <c r="E292" s="66"/>
      <c r="F292" s="96"/>
      <c r="G292" s="96"/>
      <c r="H292" s="96"/>
      <c r="I292" s="96"/>
      <c r="J292" s="96"/>
      <c r="K292" s="103"/>
      <c r="L292" s="66"/>
      <c r="M292" s="68"/>
      <c r="N292" s="68"/>
      <c r="O292" s="96"/>
      <c r="P292" s="69"/>
      <c r="Q292" s="69"/>
      <c r="R292" s="96"/>
      <c r="S292" s="69"/>
      <c r="T292" s="67"/>
      <c r="U292" s="67"/>
      <c r="V292" s="67"/>
      <c r="W292" s="67"/>
      <c r="X292" s="67"/>
      <c r="Y292" s="71"/>
      <c r="Z292" s="1"/>
    </row>
    <row r="293" spans="1:26" ht="36" customHeight="1">
      <c r="A293" s="1"/>
      <c r="B293" s="66" t="s">
        <v>6223</v>
      </c>
      <c r="C293" s="66"/>
      <c r="D293" s="66"/>
      <c r="E293" s="66"/>
      <c r="F293" s="96"/>
      <c r="G293" s="96"/>
      <c r="H293" s="96"/>
      <c r="I293" s="96"/>
      <c r="J293" s="96"/>
      <c r="K293" s="103"/>
      <c r="L293" s="66"/>
      <c r="M293" s="68"/>
      <c r="N293" s="68"/>
      <c r="O293" s="96"/>
      <c r="P293" s="69"/>
      <c r="Q293" s="69"/>
      <c r="R293" s="96"/>
      <c r="S293" s="69"/>
      <c r="T293" s="67"/>
      <c r="U293" s="67"/>
      <c r="V293" s="67"/>
      <c r="W293" s="71"/>
      <c r="X293" s="71"/>
      <c r="Y293" s="71"/>
      <c r="Z293" s="1"/>
    </row>
    <row r="294" spans="1:26" ht="36" customHeight="1">
      <c r="A294" s="1"/>
      <c r="B294" s="66" t="s">
        <v>6224</v>
      </c>
      <c r="C294" s="66"/>
      <c r="D294" s="66"/>
      <c r="E294" s="66"/>
      <c r="F294" s="96"/>
      <c r="G294" s="96"/>
      <c r="H294" s="96"/>
      <c r="I294" s="96"/>
      <c r="J294" s="96"/>
      <c r="K294" s="103"/>
      <c r="L294" s="66"/>
      <c r="M294" s="68"/>
      <c r="N294" s="68"/>
      <c r="O294" s="96"/>
      <c r="P294" s="69"/>
      <c r="Q294" s="69"/>
      <c r="R294" s="96"/>
      <c r="S294" s="100"/>
      <c r="T294" s="67"/>
      <c r="U294" s="67"/>
      <c r="V294" s="67"/>
      <c r="W294" s="71"/>
      <c r="X294" s="71"/>
      <c r="Y294" s="71"/>
      <c r="Z294" s="1"/>
    </row>
    <row r="295" spans="1:26" ht="36" customHeight="1">
      <c r="A295" s="1"/>
      <c r="B295" s="66" t="s">
        <v>6225</v>
      </c>
      <c r="C295" s="66"/>
      <c r="D295" s="66"/>
      <c r="E295" s="66"/>
      <c r="F295" s="96"/>
      <c r="G295" s="96"/>
      <c r="H295" s="96"/>
      <c r="I295" s="96"/>
      <c r="J295" s="96"/>
      <c r="K295" s="103"/>
      <c r="L295" s="66"/>
      <c r="M295" s="68"/>
      <c r="N295" s="68"/>
      <c r="O295" s="96"/>
      <c r="P295" s="69"/>
      <c r="Q295" s="69"/>
      <c r="R295" s="96"/>
      <c r="S295" s="69"/>
      <c r="T295" s="67"/>
      <c r="U295" s="67"/>
      <c r="V295" s="67"/>
      <c r="W295" s="67"/>
      <c r="X295" s="67"/>
      <c r="Y295" s="67"/>
      <c r="Z295" s="1"/>
    </row>
    <row r="296" spans="1:26" ht="36" customHeight="1">
      <c r="A296" s="1"/>
      <c r="B296" s="66" t="s">
        <v>6226</v>
      </c>
      <c r="C296" s="66"/>
      <c r="D296" s="66"/>
      <c r="E296" s="66"/>
      <c r="F296" s="96"/>
      <c r="G296" s="96"/>
      <c r="H296" s="96"/>
      <c r="I296" s="96"/>
      <c r="J296" s="96"/>
      <c r="K296" s="103"/>
      <c r="L296" s="66"/>
      <c r="M296" s="68"/>
      <c r="N296" s="68"/>
      <c r="O296" s="96"/>
      <c r="P296" s="69"/>
      <c r="Q296" s="69"/>
      <c r="R296" s="96"/>
      <c r="S296" s="69"/>
      <c r="T296" s="67"/>
      <c r="U296" s="67"/>
      <c r="V296" s="67"/>
      <c r="W296" s="71"/>
      <c r="X296" s="71"/>
      <c r="Y296" s="71"/>
      <c r="Z296" s="1"/>
    </row>
    <row r="297" spans="1:26" ht="36" customHeight="1">
      <c r="A297" s="1"/>
      <c r="B297" s="66" t="s">
        <v>6227</v>
      </c>
      <c r="C297" s="66"/>
      <c r="D297" s="66"/>
      <c r="E297" s="66"/>
      <c r="F297" s="96"/>
      <c r="G297" s="96"/>
      <c r="H297" s="96"/>
      <c r="I297" s="96"/>
      <c r="J297" s="96"/>
      <c r="K297" s="103"/>
      <c r="L297" s="66"/>
      <c r="M297" s="68"/>
      <c r="N297" s="68"/>
      <c r="O297" s="96"/>
      <c r="P297" s="69"/>
      <c r="Q297" s="69"/>
      <c r="R297" s="96"/>
      <c r="S297" s="69"/>
      <c r="T297" s="67"/>
      <c r="U297" s="67"/>
      <c r="V297" s="67"/>
      <c r="W297" s="67"/>
      <c r="X297" s="67"/>
      <c r="Y297" s="71"/>
      <c r="Z297" s="1"/>
    </row>
    <row r="298" spans="1:26" ht="36" customHeight="1">
      <c r="A298" s="1"/>
      <c r="B298" s="66" t="s">
        <v>6228</v>
      </c>
      <c r="C298" s="66"/>
      <c r="D298" s="66"/>
      <c r="E298" s="66"/>
      <c r="F298" s="96"/>
      <c r="G298" s="96"/>
      <c r="H298" s="96"/>
      <c r="I298" s="96"/>
      <c r="J298" s="96"/>
      <c r="K298" s="103"/>
      <c r="L298" s="66"/>
      <c r="M298" s="68"/>
      <c r="N298" s="68"/>
      <c r="O298" s="96"/>
      <c r="P298" s="69"/>
      <c r="Q298" s="69"/>
      <c r="R298" s="96"/>
      <c r="S298" s="69"/>
      <c r="T298" s="67"/>
      <c r="U298" s="67"/>
      <c r="V298" s="67"/>
      <c r="W298" s="67"/>
      <c r="X298" s="67"/>
      <c r="Y298" s="71"/>
      <c r="Z298" s="1"/>
    </row>
    <row r="299" spans="1:26" ht="36" customHeight="1">
      <c r="A299" s="1"/>
      <c r="B299" s="66" t="s">
        <v>6229</v>
      </c>
      <c r="C299" s="66"/>
      <c r="D299" s="66"/>
      <c r="E299" s="66"/>
      <c r="F299" s="96"/>
      <c r="G299" s="96"/>
      <c r="H299" s="96"/>
      <c r="I299" s="96"/>
      <c r="J299" s="96"/>
      <c r="K299" s="103"/>
      <c r="L299" s="66"/>
      <c r="M299" s="68"/>
      <c r="N299" s="68"/>
      <c r="O299" s="96"/>
      <c r="P299" s="69"/>
      <c r="Q299" s="96"/>
      <c r="R299" s="96"/>
      <c r="S299" s="69"/>
      <c r="T299" s="67"/>
      <c r="U299" s="67"/>
      <c r="V299" s="67"/>
      <c r="W299" s="71"/>
      <c r="X299" s="71"/>
      <c r="Y299" s="71"/>
      <c r="Z299" s="1"/>
    </row>
    <row r="300" spans="1:26" ht="36" customHeight="1">
      <c r="A300" s="1"/>
      <c r="B300" s="66" t="s">
        <v>6230</v>
      </c>
      <c r="C300" s="66"/>
      <c r="D300" s="66"/>
      <c r="E300" s="66"/>
      <c r="F300" s="96"/>
      <c r="G300" s="96"/>
      <c r="H300" s="96"/>
      <c r="I300" s="96"/>
      <c r="J300" s="96"/>
      <c r="K300" s="103"/>
      <c r="L300" s="66"/>
      <c r="M300" s="68"/>
      <c r="N300" s="68"/>
      <c r="O300" s="96"/>
      <c r="P300" s="69"/>
      <c r="Q300" s="96"/>
      <c r="R300" s="96"/>
      <c r="S300" s="69"/>
      <c r="T300" s="67"/>
      <c r="U300" s="67"/>
      <c r="V300" s="67"/>
      <c r="W300" s="71"/>
      <c r="X300" s="71"/>
      <c r="Y300" s="71"/>
      <c r="Z300" s="1"/>
    </row>
    <row r="301" spans="1:26" ht="36" customHeight="1">
      <c r="A301" s="1"/>
      <c r="B301" s="66" t="s">
        <v>6231</v>
      </c>
      <c r="C301" s="66"/>
      <c r="D301" s="66"/>
      <c r="E301" s="66"/>
      <c r="F301" s="96"/>
      <c r="G301" s="96"/>
      <c r="H301" s="96"/>
      <c r="I301" s="96"/>
      <c r="J301" s="96"/>
      <c r="K301" s="103"/>
      <c r="L301" s="66"/>
      <c r="M301" s="68"/>
      <c r="N301" s="68"/>
      <c r="O301" s="96"/>
      <c r="P301" s="69"/>
      <c r="Q301" s="69"/>
      <c r="R301" s="96"/>
      <c r="S301" s="69"/>
      <c r="T301" s="67"/>
      <c r="U301" s="67"/>
      <c r="V301" s="67"/>
      <c r="W301" s="71"/>
      <c r="X301" s="71"/>
      <c r="Y301" s="71"/>
      <c r="Z301" s="1"/>
    </row>
    <row r="302" spans="1:26" ht="36" customHeight="1">
      <c r="A302" s="1"/>
      <c r="B302" s="66" t="s">
        <v>6232</v>
      </c>
      <c r="C302" s="66"/>
      <c r="D302" s="66"/>
      <c r="E302" s="66"/>
      <c r="F302" s="96"/>
      <c r="G302" s="96"/>
      <c r="H302" s="96"/>
      <c r="I302" s="96"/>
      <c r="J302" s="96"/>
      <c r="K302" s="103"/>
      <c r="L302" s="66"/>
      <c r="M302" s="68"/>
      <c r="N302" s="68"/>
      <c r="O302" s="96"/>
      <c r="P302" s="69"/>
      <c r="Q302" s="69"/>
      <c r="R302" s="96"/>
      <c r="S302" s="69"/>
      <c r="T302" s="67"/>
      <c r="U302" s="67"/>
      <c r="V302" s="67"/>
      <c r="W302" s="71"/>
      <c r="X302" s="71"/>
      <c r="Y302" s="71"/>
      <c r="Z302" s="1"/>
    </row>
    <row r="303" spans="1:26" ht="36" customHeight="1">
      <c r="A303" s="1"/>
      <c r="B303" s="66" t="s">
        <v>6233</v>
      </c>
      <c r="C303" s="66"/>
      <c r="D303" s="66"/>
      <c r="E303" s="66"/>
      <c r="F303" s="96"/>
      <c r="G303" s="96"/>
      <c r="H303" s="96"/>
      <c r="I303" s="96"/>
      <c r="J303" s="96"/>
      <c r="K303" s="103"/>
      <c r="L303" s="66"/>
      <c r="M303" s="68"/>
      <c r="N303" s="68"/>
      <c r="O303" s="96"/>
      <c r="P303" s="69"/>
      <c r="Q303" s="96"/>
      <c r="R303" s="96"/>
      <c r="S303" s="69"/>
      <c r="T303" s="67"/>
      <c r="U303" s="67"/>
      <c r="V303" s="67"/>
      <c r="W303" s="71"/>
      <c r="X303" s="71"/>
      <c r="Y303" s="71"/>
      <c r="Z303" s="1"/>
    </row>
    <row r="304" spans="1:26" ht="36" customHeight="1">
      <c r="A304" s="1"/>
      <c r="B304" s="66" t="s">
        <v>6234</v>
      </c>
      <c r="C304" s="66"/>
      <c r="D304" s="66"/>
      <c r="E304" s="66"/>
      <c r="F304" s="96"/>
      <c r="G304" s="96"/>
      <c r="H304" s="96"/>
      <c r="I304" s="96"/>
      <c r="J304" s="96"/>
      <c r="K304" s="103"/>
      <c r="L304" s="66"/>
      <c r="M304" s="68"/>
      <c r="N304" s="68"/>
      <c r="O304" s="96"/>
      <c r="P304" s="69"/>
      <c r="Q304" s="96"/>
      <c r="R304" s="96"/>
      <c r="S304" s="69"/>
      <c r="T304" s="67"/>
      <c r="U304" s="67"/>
      <c r="V304" s="71"/>
      <c r="W304" s="71"/>
      <c r="X304" s="71"/>
      <c r="Y304" s="71"/>
      <c r="Z304" s="1"/>
    </row>
    <row r="305" spans="1:26" ht="36" customHeight="1">
      <c r="A305" s="1"/>
      <c r="B305" s="66" t="s">
        <v>6235</v>
      </c>
      <c r="C305" s="66"/>
      <c r="D305" s="66"/>
      <c r="E305" s="66"/>
      <c r="F305" s="96"/>
      <c r="G305" s="96"/>
      <c r="H305" s="96"/>
      <c r="I305" s="96"/>
      <c r="J305" s="96"/>
      <c r="K305" s="103"/>
      <c r="L305" s="66"/>
      <c r="M305" s="68"/>
      <c r="N305" s="68"/>
      <c r="O305" s="96"/>
      <c r="P305" s="69"/>
      <c r="Q305" s="69"/>
      <c r="R305" s="96"/>
      <c r="S305" s="69"/>
      <c r="T305" s="67"/>
      <c r="U305" s="67"/>
      <c r="V305" s="67"/>
      <c r="W305" s="71"/>
      <c r="X305" s="71"/>
      <c r="Y305" s="71"/>
      <c r="Z305" s="1"/>
    </row>
    <row r="306" spans="1:26" ht="36" customHeight="1">
      <c r="A306" s="1"/>
      <c r="B306" s="66" t="s">
        <v>6236</v>
      </c>
      <c r="C306" s="66"/>
      <c r="D306" s="66"/>
      <c r="E306" s="66"/>
      <c r="F306" s="96"/>
      <c r="G306" s="96"/>
      <c r="H306" s="96"/>
      <c r="I306" s="96"/>
      <c r="J306" s="96"/>
      <c r="K306" s="103"/>
      <c r="L306" s="66"/>
      <c r="M306" s="68"/>
      <c r="N306" s="68"/>
      <c r="O306" s="96"/>
      <c r="P306" s="69"/>
      <c r="Q306" s="69"/>
      <c r="R306" s="96"/>
      <c r="S306" s="69"/>
      <c r="T306" s="67"/>
      <c r="U306" s="67"/>
      <c r="V306" s="67"/>
      <c r="W306" s="71"/>
      <c r="X306" s="71"/>
      <c r="Y306" s="71"/>
      <c r="Z306" s="1"/>
    </row>
    <row r="307" spans="1:26" ht="36" customHeight="1">
      <c r="A307" s="1"/>
      <c r="B307" s="66" t="s">
        <v>6237</v>
      </c>
      <c r="C307" s="66"/>
      <c r="D307" s="66"/>
      <c r="E307" s="66"/>
      <c r="F307" s="96"/>
      <c r="G307" s="96"/>
      <c r="H307" s="96"/>
      <c r="I307" s="96"/>
      <c r="J307" s="96"/>
      <c r="K307" s="103"/>
      <c r="L307" s="66"/>
      <c r="M307" s="68"/>
      <c r="N307" s="68"/>
      <c r="O307" s="96"/>
      <c r="P307" s="69"/>
      <c r="Q307" s="69"/>
      <c r="R307" s="96"/>
      <c r="S307" s="69"/>
      <c r="T307" s="67"/>
      <c r="U307" s="67"/>
      <c r="V307" s="67"/>
      <c r="W307" s="71"/>
      <c r="X307" s="71"/>
      <c r="Y307" s="71"/>
      <c r="Z307" s="1"/>
    </row>
    <row r="308" spans="1:26" ht="36" customHeight="1">
      <c r="A308" s="1"/>
      <c r="B308" s="66" t="s">
        <v>6238</v>
      </c>
      <c r="C308" s="66"/>
      <c r="D308" s="66"/>
      <c r="E308" s="66"/>
      <c r="F308" s="96"/>
      <c r="G308" s="96"/>
      <c r="H308" s="96"/>
      <c r="I308" s="96"/>
      <c r="J308" s="96"/>
      <c r="K308" s="103"/>
      <c r="L308" s="66"/>
      <c r="M308" s="68"/>
      <c r="N308" s="68"/>
      <c r="O308" s="96"/>
      <c r="P308" s="69"/>
      <c r="Q308" s="96"/>
      <c r="R308" s="96"/>
      <c r="S308" s="69"/>
      <c r="T308" s="67"/>
      <c r="U308" s="67"/>
      <c r="V308" s="67"/>
      <c r="W308" s="71"/>
      <c r="X308" s="71"/>
      <c r="Y308" s="71"/>
      <c r="Z308" s="1"/>
    </row>
    <row r="309" spans="1:26" ht="36" customHeight="1">
      <c r="A309" s="1"/>
      <c r="B309" s="66" t="s">
        <v>6239</v>
      </c>
      <c r="C309" s="66"/>
      <c r="D309" s="66"/>
      <c r="E309" s="66"/>
      <c r="F309" s="96"/>
      <c r="G309" s="96"/>
      <c r="H309" s="96"/>
      <c r="I309" s="96"/>
      <c r="J309" s="96"/>
      <c r="K309" s="103"/>
      <c r="L309" s="66"/>
      <c r="M309" s="68"/>
      <c r="N309" s="68"/>
      <c r="O309" s="96"/>
      <c r="P309" s="69"/>
      <c r="Q309" s="69"/>
      <c r="R309" s="96"/>
      <c r="S309" s="69"/>
      <c r="T309" s="67"/>
      <c r="U309" s="67"/>
      <c r="V309" s="67"/>
      <c r="W309" s="71"/>
      <c r="X309" s="71"/>
      <c r="Y309" s="71"/>
      <c r="Z309" s="1"/>
    </row>
    <row r="310" spans="1:26" ht="36" customHeight="1">
      <c r="A310" s="1"/>
      <c r="B310" s="66" t="s">
        <v>6240</v>
      </c>
      <c r="C310" s="66"/>
      <c r="D310" s="66"/>
      <c r="E310" s="66"/>
      <c r="F310" s="96"/>
      <c r="G310" s="96"/>
      <c r="H310" s="96"/>
      <c r="I310" s="96"/>
      <c r="J310" s="96"/>
      <c r="K310" s="103"/>
      <c r="L310" s="66"/>
      <c r="M310" s="68"/>
      <c r="N310" s="68"/>
      <c r="O310" s="96"/>
      <c r="P310" s="69"/>
      <c r="Q310" s="96"/>
      <c r="R310" s="96"/>
      <c r="S310" s="69"/>
      <c r="T310" s="67"/>
      <c r="U310" s="67"/>
      <c r="V310" s="67"/>
      <c r="W310" s="71"/>
      <c r="X310" s="71"/>
      <c r="Y310" s="71"/>
      <c r="Z310" s="1"/>
    </row>
    <row r="311" spans="1:26" ht="36" customHeight="1">
      <c r="A311" s="1"/>
      <c r="B311" s="66" t="s">
        <v>6241</v>
      </c>
      <c r="C311" s="66"/>
      <c r="D311" s="66"/>
      <c r="E311" s="66"/>
      <c r="F311" s="96"/>
      <c r="G311" s="96"/>
      <c r="H311" s="96"/>
      <c r="I311" s="96"/>
      <c r="J311" s="96"/>
      <c r="K311" s="103"/>
      <c r="L311" s="66"/>
      <c r="M311" s="68"/>
      <c r="N311" s="68"/>
      <c r="O311" s="71"/>
      <c r="P311" s="69"/>
      <c r="Q311" s="69"/>
      <c r="R311" s="96"/>
      <c r="S311" s="69"/>
      <c r="T311" s="67"/>
      <c r="U311" s="67"/>
      <c r="V311" s="67"/>
      <c r="W311" s="67"/>
      <c r="X311" s="67"/>
      <c r="Y311" s="71"/>
      <c r="Z311" s="1"/>
    </row>
    <row r="312" spans="1:26" ht="36" customHeight="1">
      <c r="A312" s="1"/>
      <c r="B312" s="66" t="s">
        <v>6242</v>
      </c>
      <c r="C312" s="66"/>
      <c r="D312" s="66"/>
      <c r="E312" s="66"/>
      <c r="F312" s="96"/>
      <c r="G312" s="96"/>
      <c r="H312" s="96"/>
      <c r="I312" s="96"/>
      <c r="J312" s="96"/>
      <c r="K312" s="103"/>
      <c r="L312" s="66"/>
      <c r="M312" s="68"/>
      <c r="N312" s="68"/>
      <c r="O312" s="96"/>
      <c r="P312" s="69"/>
      <c r="Q312" s="69"/>
      <c r="R312" s="96"/>
      <c r="S312" s="69"/>
      <c r="T312" s="67"/>
      <c r="U312" s="67"/>
      <c r="V312" s="67"/>
      <c r="W312" s="71"/>
      <c r="X312" s="71"/>
      <c r="Y312" s="71"/>
      <c r="Z312" s="1"/>
    </row>
    <row r="313" spans="1:26" ht="36" customHeight="1">
      <c r="A313" s="1"/>
      <c r="B313" s="66" t="s">
        <v>6243</v>
      </c>
      <c r="C313" s="66"/>
      <c r="D313" s="66"/>
      <c r="E313" s="66"/>
      <c r="F313" s="96"/>
      <c r="G313" s="96"/>
      <c r="H313" s="96"/>
      <c r="I313" s="96"/>
      <c r="J313" s="96"/>
      <c r="K313" s="103"/>
      <c r="L313" s="66"/>
      <c r="M313" s="68"/>
      <c r="N313" s="68"/>
      <c r="O313" s="96"/>
      <c r="P313" s="69"/>
      <c r="Q313" s="96"/>
      <c r="R313" s="96"/>
      <c r="S313" s="69"/>
      <c r="T313" s="67"/>
      <c r="U313" s="67"/>
      <c r="V313" s="67"/>
      <c r="W313" s="67"/>
      <c r="X313" s="67"/>
      <c r="Y313" s="67"/>
      <c r="Z313" s="1"/>
    </row>
    <row r="314" spans="1:26" ht="36" customHeight="1">
      <c r="A314" s="1"/>
      <c r="B314" s="66" t="s">
        <v>6244</v>
      </c>
      <c r="C314" s="66"/>
      <c r="D314" s="66"/>
      <c r="E314" s="66"/>
      <c r="F314" s="96"/>
      <c r="G314" s="96"/>
      <c r="H314" s="96"/>
      <c r="I314" s="96"/>
      <c r="J314" s="96"/>
      <c r="K314" s="103"/>
      <c r="L314" s="66"/>
      <c r="M314" s="68"/>
      <c r="N314" s="68"/>
      <c r="O314" s="96"/>
      <c r="P314" s="69"/>
      <c r="Q314" s="69"/>
      <c r="R314" s="96"/>
      <c r="S314" s="69"/>
      <c r="T314" s="67"/>
      <c r="U314" s="67"/>
      <c r="V314" s="67"/>
      <c r="W314" s="71"/>
      <c r="X314" s="71"/>
      <c r="Y314" s="71"/>
      <c r="Z314" s="1"/>
    </row>
    <row r="315" spans="1:26" ht="36" customHeight="1">
      <c r="A315" s="1"/>
      <c r="B315" s="66" t="s">
        <v>6245</v>
      </c>
      <c r="C315" s="66"/>
      <c r="D315" s="66"/>
      <c r="E315" s="66"/>
      <c r="F315" s="96"/>
      <c r="G315" s="96"/>
      <c r="H315" s="96"/>
      <c r="I315" s="96"/>
      <c r="J315" s="96"/>
      <c r="K315" s="103"/>
      <c r="L315" s="66"/>
      <c r="M315" s="68"/>
      <c r="N315" s="68"/>
      <c r="O315" s="96"/>
      <c r="P315" s="69"/>
      <c r="Q315" s="69"/>
      <c r="R315" s="96"/>
      <c r="S315" s="69"/>
      <c r="T315" s="67"/>
      <c r="U315" s="67"/>
      <c r="V315" s="67"/>
      <c r="W315" s="71"/>
      <c r="X315" s="71"/>
      <c r="Y315" s="71"/>
      <c r="Z315" s="1"/>
    </row>
    <row r="316" spans="1:26" ht="36" customHeight="1">
      <c r="A316" s="1"/>
      <c r="B316" s="66" t="s">
        <v>6246</v>
      </c>
      <c r="C316" s="66"/>
      <c r="D316" s="66"/>
      <c r="E316" s="66"/>
      <c r="F316" s="96"/>
      <c r="G316" s="96"/>
      <c r="H316" s="96"/>
      <c r="I316" s="96"/>
      <c r="J316" s="96"/>
      <c r="K316" s="103"/>
      <c r="L316" s="66"/>
      <c r="M316" s="68"/>
      <c r="N316" s="68"/>
      <c r="O316" s="96"/>
      <c r="P316" s="69"/>
      <c r="Q316" s="96"/>
      <c r="R316" s="96"/>
      <c r="S316" s="69"/>
      <c r="T316" s="67"/>
      <c r="U316" s="67"/>
      <c r="V316" s="67"/>
      <c r="W316" s="67"/>
      <c r="X316" s="67"/>
      <c r="Y316" s="71"/>
      <c r="Z316" s="1"/>
    </row>
    <row r="317" spans="1:26" ht="36" customHeight="1">
      <c r="A317" s="1"/>
      <c r="B317" s="66" t="s">
        <v>6247</v>
      </c>
      <c r="C317" s="66"/>
      <c r="D317" s="66"/>
      <c r="E317" s="66"/>
      <c r="F317" s="96"/>
      <c r="G317" s="96"/>
      <c r="H317" s="96"/>
      <c r="I317" s="96"/>
      <c r="J317" s="96"/>
      <c r="K317" s="103"/>
      <c r="L317" s="66"/>
      <c r="M317" s="68"/>
      <c r="N317" s="68"/>
      <c r="O317" s="96"/>
      <c r="P317" s="69"/>
      <c r="Q317" s="69"/>
      <c r="R317" s="96"/>
      <c r="S317" s="69"/>
      <c r="T317" s="67"/>
      <c r="U317" s="67"/>
      <c r="V317" s="67"/>
      <c r="W317" s="67"/>
      <c r="X317" s="67"/>
      <c r="Y317" s="71"/>
      <c r="Z317" s="1"/>
    </row>
    <row r="318" spans="1:26" ht="36" customHeight="1">
      <c r="A318" s="1"/>
      <c r="B318" s="66" t="s">
        <v>6248</v>
      </c>
      <c r="C318" s="66"/>
      <c r="D318" s="66"/>
      <c r="E318" s="66"/>
      <c r="F318" s="96"/>
      <c r="G318" s="96"/>
      <c r="H318" s="96"/>
      <c r="I318" s="96"/>
      <c r="J318" s="96"/>
      <c r="K318" s="103"/>
      <c r="L318" s="66"/>
      <c r="M318" s="68"/>
      <c r="N318" s="68"/>
      <c r="O318" s="96"/>
      <c r="P318" s="69"/>
      <c r="Q318" s="69"/>
      <c r="R318" s="96"/>
      <c r="S318" s="69"/>
      <c r="T318" s="67"/>
      <c r="U318" s="67"/>
      <c r="V318" s="67"/>
      <c r="W318" s="67"/>
      <c r="X318" s="67"/>
      <c r="Y318" s="71"/>
      <c r="Z318" s="1"/>
    </row>
    <row r="319" spans="1:26" ht="36" customHeight="1">
      <c r="A319" s="1"/>
      <c r="B319" s="66" t="s">
        <v>6249</v>
      </c>
      <c r="C319" s="66"/>
      <c r="D319" s="66"/>
      <c r="E319" s="66"/>
      <c r="F319" s="96"/>
      <c r="G319" s="96"/>
      <c r="H319" s="96"/>
      <c r="I319" s="96"/>
      <c r="J319" s="96"/>
      <c r="K319" s="103"/>
      <c r="L319" s="66"/>
      <c r="M319" s="68"/>
      <c r="N319" s="68"/>
      <c r="O319" s="96"/>
      <c r="P319" s="69"/>
      <c r="Q319" s="96"/>
      <c r="R319" s="96"/>
      <c r="S319" s="69"/>
      <c r="T319" s="67"/>
      <c r="U319" s="67"/>
      <c r="V319" s="67"/>
      <c r="W319" s="67"/>
      <c r="X319" s="67"/>
      <c r="Y319" s="71"/>
      <c r="Z319" s="1"/>
    </row>
    <row r="320" spans="1:26" ht="36" customHeight="1">
      <c r="A320" s="1"/>
      <c r="B320" s="66" t="s">
        <v>6250</v>
      </c>
      <c r="C320" s="66"/>
      <c r="D320" s="66"/>
      <c r="E320" s="66"/>
      <c r="F320" s="96"/>
      <c r="G320" s="96"/>
      <c r="H320" s="96"/>
      <c r="I320" s="96"/>
      <c r="J320" s="96"/>
      <c r="K320" s="103"/>
      <c r="L320" s="66"/>
      <c r="M320" s="68"/>
      <c r="N320" s="68"/>
      <c r="O320" s="96"/>
      <c r="P320" s="69"/>
      <c r="Q320" s="69"/>
      <c r="R320" s="96"/>
      <c r="S320" s="69"/>
      <c r="T320" s="67"/>
      <c r="U320" s="67"/>
      <c r="V320" s="67"/>
      <c r="W320" s="67"/>
      <c r="X320" s="67"/>
      <c r="Y320" s="71"/>
      <c r="Z320" s="1"/>
    </row>
    <row r="321" spans="1:26" ht="36" customHeight="1">
      <c r="A321" s="1"/>
      <c r="B321" s="66" t="s">
        <v>6251</v>
      </c>
      <c r="C321" s="66"/>
      <c r="D321" s="66"/>
      <c r="E321" s="66"/>
      <c r="F321" s="96"/>
      <c r="G321" s="96"/>
      <c r="H321" s="96"/>
      <c r="I321" s="96"/>
      <c r="J321" s="96"/>
      <c r="K321" s="103"/>
      <c r="L321" s="66"/>
      <c r="M321" s="68"/>
      <c r="N321" s="68"/>
      <c r="O321" s="96"/>
      <c r="P321" s="69"/>
      <c r="Q321" s="69"/>
      <c r="R321" s="96"/>
      <c r="S321" s="69"/>
      <c r="T321" s="67"/>
      <c r="U321" s="67"/>
      <c r="V321" s="67"/>
      <c r="W321" s="67"/>
      <c r="X321" s="67"/>
      <c r="Y321" s="71"/>
      <c r="Z321" s="1"/>
    </row>
    <row r="322" spans="1:26" ht="36" customHeight="1">
      <c r="A322" s="1"/>
      <c r="B322" s="66" t="s">
        <v>6252</v>
      </c>
      <c r="C322" s="66"/>
      <c r="D322" s="66"/>
      <c r="E322" s="66"/>
      <c r="F322" s="96"/>
      <c r="G322" s="96"/>
      <c r="H322" s="96"/>
      <c r="I322" s="96"/>
      <c r="J322" s="96"/>
      <c r="K322" s="103"/>
      <c r="L322" s="66"/>
      <c r="M322" s="68"/>
      <c r="N322" s="68"/>
      <c r="O322" s="96"/>
      <c r="P322" s="69"/>
      <c r="Q322" s="69"/>
      <c r="R322" s="96"/>
      <c r="S322" s="69"/>
      <c r="T322" s="67"/>
      <c r="U322" s="67"/>
      <c r="V322" s="67"/>
      <c r="W322" s="67"/>
      <c r="X322" s="67"/>
      <c r="Y322" s="71"/>
      <c r="Z322" s="1"/>
    </row>
    <row r="323" spans="1:26" ht="36" customHeight="1">
      <c r="A323" s="1"/>
      <c r="B323" s="66" t="s">
        <v>6253</v>
      </c>
      <c r="C323" s="66"/>
      <c r="D323" s="66"/>
      <c r="E323" s="66"/>
      <c r="F323" s="96"/>
      <c r="G323" s="96"/>
      <c r="H323" s="96"/>
      <c r="I323" s="96"/>
      <c r="J323" s="96"/>
      <c r="K323" s="103"/>
      <c r="L323" s="66"/>
      <c r="M323" s="68"/>
      <c r="N323" s="68"/>
      <c r="O323" s="96"/>
      <c r="P323" s="69"/>
      <c r="Q323" s="69"/>
      <c r="R323" s="96"/>
      <c r="S323" s="69"/>
      <c r="T323" s="67"/>
      <c r="U323" s="67"/>
      <c r="V323" s="67"/>
      <c r="W323" s="67"/>
      <c r="X323" s="67"/>
      <c r="Y323" s="71"/>
      <c r="Z323" s="1"/>
    </row>
    <row r="324" spans="1:26" ht="36" customHeight="1">
      <c r="A324" s="1"/>
      <c r="B324" s="66" t="s">
        <v>6254</v>
      </c>
      <c r="C324" s="66"/>
      <c r="D324" s="66"/>
      <c r="E324" s="66"/>
      <c r="F324" s="96"/>
      <c r="G324" s="96"/>
      <c r="H324" s="96"/>
      <c r="I324" s="96"/>
      <c r="J324" s="96"/>
      <c r="K324" s="103"/>
      <c r="L324" s="66"/>
      <c r="M324" s="68"/>
      <c r="N324" s="68"/>
      <c r="O324" s="96"/>
      <c r="P324" s="69"/>
      <c r="Q324" s="69"/>
      <c r="R324" s="69"/>
      <c r="S324" s="69"/>
      <c r="T324" s="67"/>
      <c r="U324" s="67"/>
      <c r="V324" s="67"/>
      <c r="W324" s="67"/>
      <c r="X324" s="67"/>
      <c r="Y324" s="71"/>
      <c r="Z324" s="1"/>
    </row>
    <row r="325" spans="1:26" ht="36" customHeight="1">
      <c r="A325" s="1"/>
      <c r="B325" s="66" t="s">
        <v>6255</v>
      </c>
      <c r="C325" s="66"/>
      <c r="D325" s="66"/>
      <c r="E325" s="66"/>
      <c r="F325" s="96"/>
      <c r="G325" s="96"/>
      <c r="H325" s="96"/>
      <c r="I325" s="96"/>
      <c r="J325" s="96"/>
      <c r="K325" s="103"/>
      <c r="L325" s="66"/>
      <c r="M325" s="68"/>
      <c r="N325" s="68"/>
      <c r="O325" s="96"/>
      <c r="P325" s="69"/>
      <c r="Q325" s="69"/>
      <c r="R325" s="96"/>
      <c r="S325" s="69"/>
      <c r="T325" s="67"/>
      <c r="U325" s="67"/>
      <c r="V325" s="67"/>
      <c r="W325" s="67"/>
      <c r="X325" s="67"/>
      <c r="Y325" s="71"/>
      <c r="Z325" s="1"/>
    </row>
    <row r="326" spans="1:26" ht="36" customHeight="1">
      <c r="A326" s="1"/>
      <c r="B326" s="66" t="s">
        <v>6256</v>
      </c>
      <c r="C326" s="66"/>
      <c r="D326" s="66"/>
      <c r="E326" s="66"/>
      <c r="F326" s="96"/>
      <c r="G326" s="96"/>
      <c r="H326" s="96"/>
      <c r="I326" s="96"/>
      <c r="J326" s="96"/>
      <c r="K326" s="103"/>
      <c r="L326" s="66"/>
      <c r="M326" s="68"/>
      <c r="N326" s="68"/>
      <c r="O326" s="96"/>
      <c r="P326" s="69"/>
      <c r="Q326" s="96"/>
      <c r="R326" s="96"/>
      <c r="S326" s="69"/>
      <c r="T326" s="67"/>
      <c r="U326" s="67"/>
      <c r="V326" s="67"/>
      <c r="W326" s="67"/>
      <c r="X326" s="67"/>
      <c r="Y326" s="71"/>
      <c r="Z326" s="1"/>
    </row>
    <row r="327" spans="1:26" ht="36" customHeight="1">
      <c r="A327" s="1"/>
      <c r="B327" s="66" t="s">
        <v>6257</v>
      </c>
      <c r="C327" s="66"/>
      <c r="D327" s="66"/>
      <c r="E327" s="66"/>
      <c r="F327" s="96"/>
      <c r="G327" s="96"/>
      <c r="H327" s="96"/>
      <c r="I327" s="96"/>
      <c r="J327" s="96"/>
      <c r="K327" s="103"/>
      <c r="L327" s="66"/>
      <c r="M327" s="68"/>
      <c r="N327" s="68"/>
      <c r="O327" s="96"/>
      <c r="P327" s="69"/>
      <c r="Q327" s="69"/>
      <c r="R327" s="96"/>
      <c r="S327" s="69"/>
      <c r="T327" s="67"/>
      <c r="U327" s="67"/>
      <c r="V327" s="67"/>
      <c r="W327" s="71"/>
      <c r="X327" s="71"/>
      <c r="Y327" s="71"/>
      <c r="Z327" s="1"/>
    </row>
    <row r="328" spans="1:26" ht="36" customHeight="1">
      <c r="A328" s="1"/>
      <c r="B328" s="66" t="s">
        <v>6258</v>
      </c>
      <c r="C328" s="66"/>
      <c r="D328" s="66"/>
      <c r="E328" s="66"/>
      <c r="F328" s="96"/>
      <c r="G328" s="96"/>
      <c r="H328" s="96"/>
      <c r="I328" s="96"/>
      <c r="J328" s="96"/>
      <c r="K328" s="103"/>
      <c r="L328" s="66"/>
      <c r="M328" s="68"/>
      <c r="N328" s="68"/>
      <c r="O328" s="96"/>
      <c r="P328" s="69"/>
      <c r="Q328" s="96"/>
      <c r="R328" s="96"/>
      <c r="S328" s="69"/>
      <c r="T328" s="67"/>
      <c r="U328" s="67"/>
      <c r="V328" s="67"/>
      <c r="W328" s="67"/>
      <c r="X328" s="67"/>
      <c r="Y328" s="71"/>
      <c r="Z328" s="1"/>
    </row>
    <row r="329" spans="1:26" ht="36" customHeight="1">
      <c r="A329" s="1"/>
      <c r="B329" s="66" t="s">
        <v>6259</v>
      </c>
      <c r="C329" s="66"/>
      <c r="D329" s="66"/>
      <c r="E329" s="66"/>
      <c r="F329" s="96"/>
      <c r="G329" s="96"/>
      <c r="H329" s="96"/>
      <c r="I329" s="96"/>
      <c r="J329" s="96"/>
      <c r="K329" s="103"/>
      <c r="L329" s="66"/>
      <c r="M329" s="68"/>
      <c r="N329" s="68"/>
      <c r="O329" s="96"/>
      <c r="P329" s="69"/>
      <c r="Q329" s="69"/>
      <c r="R329" s="69"/>
      <c r="S329" s="69"/>
      <c r="T329" s="67"/>
      <c r="U329" s="67"/>
      <c r="V329" s="67"/>
      <c r="W329" s="67"/>
      <c r="X329" s="67"/>
      <c r="Y329" s="71"/>
      <c r="Z329" s="1"/>
    </row>
    <row r="330" spans="1:26" ht="36" customHeight="1">
      <c r="A330" s="1"/>
      <c r="B330" s="66" t="s">
        <v>6260</v>
      </c>
      <c r="C330" s="66"/>
      <c r="D330" s="66"/>
      <c r="E330" s="66"/>
      <c r="F330" s="96"/>
      <c r="G330" s="96"/>
      <c r="H330" s="96"/>
      <c r="I330" s="96"/>
      <c r="J330" s="96"/>
      <c r="K330" s="103"/>
      <c r="L330" s="66"/>
      <c r="M330" s="68"/>
      <c r="N330" s="68"/>
      <c r="O330" s="96"/>
      <c r="P330" s="69"/>
      <c r="Q330" s="69"/>
      <c r="R330" s="69"/>
      <c r="S330" s="69"/>
      <c r="T330" s="67"/>
      <c r="U330" s="67"/>
      <c r="V330" s="67"/>
      <c r="W330" s="67"/>
      <c r="X330" s="67"/>
      <c r="Y330" s="71"/>
      <c r="Z330" s="1"/>
    </row>
    <row r="331" spans="1:26" ht="36" customHeight="1">
      <c r="A331" s="1"/>
      <c r="B331" s="66" t="s">
        <v>6261</v>
      </c>
      <c r="C331" s="66"/>
      <c r="D331" s="66"/>
      <c r="E331" s="66"/>
      <c r="F331" s="96"/>
      <c r="G331" s="96"/>
      <c r="H331" s="96"/>
      <c r="I331" s="96"/>
      <c r="J331" s="96"/>
      <c r="K331" s="103"/>
      <c r="L331" s="66"/>
      <c r="M331" s="68"/>
      <c r="N331" s="68"/>
      <c r="O331" s="96"/>
      <c r="P331" s="69"/>
      <c r="Q331" s="96"/>
      <c r="R331" s="96"/>
      <c r="S331" s="69"/>
      <c r="T331" s="67"/>
      <c r="U331" s="67"/>
      <c r="V331" s="67"/>
      <c r="W331" s="67"/>
      <c r="X331" s="67"/>
      <c r="Y331" s="71"/>
      <c r="Z331" s="1"/>
    </row>
    <row r="332" spans="1:26" ht="36" customHeight="1">
      <c r="A332" s="1"/>
      <c r="B332" s="66" t="s">
        <v>6262</v>
      </c>
      <c r="C332" s="66"/>
      <c r="D332" s="66"/>
      <c r="E332" s="66"/>
      <c r="F332" s="96"/>
      <c r="G332" s="96"/>
      <c r="H332" s="96"/>
      <c r="I332" s="96"/>
      <c r="J332" s="96"/>
      <c r="K332" s="103"/>
      <c r="L332" s="66"/>
      <c r="M332" s="68"/>
      <c r="N332" s="68"/>
      <c r="O332" s="96"/>
      <c r="P332" s="69"/>
      <c r="Q332" s="96"/>
      <c r="R332" s="96"/>
      <c r="S332" s="69"/>
      <c r="T332" s="67"/>
      <c r="U332" s="67"/>
      <c r="V332" s="67"/>
      <c r="W332" s="67"/>
      <c r="X332" s="67"/>
      <c r="Y332" s="71"/>
      <c r="Z332" s="1"/>
    </row>
    <row r="333" spans="1:26" ht="36" customHeight="1">
      <c r="A333" s="1"/>
      <c r="B333" s="66" t="s">
        <v>6263</v>
      </c>
      <c r="C333" s="66"/>
      <c r="D333" s="66"/>
      <c r="E333" s="66"/>
      <c r="F333" s="96"/>
      <c r="G333" s="96"/>
      <c r="H333" s="96"/>
      <c r="I333" s="96"/>
      <c r="J333" s="96"/>
      <c r="K333" s="103"/>
      <c r="L333" s="66"/>
      <c r="M333" s="68"/>
      <c r="N333" s="68"/>
      <c r="O333" s="96"/>
      <c r="P333" s="69"/>
      <c r="Q333" s="69"/>
      <c r="R333" s="96"/>
      <c r="S333" s="69"/>
      <c r="T333" s="67"/>
      <c r="U333" s="67"/>
      <c r="V333" s="67"/>
      <c r="W333" s="67"/>
      <c r="X333" s="67"/>
      <c r="Y333" s="71"/>
      <c r="Z333" s="1"/>
    </row>
    <row r="334" spans="1:26" ht="36" customHeight="1">
      <c r="A334" s="1"/>
      <c r="B334" s="66" t="s">
        <v>6264</v>
      </c>
      <c r="C334" s="66"/>
      <c r="D334" s="66"/>
      <c r="E334" s="66"/>
      <c r="F334" s="96"/>
      <c r="G334" s="96"/>
      <c r="H334" s="96"/>
      <c r="I334" s="96"/>
      <c r="J334" s="96"/>
      <c r="K334" s="103"/>
      <c r="L334" s="66"/>
      <c r="M334" s="68"/>
      <c r="N334" s="68"/>
      <c r="O334" s="96"/>
      <c r="P334" s="69"/>
      <c r="Q334" s="69"/>
      <c r="R334" s="69"/>
      <c r="S334" s="69"/>
      <c r="T334" s="67"/>
      <c r="U334" s="67"/>
      <c r="V334" s="67"/>
      <c r="W334" s="71"/>
      <c r="X334" s="71"/>
      <c r="Y334" s="71"/>
      <c r="Z334" s="1"/>
    </row>
    <row r="335" spans="1:26" ht="36" customHeight="1">
      <c r="A335" s="1"/>
      <c r="B335" s="66" t="s">
        <v>6265</v>
      </c>
      <c r="C335" s="66"/>
      <c r="D335" s="66"/>
      <c r="E335" s="66"/>
      <c r="F335" s="96"/>
      <c r="G335" s="96"/>
      <c r="H335" s="96"/>
      <c r="I335" s="96"/>
      <c r="J335" s="96"/>
      <c r="K335" s="103"/>
      <c r="L335" s="66"/>
      <c r="M335" s="68"/>
      <c r="N335" s="68"/>
      <c r="O335" s="96"/>
      <c r="P335" s="69"/>
      <c r="Q335" s="96"/>
      <c r="R335" s="96"/>
      <c r="S335" s="69"/>
      <c r="T335" s="67"/>
      <c r="U335" s="67"/>
      <c r="V335" s="67"/>
      <c r="W335" s="71"/>
      <c r="X335" s="71"/>
      <c r="Y335" s="71"/>
      <c r="Z335" s="1"/>
    </row>
    <row r="336" spans="1:26" ht="36" customHeight="1">
      <c r="A336" s="1"/>
      <c r="B336" s="66" t="s">
        <v>6266</v>
      </c>
      <c r="C336" s="66"/>
      <c r="D336" s="66"/>
      <c r="E336" s="66"/>
      <c r="F336" s="96"/>
      <c r="G336" s="96"/>
      <c r="H336" s="96"/>
      <c r="I336" s="96"/>
      <c r="J336" s="96"/>
      <c r="K336" s="103"/>
      <c r="L336" s="66"/>
      <c r="M336" s="68"/>
      <c r="N336" s="68"/>
      <c r="O336" s="96"/>
      <c r="P336" s="69"/>
      <c r="Q336" s="69"/>
      <c r="R336" s="69"/>
      <c r="S336" s="69"/>
      <c r="T336" s="67"/>
      <c r="U336" s="67"/>
      <c r="V336" s="67"/>
      <c r="W336" s="71"/>
      <c r="X336" s="71"/>
      <c r="Y336" s="71"/>
      <c r="Z336" s="1"/>
    </row>
    <row r="337" spans="1:26" ht="36" customHeight="1">
      <c r="A337" s="1"/>
      <c r="B337" s="66" t="s">
        <v>6267</v>
      </c>
      <c r="C337" s="66"/>
      <c r="D337" s="66"/>
      <c r="E337" s="66"/>
      <c r="F337" s="96"/>
      <c r="G337" s="96"/>
      <c r="H337" s="96"/>
      <c r="I337" s="96"/>
      <c r="J337" s="96"/>
      <c r="K337" s="103"/>
      <c r="L337" s="66"/>
      <c r="M337" s="68"/>
      <c r="N337" s="68"/>
      <c r="O337" s="96"/>
      <c r="P337" s="69"/>
      <c r="Q337" s="69"/>
      <c r="R337" s="69"/>
      <c r="S337" s="69"/>
      <c r="T337" s="67"/>
      <c r="U337" s="67"/>
      <c r="V337" s="67"/>
      <c r="W337" s="71"/>
      <c r="X337" s="71"/>
      <c r="Y337" s="71"/>
      <c r="Z337" s="1"/>
    </row>
    <row r="338" spans="1:26" ht="36" customHeight="1">
      <c r="A338" s="1"/>
      <c r="B338" s="66" t="s">
        <v>6268</v>
      </c>
      <c r="C338" s="66"/>
      <c r="D338" s="66"/>
      <c r="E338" s="66"/>
      <c r="F338" s="96"/>
      <c r="G338" s="96"/>
      <c r="H338" s="96"/>
      <c r="I338" s="96"/>
      <c r="J338" s="96"/>
      <c r="K338" s="103"/>
      <c r="L338" s="66"/>
      <c r="M338" s="68"/>
      <c r="N338" s="68"/>
      <c r="O338" s="96"/>
      <c r="P338" s="69"/>
      <c r="Q338" s="69"/>
      <c r="R338" s="69"/>
      <c r="S338" s="69"/>
      <c r="T338" s="67"/>
      <c r="U338" s="67"/>
      <c r="V338" s="67"/>
      <c r="W338" s="71"/>
      <c r="X338" s="71"/>
      <c r="Y338" s="71"/>
      <c r="Z338" s="1"/>
    </row>
    <row r="339" spans="1:26" ht="36" customHeight="1">
      <c r="A339" s="1"/>
      <c r="B339" s="66" t="s">
        <v>6269</v>
      </c>
      <c r="C339" s="66"/>
      <c r="D339" s="66"/>
      <c r="E339" s="66"/>
      <c r="F339" s="96"/>
      <c r="G339" s="96"/>
      <c r="H339" s="96"/>
      <c r="I339" s="96"/>
      <c r="J339" s="96"/>
      <c r="K339" s="103"/>
      <c r="L339" s="66"/>
      <c r="M339" s="68"/>
      <c r="N339" s="68"/>
      <c r="O339" s="96"/>
      <c r="P339" s="69"/>
      <c r="Q339" s="96"/>
      <c r="R339" s="96"/>
      <c r="S339" s="69"/>
      <c r="T339" s="67"/>
      <c r="U339" s="67"/>
      <c r="V339" s="67"/>
      <c r="W339" s="71"/>
      <c r="X339" s="71"/>
      <c r="Y339" s="71"/>
      <c r="Z339" s="1"/>
    </row>
    <row r="340" spans="1:26" ht="36" customHeight="1">
      <c r="A340" s="1"/>
      <c r="B340" s="66" t="s">
        <v>6270</v>
      </c>
      <c r="C340" s="66"/>
      <c r="D340" s="66"/>
      <c r="E340" s="66"/>
      <c r="F340" s="96"/>
      <c r="G340" s="96"/>
      <c r="H340" s="96"/>
      <c r="I340" s="96"/>
      <c r="J340" s="96"/>
      <c r="K340" s="103"/>
      <c r="L340" s="66"/>
      <c r="M340" s="68"/>
      <c r="N340" s="68"/>
      <c r="O340" s="96"/>
      <c r="P340" s="69"/>
      <c r="Q340" s="96"/>
      <c r="R340" s="96"/>
      <c r="S340" s="69"/>
      <c r="T340" s="67"/>
      <c r="U340" s="67"/>
      <c r="V340" s="67"/>
      <c r="W340" s="71"/>
      <c r="X340" s="71"/>
      <c r="Y340" s="71"/>
      <c r="Z340" s="1"/>
    </row>
    <row r="341" spans="1:26" ht="36" customHeight="1">
      <c r="A341" s="1"/>
      <c r="B341" s="66" t="s">
        <v>6271</v>
      </c>
      <c r="C341" s="66"/>
      <c r="D341" s="66"/>
      <c r="E341" s="66"/>
      <c r="F341" s="96"/>
      <c r="G341" s="96"/>
      <c r="H341" s="96"/>
      <c r="I341" s="96"/>
      <c r="J341" s="96"/>
      <c r="K341" s="103"/>
      <c r="L341" s="66"/>
      <c r="M341" s="68"/>
      <c r="N341" s="68"/>
      <c r="O341" s="96"/>
      <c r="P341" s="69"/>
      <c r="Q341" s="69"/>
      <c r="R341" s="69"/>
      <c r="S341" s="69"/>
      <c r="T341" s="67"/>
      <c r="U341" s="67"/>
      <c r="V341" s="67"/>
      <c r="W341" s="71"/>
      <c r="X341" s="71"/>
      <c r="Y341" s="71"/>
      <c r="Z341" s="1"/>
    </row>
    <row r="342" spans="1:26" ht="36" customHeight="1">
      <c r="A342" s="1"/>
      <c r="B342" s="66" t="s">
        <v>6272</v>
      </c>
      <c r="C342" s="66"/>
      <c r="D342" s="66"/>
      <c r="E342" s="66"/>
      <c r="F342" s="96"/>
      <c r="G342" s="96"/>
      <c r="H342" s="96"/>
      <c r="I342" s="96"/>
      <c r="J342" s="96"/>
      <c r="K342" s="103"/>
      <c r="L342" s="66"/>
      <c r="M342" s="68"/>
      <c r="N342" s="68"/>
      <c r="O342" s="96"/>
      <c r="P342" s="69"/>
      <c r="Q342" s="69"/>
      <c r="R342" s="69"/>
      <c r="S342" s="69"/>
      <c r="T342" s="67"/>
      <c r="U342" s="67"/>
      <c r="V342" s="67"/>
      <c r="W342" s="71"/>
      <c r="X342" s="71"/>
      <c r="Y342" s="71"/>
      <c r="Z342" s="1"/>
    </row>
    <row r="343" spans="1:26" ht="36" customHeight="1">
      <c r="A343" s="1"/>
      <c r="B343" s="66" t="s">
        <v>6273</v>
      </c>
      <c r="C343" s="66"/>
      <c r="D343" s="66"/>
      <c r="E343" s="66"/>
      <c r="F343" s="96"/>
      <c r="G343" s="96"/>
      <c r="H343" s="96"/>
      <c r="I343" s="96"/>
      <c r="J343" s="96"/>
      <c r="K343" s="103"/>
      <c r="L343" s="66"/>
      <c r="M343" s="68"/>
      <c r="N343" s="68"/>
      <c r="O343" s="96"/>
      <c r="P343" s="69"/>
      <c r="Q343" s="69"/>
      <c r="R343" s="69"/>
      <c r="S343" s="69"/>
      <c r="T343" s="67"/>
      <c r="U343" s="67"/>
      <c r="V343" s="67"/>
      <c r="W343" s="71"/>
      <c r="X343" s="71"/>
      <c r="Y343" s="71"/>
      <c r="Z343" s="1"/>
    </row>
    <row r="344" spans="1:26" ht="36" customHeight="1">
      <c r="A344" s="1"/>
      <c r="B344" s="66" t="s">
        <v>6274</v>
      </c>
      <c r="C344" s="66"/>
      <c r="D344" s="66"/>
      <c r="E344" s="66"/>
      <c r="F344" s="96"/>
      <c r="G344" s="96"/>
      <c r="H344" s="96"/>
      <c r="I344" s="96"/>
      <c r="J344" s="96"/>
      <c r="K344" s="103"/>
      <c r="L344" s="66"/>
      <c r="M344" s="68"/>
      <c r="N344" s="68"/>
      <c r="O344" s="96"/>
      <c r="P344" s="69"/>
      <c r="Q344" s="96"/>
      <c r="R344" s="96"/>
      <c r="S344" s="69"/>
      <c r="T344" s="67"/>
      <c r="U344" s="67"/>
      <c r="V344" s="67"/>
      <c r="W344" s="71"/>
      <c r="X344" s="71"/>
      <c r="Y344" s="71"/>
      <c r="Z344" s="1"/>
    </row>
    <row r="345" spans="1:26" ht="36" customHeight="1">
      <c r="A345" s="1"/>
      <c r="B345" s="66" t="s">
        <v>6275</v>
      </c>
      <c r="C345" s="66"/>
      <c r="D345" s="66"/>
      <c r="E345" s="66"/>
      <c r="F345" s="96"/>
      <c r="G345" s="96"/>
      <c r="H345" s="96"/>
      <c r="I345" s="96"/>
      <c r="J345" s="96"/>
      <c r="K345" s="103"/>
      <c r="L345" s="66"/>
      <c r="M345" s="68"/>
      <c r="N345" s="68"/>
      <c r="O345" s="96"/>
      <c r="P345" s="69"/>
      <c r="Q345" s="69"/>
      <c r="R345" s="69"/>
      <c r="S345" s="69"/>
      <c r="T345" s="67"/>
      <c r="U345" s="67"/>
      <c r="V345" s="67"/>
      <c r="W345" s="71"/>
      <c r="X345" s="71"/>
      <c r="Y345" s="71"/>
      <c r="Z345" s="1"/>
    </row>
    <row r="346" spans="1:26" ht="36" customHeight="1">
      <c r="A346" s="1"/>
      <c r="B346" s="66" t="s">
        <v>6276</v>
      </c>
      <c r="C346" s="66"/>
      <c r="D346" s="66"/>
      <c r="E346" s="66"/>
      <c r="F346" s="96"/>
      <c r="G346" s="96"/>
      <c r="H346" s="96"/>
      <c r="I346" s="96"/>
      <c r="J346" s="96"/>
      <c r="K346" s="103"/>
      <c r="L346" s="66"/>
      <c r="M346" s="68"/>
      <c r="N346" s="68"/>
      <c r="O346" s="96"/>
      <c r="P346" s="69"/>
      <c r="Q346" s="69"/>
      <c r="R346" s="69"/>
      <c r="S346" s="69"/>
      <c r="T346" s="67"/>
      <c r="U346" s="67"/>
      <c r="V346" s="67"/>
      <c r="W346" s="71"/>
      <c r="X346" s="71"/>
      <c r="Y346" s="71"/>
      <c r="Z346" s="1"/>
    </row>
    <row r="347" spans="1:26" ht="36" customHeight="1">
      <c r="A347" s="1"/>
      <c r="B347" s="66" t="s">
        <v>6277</v>
      </c>
      <c r="C347" s="66"/>
      <c r="D347" s="66"/>
      <c r="E347" s="66"/>
      <c r="F347" s="96"/>
      <c r="G347" s="96"/>
      <c r="H347" s="96"/>
      <c r="I347" s="96"/>
      <c r="J347" s="96"/>
      <c r="K347" s="103"/>
      <c r="L347" s="66"/>
      <c r="M347" s="68"/>
      <c r="N347" s="68"/>
      <c r="O347" s="96"/>
      <c r="P347" s="69"/>
      <c r="Q347" s="69"/>
      <c r="R347" s="69"/>
      <c r="S347" s="69"/>
      <c r="T347" s="67"/>
      <c r="U347" s="67"/>
      <c r="V347" s="67"/>
      <c r="W347" s="71"/>
      <c r="X347" s="71"/>
      <c r="Y347" s="71"/>
      <c r="Z347" s="1"/>
    </row>
    <row r="348" spans="1:26" ht="36" customHeight="1">
      <c r="A348" s="1"/>
      <c r="B348" s="66" t="s">
        <v>6278</v>
      </c>
      <c r="C348" s="66"/>
      <c r="D348" s="66"/>
      <c r="E348" s="66"/>
      <c r="F348" s="96"/>
      <c r="G348" s="96"/>
      <c r="H348" s="96"/>
      <c r="I348" s="96"/>
      <c r="J348" s="96"/>
      <c r="K348" s="103"/>
      <c r="L348" s="103"/>
      <c r="M348" s="68"/>
      <c r="N348" s="68"/>
      <c r="O348" s="96"/>
      <c r="P348" s="69"/>
      <c r="Q348" s="69"/>
      <c r="R348" s="69"/>
      <c r="S348" s="69"/>
      <c r="T348" s="67"/>
      <c r="U348" s="67"/>
      <c r="V348" s="67"/>
      <c r="W348" s="71"/>
      <c r="X348" s="71"/>
      <c r="Y348" s="71"/>
      <c r="Z348" s="1"/>
    </row>
    <row r="349" spans="1:26" ht="36" customHeight="1">
      <c r="A349" s="1"/>
      <c r="B349" s="66" t="s">
        <v>6279</v>
      </c>
      <c r="C349" s="66"/>
      <c r="D349" s="66"/>
      <c r="E349" s="66"/>
      <c r="F349" s="96"/>
      <c r="G349" s="96"/>
      <c r="H349" s="96"/>
      <c r="I349" s="96"/>
      <c r="J349" s="96"/>
      <c r="K349" s="103"/>
      <c r="L349" s="103"/>
      <c r="M349" s="68"/>
      <c r="N349" s="68"/>
      <c r="O349" s="96"/>
      <c r="P349" s="69"/>
      <c r="Q349" s="69"/>
      <c r="R349" s="69"/>
      <c r="S349" s="69"/>
      <c r="T349" s="67"/>
      <c r="U349" s="67"/>
      <c r="V349" s="67"/>
      <c r="W349" s="71"/>
      <c r="X349" s="71"/>
      <c r="Y349" s="71"/>
      <c r="Z349" s="1"/>
    </row>
    <row r="350" spans="1:26" ht="36" customHeight="1">
      <c r="A350" s="1"/>
      <c r="B350" s="66" t="s">
        <v>6280</v>
      </c>
      <c r="C350" s="66"/>
      <c r="D350" s="66"/>
      <c r="E350" s="66"/>
      <c r="F350" s="96"/>
      <c r="G350" s="96"/>
      <c r="H350" s="96"/>
      <c r="I350" s="96"/>
      <c r="J350" s="96"/>
      <c r="K350" s="103"/>
      <c r="L350" s="103"/>
      <c r="M350" s="68"/>
      <c r="N350" s="68"/>
      <c r="O350" s="96"/>
      <c r="P350" s="69"/>
      <c r="Q350" s="69"/>
      <c r="R350" s="96"/>
      <c r="S350" s="69"/>
      <c r="T350" s="67"/>
      <c r="U350" s="67"/>
      <c r="V350" s="67"/>
      <c r="W350" s="71"/>
      <c r="X350" s="71"/>
      <c r="Y350" s="71"/>
      <c r="Z350" s="1"/>
    </row>
    <row r="351" spans="1:26" ht="36" customHeight="1">
      <c r="A351" s="1"/>
      <c r="B351" s="66" t="s">
        <v>6281</v>
      </c>
      <c r="C351" s="66"/>
      <c r="D351" s="66"/>
      <c r="E351" s="66"/>
      <c r="F351" s="96"/>
      <c r="G351" s="96"/>
      <c r="H351" s="96"/>
      <c r="I351" s="96"/>
      <c r="J351" s="96"/>
      <c r="K351" s="103"/>
      <c r="L351" s="103"/>
      <c r="M351" s="68"/>
      <c r="N351" s="68"/>
      <c r="O351" s="96"/>
      <c r="P351" s="69"/>
      <c r="Q351" s="69"/>
      <c r="R351" s="69"/>
      <c r="S351" s="69"/>
      <c r="T351" s="67"/>
      <c r="U351" s="67"/>
      <c r="V351" s="67"/>
      <c r="W351" s="71"/>
      <c r="X351" s="71"/>
      <c r="Y351" s="71"/>
      <c r="Z351" s="1"/>
    </row>
    <row r="352" spans="1:26" ht="36" customHeight="1">
      <c r="A352" s="1"/>
      <c r="B352" s="66" t="s">
        <v>6282</v>
      </c>
      <c r="C352" s="66"/>
      <c r="D352" s="66"/>
      <c r="E352" s="66"/>
      <c r="F352" s="96"/>
      <c r="G352" s="96"/>
      <c r="H352" s="96"/>
      <c r="I352" s="96"/>
      <c r="J352" s="96"/>
      <c r="K352" s="103"/>
      <c r="L352" s="103"/>
      <c r="M352" s="68"/>
      <c r="N352" s="68"/>
      <c r="O352" s="96"/>
      <c r="P352" s="69"/>
      <c r="Q352" s="69"/>
      <c r="R352" s="69"/>
      <c r="S352" s="69"/>
      <c r="T352" s="67"/>
      <c r="U352" s="67"/>
      <c r="V352" s="67"/>
      <c r="W352" s="71"/>
      <c r="X352" s="71"/>
      <c r="Y352" s="71"/>
      <c r="Z352" s="1"/>
    </row>
    <row r="353" spans="1:26" ht="36" customHeight="1">
      <c r="A353" s="1"/>
      <c r="B353" s="66" t="s">
        <v>6283</v>
      </c>
      <c r="C353" s="66"/>
      <c r="D353" s="66"/>
      <c r="E353" s="66"/>
      <c r="F353" s="96"/>
      <c r="G353" s="96"/>
      <c r="H353" s="96"/>
      <c r="I353" s="96"/>
      <c r="J353" s="96"/>
      <c r="K353" s="103"/>
      <c r="L353" s="103"/>
      <c r="M353" s="68"/>
      <c r="N353" s="68"/>
      <c r="O353" s="96"/>
      <c r="P353" s="69"/>
      <c r="Q353" s="96"/>
      <c r="R353" s="96"/>
      <c r="S353" s="69"/>
      <c r="T353" s="67"/>
      <c r="U353" s="67"/>
      <c r="V353" s="67"/>
      <c r="W353" s="71"/>
      <c r="X353" s="71"/>
      <c r="Y353" s="71"/>
      <c r="Z353" s="1"/>
    </row>
    <row r="354" spans="1:26" ht="36" customHeight="1">
      <c r="A354" s="1"/>
      <c r="B354" s="66" t="s">
        <v>6284</v>
      </c>
      <c r="C354" s="66"/>
      <c r="D354" s="66"/>
      <c r="E354" s="66"/>
      <c r="F354" s="96"/>
      <c r="G354" s="96"/>
      <c r="H354" s="96"/>
      <c r="I354" s="96"/>
      <c r="J354" s="96"/>
      <c r="K354" s="103"/>
      <c r="L354" s="103"/>
      <c r="M354" s="68"/>
      <c r="N354" s="68"/>
      <c r="O354" s="96"/>
      <c r="P354" s="69"/>
      <c r="Q354" s="69"/>
      <c r="R354" s="69"/>
      <c r="S354" s="69"/>
      <c r="T354" s="67"/>
      <c r="U354" s="67"/>
      <c r="V354" s="67"/>
      <c r="W354" s="71"/>
      <c r="X354" s="71"/>
      <c r="Y354" s="71"/>
      <c r="Z354" s="1"/>
    </row>
    <row r="355" spans="1:26" ht="36" customHeight="1">
      <c r="A355" s="1"/>
      <c r="B355" s="66" t="s">
        <v>6285</v>
      </c>
      <c r="C355" s="66"/>
      <c r="D355" s="66"/>
      <c r="E355" s="66"/>
      <c r="F355" s="96"/>
      <c r="G355" s="96"/>
      <c r="H355" s="96"/>
      <c r="I355" s="96"/>
      <c r="J355" s="96"/>
      <c r="K355" s="103"/>
      <c r="L355" s="103"/>
      <c r="M355" s="68"/>
      <c r="N355" s="68"/>
      <c r="O355" s="96"/>
      <c r="P355" s="69"/>
      <c r="Q355" s="69"/>
      <c r="R355" s="69"/>
      <c r="S355" s="69"/>
      <c r="T355" s="67"/>
      <c r="U355" s="67"/>
      <c r="V355" s="67"/>
      <c r="W355" s="71"/>
      <c r="X355" s="71"/>
      <c r="Y355" s="71"/>
      <c r="Z355" s="1"/>
    </row>
    <row r="356" spans="1:26" ht="36" customHeight="1">
      <c r="A356" s="1"/>
      <c r="B356" s="66" t="s">
        <v>6286</v>
      </c>
      <c r="C356" s="66"/>
      <c r="D356" s="66"/>
      <c r="E356" s="66"/>
      <c r="F356" s="96"/>
      <c r="G356" s="96"/>
      <c r="H356" s="96"/>
      <c r="I356" s="96"/>
      <c r="J356" s="96"/>
      <c r="K356" s="103"/>
      <c r="L356" s="103"/>
      <c r="M356" s="68"/>
      <c r="N356" s="68"/>
      <c r="O356" s="96"/>
      <c r="P356" s="69"/>
      <c r="Q356" s="69"/>
      <c r="R356" s="96"/>
      <c r="S356" s="69"/>
      <c r="T356" s="67"/>
      <c r="U356" s="67"/>
      <c r="V356" s="67"/>
      <c r="W356" s="67"/>
      <c r="X356" s="67"/>
      <c r="Y356" s="67"/>
      <c r="Z356" s="1"/>
    </row>
    <row r="357" spans="1:26" ht="36" customHeight="1">
      <c r="A357" s="1"/>
      <c r="B357" s="66" t="s">
        <v>6287</v>
      </c>
      <c r="C357" s="66"/>
      <c r="D357" s="66"/>
      <c r="E357" s="66"/>
      <c r="F357" s="96"/>
      <c r="G357" s="96"/>
      <c r="H357" s="96"/>
      <c r="I357" s="96"/>
      <c r="J357" s="96"/>
      <c r="K357" s="103"/>
      <c r="L357" s="103"/>
      <c r="M357" s="68"/>
      <c r="N357" s="68"/>
      <c r="O357" s="96"/>
      <c r="P357" s="69"/>
      <c r="Q357" s="96"/>
      <c r="R357" s="96"/>
      <c r="S357" s="69"/>
      <c r="T357" s="67"/>
      <c r="U357" s="67"/>
      <c r="V357" s="67"/>
      <c r="W357" s="71"/>
      <c r="X357" s="71"/>
      <c r="Y357" s="71"/>
      <c r="Z357" s="1"/>
    </row>
    <row r="358" spans="1:26" ht="36" customHeight="1">
      <c r="A358" s="1"/>
      <c r="B358" s="66" t="s">
        <v>6288</v>
      </c>
      <c r="C358" s="66"/>
      <c r="D358" s="66"/>
      <c r="E358" s="66"/>
      <c r="F358" s="96"/>
      <c r="G358" s="96"/>
      <c r="H358" s="96"/>
      <c r="I358" s="96"/>
      <c r="J358" s="96"/>
      <c r="K358" s="103"/>
      <c r="L358" s="103"/>
      <c r="M358" s="68"/>
      <c r="N358" s="68"/>
      <c r="O358" s="96"/>
      <c r="P358" s="69"/>
      <c r="Q358" s="96"/>
      <c r="R358" s="96"/>
      <c r="S358" s="69"/>
      <c r="T358" s="67"/>
      <c r="U358" s="67"/>
      <c r="V358" s="67"/>
      <c r="W358" s="71"/>
      <c r="X358" s="71"/>
      <c r="Y358" s="71"/>
      <c r="Z358" s="1"/>
    </row>
    <row r="359" spans="1:26" ht="36" customHeight="1">
      <c r="A359" s="1"/>
      <c r="B359" s="66" t="s">
        <v>6289</v>
      </c>
      <c r="C359" s="66"/>
      <c r="D359" s="66"/>
      <c r="E359" s="66"/>
      <c r="F359" s="96"/>
      <c r="G359" s="96"/>
      <c r="H359" s="96"/>
      <c r="I359" s="96"/>
      <c r="J359" s="96"/>
      <c r="K359" s="103"/>
      <c r="L359" s="103"/>
      <c r="M359" s="68"/>
      <c r="N359" s="68"/>
      <c r="O359" s="96"/>
      <c r="P359" s="69"/>
      <c r="Q359" s="69"/>
      <c r="R359" s="69"/>
      <c r="S359" s="69"/>
      <c r="T359" s="67"/>
      <c r="U359" s="67"/>
      <c r="V359" s="67"/>
      <c r="W359" s="71"/>
      <c r="X359" s="71"/>
      <c r="Y359" s="71"/>
      <c r="Z359" s="1"/>
    </row>
    <row r="360" spans="1:26" ht="36" customHeight="1">
      <c r="A360" s="1"/>
      <c r="B360" s="66" t="s">
        <v>6290</v>
      </c>
      <c r="C360" s="66"/>
      <c r="D360" s="66"/>
      <c r="E360" s="66"/>
      <c r="F360" s="96"/>
      <c r="G360" s="96"/>
      <c r="H360" s="96"/>
      <c r="I360" s="96"/>
      <c r="J360" s="96"/>
      <c r="K360" s="103"/>
      <c r="L360" s="103"/>
      <c r="M360" s="68"/>
      <c r="N360" s="68"/>
      <c r="O360" s="96"/>
      <c r="P360" s="69"/>
      <c r="Q360" s="69"/>
      <c r="R360" s="96"/>
      <c r="S360" s="69"/>
      <c r="T360" s="67"/>
      <c r="U360" s="67"/>
      <c r="V360" s="67"/>
      <c r="W360" s="71"/>
      <c r="X360" s="71"/>
      <c r="Y360" s="67"/>
      <c r="Z360" s="1"/>
    </row>
    <row r="361" spans="1:26" ht="36" customHeight="1">
      <c r="A361" s="1"/>
      <c r="B361" s="66" t="s">
        <v>6291</v>
      </c>
      <c r="C361" s="66"/>
      <c r="D361" s="66"/>
      <c r="E361" s="66"/>
      <c r="F361" s="96"/>
      <c r="G361" s="96"/>
      <c r="H361" s="66"/>
      <c r="I361" s="66"/>
      <c r="J361" s="66"/>
      <c r="K361" s="103"/>
      <c r="L361" s="103"/>
      <c r="M361" s="68"/>
      <c r="N361" s="68"/>
      <c r="O361" s="96"/>
      <c r="P361" s="69"/>
      <c r="Q361" s="69"/>
      <c r="R361" s="69"/>
      <c r="S361" s="68"/>
      <c r="T361" s="67"/>
      <c r="U361" s="67"/>
      <c r="V361" s="67"/>
      <c r="W361" s="71"/>
      <c r="X361" s="67"/>
      <c r="Y361" s="71"/>
      <c r="Z361" s="1"/>
    </row>
    <row r="362" spans="1:26" ht="36" customHeight="1">
      <c r="A362" s="1"/>
      <c r="B362" s="66" t="s">
        <v>6292</v>
      </c>
      <c r="C362" s="66"/>
      <c r="D362" s="66"/>
      <c r="E362" s="66"/>
      <c r="F362" s="96"/>
      <c r="G362" s="96"/>
      <c r="H362" s="96"/>
      <c r="I362" s="96"/>
      <c r="J362" s="96"/>
      <c r="K362" s="103"/>
      <c r="L362" s="103"/>
      <c r="M362" s="68"/>
      <c r="N362" s="68"/>
      <c r="O362" s="96"/>
      <c r="P362" s="69"/>
      <c r="Q362" s="69"/>
      <c r="R362" s="69"/>
      <c r="S362" s="69"/>
      <c r="T362" s="67"/>
      <c r="U362" s="67"/>
      <c r="V362" s="67"/>
      <c r="W362" s="71"/>
      <c r="X362" s="71"/>
      <c r="Y362" s="71"/>
      <c r="Z362" s="1"/>
    </row>
    <row r="363" spans="1:26" ht="36" customHeight="1">
      <c r="A363" s="1"/>
      <c r="B363" s="66" t="s">
        <v>6293</v>
      </c>
      <c r="C363" s="66"/>
      <c r="D363" s="66"/>
      <c r="E363" s="66"/>
      <c r="F363" s="96"/>
      <c r="G363" s="96"/>
      <c r="H363" s="96"/>
      <c r="I363" s="96"/>
      <c r="J363" s="96"/>
      <c r="K363" s="103"/>
      <c r="L363" s="103"/>
      <c r="M363" s="68"/>
      <c r="N363" s="68"/>
      <c r="O363" s="96"/>
      <c r="P363" s="69"/>
      <c r="Q363" s="69"/>
      <c r="R363" s="69"/>
      <c r="S363" s="69"/>
      <c r="T363" s="67"/>
      <c r="U363" s="67"/>
      <c r="V363" s="67"/>
      <c r="W363" s="71"/>
      <c r="X363" s="71"/>
      <c r="Y363" s="71"/>
      <c r="Z363" s="1"/>
    </row>
    <row r="364" spans="1:26" ht="36" customHeight="1">
      <c r="A364" s="1"/>
      <c r="B364" s="66" t="s">
        <v>6294</v>
      </c>
      <c r="C364" s="66"/>
      <c r="D364" s="66"/>
      <c r="E364" s="66"/>
      <c r="F364" s="96"/>
      <c r="G364" s="96"/>
      <c r="H364" s="96"/>
      <c r="I364" s="96"/>
      <c r="J364" s="96"/>
      <c r="K364" s="103"/>
      <c r="L364" s="103"/>
      <c r="M364" s="68"/>
      <c r="N364" s="68"/>
      <c r="O364" s="96"/>
      <c r="P364" s="69"/>
      <c r="Q364" s="69"/>
      <c r="R364" s="69"/>
      <c r="S364" s="69"/>
      <c r="T364" s="67"/>
      <c r="U364" s="67"/>
      <c r="V364" s="67"/>
      <c r="W364" s="71"/>
      <c r="X364" s="71"/>
      <c r="Y364" s="71"/>
      <c r="Z364" s="1"/>
    </row>
    <row r="365" spans="1:26" ht="36" customHeight="1">
      <c r="A365" s="1"/>
      <c r="B365" s="66" t="s">
        <v>6295</v>
      </c>
      <c r="C365" s="66"/>
      <c r="D365" s="66"/>
      <c r="E365" s="66"/>
      <c r="F365" s="96"/>
      <c r="G365" s="96"/>
      <c r="H365" s="96"/>
      <c r="I365" s="96"/>
      <c r="J365" s="96"/>
      <c r="K365" s="103"/>
      <c r="L365" s="103"/>
      <c r="M365" s="68"/>
      <c r="N365" s="68"/>
      <c r="O365" s="96"/>
      <c r="P365" s="69"/>
      <c r="Q365" s="69"/>
      <c r="R365" s="69"/>
      <c r="S365" s="69"/>
      <c r="T365" s="67"/>
      <c r="U365" s="67"/>
      <c r="V365" s="67"/>
      <c r="W365" s="71"/>
      <c r="X365" s="71"/>
      <c r="Y365" s="71"/>
      <c r="Z365" s="1"/>
    </row>
    <row r="366" spans="1:26" ht="36" customHeight="1">
      <c r="A366" s="1"/>
      <c r="B366" s="66" t="s">
        <v>6296</v>
      </c>
      <c r="C366" s="66"/>
      <c r="D366" s="66"/>
      <c r="E366" s="66"/>
      <c r="F366" s="96"/>
      <c r="G366" s="96"/>
      <c r="H366" s="96"/>
      <c r="I366" s="96"/>
      <c r="J366" s="96"/>
      <c r="K366" s="103"/>
      <c r="L366" s="103"/>
      <c r="M366" s="68"/>
      <c r="N366" s="68"/>
      <c r="O366" s="96"/>
      <c r="P366" s="69"/>
      <c r="Q366" s="96"/>
      <c r="R366" s="96"/>
      <c r="S366" s="69"/>
      <c r="T366" s="67"/>
      <c r="U366" s="67"/>
      <c r="V366" s="67"/>
      <c r="W366" s="71"/>
      <c r="X366" s="71"/>
      <c r="Y366" s="71"/>
      <c r="Z366" s="1"/>
    </row>
    <row r="367" spans="1:26" ht="36" customHeight="1">
      <c r="A367" s="1"/>
      <c r="B367" s="66" t="s">
        <v>6297</v>
      </c>
      <c r="C367" s="66"/>
      <c r="D367" s="66"/>
      <c r="E367" s="66"/>
      <c r="F367" s="96"/>
      <c r="G367" s="96"/>
      <c r="H367" s="96"/>
      <c r="I367" s="96"/>
      <c r="J367" s="96"/>
      <c r="K367" s="103"/>
      <c r="L367" s="103"/>
      <c r="M367" s="68"/>
      <c r="N367" s="68"/>
      <c r="O367" s="96"/>
      <c r="P367" s="69"/>
      <c r="Q367" s="69"/>
      <c r="R367" s="69"/>
      <c r="S367" s="69"/>
      <c r="T367" s="67"/>
      <c r="U367" s="67"/>
      <c r="V367" s="67"/>
      <c r="W367" s="71"/>
      <c r="X367" s="71"/>
      <c r="Y367" s="71"/>
      <c r="Z367" s="1"/>
    </row>
    <row r="368" spans="1:26" ht="36" customHeight="1">
      <c r="A368" s="1"/>
      <c r="B368" s="66" t="s">
        <v>6298</v>
      </c>
      <c r="C368" s="66"/>
      <c r="D368" s="66"/>
      <c r="E368" s="66"/>
      <c r="F368" s="96"/>
      <c r="G368" s="96"/>
      <c r="H368" s="96"/>
      <c r="I368" s="96"/>
      <c r="J368" s="96"/>
      <c r="K368" s="103"/>
      <c r="L368" s="103"/>
      <c r="M368" s="68"/>
      <c r="N368" s="68"/>
      <c r="O368" s="96"/>
      <c r="P368" s="69"/>
      <c r="Q368" s="69"/>
      <c r="R368" s="69"/>
      <c r="S368" s="69"/>
      <c r="T368" s="67"/>
      <c r="U368" s="67"/>
      <c r="V368" s="67"/>
      <c r="W368" s="71"/>
      <c r="X368" s="71"/>
      <c r="Y368" s="71"/>
      <c r="Z368" s="1"/>
    </row>
    <row r="369" spans="1:26" ht="36" customHeight="1">
      <c r="A369" s="1"/>
      <c r="B369" s="66" t="s">
        <v>6299</v>
      </c>
      <c r="C369" s="66"/>
      <c r="D369" s="66"/>
      <c r="E369" s="66"/>
      <c r="F369" s="96"/>
      <c r="G369" s="96"/>
      <c r="H369" s="96"/>
      <c r="I369" s="96"/>
      <c r="J369" s="96"/>
      <c r="K369" s="103"/>
      <c r="L369" s="103"/>
      <c r="M369" s="68"/>
      <c r="N369" s="68"/>
      <c r="O369" s="96"/>
      <c r="P369" s="69"/>
      <c r="Q369" s="69"/>
      <c r="R369" s="69"/>
      <c r="S369" s="69"/>
      <c r="T369" s="67"/>
      <c r="U369" s="67"/>
      <c r="V369" s="67"/>
      <c r="W369" s="71"/>
      <c r="X369" s="71"/>
      <c r="Y369" s="71"/>
      <c r="Z369" s="1"/>
    </row>
    <row r="370" spans="1:26" ht="36" customHeight="1">
      <c r="A370" s="1"/>
      <c r="B370" s="66" t="s">
        <v>6300</v>
      </c>
      <c r="C370" s="66"/>
      <c r="D370" s="66"/>
      <c r="E370" s="66"/>
      <c r="F370" s="96"/>
      <c r="G370" s="96"/>
      <c r="H370" s="96"/>
      <c r="I370" s="96"/>
      <c r="J370" s="96"/>
      <c r="K370" s="103"/>
      <c r="L370" s="103"/>
      <c r="M370" s="68"/>
      <c r="N370" s="68"/>
      <c r="O370" s="96"/>
      <c r="P370" s="69"/>
      <c r="Q370" s="96"/>
      <c r="R370" s="96"/>
      <c r="S370" s="69"/>
      <c r="T370" s="67"/>
      <c r="U370" s="67"/>
      <c r="V370" s="67"/>
      <c r="W370" s="67"/>
      <c r="X370" s="67"/>
      <c r="Y370" s="67"/>
      <c r="Z370" s="1"/>
    </row>
    <row r="371" spans="1:26" ht="36" customHeight="1">
      <c r="A371" s="1"/>
      <c r="B371" s="66" t="s">
        <v>6301</v>
      </c>
      <c r="C371" s="66"/>
      <c r="D371" s="66"/>
      <c r="E371" s="66"/>
      <c r="F371" s="96"/>
      <c r="G371" s="96"/>
      <c r="H371" s="96"/>
      <c r="I371" s="96"/>
      <c r="J371" s="96"/>
      <c r="K371" s="103"/>
      <c r="L371" s="103"/>
      <c r="M371" s="68"/>
      <c r="N371" s="68"/>
      <c r="O371" s="96"/>
      <c r="P371" s="69"/>
      <c r="Q371" s="87"/>
      <c r="R371" s="87"/>
      <c r="S371" s="4"/>
      <c r="T371" s="67"/>
      <c r="U371" s="67"/>
      <c r="V371" s="67"/>
      <c r="W371" s="67"/>
      <c r="X371" s="67"/>
      <c r="Y371" s="67"/>
      <c r="Z371" s="1"/>
    </row>
    <row r="372" spans="1:26" ht="36" customHeight="1">
      <c r="A372" s="1"/>
      <c r="B372" s="66" t="s">
        <v>6302</v>
      </c>
      <c r="C372" s="66"/>
      <c r="D372" s="66"/>
      <c r="E372" s="66"/>
      <c r="F372" s="96"/>
      <c r="G372" s="96"/>
      <c r="H372" s="96"/>
      <c r="I372" s="96"/>
      <c r="J372" s="96"/>
      <c r="K372" s="103"/>
      <c r="L372" s="103"/>
      <c r="M372" s="68"/>
      <c r="N372" s="68"/>
      <c r="O372" s="96"/>
      <c r="P372" s="69"/>
      <c r="Q372" s="69"/>
      <c r="R372" s="69"/>
      <c r="S372" s="69"/>
      <c r="T372" s="67"/>
      <c r="U372" s="67"/>
      <c r="V372" s="67"/>
      <c r="W372" s="71"/>
      <c r="X372" s="71"/>
      <c r="Y372" s="71"/>
      <c r="Z372" s="1"/>
    </row>
    <row r="373" spans="1:26" ht="36" customHeight="1">
      <c r="A373" s="1"/>
      <c r="B373" s="66" t="s">
        <v>6303</v>
      </c>
      <c r="C373" s="66"/>
      <c r="D373" s="66"/>
      <c r="E373" s="66"/>
      <c r="F373" s="96"/>
      <c r="G373" s="96"/>
      <c r="H373" s="96"/>
      <c r="I373" s="96"/>
      <c r="J373" s="96"/>
      <c r="K373" s="103"/>
      <c r="L373" s="103"/>
      <c r="M373" s="68"/>
      <c r="N373" s="68"/>
      <c r="O373" s="96"/>
      <c r="P373" s="69"/>
      <c r="Q373" s="69"/>
      <c r="R373" s="69"/>
      <c r="S373" s="69"/>
      <c r="T373" s="67"/>
      <c r="U373" s="67"/>
      <c r="V373" s="67"/>
      <c r="W373" s="67"/>
      <c r="X373" s="67"/>
      <c r="Y373" s="67"/>
      <c r="Z373" s="1"/>
    </row>
    <row r="374" spans="1:26" ht="36" customHeight="1">
      <c r="A374" s="1"/>
      <c r="B374" s="66" t="s">
        <v>6304</v>
      </c>
      <c r="C374" s="66"/>
      <c r="D374" s="66"/>
      <c r="E374" s="66"/>
      <c r="F374" s="96"/>
      <c r="G374" s="96"/>
      <c r="H374" s="96"/>
      <c r="I374" s="96"/>
      <c r="J374" s="96"/>
      <c r="K374" s="103"/>
      <c r="L374" s="103"/>
      <c r="M374" s="68"/>
      <c r="N374" s="68"/>
      <c r="O374" s="96"/>
      <c r="P374" s="69"/>
      <c r="Q374" s="96"/>
      <c r="R374" s="96"/>
      <c r="S374" s="69"/>
      <c r="T374" s="67"/>
      <c r="U374" s="67"/>
      <c r="V374" s="67"/>
      <c r="W374" s="71"/>
      <c r="X374" s="71"/>
      <c r="Y374" s="71"/>
      <c r="Z374" s="1"/>
    </row>
    <row r="375" spans="1:26" ht="36" customHeight="1">
      <c r="A375" s="1"/>
      <c r="B375" s="66" t="s">
        <v>6305</v>
      </c>
      <c r="C375" s="66"/>
      <c r="D375" s="66"/>
      <c r="E375" s="66"/>
      <c r="F375" s="96"/>
      <c r="G375" s="96"/>
      <c r="H375" s="96"/>
      <c r="I375" s="96"/>
      <c r="J375" s="96"/>
      <c r="K375" s="103"/>
      <c r="L375" s="103"/>
      <c r="M375" s="68"/>
      <c r="N375" s="68"/>
      <c r="O375" s="96"/>
      <c r="P375" s="69"/>
      <c r="Q375" s="96"/>
      <c r="R375" s="96"/>
      <c r="S375" s="69"/>
      <c r="T375" s="67"/>
      <c r="U375" s="67"/>
      <c r="V375" s="67"/>
      <c r="W375" s="67"/>
      <c r="X375" s="67"/>
      <c r="Y375" s="67"/>
      <c r="Z375" s="1"/>
    </row>
    <row r="376" spans="1:26" ht="36" customHeight="1">
      <c r="A376" s="1"/>
      <c r="B376" s="66" t="s">
        <v>6306</v>
      </c>
      <c r="C376" s="66"/>
      <c r="D376" s="66"/>
      <c r="E376" s="66"/>
      <c r="F376" s="96"/>
      <c r="G376" s="96"/>
      <c r="H376" s="96"/>
      <c r="I376" s="96"/>
      <c r="J376" s="96"/>
      <c r="K376" s="103"/>
      <c r="L376" s="103"/>
      <c r="M376" s="68"/>
      <c r="N376" s="68"/>
      <c r="O376" s="96"/>
      <c r="P376" s="69"/>
      <c r="Q376" s="96"/>
      <c r="R376" s="96"/>
      <c r="S376" s="69"/>
      <c r="T376" s="67"/>
      <c r="U376" s="67"/>
      <c r="V376" s="67"/>
      <c r="W376" s="71"/>
      <c r="X376" s="71"/>
      <c r="Y376" s="71"/>
      <c r="Z376" s="1"/>
    </row>
    <row r="377" spans="1:26" ht="36" customHeight="1">
      <c r="A377" s="1"/>
      <c r="B377" s="66" t="s">
        <v>6307</v>
      </c>
      <c r="C377" s="66"/>
      <c r="D377" s="66"/>
      <c r="E377" s="66"/>
      <c r="F377" s="96"/>
      <c r="G377" s="96"/>
      <c r="H377" s="96"/>
      <c r="I377" s="96"/>
      <c r="J377" s="96"/>
      <c r="K377" s="103"/>
      <c r="L377" s="103"/>
      <c r="M377" s="68"/>
      <c r="N377" s="68"/>
      <c r="O377" s="96"/>
      <c r="P377" s="69"/>
      <c r="Q377" s="69"/>
      <c r="R377" s="69"/>
      <c r="S377" s="69"/>
      <c r="T377" s="67"/>
      <c r="U377" s="67"/>
      <c r="V377" s="67"/>
      <c r="W377" s="71"/>
      <c r="X377" s="71"/>
      <c r="Y377" s="71"/>
      <c r="Z377" s="1"/>
    </row>
    <row r="378" spans="1:26" ht="36" customHeight="1">
      <c r="A378" s="1"/>
      <c r="B378" s="66" t="s">
        <v>6308</v>
      </c>
      <c r="C378" s="66"/>
      <c r="D378" s="66"/>
      <c r="E378" s="66"/>
      <c r="F378" s="96"/>
      <c r="G378" s="96"/>
      <c r="H378" s="96"/>
      <c r="I378" s="96"/>
      <c r="J378" s="96"/>
      <c r="K378" s="103"/>
      <c r="L378" s="103"/>
      <c r="M378" s="68"/>
      <c r="N378" s="68"/>
      <c r="O378" s="96"/>
      <c r="P378" s="69"/>
      <c r="Q378" s="96"/>
      <c r="R378" s="96"/>
      <c r="S378" s="69"/>
      <c r="T378" s="67"/>
      <c r="U378" s="67"/>
      <c r="V378" s="67"/>
      <c r="W378" s="71"/>
      <c r="X378" s="71"/>
      <c r="Y378" s="71"/>
      <c r="Z378" s="1"/>
    </row>
    <row r="379" spans="1:26" ht="36" customHeight="1">
      <c r="A379" s="1"/>
      <c r="B379" s="66" t="s">
        <v>6309</v>
      </c>
      <c r="C379" s="66"/>
      <c r="D379" s="66"/>
      <c r="E379" s="66"/>
      <c r="F379" s="96"/>
      <c r="G379" s="96"/>
      <c r="H379" s="96"/>
      <c r="I379" s="96"/>
      <c r="J379" s="96"/>
      <c r="K379" s="103"/>
      <c r="L379" s="103"/>
      <c r="M379" s="68"/>
      <c r="N379" s="68"/>
      <c r="O379" s="96"/>
      <c r="P379" s="69"/>
      <c r="Q379" s="69"/>
      <c r="R379" s="69"/>
      <c r="S379" s="69"/>
      <c r="T379" s="67"/>
      <c r="U379" s="67"/>
      <c r="V379" s="67"/>
      <c r="W379" s="71"/>
      <c r="X379" s="71"/>
      <c r="Y379" s="71"/>
      <c r="Z379" s="1"/>
    </row>
    <row r="380" spans="1:26" ht="36" customHeight="1">
      <c r="A380" s="1"/>
      <c r="B380" s="66" t="s">
        <v>6310</v>
      </c>
      <c r="C380" s="66"/>
      <c r="D380" s="66"/>
      <c r="E380" s="66"/>
      <c r="F380" s="96"/>
      <c r="G380" s="96"/>
      <c r="H380" s="96"/>
      <c r="I380" s="96"/>
      <c r="J380" s="96"/>
      <c r="K380" s="103"/>
      <c r="L380" s="103"/>
      <c r="M380" s="68"/>
      <c r="N380" s="68"/>
      <c r="O380" s="96"/>
      <c r="P380" s="69"/>
      <c r="Q380" s="69"/>
      <c r="R380" s="69"/>
      <c r="S380" s="69"/>
      <c r="T380" s="67"/>
      <c r="U380" s="67"/>
      <c r="V380" s="67"/>
      <c r="W380" s="71"/>
      <c r="X380" s="71"/>
      <c r="Y380" s="71"/>
      <c r="Z380" s="1"/>
    </row>
    <row r="381" spans="1:26" ht="36" customHeight="1">
      <c r="A381" s="1"/>
      <c r="B381" s="66" t="s">
        <v>6311</v>
      </c>
      <c r="C381" s="66"/>
      <c r="D381" s="66"/>
      <c r="E381" s="66"/>
      <c r="F381" s="96"/>
      <c r="G381" s="96"/>
      <c r="H381" s="96"/>
      <c r="I381" s="96"/>
      <c r="J381" s="96"/>
      <c r="K381" s="103"/>
      <c r="L381" s="103"/>
      <c r="M381" s="68"/>
      <c r="N381" s="68"/>
      <c r="O381" s="96"/>
      <c r="P381" s="69"/>
      <c r="Q381" s="69"/>
      <c r="R381" s="69"/>
      <c r="S381" s="69"/>
      <c r="T381" s="67"/>
      <c r="U381" s="67"/>
      <c r="V381" s="67"/>
      <c r="W381" s="71"/>
      <c r="X381" s="71"/>
      <c r="Y381" s="71"/>
      <c r="Z381" s="1"/>
    </row>
    <row r="382" spans="1:26" ht="36" customHeight="1">
      <c r="A382" s="1"/>
      <c r="B382" s="66" t="s">
        <v>6312</v>
      </c>
      <c r="C382" s="66"/>
      <c r="D382" s="66"/>
      <c r="E382" s="66"/>
      <c r="F382" s="96"/>
      <c r="G382" s="96"/>
      <c r="H382" s="96"/>
      <c r="I382" s="96"/>
      <c r="J382" s="96"/>
      <c r="K382" s="103"/>
      <c r="L382" s="103"/>
      <c r="M382" s="68"/>
      <c r="N382" s="68"/>
      <c r="O382" s="96"/>
      <c r="P382" s="69"/>
      <c r="Q382" s="96"/>
      <c r="R382" s="96"/>
      <c r="S382" s="69"/>
      <c r="T382" s="67"/>
      <c r="U382" s="67"/>
      <c r="V382" s="67"/>
      <c r="W382" s="71"/>
      <c r="X382" s="71"/>
      <c r="Y382" s="71"/>
      <c r="Z382" s="1"/>
    </row>
    <row r="383" spans="1:26" ht="36" customHeight="1">
      <c r="A383" s="1"/>
      <c r="B383" s="66" t="s">
        <v>6313</v>
      </c>
      <c r="C383" s="66"/>
      <c r="D383" s="66"/>
      <c r="E383" s="66"/>
      <c r="F383" s="96"/>
      <c r="G383" s="96"/>
      <c r="H383" s="96"/>
      <c r="I383" s="96"/>
      <c r="J383" s="96"/>
      <c r="K383" s="103"/>
      <c r="L383" s="103"/>
      <c r="M383" s="68"/>
      <c r="N383" s="68"/>
      <c r="O383" s="96"/>
      <c r="P383" s="69"/>
      <c r="Q383" s="69"/>
      <c r="R383" s="69"/>
      <c r="S383" s="69"/>
      <c r="T383" s="71"/>
      <c r="U383" s="67"/>
      <c r="V383" s="67"/>
      <c r="W383" s="71"/>
      <c r="X383" s="71"/>
      <c r="Y383" s="71"/>
      <c r="Z383" s="1"/>
    </row>
    <row r="384" spans="1:26" ht="36" customHeight="1">
      <c r="A384" s="1"/>
      <c r="B384" s="66" t="s">
        <v>6314</v>
      </c>
      <c r="C384" s="66"/>
      <c r="D384" s="66"/>
      <c r="E384" s="66"/>
      <c r="F384" s="96"/>
      <c r="G384" s="96"/>
      <c r="H384" s="96"/>
      <c r="I384" s="96"/>
      <c r="J384" s="96"/>
      <c r="K384" s="103"/>
      <c r="L384" s="103"/>
      <c r="M384" s="68"/>
      <c r="N384" s="68"/>
      <c r="O384" s="96"/>
      <c r="P384" s="69"/>
      <c r="Q384" s="69"/>
      <c r="R384" s="69"/>
      <c r="S384" s="69"/>
      <c r="T384" s="67"/>
      <c r="U384" s="67"/>
      <c r="V384" s="67"/>
      <c r="W384" s="71"/>
      <c r="X384" s="71"/>
      <c r="Y384" s="71"/>
      <c r="Z384" s="1"/>
    </row>
    <row r="385" spans="1:26" ht="36" customHeight="1">
      <c r="A385" s="1"/>
      <c r="B385" s="66" t="s">
        <v>6315</v>
      </c>
      <c r="C385" s="66"/>
      <c r="D385" s="66"/>
      <c r="E385" s="66"/>
      <c r="F385" s="96"/>
      <c r="G385" s="96"/>
      <c r="H385" s="96"/>
      <c r="I385" s="96"/>
      <c r="J385" s="96"/>
      <c r="K385" s="103"/>
      <c r="L385" s="103"/>
      <c r="M385" s="68"/>
      <c r="N385" s="68"/>
      <c r="O385" s="96"/>
      <c r="P385" s="69"/>
      <c r="Q385" s="69"/>
      <c r="R385" s="69"/>
      <c r="S385" s="69"/>
      <c r="T385" s="67"/>
      <c r="U385" s="67"/>
      <c r="V385" s="67"/>
      <c r="W385" s="71"/>
      <c r="X385" s="71"/>
      <c r="Y385" s="71"/>
      <c r="Z385" s="1"/>
    </row>
    <row r="386" spans="1:26" ht="36" customHeight="1">
      <c r="A386" s="1"/>
      <c r="B386" s="66" t="s">
        <v>6316</v>
      </c>
      <c r="C386" s="66"/>
      <c r="D386" s="66"/>
      <c r="E386" s="66"/>
      <c r="F386" s="96"/>
      <c r="G386" s="96"/>
      <c r="H386" s="96"/>
      <c r="I386" s="96"/>
      <c r="J386" s="96"/>
      <c r="K386" s="103"/>
      <c r="L386" s="103"/>
      <c r="M386" s="68"/>
      <c r="N386" s="68"/>
      <c r="O386" s="96"/>
      <c r="P386" s="69"/>
      <c r="Q386" s="96"/>
      <c r="R386" s="96"/>
      <c r="S386" s="69"/>
      <c r="T386" s="67"/>
      <c r="U386" s="67"/>
      <c r="V386" s="67"/>
      <c r="W386" s="71"/>
      <c r="X386" s="71"/>
      <c r="Y386" s="71"/>
      <c r="Z386" s="1"/>
    </row>
    <row r="387" spans="1:26" ht="36" customHeight="1">
      <c r="A387" s="1"/>
      <c r="B387" s="66" t="s">
        <v>6317</v>
      </c>
      <c r="C387" s="66"/>
      <c r="D387" s="66"/>
      <c r="E387" s="66"/>
      <c r="F387" s="96"/>
      <c r="G387" s="96"/>
      <c r="H387" s="96"/>
      <c r="I387" s="96"/>
      <c r="J387" s="96"/>
      <c r="K387" s="103"/>
      <c r="L387" s="103"/>
      <c r="M387" s="68"/>
      <c r="N387" s="68"/>
      <c r="O387" s="96"/>
      <c r="P387" s="69"/>
      <c r="Q387" s="69"/>
      <c r="R387" s="69"/>
      <c r="S387" s="69"/>
      <c r="T387" s="67"/>
      <c r="U387" s="67"/>
      <c r="V387" s="67"/>
      <c r="W387" s="71"/>
      <c r="X387" s="71"/>
      <c r="Y387" s="71"/>
      <c r="Z387" s="1"/>
    </row>
    <row r="388" spans="1:26" ht="36" customHeight="1">
      <c r="A388" s="1"/>
      <c r="B388" s="66" t="s">
        <v>6318</v>
      </c>
      <c r="C388" s="66"/>
      <c r="D388" s="66"/>
      <c r="E388" s="66"/>
      <c r="F388" s="96"/>
      <c r="G388" s="96"/>
      <c r="H388" s="96"/>
      <c r="I388" s="96"/>
      <c r="J388" s="96"/>
      <c r="K388" s="103"/>
      <c r="L388" s="103"/>
      <c r="M388" s="68"/>
      <c r="N388" s="68"/>
      <c r="O388" s="96"/>
      <c r="P388" s="69"/>
      <c r="Q388" s="96"/>
      <c r="R388" s="96"/>
      <c r="S388" s="69"/>
      <c r="T388" s="67"/>
      <c r="U388" s="67"/>
      <c r="V388" s="67"/>
      <c r="W388" s="71"/>
      <c r="X388" s="71"/>
      <c r="Y388" s="71"/>
      <c r="Z388" s="1"/>
    </row>
    <row r="389" spans="1:26" ht="36" customHeight="1">
      <c r="A389" s="1"/>
      <c r="B389" s="66" t="s">
        <v>6319</v>
      </c>
      <c r="C389" s="66"/>
      <c r="D389" s="66"/>
      <c r="E389" s="66"/>
      <c r="F389" s="96"/>
      <c r="G389" s="96"/>
      <c r="H389" s="96"/>
      <c r="I389" s="96"/>
      <c r="J389" s="96"/>
      <c r="K389" s="103"/>
      <c r="L389" s="103"/>
      <c r="M389" s="68"/>
      <c r="N389" s="68"/>
      <c r="O389" s="96"/>
      <c r="P389" s="69"/>
      <c r="Q389" s="69"/>
      <c r="R389" s="69"/>
      <c r="S389" s="69"/>
      <c r="T389" s="67"/>
      <c r="U389" s="67"/>
      <c r="V389" s="67"/>
      <c r="W389" s="71"/>
      <c r="X389" s="71"/>
      <c r="Y389" s="71"/>
      <c r="Z389" s="1"/>
    </row>
    <row r="390" spans="1:26" ht="36" customHeight="1">
      <c r="A390" s="1"/>
      <c r="B390" s="66" t="s">
        <v>6320</v>
      </c>
      <c r="C390" s="66"/>
      <c r="D390" s="66"/>
      <c r="E390" s="66"/>
      <c r="F390" s="96"/>
      <c r="G390" s="96"/>
      <c r="H390" s="96"/>
      <c r="I390" s="96"/>
      <c r="J390" s="96"/>
      <c r="K390" s="103"/>
      <c r="L390" s="103"/>
      <c r="M390" s="68"/>
      <c r="N390" s="68"/>
      <c r="O390" s="96"/>
      <c r="P390" s="69"/>
      <c r="Q390" s="69"/>
      <c r="R390" s="96"/>
      <c r="S390" s="69"/>
      <c r="T390" s="67"/>
      <c r="U390" s="67"/>
      <c r="V390" s="67"/>
      <c r="W390" s="71"/>
      <c r="X390" s="71"/>
      <c r="Y390" s="71"/>
      <c r="Z390" s="1"/>
    </row>
    <row r="391" spans="1:26" ht="36" customHeight="1">
      <c r="A391" s="1"/>
      <c r="B391" s="66" t="s">
        <v>6321</v>
      </c>
      <c r="C391" s="66"/>
      <c r="D391" s="66"/>
      <c r="E391" s="66"/>
      <c r="F391" s="96"/>
      <c r="G391" s="96"/>
      <c r="H391" s="96"/>
      <c r="I391" s="96"/>
      <c r="J391" s="96"/>
      <c r="K391" s="103"/>
      <c r="L391" s="103"/>
      <c r="M391" s="68"/>
      <c r="N391" s="68"/>
      <c r="O391" s="96"/>
      <c r="P391" s="69"/>
      <c r="Q391" s="96"/>
      <c r="R391" s="96"/>
      <c r="S391" s="69"/>
      <c r="T391" s="67"/>
      <c r="U391" s="67"/>
      <c r="V391" s="67"/>
      <c r="W391" s="71"/>
      <c r="X391" s="71"/>
      <c r="Y391" s="71"/>
      <c r="Z391" s="1"/>
    </row>
    <row r="392" spans="1:26" ht="36" customHeight="1">
      <c r="A392" s="1"/>
      <c r="B392" s="66" t="s">
        <v>6322</v>
      </c>
      <c r="C392" s="66"/>
      <c r="D392" s="66"/>
      <c r="E392" s="66"/>
      <c r="F392" s="96"/>
      <c r="G392" s="96"/>
      <c r="H392" s="96"/>
      <c r="I392" s="96"/>
      <c r="J392" s="96"/>
      <c r="K392" s="103"/>
      <c r="L392" s="103"/>
      <c r="M392" s="68"/>
      <c r="N392" s="68"/>
      <c r="O392" s="96"/>
      <c r="P392" s="69"/>
      <c r="Q392" s="69"/>
      <c r="R392" s="69"/>
      <c r="S392" s="69"/>
      <c r="T392" s="67"/>
      <c r="U392" s="67"/>
      <c r="V392" s="67"/>
      <c r="W392" s="71"/>
      <c r="X392" s="71"/>
      <c r="Y392" s="71"/>
      <c r="Z392" s="1"/>
    </row>
    <row r="393" spans="1:26" ht="36" customHeight="1">
      <c r="A393" s="1"/>
      <c r="B393" s="66" t="s">
        <v>6323</v>
      </c>
      <c r="C393" s="66"/>
      <c r="D393" s="66"/>
      <c r="E393" s="66"/>
      <c r="F393" s="96"/>
      <c r="G393" s="96"/>
      <c r="H393" s="96"/>
      <c r="I393" s="96"/>
      <c r="J393" s="96"/>
      <c r="K393" s="103"/>
      <c r="L393" s="103"/>
      <c r="M393" s="68"/>
      <c r="N393" s="68"/>
      <c r="O393" s="96"/>
      <c r="P393" s="69"/>
      <c r="Q393" s="69"/>
      <c r="R393" s="69"/>
      <c r="S393" s="69"/>
      <c r="T393" s="67"/>
      <c r="U393" s="67"/>
      <c r="V393" s="67"/>
      <c r="W393" s="71"/>
      <c r="X393" s="71"/>
      <c r="Y393" s="71"/>
      <c r="Z393" s="1"/>
    </row>
    <row r="394" spans="1:26" ht="36" customHeight="1">
      <c r="A394" s="1"/>
      <c r="B394" s="66" t="s">
        <v>6324</v>
      </c>
      <c r="C394" s="66"/>
      <c r="D394" s="66"/>
      <c r="E394" s="66"/>
      <c r="F394" s="96"/>
      <c r="G394" s="96"/>
      <c r="H394" s="96"/>
      <c r="I394" s="96"/>
      <c r="J394" s="96"/>
      <c r="K394" s="103"/>
      <c r="L394" s="103"/>
      <c r="M394" s="68"/>
      <c r="N394" s="68"/>
      <c r="O394" s="96"/>
      <c r="P394" s="69"/>
      <c r="Q394" s="69"/>
      <c r="R394" s="69"/>
      <c r="S394" s="69"/>
      <c r="T394" s="67"/>
      <c r="U394" s="67"/>
      <c r="V394" s="71"/>
      <c r="W394" s="71"/>
      <c r="X394" s="71"/>
      <c r="Y394" s="71"/>
      <c r="Z394" s="1"/>
    </row>
    <row r="395" spans="1:26" ht="36" customHeight="1">
      <c r="A395" s="1"/>
      <c r="B395" s="66" t="s">
        <v>6325</v>
      </c>
      <c r="C395" s="66"/>
      <c r="D395" s="66"/>
      <c r="E395" s="66"/>
      <c r="F395" s="96"/>
      <c r="G395" s="96"/>
      <c r="H395" s="96"/>
      <c r="I395" s="96"/>
      <c r="J395" s="96"/>
      <c r="K395" s="103"/>
      <c r="L395" s="103"/>
      <c r="M395" s="68"/>
      <c r="N395" s="68"/>
      <c r="O395" s="96"/>
      <c r="P395" s="69"/>
      <c r="Q395" s="69"/>
      <c r="R395" s="69"/>
      <c r="S395" s="69"/>
      <c r="T395" s="67"/>
      <c r="U395" s="67"/>
      <c r="V395" s="67"/>
      <c r="W395" s="71"/>
      <c r="X395" s="71"/>
      <c r="Y395" s="71"/>
      <c r="Z395" s="1"/>
    </row>
    <row r="396" spans="1:26" ht="27" customHeight="1">
      <c r="A396" s="1"/>
      <c r="B396" s="66" t="s">
        <v>6326</v>
      </c>
      <c r="C396" s="66"/>
      <c r="D396" s="66"/>
      <c r="E396" s="66"/>
      <c r="F396" s="96"/>
      <c r="G396" s="96"/>
      <c r="H396" s="96"/>
      <c r="I396" s="96"/>
      <c r="J396" s="96"/>
      <c r="K396" s="103"/>
      <c r="L396" s="103"/>
      <c r="M396" s="68"/>
      <c r="N396" s="68"/>
      <c r="O396" s="96"/>
      <c r="P396" s="69"/>
      <c r="Q396" s="69"/>
      <c r="R396" s="69"/>
      <c r="S396" s="69"/>
      <c r="T396" s="67"/>
      <c r="U396" s="67"/>
      <c r="V396" s="67"/>
      <c r="W396" s="71"/>
      <c r="X396" s="71"/>
      <c r="Y396" s="71"/>
      <c r="Z396" s="1"/>
    </row>
    <row r="397" spans="1:26" ht="35.25" customHeight="1">
      <c r="A397" s="1"/>
      <c r="B397" s="66" t="s">
        <v>6327</v>
      </c>
      <c r="C397" s="66"/>
      <c r="D397" s="66"/>
      <c r="E397" s="66"/>
      <c r="F397" s="96"/>
      <c r="G397" s="96"/>
      <c r="H397" s="96"/>
      <c r="I397" s="96"/>
      <c r="J397" s="96"/>
      <c r="K397" s="103"/>
      <c r="L397" s="103"/>
      <c r="M397" s="68"/>
      <c r="N397" s="68"/>
      <c r="O397" s="96"/>
      <c r="P397" s="69"/>
      <c r="Q397" s="69"/>
      <c r="R397" s="69"/>
      <c r="S397" s="69"/>
      <c r="T397" s="67"/>
      <c r="U397" s="67"/>
      <c r="V397" s="67"/>
      <c r="W397" s="71"/>
      <c r="X397" s="71"/>
      <c r="Y397" s="71"/>
      <c r="Z397" s="1"/>
    </row>
    <row r="398" spans="1:26" ht="27" customHeight="1">
      <c r="A398" s="1"/>
      <c r="B398" s="66" t="s">
        <v>6328</v>
      </c>
      <c r="C398" s="66"/>
      <c r="D398" s="66"/>
      <c r="E398" s="66"/>
      <c r="F398" s="96"/>
      <c r="G398" s="96"/>
      <c r="H398" s="96"/>
      <c r="I398" s="96"/>
      <c r="J398" s="96"/>
      <c r="K398" s="103"/>
      <c r="L398" s="103"/>
      <c r="M398" s="68"/>
      <c r="N398" s="68"/>
      <c r="O398" s="96"/>
      <c r="P398" s="69"/>
      <c r="Q398" s="69"/>
      <c r="R398" s="69"/>
      <c r="S398" s="69"/>
      <c r="T398" s="67"/>
      <c r="U398" s="67"/>
      <c r="V398" s="67"/>
      <c r="W398" s="71"/>
      <c r="X398" s="71"/>
      <c r="Y398" s="71"/>
      <c r="Z398" s="1"/>
    </row>
    <row r="399" spans="1:26" ht="36" customHeight="1">
      <c r="A399" s="1"/>
      <c r="B399" s="66" t="s">
        <v>6329</v>
      </c>
      <c r="C399" s="66"/>
      <c r="D399" s="66"/>
      <c r="E399" s="66"/>
      <c r="F399" s="96"/>
      <c r="G399" s="96"/>
      <c r="H399" s="96"/>
      <c r="I399" s="96"/>
      <c r="J399" s="96"/>
      <c r="K399" s="103"/>
      <c r="L399" s="103"/>
      <c r="M399" s="68"/>
      <c r="N399" s="68"/>
      <c r="O399" s="96"/>
      <c r="P399" s="69"/>
      <c r="Q399" s="69"/>
      <c r="R399" s="69"/>
      <c r="S399" s="69"/>
      <c r="T399" s="67"/>
      <c r="U399" s="67"/>
      <c r="V399" s="67"/>
      <c r="W399" s="71"/>
      <c r="X399" s="71"/>
      <c r="Y399" s="71"/>
      <c r="Z399" s="1"/>
    </row>
    <row r="400" spans="1:26" ht="36" customHeight="1">
      <c r="A400" s="59"/>
      <c r="B400" s="66" t="s">
        <v>6330</v>
      </c>
      <c r="C400" s="66"/>
      <c r="D400" s="66"/>
      <c r="E400" s="66"/>
      <c r="F400" s="96"/>
      <c r="G400" s="96"/>
      <c r="H400" s="96"/>
      <c r="I400" s="96"/>
      <c r="J400" s="96"/>
      <c r="K400" s="103"/>
      <c r="L400" s="103"/>
      <c r="M400" s="68"/>
      <c r="N400" s="68"/>
      <c r="O400" s="96"/>
      <c r="P400" s="69"/>
      <c r="Q400" s="69"/>
      <c r="R400" s="69"/>
      <c r="S400" s="69"/>
      <c r="T400" s="67"/>
      <c r="U400" s="67"/>
      <c r="V400" s="67"/>
      <c r="W400" s="71"/>
      <c r="X400" s="71"/>
      <c r="Y400" s="71"/>
      <c r="Z400" s="1"/>
    </row>
    <row r="401" spans="1:26" ht="38.25" customHeight="1">
      <c r="A401" s="59"/>
      <c r="B401" s="66" t="s">
        <v>6331</v>
      </c>
      <c r="C401" s="66"/>
      <c r="D401" s="66"/>
      <c r="E401" s="66"/>
      <c r="F401" s="96"/>
      <c r="G401" s="96"/>
      <c r="H401" s="96"/>
      <c r="I401" s="96"/>
      <c r="J401" s="96"/>
      <c r="K401" s="103"/>
      <c r="L401" s="103"/>
      <c r="M401" s="68"/>
      <c r="N401" s="68"/>
      <c r="O401" s="96"/>
      <c r="P401" s="69"/>
      <c r="Q401" s="69"/>
      <c r="R401" s="69"/>
      <c r="S401" s="69"/>
      <c r="T401" s="67"/>
      <c r="U401" s="67"/>
      <c r="V401" s="67"/>
      <c r="W401" s="71"/>
      <c r="X401" s="71"/>
      <c r="Y401" s="71"/>
      <c r="Z401" s="1"/>
    </row>
    <row r="402" spans="1:26" ht="36" customHeight="1">
      <c r="A402" s="59"/>
      <c r="B402" s="66" t="s">
        <v>6332</v>
      </c>
      <c r="C402" s="66"/>
      <c r="D402" s="66"/>
      <c r="E402" s="66"/>
      <c r="F402" s="96"/>
      <c r="G402" s="96"/>
      <c r="H402" s="96"/>
      <c r="I402" s="96"/>
      <c r="J402" s="96"/>
      <c r="K402" s="103"/>
      <c r="L402" s="103"/>
      <c r="M402" s="68"/>
      <c r="N402" s="68"/>
      <c r="O402" s="96"/>
      <c r="P402" s="69"/>
      <c r="Q402" s="69"/>
      <c r="R402" s="69"/>
      <c r="S402" s="69"/>
      <c r="T402" s="67"/>
      <c r="U402" s="67"/>
      <c r="V402" s="67"/>
      <c r="W402" s="71"/>
      <c r="X402" s="71"/>
      <c r="Y402" s="71"/>
      <c r="Z402" s="1"/>
    </row>
    <row r="403" spans="1:26" ht="45" customHeight="1">
      <c r="A403" s="1"/>
      <c r="B403" s="66" t="s">
        <v>6333</v>
      </c>
      <c r="C403" s="66"/>
      <c r="D403" s="66"/>
      <c r="E403" s="66"/>
      <c r="F403" s="96"/>
      <c r="G403" s="96"/>
      <c r="H403" s="96"/>
      <c r="I403" s="96"/>
      <c r="J403" s="96"/>
      <c r="K403" s="103"/>
      <c r="L403" s="103"/>
      <c r="M403" s="68"/>
      <c r="N403" s="68"/>
      <c r="O403" s="96"/>
      <c r="P403" s="69"/>
      <c r="Q403" s="69"/>
      <c r="R403" s="69"/>
      <c r="S403" s="69"/>
      <c r="T403" s="67"/>
      <c r="U403" s="67"/>
      <c r="V403" s="67"/>
      <c r="W403" s="71"/>
      <c r="X403" s="71"/>
      <c r="Y403" s="71"/>
      <c r="Z403" s="1"/>
    </row>
    <row r="404" spans="1:26" ht="36" customHeight="1">
      <c r="A404" s="1"/>
      <c r="B404" s="66" t="s">
        <v>6334</v>
      </c>
      <c r="C404" s="66"/>
      <c r="D404" s="66"/>
      <c r="E404" s="66"/>
      <c r="F404" s="96"/>
      <c r="G404" s="96"/>
      <c r="H404" s="96"/>
      <c r="I404" s="96"/>
      <c r="J404" s="96"/>
      <c r="K404" s="103"/>
      <c r="L404" s="103"/>
      <c r="M404" s="68"/>
      <c r="N404" s="68"/>
      <c r="O404" s="96"/>
      <c r="P404" s="69"/>
      <c r="Q404" s="69"/>
      <c r="R404" s="69"/>
      <c r="S404" s="69"/>
      <c r="T404" s="67"/>
      <c r="U404" s="67"/>
      <c r="V404" s="67"/>
      <c r="W404" s="71"/>
      <c r="X404" s="71"/>
      <c r="Y404" s="71"/>
      <c r="Z404" s="1"/>
    </row>
    <row r="405" spans="1:26" ht="36" customHeight="1">
      <c r="A405" s="1"/>
      <c r="B405" s="66" t="s">
        <v>6335</v>
      </c>
      <c r="C405" s="66"/>
      <c r="D405" s="66"/>
      <c r="E405" s="66"/>
      <c r="F405" s="96"/>
      <c r="G405" s="96"/>
      <c r="H405" s="96"/>
      <c r="I405" s="96"/>
      <c r="J405" s="96"/>
      <c r="K405" s="103"/>
      <c r="L405" s="103"/>
      <c r="M405" s="68"/>
      <c r="N405" s="68"/>
      <c r="O405" s="96"/>
      <c r="P405" s="69"/>
      <c r="Q405" s="69"/>
      <c r="R405" s="69"/>
      <c r="S405" s="69"/>
      <c r="T405" s="67"/>
      <c r="U405" s="67"/>
      <c r="V405" s="67"/>
      <c r="W405" s="71"/>
      <c r="X405" s="71"/>
      <c r="Y405" s="71"/>
      <c r="Z405" s="1"/>
    </row>
    <row r="406" spans="1:26" ht="27" customHeight="1">
      <c r="A406" s="1"/>
      <c r="B406" s="66" t="s">
        <v>6336</v>
      </c>
      <c r="C406" s="66"/>
      <c r="D406" s="66"/>
      <c r="E406" s="66"/>
      <c r="F406" s="96"/>
      <c r="G406" s="96"/>
      <c r="H406" s="96"/>
      <c r="I406" s="96"/>
      <c r="J406" s="96"/>
      <c r="K406" s="103"/>
      <c r="L406" s="103"/>
      <c r="M406" s="68"/>
      <c r="N406" s="68"/>
      <c r="O406" s="96"/>
      <c r="P406" s="69"/>
      <c r="Q406" s="69"/>
      <c r="R406" s="69"/>
      <c r="S406" s="69"/>
      <c r="T406" s="67"/>
      <c r="U406" s="67"/>
      <c r="V406" s="67"/>
      <c r="W406" s="71"/>
      <c r="X406" s="71"/>
      <c r="Y406" s="71"/>
      <c r="Z406" s="1"/>
    </row>
    <row r="407" spans="1:26" ht="36" customHeight="1">
      <c r="A407" s="1"/>
      <c r="B407" s="66" t="s">
        <v>6337</v>
      </c>
      <c r="C407" s="66"/>
      <c r="D407" s="66"/>
      <c r="E407" s="66"/>
      <c r="F407" s="96"/>
      <c r="G407" s="96"/>
      <c r="H407" s="96"/>
      <c r="I407" s="96"/>
      <c r="J407" s="96"/>
      <c r="K407" s="103"/>
      <c r="L407" s="103"/>
      <c r="M407" s="68"/>
      <c r="N407" s="68"/>
      <c r="O407" s="96"/>
      <c r="P407" s="69"/>
      <c r="Q407" s="96"/>
      <c r="R407" s="96"/>
      <c r="S407" s="69"/>
      <c r="T407" s="67"/>
      <c r="U407" s="67"/>
      <c r="V407" s="67"/>
      <c r="W407" s="71"/>
      <c r="X407" s="71"/>
      <c r="Y407" s="71"/>
      <c r="Z407" s="1"/>
    </row>
    <row r="408" spans="1:26" ht="36" customHeight="1">
      <c r="A408" s="1"/>
      <c r="B408" s="66" t="s">
        <v>6338</v>
      </c>
      <c r="C408" s="66"/>
      <c r="D408" s="66"/>
      <c r="E408" s="66"/>
      <c r="F408" s="96"/>
      <c r="G408" s="96"/>
      <c r="H408" s="96"/>
      <c r="I408" s="96"/>
      <c r="J408" s="99"/>
      <c r="K408" s="103"/>
      <c r="L408" s="103"/>
      <c r="M408" s="68"/>
      <c r="N408" s="68"/>
      <c r="O408" s="96"/>
      <c r="P408" s="69"/>
      <c r="Q408" s="69"/>
      <c r="R408" s="69"/>
      <c r="S408" s="69"/>
      <c r="T408" s="67"/>
      <c r="U408" s="67"/>
      <c r="V408" s="67"/>
      <c r="W408" s="67"/>
      <c r="X408" s="71"/>
      <c r="Y408" s="71"/>
      <c r="Z408" s="1"/>
    </row>
    <row r="409" spans="1:26" ht="36" customHeight="1">
      <c r="A409" s="1"/>
      <c r="B409" s="66" t="s">
        <v>6339</v>
      </c>
      <c r="C409" s="66"/>
      <c r="D409" s="66"/>
      <c r="E409" s="66"/>
      <c r="F409" s="96"/>
      <c r="G409" s="96"/>
      <c r="H409" s="96"/>
      <c r="I409" s="96"/>
      <c r="J409" s="96"/>
      <c r="K409" s="103"/>
      <c r="L409" s="103"/>
      <c r="M409" s="68"/>
      <c r="N409" s="68"/>
      <c r="O409" s="96"/>
      <c r="P409" s="69"/>
      <c r="Q409" s="69"/>
      <c r="R409" s="69"/>
      <c r="S409" s="69"/>
      <c r="T409" s="67"/>
      <c r="U409" s="67"/>
      <c r="V409" s="67"/>
      <c r="W409" s="71"/>
      <c r="X409" s="71"/>
      <c r="Y409" s="71"/>
      <c r="Z409" s="1"/>
    </row>
    <row r="410" spans="1:26" ht="41.25" customHeight="1">
      <c r="A410" s="1"/>
      <c r="B410" s="66" t="s">
        <v>6340</v>
      </c>
      <c r="C410" s="66"/>
      <c r="D410" s="66"/>
      <c r="E410" s="66"/>
      <c r="F410" s="96"/>
      <c r="G410" s="96"/>
      <c r="H410" s="96"/>
      <c r="I410" s="96"/>
      <c r="J410" s="96"/>
      <c r="K410" s="103"/>
      <c r="L410" s="103"/>
      <c r="M410" s="68"/>
      <c r="N410" s="68"/>
      <c r="O410" s="96"/>
      <c r="P410" s="69"/>
      <c r="Q410" s="69"/>
      <c r="R410" s="69"/>
      <c r="S410" s="69"/>
      <c r="T410" s="67"/>
      <c r="U410" s="67"/>
      <c r="V410" s="67"/>
      <c r="W410" s="71"/>
      <c r="X410" s="71"/>
      <c r="Y410" s="71"/>
      <c r="Z410" s="1"/>
    </row>
    <row r="411" spans="1:26" ht="36" customHeight="1">
      <c r="A411" s="1"/>
      <c r="B411" s="66" t="s">
        <v>6341</v>
      </c>
      <c r="C411" s="66"/>
      <c r="D411" s="66"/>
      <c r="E411" s="66"/>
      <c r="F411" s="96"/>
      <c r="G411" s="96"/>
      <c r="H411" s="96"/>
      <c r="I411" s="96"/>
      <c r="J411" s="96"/>
      <c r="K411" s="103"/>
      <c r="L411" s="103"/>
      <c r="M411" s="68"/>
      <c r="N411" s="68"/>
      <c r="O411" s="96"/>
      <c r="P411" s="69"/>
      <c r="Q411" s="69"/>
      <c r="R411" s="69"/>
      <c r="S411" s="69"/>
      <c r="T411" s="67"/>
      <c r="U411" s="67"/>
      <c r="V411" s="67"/>
      <c r="W411" s="71"/>
      <c r="X411" s="71"/>
      <c r="Y411" s="71"/>
      <c r="Z411" s="1"/>
    </row>
    <row r="412" spans="1:26" ht="36" customHeight="1">
      <c r="A412" s="1"/>
      <c r="B412" s="66" t="s">
        <v>6342</v>
      </c>
      <c r="C412" s="66"/>
      <c r="D412" s="66"/>
      <c r="E412" s="66"/>
      <c r="F412" s="96"/>
      <c r="G412" s="96"/>
      <c r="H412" s="96"/>
      <c r="I412" s="96"/>
      <c r="J412" s="96"/>
      <c r="K412" s="103"/>
      <c r="L412" s="103"/>
      <c r="M412" s="68"/>
      <c r="N412" s="68"/>
      <c r="O412" s="96"/>
      <c r="P412" s="69"/>
      <c r="Q412" s="69"/>
      <c r="R412" s="69"/>
      <c r="S412" s="69"/>
      <c r="T412" s="67"/>
      <c r="U412" s="67"/>
      <c r="V412" s="67"/>
      <c r="W412" s="71"/>
      <c r="X412" s="71"/>
      <c r="Y412" s="71"/>
      <c r="Z412" s="1"/>
    </row>
    <row r="413" spans="1:26" ht="36" customHeight="1">
      <c r="A413" s="1"/>
      <c r="B413" s="66" t="s">
        <v>6343</v>
      </c>
      <c r="C413" s="66"/>
      <c r="D413" s="66"/>
      <c r="E413" s="66"/>
      <c r="F413" s="96"/>
      <c r="G413" s="96"/>
      <c r="H413" s="96"/>
      <c r="I413" s="96"/>
      <c r="J413" s="96"/>
      <c r="K413" s="103"/>
      <c r="L413" s="103"/>
      <c r="M413" s="68"/>
      <c r="N413" s="68"/>
      <c r="O413" s="96"/>
      <c r="P413" s="69"/>
      <c r="Q413" s="69"/>
      <c r="R413" s="69"/>
      <c r="S413" s="69"/>
      <c r="T413" s="67"/>
      <c r="U413" s="67"/>
      <c r="V413" s="67"/>
      <c r="W413" s="71"/>
      <c r="X413" s="71"/>
      <c r="Y413" s="71"/>
      <c r="Z413" s="1"/>
    </row>
    <row r="414" spans="1:26" ht="36" customHeight="1">
      <c r="A414" s="1"/>
      <c r="B414" s="66" t="s">
        <v>6344</v>
      </c>
      <c r="C414" s="66"/>
      <c r="D414" s="66"/>
      <c r="E414" s="66"/>
      <c r="F414" s="96"/>
      <c r="G414" s="96"/>
      <c r="H414" s="96"/>
      <c r="I414" s="96"/>
      <c r="J414" s="96"/>
      <c r="K414" s="103"/>
      <c r="L414" s="103"/>
      <c r="M414" s="68"/>
      <c r="N414" s="68"/>
      <c r="O414" s="96"/>
      <c r="P414" s="69"/>
      <c r="Q414" s="69"/>
      <c r="R414" s="69"/>
      <c r="S414" s="69"/>
      <c r="T414" s="67"/>
      <c r="U414" s="67"/>
      <c r="V414" s="67"/>
      <c r="W414" s="71"/>
      <c r="X414" s="71"/>
      <c r="Y414" s="71"/>
      <c r="Z414" s="1"/>
    </row>
    <row r="415" spans="1:26" ht="36" customHeight="1">
      <c r="A415" s="1"/>
      <c r="B415" s="66" t="s">
        <v>6345</v>
      </c>
      <c r="C415" s="66"/>
      <c r="D415" s="66"/>
      <c r="E415" s="66"/>
      <c r="F415" s="96"/>
      <c r="G415" s="96"/>
      <c r="H415" s="96"/>
      <c r="I415" s="96"/>
      <c r="J415" s="96"/>
      <c r="K415" s="103"/>
      <c r="L415" s="103"/>
      <c r="M415" s="68"/>
      <c r="N415" s="68"/>
      <c r="O415" s="96"/>
      <c r="P415" s="69"/>
      <c r="Q415" s="69"/>
      <c r="R415" s="69"/>
      <c r="S415" s="69"/>
      <c r="T415" s="67"/>
      <c r="U415" s="67"/>
      <c r="V415" s="67"/>
      <c r="W415" s="71"/>
      <c r="X415" s="71"/>
      <c r="Y415" s="71"/>
      <c r="Z415" s="1"/>
    </row>
    <row r="416" spans="1:26" ht="36" customHeight="1">
      <c r="A416" s="1"/>
      <c r="B416" s="66" t="s">
        <v>6346</v>
      </c>
      <c r="C416" s="66"/>
      <c r="D416" s="66"/>
      <c r="E416" s="66"/>
      <c r="F416" s="96"/>
      <c r="G416" s="96"/>
      <c r="H416" s="96"/>
      <c r="I416" s="96"/>
      <c r="J416" s="96"/>
      <c r="K416" s="103"/>
      <c r="L416" s="103"/>
      <c r="M416" s="68"/>
      <c r="N416" s="68"/>
      <c r="O416" s="96"/>
      <c r="P416" s="69"/>
      <c r="Q416" s="69"/>
      <c r="R416" s="69"/>
      <c r="S416" s="69"/>
      <c r="T416" s="67"/>
      <c r="U416" s="67"/>
      <c r="V416" s="67"/>
      <c r="W416" s="71"/>
      <c r="X416" s="71"/>
      <c r="Y416" s="71"/>
      <c r="Z416" s="1"/>
    </row>
    <row r="417" spans="1:26" ht="36" customHeight="1">
      <c r="A417" s="1"/>
      <c r="B417" s="66" t="s">
        <v>6347</v>
      </c>
      <c r="C417" s="66"/>
      <c r="D417" s="66"/>
      <c r="E417" s="66"/>
      <c r="F417" s="96"/>
      <c r="G417" s="96"/>
      <c r="H417" s="96"/>
      <c r="I417" s="96"/>
      <c r="J417" s="96"/>
      <c r="K417" s="103"/>
      <c r="L417" s="103"/>
      <c r="M417" s="68"/>
      <c r="N417" s="68"/>
      <c r="O417" s="96"/>
      <c r="P417" s="69"/>
      <c r="Q417" s="69"/>
      <c r="R417" s="69"/>
      <c r="S417" s="69"/>
      <c r="T417" s="67"/>
      <c r="U417" s="67"/>
      <c r="V417" s="67"/>
      <c r="W417" s="71"/>
      <c r="X417" s="71"/>
      <c r="Y417" s="71"/>
      <c r="Z417" s="1"/>
    </row>
    <row r="418" spans="1:26" ht="36" customHeight="1">
      <c r="A418" s="1"/>
      <c r="B418" s="66" t="s">
        <v>6348</v>
      </c>
      <c r="C418" s="66"/>
      <c r="D418" s="66"/>
      <c r="E418" s="66"/>
      <c r="F418" s="96"/>
      <c r="G418" s="96"/>
      <c r="H418" s="66"/>
      <c r="I418" s="66"/>
      <c r="J418" s="66"/>
      <c r="K418" s="103"/>
      <c r="L418" s="103"/>
      <c r="M418" s="66"/>
      <c r="N418" s="68"/>
      <c r="O418" s="96"/>
      <c r="P418" s="69"/>
      <c r="Q418" s="69"/>
      <c r="R418" s="96"/>
      <c r="S418" s="66"/>
      <c r="T418" s="67"/>
      <c r="U418" s="67"/>
      <c r="V418" s="67"/>
      <c r="W418" s="71"/>
      <c r="X418" s="67"/>
      <c r="Y418" s="71"/>
      <c r="Z418" s="1"/>
    </row>
    <row r="419" spans="1:26" ht="36" customHeight="1">
      <c r="A419" s="1"/>
      <c r="B419" s="66" t="s">
        <v>6349</v>
      </c>
      <c r="C419" s="66"/>
      <c r="D419" s="66"/>
      <c r="E419" s="66"/>
      <c r="F419" s="96"/>
      <c r="G419" s="96"/>
      <c r="H419" s="96"/>
      <c r="I419" s="96"/>
      <c r="J419" s="96"/>
      <c r="K419" s="103"/>
      <c r="L419" s="103"/>
      <c r="M419" s="68"/>
      <c r="N419" s="68"/>
      <c r="O419" s="96"/>
      <c r="P419" s="69"/>
      <c r="Q419" s="69"/>
      <c r="R419" s="69"/>
      <c r="S419" s="69"/>
      <c r="T419" s="67"/>
      <c r="U419" s="67"/>
      <c r="V419" s="67"/>
      <c r="W419" s="71"/>
      <c r="X419" s="71"/>
      <c r="Y419" s="71"/>
      <c r="Z419" s="1"/>
    </row>
    <row r="420" spans="1:26" ht="36" customHeight="1">
      <c r="A420" s="1"/>
      <c r="B420" s="66" t="s">
        <v>6350</v>
      </c>
      <c r="C420" s="66"/>
      <c r="D420" s="66"/>
      <c r="E420" s="66"/>
      <c r="F420" s="96"/>
      <c r="G420" s="96"/>
      <c r="H420" s="66"/>
      <c r="I420" s="66"/>
      <c r="J420" s="66"/>
      <c r="K420" s="103"/>
      <c r="L420" s="103"/>
      <c r="M420" s="68"/>
      <c r="N420" s="68"/>
      <c r="O420" s="96"/>
      <c r="P420" s="69"/>
      <c r="Q420" s="69"/>
      <c r="R420" s="69"/>
      <c r="S420" s="68"/>
      <c r="T420" s="67"/>
      <c r="U420" s="67"/>
      <c r="V420" s="67"/>
      <c r="W420" s="71"/>
      <c r="X420" s="67"/>
      <c r="Y420" s="71"/>
      <c r="Z420" s="1"/>
    </row>
    <row r="421" spans="1:26" ht="36" customHeight="1">
      <c r="A421" s="1"/>
      <c r="B421" s="66" t="s">
        <v>6351</v>
      </c>
      <c r="C421" s="66"/>
      <c r="D421" s="66"/>
      <c r="E421" s="66"/>
      <c r="F421" s="96"/>
      <c r="G421" s="96"/>
      <c r="H421" s="96"/>
      <c r="I421" s="96"/>
      <c r="J421" s="96"/>
      <c r="K421" s="103"/>
      <c r="L421" s="103"/>
      <c r="M421" s="68"/>
      <c r="N421" s="68"/>
      <c r="O421" s="96"/>
      <c r="P421" s="69"/>
      <c r="Q421" s="96"/>
      <c r="R421" s="96"/>
      <c r="S421" s="69"/>
      <c r="T421" s="67"/>
      <c r="U421" s="67"/>
      <c r="V421" s="67"/>
      <c r="W421" s="71"/>
      <c r="X421" s="71"/>
      <c r="Y421" s="71"/>
      <c r="Z421" s="1"/>
    </row>
    <row r="422" spans="1:26" ht="36" customHeight="1">
      <c r="A422" s="1"/>
      <c r="B422" s="66" t="s">
        <v>6352</v>
      </c>
      <c r="C422" s="66"/>
      <c r="D422" s="66"/>
      <c r="E422" s="66"/>
      <c r="F422" s="96"/>
      <c r="G422" s="96"/>
      <c r="H422" s="96"/>
      <c r="I422" s="96"/>
      <c r="J422" s="96"/>
      <c r="K422" s="103"/>
      <c r="L422" s="103"/>
      <c r="M422" s="68"/>
      <c r="N422" s="68"/>
      <c r="O422" s="96"/>
      <c r="P422" s="69"/>
      <c r="Q422" s="69"/>
      <c r="R422" s="69"/>
      <c r="S422" s="69"/>
      <c r="T422" s="67"/>
      <c r="U422" s="67"/>
      <c r="V422" s="67"/>
      <c r="W422" s="71"/>
      <c r="X422" s="71"/>
      <c r="Y422" s="71"/>
      <c r="Z422" s="1"/>
    </row>
    <row r="423" spans="1:26" ht="36" customHeight="1">
      <c r="A423" s="1"/>
      <c r="B423" s="66" t="s">
        <v>6353</v>
      </c>
      <c r="C423" s="66"/>
      <c r="D423" s="66"/>
      <c r="E423" s="66"/>
      <c r="F423" s="96"/>
      <c r="G423" s="96"/>
      <c r="H423" s="96"/>
      <c r="I423" s="96"/>
      <c r="J423" s="96"/>
      <c r="K423" s="103"/>
      <c r="L423" s="103"/>
      <c r="M423" s="68"/>
      <c r="N423" s="68"/>
      <c r="O423" s="96"/>
      <c r="P423" s="69"/>
      <c r="Q423" s="69"/>
      <c r="R423" s="69"/>
      <c r="S423" s="69"/>
      <c r="T423" s="67"/>
      <c r="U423" s="67"/>
      <c r="V423" s="67"/>
      <c r="W423" s="71"/>
      <c r="X423" s="71"/>
      <c r="Y423" s="71"/>
      <c r="Z423" s="1"/>
    </row>
    <row r="424" spans="1:26" ht="36" customHeight="1">
      <c r="A424" s="1"/>
      <c r="B424" s="66" t="s">
        <v>6354</v>
      </c>
      <c r="C424" s="66"/>
      <c r="D424" s="66"/>
      <c r="E424" s="66"/>
      <c r="F424" s="96"/>
      <c r="G424" s="96"/>
      <c r="H424" s="96"/>
      <c r="I424" s="96"/>
      <c r="J424" s="96"/>
      <c r="K424" s="103"/>
      <c r="L424" s="103"/>
      <c r="M424" s="68"/>
      <c r="N424" s="68"/>
      <c r="O424" s="96"/>
      <c r="P424" s="69"/>
      <c r="Q424" s="69"/>
      <c r="R424" s="69"/>
      <c r="S424" s="69"/>
      <c r="T424" s="67"/>
      <c r="U424" s="67"/>
      <c r="V424" s="67"/>
      <c r="W424" s="71"/>
      <c r="X424" s="71"/>
      <c r="Y424" s="71"/>
      <c r="Z424" s="1"/>
    </row>
    <row r="425" spans="1:26" ht="36" customHeight="1">
      <c r="A425" s="1"/>
      <c r="B425" s="66" t="s">
        <v>6355</v>
      </c>
      <c r="C425" s="66"/>
      <c r="D425" s="66"/>
      <c r="E425" s="66"/>
      <c r="F425" s="96"/>
      <c r="G425" s="96"/>
      <c r="H425" s="96"/>
      <c r="I425" s="96"/>
      <c r="J425" s="96"/>
      <c r="K425" s="103"/>
      <c r="L425" s="103"/>
      <c r="M425" s="68"/>
      <c r="N425" s="68"/>
      <c r="O425" s="96"/>
      <c r="P425" s="69"/>
      <c r="Q425" s="69"/>
      <c r="R425" s="69"/>
      <c r="S425" s="69"/>
      <c r="T425" s="67"/>
      <c r="U425" s="67"/>
      <c r="V425" s="67"/>
      <c r="W425" s="71"/>
      <c r="X425" s="71"/>
      <c r="Y425" s="71"/>
      <c r="Z425" s="1"/>
    </row>
    <row r="426" spans="1:26" ht="36" customHeight="1">
      <c r="A426" s="1"/>
      <c r="B426" s="66" t="s">
        <v>6356</v>
      </c>
      <c r="C426" s="66"/>
      <c r="D426" s="66"/>
      <c r="E426" s="66"/>
      <c r="F426" s="96"/>
      <c r="G426" s="96"/>
      <c r="H426" s="96"/>
      <c r="I426" s="96"/>
      <c r="J426" s="96"/>
      <c r="K426" s="103"/>
      <c r="L426" s="103"/>
      <c r="M426" s="68"/>
      <c r="N426" s="68"/>
      <c r="O426" s="96"/>
      <c r="P426" s="69"/>
      <c r="Q426" s="96"/>
      <c r="R426" s="96"/>
      <c r="S426" s="69"/>
      <c r="T426" s="67"/>
      <c r="U426" s="67"/>
      <c r="V426" s="67"/>
      <c r="W426" s="71"/>
      <c r="X426" s="71"/>
      <c r="Y426" s="71"/>
      <c r="Z426" s="1"/>
    </row>
    <row r="427" spans="1:26" ht="36" customHeight="1">
      <c r="A427" s="1"/>
      <c r="B427" s="66" t="s">
        <v>6357</v>
      </c>
      <c r="C427" s="66"/>
      <c r="D427" s="66"/>
      <c r="E427" s="66"/>
      <c r="F427" s="96"/>
      <c r="G427" s="96"/>
      <c r="H427" s="96"/>
      <c r="I427" s="96"/>
      <c r="J427" s="96"/>
      <c r="K427" s="103"/>
      <c r="L427" s="103"/>
      <c r="M427" s="68"/>
      <c r="N427" s="68"/>
      <c r="O427" s="96"/>
      <c r="P427" s="69"/>
      <c r="Q427" s="96"/>
      <c r="R427" s="96"/>
      <c r="S427" s="69"/>
      <c r="T427" s="67"/>
      <c r="U427" s="67"/>
      <c r="V427" s="67"/>
      <c r="W427" s="71"/>
      <c r="X427" s="71"/>
      <c r="Y427" s="71"/>
      <c r="Z427" s="1"/>
    </row>
    <row r="428" spans="1:26" ht="36" customHeight="1">
      <c r="A428" s="1"/>
      <c r="B428" s="66" t="s">
        <v>6358</v>
      </c>
      <c r="C428" s="66"/>
      <c r="D428" s="66"/>
      <c r="E428" s="66"/>
      <c r="F428" s="96"/>
      <c r="G428" s="96"/>
      <c r="H428" s="96"/>
      <c r="I428" s="96"/>
      <c r="J428" s="96"/>
      <c r="K428" s="103"/>
      <c r="L428" s="103"/>
      <c r="M428" s="68"/>
      <c r="N428" s="68"/>
      <c r="O428" s="96"/>
      <c r="P428" s="69"/>
      <c r="Q428" s="96"/>
      <c r="R428" s="96"/>
      <c r="S428" s="69"/>
      <c r="T428" s="67"/>
      <c r="U428" s="67"/>
      <c r="V428" s="67"/>
      <c r="W428" s="71"/>
      <c r="X428" s="71"/>
      <c r="Y428" s="71"/>
      <c r="Z428" s="1"/>
    </row>
    <row r="429" spans="1:26" ht="36" customHeight="1">
      <c r="A429" s="1"/>
      <c r="B429" s="66" t="s">
        <v>6359</v>
      </c>
      <c r="C429" s="66"/>
      <c r="D429" s="66"/>
      <c r="E429" s="66"/>
      <c r="F429" s="96"/>
      <c r="G429" s="96"/>
      <c r="H429" s="96"/>
      <c r="I429" s="96"/>
      <c r="J429" s="96"/>
      <c r="K429" s="103"/>
      <c r="L429" s="103"/>
      <c r="M429" s="68"/>
      <c r="N429" s="68"/>
      <c r="O429" s="96"/>
      <c r="P429" s="69"/>
      <c r="Q429" s="69"/>
      <c r="R429" s="69"/>
      <c r="S429" s="69"/>
      <c r="T429" s="67"/>
      <c r="U429" s="67"/>
      <c r="V429" s="67"/>
      <c r="W429" s="71"/>
      <c r="X429" s="71"/>
      <c r="Y429" s="71"/>
      <c r="Z429" s="1"/>
    </row>
    <row r="430" spans="1:26" ht="36" customHeight="1">
      <c r="A430" s="1"/>
      <c r="B430" s="66" t="s">
        <v>6360</v>
      </c>
      <c r="C430" s="66"/>
      <c r="D430" s="66"/>
      <c r="E430" s="66"/>
      <c r="F430" s="96"/>
      <c r="G430" s="96"/>
      <c r="H430" s="96"/>
      <c r="I430" s="96"/>
      <c r="J430" s="96"/>
      <c r="K430" s="103"/>
      <c r="L430" s="103"/>
      <c r="M430" s="68"/>
      <c r="N430" s="68"/>
      <c r="O430" s="96"/>
      <c r="P430" s="69"/>
      <c r="Q430" s="69"/>
      <c r="R430" s="69"/>
      <c r="S430" s="69"/>
      <c r="T430" s="67"/>
      <c r="U430" s="67"/>
      <c r="V430" s="67"/>
      <c r="W430" s="71"/>
      <c r="X430" s="71"/>
      <c r="Y430" s="71"/>
      <c r="Z430" s="1"/>
    </row>
    <row r="431" spans="1:26" ht="36" customHeight="1">
      <c r="A431" s="1"/>
      <c r="B431" s="66" t="s">
        <v>6361</v>
      </c>
      <c r="C431" s="66"/>
      <c r="D431" s="66"/>
      <c r="E431" s="66"/>
      <c r="F431" s="96"/>
      <c r="G431" s="96"/>
      <c r="H431" s="96"/>
      <c r="I431" s="96"/>
      <c r="J431" s="96"/>
      <c r="K431" s="103"/>
      <c r="L431" s="103"/>
      <c r="M431" s="68"/>
      <c r="N431" s="68"/>
      <c r="O431" s="96"/>
      <c r="P431" s="69"/>
      <c r="Q431" s="69"/>
      <c r="R431" s="69"/>
      <c r="S431" s="69"/>
      <c r="T431" s="67"/>
      <c r="U431" s="67"/>
      <c r="V431" s="67"/>
      <c r="W431" s="71"/>
      <c r="X431" s="71"/>
      <c r="Y431" s="71"/>
      <c r="Z431" s="1"/>
    </row>
    <row r="432" spans="1:26" ht="36" customHeight="1">
      <c r="A432" s="1"/>
      <c r="B432" s="66" t="s">
        <v>6362</v>
      </c>
      <c r="C432" s="66"/>
      <c r="D432" s="66"/>
      <c r="E432" s="66"/>
      <c r="F432" s="96"/>
      <c r="G432" s="96"/>
      <c r="H432" s="96"/>
      <c r="I432" s="96"/>
      <c r="J432" s="96"/>
      <c r="K432" s="103"/>
      <c r="L432" s="103"/>
      <c r="M432" s="68"/>
      <c r="N432" s="68"/>
      <c r="O432" s="96"/>
      <c r="P432" s="69"/>
      <c r="Q432" s="96"/>
      <c r="R432" s="96"/>
      <c r="S432" s="69"/>
      <c r="T432" s="67"/>
      <c r="U432" s="67"/>
      <c r="V432" s="67"/>
      <c r="W432" s="71"/>
      <c r="X432" s="71"/>
      <c r="Y432" s="71"/>
      <c r="Z432" s="1"/>
    </row>
    <row r="433" spans="1:26" ht="36" customHeight="1">
      <c r="A433" s="1"/>
      <c r="B433" s="66" t="s">
        <v>6363</v>
      </c>
      <c r="C433" s="66"/>
      <c r="D433" s="66"/>
      <c r="E433" s="66"/>
      <c r="F433" s="96"/>
      <c r="G433" s="96"/>
      <c r="H433" s="96"/>
      <c r="I433" s="96"/>
      <c r="J433" s="96"/>
      <c r="K433" s="103"/>
      <c r="L433" s="103"/>
      <c r="M433" s="68"/>
      <c r="N433" s="68"/>
      <c r="O433" s="96"/>
      <c r="P433" s="69"/>
      <c r="Q433" s="69"/>
      <c r="R433" s="69"/>
      <c r="S433" s="69"/>
      <c r="T433" s="67"/>
      <c r="U433" s="67"/>
      <c r="V433" s="67"/>
      <c r="W433" s="71"/>
      <c r="X433" s="71"/>
      <c r="Y433" s="71"/>
      <c r="Z433" s="1"/>
    </row>
    <row r="434" spans="1:26" ht="36" customHeight="1">
      <c r="A434" s="1"/>
      <c r="B434" s="66" t="s">
        <v>6364</v>
      </c>
      <c r="C434" s="66"/>
      <c r="D434" s="66"/>
      <c r="E434" s="66"/>
      <c r="F434" s="96"/>
      <c r="G434" s="96"/>
      <c r="H434" s="96"/>
      <c r="I434" s="96"/>
      <c r="J434" s="96"/>
      <c r="K434" s="103"/>
      <c r="L434" s="103"/>
      <c r="M434" s="68"/>
      <c r="N434" s="68"/>
      <c r="O434" s="96"/>
      <c r="P434" s="69"/>
      <c r="Q434" s="69"/>
      <c r="R434" s="69"/>
      <c r="S434" s="69"/>
      <c r="T434" s="67"/>
      <c r="U434" s="67"/>
      <c r="V434" s="67"/>
      <c r="W434" s="71"/>
      <c r="X434" s="71"/>
      <c r="Y434" s="71"/>
      <c r="Z434" s="1"/>
    </row>
    <row r="435" spans="1:26" ht="36" customHeight="1">
      <c r="A435" s="1"/>
      <c r="B435" s="66" t="s">
        <v>6365</v>
      </c>
      <c r="C435" s="66"/>
      <c r="D435" s="66"/>
      <c r="E435" s="66"/>
      <c r="F435" s="96"/>
      <c r="G435" s="96"/>
      <c r="H435" s="96"/>
      <c r="I435" s="96"/>
      <c r="J435" s="96"/>
      <c r="K435" s="103"/>
      <c r="L435" s="103"/>
      <c r="M435" s="68"/>
      <c r="N435" s="68"/>
      <c r="O435" s="96"/>
      <c r="P435" s="69"/>
      <c r="Q435" s="96"/>
      <c r="R435" s="96"/>
      <c r="S435" s="69"/>
      <c r="T435" s="67"/>
      <c r="U435" s="67"/>
      <c r="V435" s="67"/>
      <c r="W435" s="71"/>
      <c r="X435" s="71"/>
      <c r="Y435" s="71"/>
      <c r="Z435" s="1"/>
    </row>
    <row r="436" spans="1:26" ht="36" customHeight="1">
      <c r="A436" s="1"/>
      <c r="B436" s="66" t="s">
        <v>6366</v>
      </c>
      <c r="C436" s="66"/>
      <c r="D436" s="66"/>
      <c r="E436" s="66"/>
      <c r="F436" s="96"/>
      <c r="G436" s="96"/>
      <c r="H436" s="96"/>
      <c r="I436" s="96"/>
      <c r="J436" s="96"/>
      <c r="K436" s="103"/>
      <c r="L436" s="103"/>
      <c r="M436" s="68"/>
      <c r="N436" s="68"/>
      <c r="O436" s="96"/>
      <c r="P436" s="69"/>
      <c r="Q436" s="69"/>
      <c r="R436" s="69"/>
      <c r="S436" s="69"/>
      <c r="T436" s="67"/>
      <c r="U436" s="67"/>
      <c r="V436" s="67"/>
      <c r="W436" s="71"/>
      <c r="X436" s="71"/>
      <c r="Y436" s="71"/>
      <c r="Z436" s="1"/>
    </row>
    <row r="437" spans="1:26" ht="36" customHeight="1">
      <c r="A437" s="1"/>
      <c r="B437" s="66" t="s">
        <v>6367</v>
      </c>
      <c r="C437" s="66"/>
      <c r="D437" s="66"/>
      <c r="E437" s="66"/>
      <c r="F437" s="96"/>
      <c r="G437" s="96"/>
      <c r="H437" s="96"/>
      <c r="I437" s="96"/>
      <c r="J437" s="96"/>
      <c r="K437" s="103"/>
      <c r="L437" s="103"/>
      <c r="M437" s="68"/>
      <c r="N437" s="68"/>
      <c r="O437" s="96"/>
      <c r="P437" s="69"/>
      <c r="Q437" s="69"/>
      <c r="R437" s="69"/>
      <c r="S437" s="69"/>
      <c r="T437" s="67"/>
      <c r="U437" s="67"/>
      <c r="V437" s="67"/>
      <c r="W437" s="71"/>
      <c r="X437" s="71"/>
      <c r="Y437" s="71"/>
      <c r="Z437" s="1"/>
    </row>
    <row r="438" spans="1:26" ht="36" customHeight="1">
      <c r="A438" s="1"/>
      <c r="B438" s="66" t="s">
        <v>6368</v>
      </c>
      <c r="C438" s="66"/>
      <c r="D438" s="66"/>
      <c r="E438" s="66"/>
      <c r="F438" s="96"/>
      <c r="G438" s="96"/>
      <c r="H438" s="96"/>
      <c r="I438" s="96"/>
      <c r="J438" s="96"/>
      <c r="K438" s="103"/>
      <c r="L438" s="103"/>
      <c r="M438" s="68"/>
      <c r="N438" s="68"/>
      <c r="O438" s="96"/>
      <c r="P438" s="69"/>
      <c r="Q438" s="96"/>
      <c r="R438" s="96"/>
      <c r="S438" s="69"/>
      <c r="T438" s="67"/>
      <c r="U438" s="67"/>
      <c r="V438" s="67"/>
      <c r="W438" s="71"/>
      <c r="X438" s="71"/>
      <c r="Y438" s="71"/>
      <c r="Z438" s="1"/>
    </row>
    <row r="439" spans="1:26" ht="36" customHeight="1">
      <c r="A439" s="1"/>
      <c r="B439" s="66" t="s">
        <v>6369</v>
      </c>
      <c r="C439" s="66"/>
      <c r="D439" s="66"/>
      <c r="E439" s="66"/>
      <c r="F439" s="96"/>
      <c r="G439" s="96"/>
      <c r="H439" s="96"/>
      <c r="I439" s="96"/>
      <c r="J439" s="96"/>
      <c r="K439" s="103"/>
      <c r="L439" s="103"/>
      <c r="M439" s="68"/>
      <c r="N439" s="68"/>
      <c r="O439" s="96"/>
      <c r="P439" s="69"/>
      <c r="Q439" s="69"/>
      <c r="R439" s="69"/>
      <c r="S439" s="69"/>
      <c r="T439" s="67"/>
      <c r="U439" s="67"/>
      <c r="V439" s="67"/>
      <c r="W439" s="71"/>
      <c r="X439" s="71"/>
      <c r="Y439" s="71"/>
      <c r="Z439" s="1"/>
    </row>
    <row r="440" spans="1:26" ht="36" customHeight="1">
      <c r="A440" s="1"/>
      <c r="B440" s="66" t="s">
        <v>6370</v>
      </c>
      <c r="C440" s="66"/>
      <c r="D440" s="66"/>
      <c r="E440" s="66"/>
      <c r="F440" s="96"/>
      <c r="G440" s="96"/>
      <c r="H440" s="96"/>
      <c r="I440" s="96"/>
      <c r="J440" s="96"/>
      <c r="K440" s="103"/>
      <c r="L440" s="103"/>
      <c r="M440" s="68"/>
      <c r="N440" s="68"/>
      <c r="O440" s="96"/>
      <c r="P440" s="69"/>
      <c r="Q440" s="96"/>
      <c r="R440" s="96"/>
      <c r="S440" s="69"/>
      <c r="T440" s="67"/>
      <c r="U440" s="67"/>
      <c r="V440" s="67"/>
      <c r="W440" s="67"/>
      <c r="X440" s="67"/>
      <c r="Y440" s="71"/>
      <c r="Z440" s="1"/>
    </row>
    <row r="441" spans="1:26" ht="36" customHeight="1">
      <c r="A441" s="1"/>
      <c r="B441" s="66" t="s">
        <v>6371</v>
      </c>
      <c r="C441" s="66"/>
      <c r="D441" s="66"/>
      <c r="E441" s="66"/>
      <c r="F441" s="96"/>
      <c r="G441" s="96"/>
      <c r="H441" s="96"/>
      <c r="I441" s="96"/>
      <c r="J441" s="96"/>
      <c r="K441" s="103"/>
      <c r="L441" s="103"/>
      <c r="M441" s="68"/>
      <c r="N441" s="68"/>
      <c r="O441" s="96"/>
      <c r="P441" s="69"/>
      <c r="Q441" s="96"/>
      <c r="R441" s="96"/>
      <c r="S441" s="69"/>
      <c r="T441" s="67"/>
      <c r="U441" s="67"/>
      <c r="V441" s="67"/>
      <c r="W441" s="71"/>
      <c r="X441" s="71"/>
      <c r="Y441" s="71"/>
      <c r="Z441" s="1"/>
    </row>
    <row r="442" spans="1:26" ht="36" customHeight="1">
      <c r="A442" s="1"/>
      <c r="B442" s="66" t="s">
        <v>6372</v>
      </c>
      <c r="C442" s="66"/>
      <c r="D442" s="66"/>
      <c r="E442" s="66"/>
      <c r="F442" s="96"/>
      <c r="G442" s="96"/>
      <c r="H442" s="96"/>
      <c r="I442" s="96"/>
      <c r="J442" s="96"/>
      <c r="K442" s="103"/>
      <c r="L442" s="103"/>
      <c r="M442" s="68"/>
      <c r="N442" s="68"/>
      <c r="O442" s="96"/>
      <c r="P442" s="69"/>
      <c r="Q442" s="96"/>
      <c r="R442" s="96"/>
      <c r="S442" s="69"/>
      <c r="T442" s="67"/>
      <c r="U442" s="67"/>
      <c r="V442" s="67"/>
      <c r="W442" s="71"/>
      <c r="X442" s="71"/>
      <c r="Y442" s="71"/>
      <c r="Z442" s="1"/>
    </row>
    <row r="443" spans="1:26" ht="36" customHeight="1">
      <c r="A443" s="1"/>
      <c r="B443" s="66" t="s">
        <v>6373</v>
      </c>
      <c r="C443" s="66"/>
      <c r="D443" s="66"/>
      <c r="E443" s="66"/>
      <c r="F443" s="96"/>
      <c r="G443" s="96"/>
      <c r="H443" s="96"/>
      <c r="I443" s="96"/>
      <c r="J443" s="96"/>
      <c r="K443" s="103"/>
      <c r="L443" s="103"/>
      <c r="M443" s="68"/>
      <c r="N443" s="68"/>
      <c r="O443" s="96"/>
      <c r="P443" s="69"/>
      <c r="Q443" s="69"/>
      <c r="R443" s="69"/>
      <c r="S443" s="69"/>
      <c r="T443" s="67"/>
      <c r="U443" s="67"/>
      <c r="V443" s="67"/>
      <c r="W443" s="71"/>
      <c r="X443" s="71"/>
      <c r="Y443" s="71"/>
      <c r="Z443" s="1"/>
    </row>
    <row r="444" spans="1:26" ht="36" customHeight="1">
      <c r="A444" s="1"/>
      <c r="B444" s="66" t="s">
        <v>6374</v>
      </c>
      <c r="C444" s="66"/>
      <c r="D444" s="66"/>
      <c r="E444" s="66"/>
      <c r="F444" s="96"/>
      <c r="G444" s="96"/>
      <c r="H444" s="66"/>
      <c r="I444" s="96"/>
      <c r="J444" s="96"/>
      <c r="K444" s="103"/>
      <c r="L444" s="103"/>
      <c r="M444" s="68"/>
      <c r="N444" s="68"/>
      <c r="O444" s="96"/>
      <c r="P444" s="69"/>
      <c r="Q444" s="96"/>
      <c r="R444" s="96"/>
      <c r="S444" s="69"/>
      <c r="T444" s="67"/>
      <c r="U444" s="67"/>
      <c r="V444" s="67"/>
      <c r="W444" s="71"/>
      <c r="X444" s="71"/>
      <c r="Y444" s="71"/>
      <c r="Z444" s="1"/>
    </row>
    <row r="445" spans="1:26" ht="36" customHeight="1">
      <c r="A445" s="1"/>
      <c r="B445" s="66" t="s">
        <v>6375</v>
      </c>
      <c r="C445" s="66"/>
      <c r="D445" s="66"/>
      <c r="E445" s="66"/>
      <c r="F445" s="96"/>
      <c r="G445" s="96"/>
      <c r="H445" s="96"/>
      <c r="I445" s="96"/>
      <c r="J445" s="96"/>
      <c r="K445" s="103"/>
      <c r="L445" s="103"/>
      <c r="M445" s="68"/>
      <c r="N445" s="68"/>
      <c r="O445" s="96"/>
      <c r="P445" s="69"/>
      <c r="Q445" s="96"/>
      <c r="R445" s="96"/>
      <c r="S445" s="69"/>
      <c r="T445" s="67"/>
      <c r="U445" s="67"/>
      <c r="V445" s="67"/>
      <c r="W445" s="67"/>
      <c r="X445" s="67"/>
      <c r="Y445" s="71"/>
      <c r="Z445" s="1"/>
    </row>
    <row r="446" spans="1:26" ht="36" customHeight="1">
      <c r="A446" s="1"/>
      <c r="B446" s="66" t="s">
        <v>6376</v>
      </c>
      <c r="C446" s="66"/>
      <c r="D446" s="66"/>
      <c r="E446" s="66"/>
      <c r="F446" s="96"/>
      <c r="G446" s="66"/>
      <c r="H446" s="66"/>
      <c r="I446" s="96"/>
      <c r="J446" s="96"/>
      <c r="K446" s="103"/>
      <c r="L446" s="103"/>
      <c r="M446" s="68"/>
      <c r="N446" s="68"/>
      <c r="O446" s="96"/>
      <c r="P446" s="69"/>
      <c r="Q446" s="96"/>
      <c r="R446" s="96"/>
      <c r="S446" s="69"/>
      <c r="T446" s="67"/>
      <c r="U446" s="67"/>
      <c r="V446" s="67"/>
      <c r="W446" s="71"/>
      <c r="X446" s="71"/>
      <c r="Y446" s="71"/>
      <c r="Z446" s="1"/>
    </row>
    <row r="447" spans="1:26" ht="36" customHeight="1">
      <c r="A447" s="1"/>
      <c r="B447" s="66" t="s">
        <v>6377</v>
      </c>
      <c r="C447" s="66"/>
      <c r="D447" s="66"/>
      <c r="E447" s="66"/>
      <c r="F447" s="96"/>
      <c r="G447" s="96"/>
      <c r="H447" s="2"/>
      <c r="I447" s="96"/>
      <c r="J447" s="96"/>
      <c r="K447" s="103"/>
      <c r="L447" s="103"/>
      <c r="M447" s="68"/>
      <c r="N447" s="68"/>
      <c r="O447" s="96"/>
      <c r="P447" s="69"/>
      <c r="Q447" s="69"/>
      <c r="R447" s="69"/>
      <c r="S447" s="69"/>
      <c r="T447" s="67"/>
      <c r="U447" s="67"/>
      <c r="V447" s="67"/>
      <c r="W447" s="71"/>
      <c r="X447" s="71"/>
      <c r="Y447" s="71"/>
      <c r="Z447" s="1"/>
    </row>
    <row r="448" spans="1:26" ht="36" customHeight="1">
      <c r="A448" s="1"/>
      <c r="B448" s="66" t="s">
        <v>6378</v>
      </c>
      <c r="C448" s="66"/>
      <c r="D448" s="66"/>
      <c r="E448" s="66"/>
      <c r="F448" s="96"/>
      <c r="G448" s="96"/>
      <c r="H448" s="96"/>
      <c r="I448" s="96"/>
      <c r="J448" s="96"/>
      <c r="K448" s="103"/>
      <c r="L448" s="103"/>
      <c r="M448" s="68"/>
      <c r="N448" s="68"/>
      <c r="O448" s="96"/>
      <c r="P448" s="69"/>
      <c r="Q448" s="96"/>
      <c r="R448" s="96"/>
      <c r="S448" s="69"/>
      <c r="T448" s="67"/>
      <c r="U448" s="67"/>
      <c r="V448" s="67"/>
      <c r="W448" s="71"/>
      <c r="X448" s="71"/>
      <c r="Y448" s="71"/>
      <c r="Z448" s="1"/>
    </row>
    <row r="449" spans="1:26" ht="36" customHeight="1">
      <c r="A449" s="1"/>
      <c r="B449" s="66" t="s">
        <v>6379</v>
      </c>
      <c r="C449" s="66"/>
      <c r="D449" s="66"/>
      <c r="E449" s="66"/>
      <c r="F449" s="96"/>
      <c r="G449" s="96"/>
      <c r="H449" s="96"/>
      <c r="I449" s="96"/>
      <c r="J449" s="96"/>
      <c r="K449" s="103"/>
      <c r="L449" s="103"/>
      <c r="M449" s="68"/>
      <c r="N449" s="68"/>
      <c r="O449" s="96"/>
      <c r="P449" s="69"/>
      <c r="Q449" s="96"/>
      <c r="R449" s="96"/>
      <c r="S449" s="69"/>
      <c r="T449" s="67"/>
      <c r="U449" s="67"/>
      <c r="V449" s="67"/>
      <c r="W449" s="71"/>
      <c r="X449" s="71"/>
      <c r="Y449" s="71"/>
      <c r="Z449" s="1"/>
    </row>
    <row r="450" spans="1:26" ht="36" customHeight="1">
      <c r="A450" s="1"/>
      <c r="B450" s="66" t="s">
        <v>6380</v>
      </c>
      <c r="C450" s="66"/>
      <c r="D450" s="66"/>
      <c r="E450" s="66"/>
      <c r="F450" s="96"/>
      <c r="G450" s="66"/>
      <c r="H450" s="66"/>
      <c r="I450" s="96"/>
      <c r="J450" s="96"/>
      <c r="K450" s="103"/>
      <c r="L450" s="103"/>
      <c r="M450" s="68"/>
      <c r="N450" s="68"/>
      <c r="O450" s="96"/>
      <c r="P450" s="69"/>
      <c r="Q450" s="69"/>
      <c r="R450" s="69"/>
      <c r="S450" s="69"/>
      <c r="T450" s="67"/>
      <c r="U450" s="67"/>
      <c r="V450" s="67"/>
      <c r="W450" s="71"/>
      <c r="X450" s="71"/>
      <c r="Y450" s="71"/>
      <c r="Z450" s="1"/>
    </row>
    <row r="451" spans="1:26" ht="36" customHeight="1">
      <c r="A451" s="1"/>
      <c r="B451" s="66" t="s">
        <v>6381</v>
      </c>
      <c r="C451" s="66"/>
      <c r="D451" s="66"/>
      <c r="E451" s="66"/>
      <c r="F451" s="96"/>
      <c r="G451" s="66"/>
      <c r="H451" s="66"/>
      <c r="I451" s="96"/>
      <c r="J451" s="96"/>
      <c r="K451" s="103"/>
      <c r="L451" s="103"/>
      <c r="M451" s="68"/>
      <c r="N451" s="68"/>
      <c r="O451" s="96"/>
      <c r="P451" s="69"/>
      <c r="Q451" s="96"/>
      <c r="R451" s="96"/>
      <c r="S451" s="69"/>
      <c r="T451" s="67"/>
      <c r="U451" s="67"/>
      <c r="V451" s="67"/>
      <c r="W451" s="71"/>
      <c r="X451" s="71"/>
      <c r="Y451" s="71"/>
      <c r="Z451" s="1"/>
    </row>
    <row r="452" spans="1:26" ht="36" customHeight="1">
      <c r="A452" s="1"/>
      <c r="B452" s="66" t="s">
        <v>6382</v>
      </c>
      <c r="C452" s="66"/>
      <c r="D452" s="66"/>
      <c r="E452" s="66"/>
      <c r="F452" s="96"/>
      <c r="G452" s="66"/>
      <c r="H452" s="66"/>
      <c r="I452" s="96"/>
      <c r="J452" s="96"/>
      <c r="K452" s="103"/>
      <c r="L452" s="103"/>
      <c r="M452" s="68"/>
      <c r="N452" s="68"/>
      <c r="O452" s="96"/>
      <c r="P452" s="69"/>
      <c r="Q452" s="96"/>
      <c r="R452" s="96"/>
      <c r="S452" s="69"/>
      <c r="T452" s="67"/>
      <c r="U452" s="67"/>
      <c r="V452" s="67"/>
      <c r="W452" s="71"/>
      <c r="X452" s="71"/>
      <c r="Y452" s="71"/>
      <c r="Z452" s="1"/>
    </row>
    <row r="453" spans="1:26" ht="36" customHeight="1">
      <c r="A453" s="1"/>
      <c r="B453" s="66" t="s">
        <v>6383</v>
      </c>
      <c r="C453" s="66"/>
      <c r="D453" s="66"/>
      <c r="E453" s="66"/>
      <c r="F453" s="96"/>
      <c r="G453" s="2"/>
      <c r="H453" s="66"/>
      <c r="I453" s="96"/>
      <c r="J453" s="96"/>
      <c r="K453" s="103"/>
      <c r="L453" s="103"/>
      <c r="M453" s="68"/>
      <c r="N453" s="68"/>
      <c r="O453" s="96"/>
      <c r="P453" s="69"/>
      <c r="Q453" s="96"/>
      <c r="R453" s="96"/>
      <c r="S453" s="69"/>
      <c r="T453" s="67"/>
      <c r="U453" s="67"/>
      <c r="V453" s="67"/>
      <c r="W453" s="71"/>
      <c r="X453" s="71"/>
      <c r="Y453" s="71"/>
      <c r="Z453" s="1"/>
    </row>
    <row r="454" spans="1:26" ht="36" customHeight="1">
      <c r="A454" s="1"/>
      <c r="B454" s="66" t="s">
        <v>6384</v>
      </c>
      <c r="C454" s="66"/>
      <c r="D454" s="66"/>
      <c r="E454" s="66"/>
      <c r="F454" s="96"/>
      <c r="G454" s="96"/>
      <c r="H454" s="96"/>
      <c r="I454" s="96"/>
      <c r="J454" s="96"/>
      <c r="K454" s="103"/>
      <c r="L454" s="103"/>
      <c r="M454" s="68"/>
      <c r="N454" s="68"/>
      <c r="O454" s="96"/>
      <c r="P454" s="69"/>
      <c r="Q454" s="96"/>
      <c r="R454" s="96"/>
      <c r="S454" s="69"/>
      <c r="T454" s="67"/>
      <c r="U454" s="67"/>
      <c r="V454" s="67"/>
      <c r="W454" s="71"/>
      <c r="X454" s="71"/>
      <c r="Y454" s="71"/>
      <c r="Z454" s="1"/>
    </row>
    <row r="455" spans="1:26" ht="36" customHeight="1">
      <c r="A455" s="1"/>
      <c r="B455" s="66" t="s">
        <v>6385</v>
      </c>
      <c r="C455" s="66"/>
      <c r="D455" s="66"/>
      <c r="E455" s="66"/>
      <c r="F455" s="96"/>
      <c r="G455" s="66"/>
      <c r="H455" s="96"/>
      <c r="I455" s="96"/>
      <c r="J455" s="96"/>
      <c r="K455" s="103"/>
      <c r="L455" s="103"/>
      <c r="M455" s="68"/>
      <c r="N455" s="68"/>
      <c r="O455" s="96"/>
      <c r="P455" s="69"/>
      <c r="Q455" s="96"/>
      <c r="R455" s="96"/>
      <c r="S455" s="69"/>
      <c r="T455" s="67"/>
      <c r="U455" s="67"/>
      <c r="V455" s="67"/>
      <c r="W455" s="71"/>
      <c r="X455" s="71"/>
      <c r="Y455" s="71"/>
      <c r="Z455" s="1"/>
    </row>
    <row r="456" spans="1:26" ht="36" customHeight="1">
      <c r="A456" s="1"/>
      <c r="B456" s="66" t="s">
        <v>6386</v>
      </c>
      <c r="C456" s="66"/>
      <c r="D456" s="66"/>
      <c r="E456" s="66"/>
      <c r="F456" s="96"/>
      <c r="G456" s="87"/>
      <c r="H456" s="96"/>
      <c r="I456" s="96"/>
      <c r="J456" s="96"/>
      <c r="K456" s="103"/>
      <c r="L456" s="103"/>
      <c r="M456" s="68"/>
      <c r="N456" s="68"/>
      <c r="O456" s="96"/>
      <c r="P456" s="69"/>
      <c r="Q456" s="69"/>
      <c r="R456" s="69"/>
      <c r="S456" s="69"/>
      <c r="T456" s="67"/>
      <c r="U456" s="67"/>
      <c r="V456" s="67"/>
      <c r="W456" s="71"/>
      <c r="X456" s="71"/>
      <c r="Y456" s="71"/>
      <c r="Z456" s="1"/>
    </row>
    <row r="457" spans="1:26" ht="36" customHeight="1">
      <c r="A457" s="1"/>
      <c r="B457" s="66" t="s">
        <v>6387</v>
      </c>
      <c r="C457" s="66"/>
      <c r="D457" s="66"/>
      <c r="E457" s="66"/>
      <c r="F457" s="96"/>
      <c r="G457" s="96"/>
      <c r="H457" s="96"/>
      <c r="I457" s="96"/>
      <c r="J457" s="96"/>
      <c r="K457" s="103"/>
      <c r="L457" s="103"/>
      <c r="M457" s="68"/>
      <c r="N457" s="68"/>
      <c r="O457" s="96"/>
      <c r="P457" s="69"/>
      <c r="Q457" s="96"/>
      <c r="R457" s="96"/>
      <c r="S457" s="69"/>
      <c r="T457" s="67"/>
      <c r="U457" s="67"/>
      <c r="V457" s="67"/>
      <c r="W457" s="71"/>
      <c r="X457" s="71"/>
      <c r="Y457" s="71"/>
      <c r="Z457" s="1"/>
    </row>
    <row r="458" spans="1:26" ht="36" customHeight="1">
      <c r="A458" s="1"/>
      <c r="B458" s="66" t="s">
        <v>6388</v>
      </c>
      <c r="C458" s="66"/>
      <c r="D458" s="66"/>
      <c r="E458" s="66"/>
      <c r="F458" s="96"/>
      <c r="G458" s="96"/>
      <c r="H458" s="96"/>
      <c r="I458" s="96"/>
      <c r="J458" s="96"/>
      <c r="K458" s="103"/>
      <c r="L458" s="103"/>
      <c r="M458" s="68"/>
      <c r="N458" s="68"/>
      <c r="O458" s="96"/>
      <c r="P458" s="69"/>
      <c r="Q458" s="96"/>
      <c r="R458" s="96"/>
      <c r="S458" s="69"/>
      <c r="T458" s="67"/>
      <c r="U458" s="67"/>
      <c r="V458" s="67"/>
      <c r="W458" s="71"/>
      <c r="X458" s="71"/>
      <c r="Y458" s="71"/>
      <c r="Z458" s="1"/>
    </row>
    <row r="459" spans="1:26" ht="36" customHeight="1">
      <c r="A459" s="1"/>
      <c r="B459" s="66" t="s">
        <v>6389</v>
      </c>
      <c r="C459" s="66"/>
      <c r="D459" s="66"/>
      <c r="E459" s="66"/>
      <c r="F459" s="96"/>
      <c r="G459" s="96"/>
      <c r="H459" s="96"/>
      <c r="I459" s="96"/>
      <c r="J459" s="96"/>
      <c r="K459" s="103"/>
      <c r="L459" s="103"/>
      <c r="M459" s="68"/>
      <c r="N459" s="68"/>
      <c r="O459" s="96"/>
      <c r="P459" s="69"/>
      <c r="Q459" s="69"/>
      <c r="R459" s="69"/>
      <c r="S459" s="69"/>
      <c r="T459" s="67"/>
      <c r="U459" s="67"/>
      <c r="V459" s="67"/>
      <c r="W459" s="71"/>
      <c r="X459" s="71"/>
      <c r="Y459" s="71"/>
      <c r="Z459" s="1"/>
    </row>
    <row r="460" spans="1:26" ht="36" customHeight="1">
      <c r="A460" s="1"/>
      <c r="B460" s="66" t="s">
        <v>6390</v>
      </c>
      <c r="C460" s="66"/>
      <c r="D460" s="66"/>
      <c r="E460" s="66"/>
      <c r="F460" s="96"/>
      <c r="G460" s="96"/>
      <c r="H460" s="66"/>
      <c r="I460" s="96"/>
      <c r="J460" s="96"/>
      <c r="K460" s="103"/>
      <c r="L460" s="103"/>
      <c r="M460" s="68"/>
      <c r="N460" s="68"/>
      <c r="O460" s="96"/>
      <c r="P460" s="69"/>
      <c r="Q460" s="69"/>
      <c r="R460" s="69"/>
      <c r="S460" s="69"/>
      <c r="T460" s="67"/>
      <c r="U460" s="67"/>
      <c r="V460" s="67"/>
      <c r="W460" s="71"/>
      <c r="X460" s="71"/>
      <c r="Y460" s="71"/>
      <c r="Z460" s="1"/>
    </row>
    <row r="461" spans="1:26" ht="36" customHeight="1">
      <c r="A461" s="1"/>
      <c r="B461" s="66" t="s">
        <v>6391</v>
      </c>
      <c r="C461" s="66"/>
      <c r="D461" s="66"/>
      <c r="E461" s="66"/>
      <c r="F461" s="96"/>
      <c r="G461" s="96"/>
      <c r="H461" s="96"/>
      <c r="I461" s="96"/>
      <c r="J461" s="96"/>
      <c r="K461" s="103"/>
      <c r="L461" s="103"/>
      <c r="M461" s="68"/>
      <c r="N461" s="68"/>
      <c r="O461" s="96"/>
      <c r="P461" s="69"/>
      <c r="Q461" s="96"/>
      <c r="R461" s="96"/>
      <c r="S461" s="69"/>
      <c r="T461" s="67"/>
      <c r="U461" s="67"/>
      <c r="V461" s="67"/>
      <c r="W461" s="71"/>
      <c r="X461" s="71"/>
      <c r="Y461" s="71"/>
      <c r="Z461" s="1"/>
    </row>
    <row r="462" spans="1:26" ht="36" customHeight="1">
      <c r="A462" s="1"/>
      <c r="B462" s="66" t="s">
        <v>6392</v>
      </c>
      <c r="C462" s="66"/>
      <c r="D462" s="66"/>
      <c r="E462" s="66"/>
      <c r="F462" s="96"/>
      <c r="G462" s="96"/>
      <c r="H462" s="96"/>
      <c r="I462" s="96"/>
      <c r="J462" s="96"/>
      <c r="K462" s="103"/>
      <c r="L462" s="103"/>
      <c r="M462" s="68"/>
      <c r="N462" s="68"/>
      <c r="O462" s="96"/>
      <c r="P462" s="69"/>
      <c r="Q462" s="69"/>
      <c r="R462" s="69"/>
      <c r="S462" s="69"/>
      <c r="T462" s="67"/>
      <c r="U462" s="67"/>
      <c r="V462" s="67"/>
      <c r="W462" s="71"/>
      <c r="X462" s="71"/>
      <c r="Y462" s="71"/>
      <c r="Z462" s="1"/>
    </row>
    <row r="463" spans="1:26" ht="36" customHeight="1">
      <c r="A463" s="1"/>
      <c r="B463" s="66" t="s">
        <v>6393</v>
      </c>
      <c r="C463" s="66"/>
      <c r="D463" s="66"/>
      <c r="E463" s="66"/>
      <c r="F463" s="96"/>
      <c r="G463" s="96"/>
      <c r="H463" s="87"/>
      <c r="I463" s="96"/>
      <c r="J463" s="96"/>
      <c r="K463" s="103"/>
      <c r="L463" s="103"/>
      <c r="M463" s="68"/>
      <c r="N463" s="68"/>
      <c r="O463" s="96"/>
      <c r="P463" s="69"/>
      <c r="Q463" s="69"/>
      <c r="R463" s="69"/>
      <c r="S463" s="69"/>
      <c r="T463" s="67"/>
      <c r="U463" s="67"/>
      <c r="V463" s="67"/>
      <c r="W463" s="71"/>
      <c r="X463" s="71"/>
      <c r="Y463" s="71"/>
      <c r="Z463" s="1"/>
    </row>
    <row r="464" spans="1:26" ht="36" customHeight="1">
      <c r="A464" s="1"/>
      <c r="B464" s="66" t="s">
        <v>6394</v>
      </c>
      <c r="C464" s="66"/>
      <c r="D464" s="66"/>
      <c r="E464" s="66"/>
      <c r="F464" s="96"/>
      <c r="G464" s="96"/>
      <c r="H464" s="96"/>
      <c r="I464" s="96"/>
      <c r="J464" s="96"/>
      <c r="K464" s="103"/>
      <c r="L464" s="103"/>
      <c r="M464" s="68"/>
      <c r="N464" s="68"/>
      <c r="O464" s="96"/>
      <c r="P464" s="69"/>
      <c r="Q464" s="96"/>
      <c r="R464" s="96"/>
      <c r="S464" s="69"/>
      <c r="T464" s="67"/>
      <c r="U464" s="67"/>
      <c r="V464" s="67"/>
      <c r="W464" s="71"/>
      <c r="X464" s="71"/>
      <c r="Y464" s="71"/>
      <c r="Z464" s="1"/>
    </row>
    <row r="465" spans="1:26" ht="36" customHeight="1">
      <c r="A465" s="1"/>
      <c r="B465" s="66" t="s">
        <v>6395</v>
      </c>
      <c r="C465" s="66"/>
      <c r="D465" s="66"/>
      <c r="E465" s="66"/>
      <c r="F465" s="96"/>
      <c r="G465" s="96"/>
      <c r="H465" s="96"/>
      <c r="I465" s="96"/>
      <c r="J465" s="96"/>
      <c r="K465" s="103"/>
      <c r="L465" s="103"/>
      <c r="M465" s="68"/>
      <c r="N465" s="68"/>
      <c r="O465" s="96"/>
      <c r="P465" s="69"/>
      <c r="Q465" s="69"/>
      <c r="R465" s="69"/>
      <c r="S465" s="69"/>
      <c r="T465" s="67"/>
      <c r="U465" s="67"/>
      <c r="V465" s="67"/>
      <c r="W465" s="71"/>
      <c r="X465" s="71"/>
      <c r="Y465" s="71"/>
      <c r="Z465" s="1"/>
    </row>
    <row r="466" spans="1:26" ht="36" customHeight="1">
      <c r="A466" s="1"/>
      <c r="B466" s="66" t="s">
        <v>6396</v>
      </c>
      <c r="C466" s="66"/>
      <c r="D466" s="66"/>
      <c r="E466" s="66"/>
      <c r="F466" s="96"/>
      <c r="G466" s="96"/>
      <c r="H466" s="96"/>
      <c r="I466" s="96"/>
      <c r="J466" s="96"/>
      <c r="K466" s="103"/>
      <c r="L466" s="103"/>
      <c r="M466" s="68"/>
      <c r="N466" s="68"/>
      <c r="O466" s="96"/>
      <c r="P466" s="69"/>
      <c r="Q466" s="69"/>
      <c r="R466" s="69"/>
      <c r="S466" s="69"/>
      <c r="T466" s="67"/>
      <c r="U466" s="67"/>
      <c r="V466" s="67"/>
      <c r="W466" s="71"/>
      <c r="X466" s="71"/>
      <c r="Y466" s="71"/>
      <c r="Z466" s="1"/>
    </row>
    <row r="467" spans="1:26" ht="36" customHeight="1">
      <c r="A467" s="1"/>
      <c r="B467" s="66" t="s">
        <v>6397</v>
      </c>
      <c r="C467" s="66"/>
      <c r="D467" s="66"/>
      <c r="E467" s="66"/>
      <c r="F467" s="96"/>
      <c r="G467" s="96"/>
      <c r="H467" s="96"/>
      <c r="I467" s="96"/>
      <c r="J467" s="96"/>
      <c r="K467" s="103"/>
      <c r="L467" s="103"/>
      <c r="M467" s="68"/>
      <c r="N467" s="68"/>
      <c r="O467" s="96"/>
      <c r="P467" s="69"/>
      <c r="Q467" s="69"/>
      <c r="R467" s="69"/>
      <c r="S467" s="69"/>
      <c r="T467" s="67"/>
      <c r="U467" s="67"/>
      <c r="V467" s="67"/>
      <c r="W467" s="71"/>
      <c r="X467" s="71"/>
      <c r="Y467" s="71"/>
      <c r="Z467" s="1"/>
    </row>
    <row r="468" spans="1:26" ht="36" customHeight="1">
      <c r="A468" s="1"/>
      <c r="B468" s="66" t="s">
        <v>6398</v>
      </c>
      <c r="C468" s="66"/>
      <c r="D468" s="66"/>
      <c r="E468" s="66"/>
      <c r="F468" s="96"/>
      <c r="G468" s="96"/>
      <c r="H468" s="96"/>
      <c r="I468" s="96"/>
      <c r="J468" s="96"/>
      <c r="K468" s="103"/>
      <c r="L468" s="103"/>
      <c r="M468" s="68"/>
      <c r="N468" s="68"/>
      <c r="O468" s="96"/>
      <c r="P468" s="69"/>
      <c r="Q468" s="69"/>
      <c r="R468" s="69"/>
      <c r="S468" s="69"/>
      <c r="T468" s="67"/>
      <c r="U468" s="67"/>
      <c r="V468" s="67"/>
      <c r="W468" s="71"/>
      <c r="X468" s="71"/>
      <c r="Y468" s="71"/>
      <c r="Z468" s="1"/>
    </row>
    <row r="469" spans="1:26" ht="36" customHeight="1">
      <c r="A469" s="1"/>
      <c r="B469" s="66" t="s">
        <v>6399</v>
      </c>
      <c r="C469" s="66"/>
      <c r="D469" s="66"/>
      <c r="E469" s="66"/>
      <c r="F469" s="96"/>
      <c r="G469" s="96"/>
      <c r="H469" s="96"/>
      <c r="I469" s="96"/>
      <c r="J469" s="96"/>
      <c r="K469" s="103"/>
      <c r="L469" s="103"/>
      <c r="M469" s="68"/>
      <c r="N469" s="68"/>
      <c r="O469" s="96"/>
      <c r="P469" s="69"/>
      <c r="Q469" s="69"/>
      <c r="R469" s="69"/>
      <c r="S469" s="69"/>
      <c r="T469" s="67"/>
      <c r="U469" s="67"/>
      <c r="V469" s="67"/>
      <c r="W469" s="71"/>
      <c r="X469" s="71"/>
      <c r="Y469" s="71"/>
      <c r="Z469" s="1"/>
    </row>
    <row r="470" spans="1:26" ht="36" customHeight="1">
      <c r="A470" s="1"/>
      <c r="B470" s="66" t="s">
        <v>6400</v>
      </c>
      <c r="C470" s="66"/>
      <c r="D470" s="66"/>
      <c r="E470" s="66"/>
      <c r="F470" s="96"/>
      <c r="G470" s="96"/>
      <c r="H470" s="96"/>
      <c r="I470" s="96"/>
      <c r="J470" s="96"/>
      <c r="K470" s="103"/>
      <c r="L470" s="103"/>
      <c r="M470" s="68"/>
      <c r="N470" s="68"/>
      <c r="O470" s="96"/>
      <c r="P470" s="69"/>
      <c r="Q470" s="69"/>
      <c r="R470" s="69"/>
      <c r="S470" s="69"/>
      <c r="T470" s="68"/>
      <c r="U470" s="67"/>
      <c r="V470" s="67"/>
      <c r="W470" s="71"/>
      <c r="X470" s="71"/>
      <c r="Y470" s="71"/>
      <c r="Z470" s="1"/>
    </row>
    <row r="471" spans="1:26" ht="36" customHeight="1">
      <c r="A471" s="1"/>
      <c r="B471" s="66" t="s">
        <v>6401</v>
      </c>
      <c r="C471" s="66"/>
      <c r="D471" s="66"/>
      <c r="E471" s="66"/>
      <c r="F471" s="96"/>
      <c r="G471" s="96"/>
      <c r="H471" s="96"/>
      <c r="I471" s="96"/>
      <c r="J471" s="96"/>
      <c r="K471" s="103"/>
      <c r="L471" s="103"/>
      <c r="M471" s="68"/>
      <c r="N471" s="68"/>
      <c r="O471" s="96"/>
      <c r="P471" s="69"/>
      <c r="Q471" s="69"/>
      <c r="R471" s="69"/>
      <c r="S471" s="69"/>
      <c r="T471" s="68"/>
      <c r="U471" s="67"/>
      <c r="V471" s="67"/>
      <c r="W471" s="71"/>
      <c r="X471" s="71"/>
      <c r="Y471" s="71"/>
      <c r="Z471" s="1"/>
    </row>
    <row r="472" spans="1:26" ht="36" customHeight="1">
      <c r="A472" s="1"/>
      <c r="B472" s="66" t="s">
        <v>6402</v>
      </c>
      <c r="C472" s="66"/>
      <c r="D472" s="66"/>
      <c r="E472" s="66"/>
      <c r="F472" s="96"/>
      <c r="G472" s="96"/>
      <c r="H472" s="96"/>
      <c r="I472" s="96"/>
      <c r="J472" s="96"/>
      <c r="K472" s="103"/>
      <c r="L472" s="103"/>
      <c r="M472" s="68"/>
      <c r="N472" s="68"/>
      <c r="O472" s="96"/>
      <c r="P472" s="69"/>
      <c r="Q472" s="69"/>
      <c r="R472" s="69"/>
      <c r="S472" s="69"/>
      <c r="T472" s="68"/>
      <c r="U472" s="67"/>
      <c r="V472" s="67"/>
      <c r="W472" s="71"/>
      <c r="X472" s="71"/>
      <c r="Y472" s="71"/>
      <c r="Z472" s="1"/>
    </row>
    <row r="473" spans="1:26" ht="36" customHeight="1">
      <c r="A473" s="1"/>
      <c r="B473" s="66" t="s">
        <v>6403</v>
      </c>
      <c r="C473" s="66"/>
      <c r="D473" s="66"/>
      <c r="E473" s="66"/>
      <c r="F473" s="96"/>
      <c r="G473" s="96"/>
      <c r="H473" s="96"/>
      <c r="I473" s="96"/>
      <c r="J473" s="96"/>
      <c r="K473" s="103"/>
      <c r="L473" s="103"/>
      <c r="M473" s="68"/>
      <c r="N473" s="68"/>
      <c r="O473" s="96"/>
      <c r="P473" s="69"/>
      <c r="Q473" s="69"/>
      <c r="R473" s="69"/>
      <c r="S473" s="69"/>
      <c r="T473" s="68"/>
      <c r="U473" s="67"/>
      <c r="V473" s="67"/>
      <c r="W473" s="71"/>
      <c r="X473" s="71"/>
      <c r="Y473" s="71"/>
      <c r="Z473" s="1"/>
    </row>
    <row r="474" spans="1:26" ht="36" customHeight="1">
      <c r="A474" s="1"/>
      <c r="B474" s="66" t="s">
        <v>6404</v>
      </c>
      <c r="C474" s="66"/>
      <c r="D474" s="66"/>
      <c r="E474" s="66"/>
      <c r="F474" s="96"/>
      <c r="G474" s="96"/>
      <c r="H474" s="96"/>
      <c r="I474" s="96"/>
      <c r="J474" s="96"/>
      <c r="K474" s="103"/>
      <c r="L474" s="103"/>
      <c r="M474" s="68"/>
      <c r="N474" s="68"/>
      <c r="O474" s="96"/>
      <c r="P474" s="69"/>
      <c r="Q474" s="69"/>
      <c r="R474" s="69"/>
      <c r="S474" s="69"/>
      <c r="T474" s="68"/>
      <c r="U474" s="67"/>
      <c r="V474" s="67"/>
      <c r="W474" s="71"/>
      <c r="X474" s="71"/>
      <c r="Y474" s="71"/>
      <c r="Z474" s="1"/>
    </row>
    <row r="475" spans="1:26" ht="36" customHeight="1">
      <c r="A475" s="1"/>
      <c r="B475" s="66" t="s">
        <v>6405</v>
      </c>
      <c r="C475" s="66"/>
      <c r="D475" s="66"/>
      <c r="E475" s="66"/>
      <c r="F475" s="96"/>
      <c r="G475" s="96"/>
      <c r="H475" s="96"/>
      <c r="I475" s="96"/>
      <c r="J475" s="96"/>
      <c r="K475" s="103"/>
      <c r="L475" s="103"/>
      <c r="M475" s="68"/>
      <c r="N475" s="68"/>
      <c r="O475" s="96"/>
      <c r="P475" s="69"/>
      <c r="Q475" s="69"/>
      <c r="R475" s="69"/>
      <c r="S475" s="69"/>
      <c r="T475" s="68"/>
      <c r="U475" s="67"/>
      <c r="V475" s="67"/>
      <c r="W475" s="71"/>
      <c r="X475" s="71"/>
      <c r="Y475" s="71"/>
      <c r="Z475" s="1"/>
    </row>
    <row r="476" spans="1:26" ht="36" customHeight="1">
      <c r="A476" s="1"/>
      <c r="B476" s="66" t="s">
        <v>6406</v>
      </c>
      <c r="C476" s="66"/>
      <c r="D476" s="66"/>
      <c r="E476" s="66"/>
      <c r="F476" s="96"/>
      <c r="G476" s="96"/>
      <c r="H476" s="96"/>
      <c r="I476" s="96"/>
      <c r="J476" s="96"/>
      <c r="K476" s="103"/>
      <c r="L476" s="103"/>
      <c r="M476" s="68"/>
      <c r="N476" s="68"/>
      <c r="O476" s="96"/>
      <c r="P476" s="69"/>
      <c r="Q476" s="69"/>
      <c r="R476" s="69"/>
      <c r="S476" s="69"/>
      <c r="T476" s="68"/>
      <c r="U476" s="67"/>
      <c r="V476" s="67"/>
      <c r="W476" s="71"/>
      <c r="X476" s="71"/>
      <c r="Y476" s="71"/>
      <c r="Z476" s="1"/>
    </row>
    <row r="477" spans="1:26" ht="36" customHeight="1">
      <c r="A477" s="1"/>
      <c r="B477" s="66" t="s">
        <v>6407</v>
      </c>
      <c r="C477" s="66"/>
      <c r="D477" s="66"/>
      <c r="E477" s="66"/>
      <c r="F477" s="96"/>
      <c r="G477" s="96"/>
      <c r="H477" s="96"/>
      <c r="I477" s="96"/>
      <c r="J477" s="96"/>
      <c r="K477" s="103"/>
      <c r="L477" s="103"/>
      <c r="M477" s="68"/>
      <c r="N477" s="68"/>
      <c r="O477" s="96"/>
      <c r="P477" s="69"/>
      <c r="Q477" s="69"/>
      <c r="R477" s="69"/>
      <c r="S477" s="69"/>
      <c r="T477" s="68"/>
      <c r="U477" s="67"/>
      <c r="V477" s="67"/>
      <c r="W477" s="71"/>
      <c r="X477" s="71"/>
      <c r="Y477" s="71"/>
      <c r="Z477" s="1"/>
    </row>
    <row r="478" spans="1:26" ht="36" customHeight="1">
      <c r="A478" s="1"/>
      <c r="B478" s="66" t="s">
        <v>6408</v>
      </c>
      <c r="C478" s="66"/>
      <c r="D478" s="66"/>
      <c r="E478" s="66"/>
      <c r="F478" s="96"/>
      <c r="G478" s="96"/>
      <c r="H478" s="96"/>
      <c r="I478" s="96"/>
      <c r="J478" s="96"/>
      <c r="K478" s="103"/>
      <c r="L478" s="103"/>
      <c r="M478" s="68"/>
      <c r="N478" s="68"/>
      <c r="O478" s="96"/>
      <c r="P478" s="69"/>
      <c r="Q478" s="69"/>
      <c r="R478" s="69"/>
      <c r="S478" s="69"/>
      <c r="T478" s="68"/>
      <c r="U478" s="67"/>
      <c r="V478" s="67"/>
      <c r="W478" s="71"/>
      <c r="X478" s="71"/>
      <c r="Y478" s="71"/>
      <c r="Z478" s="1"/>
    </row>
    <row r="479" spans="1:26" ht="36" customHeight="1">
      <c r="A479" s="1"/>
      <c r="B479" s="66" t="s">
        <v>6409</v>
      </c>
      <c r="C479" s="66"/>
      <c r="D479" s="66"/>
      <c r="E479" s="66"/>
      <c r="F479" s="96"/>
      <c r="G479" s="96"/>
      <c r="H479" s="96"/>
      <c r="I479" s="96"/>
      <c r="J479" s="96"/>
      <c r="K479" s="103"/>
      <c r="L479" s="103"/>
      <c r="M479" s="68"/>
      <c r="N479" s="68"/>
      <c r="O479" s="96"/>
      <c r="P479" s="69"/>
      <c r="Q479" s="69"/>
      <c r="R479" s="69"/>
      <c r="S479" s="69"/>
      <c r="T479" s="68"/>
      <c r="U479" s="67"/>
      <c r="V479" s="67"/>
      <c r="W479" s="71"/>
      <c r="X479" s="71"/>
      <c r="Y479" s="71"/>
      <c r="Z479" s="1"/>
    </row>
    <row r="480" spans="1:26" ht="36" customHeight="1">
      <c r="A480" s="1"/>
      <c r="B480" s="66" t="s">
        <v>6410</v>
      </c>
      <c r="C480" s="66"/>
      <c r="D480" s="66"/>
      <c r="E480" s="66"/>
      <c r="F480" s="96"/>
      <c r="G480" s="96"/>
      <c r="H480" s="96"/>
      <c r="I480" s="96"/>
      <c r="J480" s="96"/>
      <c r="K480" s="103"/>
      <c r="L480" s="103"/>
      <c r="M480" s="68"/>
      <c r="N480" s="68"/>
      <c r="O480" s="96"/>
      <c r="P480" s="69"/>
      <c r="Q480" s="69"/>
      <c r="R480" s="69"/>
      <c r="S480" s="69"/>
      <c r="T480" s="68"/>
      <c r="U480" s="67"/>
      <c r="V480" s="67"/>
      <c r="W480" s="71"/>
      <c r="X480" s="71"/>
      <c r="Y480" s="71"/>
      <c r="Z480" s="1"/>
    </row>
    <row r="481" spans="1:26" ht="36" customHeight="1">
      <c r="A481" s="1"/>
      <c r="B481" s="66" t="s">
        <v>6411</v>
      </c>
      <c r="C481" s="66"/>
      <c r="D481" s="66"/>
      <c r="E481" s="66"/>
      <c r="F481" s="96"/>
      <c r="G481" s="96"/>
      <c r="H481" s="96"/>
      <c r="I481" s="96"/>
      <c r="J481" s="96"/>
      <c r="K481" s="103"/>
      <c r="L481" s="103"/>
      <c r="M481" s="68"/>
      <c r="N481" s="68"/>
      <c r="O481" s="96"/>
      <c r="P481" s="69"/>
      <c r="Q481" s="69"/>
      <c r="R481" s="69"/>
      <c r="S481" s="69"/>
      <c r="T481" s="68"/>
      <c r="U481" s="67"/>
      <c r="V481" s="67"/>
      <c r="W481" s="71"/>
      <c r="X481" s="71"/>
      <c r="Y481" s="71"/>
      <c r="Z481" s="1"/>
    </row>
    <row r="482" spans="1:26" ht="36" customHeight="1">
      <c r="A482" s="1"/>
      <c r="B482" s="66" t="s">
        <v>6412</v>
      </c>
      <c r="C482" s="66"/>
      <c r="D482" s="66"/>
      <c r="E482" s="66"/>
      <c r="F482" s="96"/>
      <c r="G482" s="96"/>
      <c r="H482" s="96"/>
      <c r="I482" s="96"/>
      <c r="J482" s="96"/>
      <c r="K482" s="103"/>
      <c r="L482" s="103"/>
      <c r="M482" s="68"/>
      <c r="N482" s="68"/>
      <c r="O482" s="96"/>
      <c r="P482" s="69"/>
      <c r="Q482" s="69"/>
      <c r="R482" s="69"/>
      <c r="S482" s="69"/>
      <c r="T482" s="68"/>
      <c r="U482" s="67"/>
      <c r="V482" s="67"/>
      <c r="W482" s="71"/>
      <c r="X482" s="71"/>
      <c r="Y482" s="71"/>
      <c r="Z482" s="1"/>
    </row>
    <row r="483" spans="1:26" ht="36" customHeight="1">
      <c r="A483" s="1"/>
      <c r="B483" s="66" t="s">
        <v>6413</v>
      </c>
      <c r="C483" s="66"/>
      <c r="D483" s="66"/>
      <c r="E483" s="66"/>
      <c r="F483" s="96"/>
      <c r="G483" s="96"/>
      <c r="H483" s="66"/>
      <c r="I483" s="97"/>
      <c r="J483" s="97"/>
      <c r="K483" s="98"/>
      <c r="L483" s="71"/>
      <c r="M483" s="68"/>
      <c r="N483" s="68"/>
      <c r="O483" s="96"/>
      <c r="P483" s="69"/>
      <c r="Q483" s="69"/>
      <c r="R483" s="69"/>
      <c r="S483" s="68"/>
      <c r="T483" s="68"/>
      <c r="U483" s="67"/>
      <c r="V483" s="67"/>
      <c r="W483" s="71"/>
      <c r="X483" s="71"/>
      <c r="Y483" s="71"/>
      <c r="Z483" s="1"/>
    </row>
    <row r="484" spans="1:26" ht="36" customHeight="1">
      <c r="A484" s="1"/>
      <c r="B484" s="66" t="s">
        <v>6414</v>
      </c>
      <c r="C484" s="66"/>
      <c r="D484" s="66"/>
      <c r="E484" s="66"/>
      <c r="F484" s="96"/>
      <c r="G484" s="96"/>
      <c r="H484" s="96"/>
      <c r="I484" s="99"/>
      <c r="J484" s="99"/>
      <c r="K484" s="108"/>
      <c r="L484" s="71"/>
      <c r="M484" s="71"/>
      <c r="N484" s="71"/>
      <c r="O484" s="96"/>
      <c r="P484" s="96"/>
      <c r="Q484" s="96"/>
      <c r="R484" s="96"/>
      <c r="S484" s="100"/>
      <c r="T484" s="69"/>
      <c r="U484" s="67"/>
      <c r="V484" s="67"/>
      <c r="W484" s="71"/>
      <c r="X484" s="71"/>
      <c r="Y484" s="71"/>
      <c r="Z484" s="1"/>
    </row>
    <row r="485" spans="1:26" ht="36" customHeight="1">
      <c r="A485" s="1"/>
      <c r="B485" s="66" t="s">
        <v>6415</v>
      </c>
      <c r="C485" s="66"/>
      <c r="D485" s="66"/>
      <c r="E485" s="66"/>
      <c r="F485" s="96"/>
      <c r="G485" s="96"/>
      <c r="H485" s="96"/>
      <c r="I485" s="99"/>
      <c r="J485" s="99"/>
      <c r="K485" s="108"/>
      <c r="L485" s="71"/>
      <c r="M485" s="68"/>
      <c r="N485" s="68"/>
      <c r="O485" s="96"/>
      <c r="P485" s="96"/>
      <c r="Q485" s="96"/>
      <c r="R485" s="96"/>
      <c r="S485" s="69"/>
      <c r="T485" s="68"/>
      <c r="U485" s="67"/>
      <c r="V485" s="67"/>
      <c r="W485" s="71"/>
      <c r="X485" s="71"/>
      <c r="Y485" s="71"/>
      <c r="Z485" s="1"/>
    </row>
    <row r="486" spans="1:26" ht="36" customHeight="1">
      <c r="A486" s="1"/>
      <c r="B486" s="66" t="s">
        <v>6416</v>
      </c>
      <c r="C486" s="66"/>
      <c r="D486" s="66"/>
      <c r="E486" s="66"/>
      <c r="F486" s="96"/>
      <c r="G486" s="96"/>
      <c r="H486" s="96"/>
      <c r="I486" s="99"/>
      <c r="J486" s="99"/>
      <c r="K486" s="108"/>
      <c r="L486" s="71"/>
      <c r="M486" s="68"/>
      <c r="N486" s="68"/>
      <c r="O486" s="96"/>
      <c r="P486" s="96"/>
      <c r="Q486" s="96"/>
      <c r="R486" s="96"/>
      <c r="S486" s="69"/>
      <c r="T486" s="68"/>
      <c r="U486" s="67"/>
      <c r="V486" s="67"/>
      <c r="W486" s="67"/>
      <c r="X486" s="67"/>
      <c r="Y486" s="71"/>
      <c r="Z486" s="1"/>
    </row>
    <row r="487" spans="1:26" ht="36" customHeight="1">
      <c r="A487" s="1"/>
      <c r="B487" s="66" t="s">
        <v>6417</v>
      </c>
      <c r="C487" s="66"/>
      <c r="D487" s="66"/>
      <c r="E487" s="66"/>
      <c r="F487" s="96"/>
      <c r="G487" s="96"/>
      <c r="H487" s="96"/>
      <c r="I487" s="99"/>
      <c r="J487" s="99"/>
      <c r="K487" s="98"/>
      <c r="L487" s="68"/>
      <c r="M487" s="68"/>
      <c r="N487" s="68"/>
      <c r="O487" s="69"/>
      <c r="P487" s="69"/>
      <c r="Q487" s="69"/>
      <c r="R487" s="69"/>
      <c r="S487" s="69"/>
      <c r="T487" s="68"/>
      <c r="U487" s="67"/>
      <c r="V487" s="67"/>
      <c r="W487" s="67"/>
      <c r="X487" s="67"/>
      <c r="Y487" s="71"/>
      <c r="Z487" s="1"/>
    </row>
    <row r="488" spans="1:26" ht="36" customHeight="1">
      <c r="A488" s="1"/>
      <c r="B488" s="66" t="s">
        <v>6418</v>
      </c>
      <c r="C488" s="66"/>
      <c r="D488" s="66"/>
      <c r="E488" s="66"/>
      <c r="F488" s="96"/>
      <c r="G488" s="96"/>
      <c r="H488" s="96"/>
      <c r="I488" s="99"/>
      <c r="J488" s="99"/>
      <c r="K488" s="103"/>
      <c r="L488" s="68"/>
      <c r="M488" s="68"/>
      <c r="N488" s="68"/>
      <c r="O488" s="69"/>
      <c r="P488" s="69"/>
      <c r="Q488" s="69"/>
      <c r="R488" s="69"/>
      <c r="S488" s="69"/>
      <c r="T488" s="68"/>
      <c r="U488" s="67"/>
      <c r="V488" s="67"/>
      <c r="W488" s="67"/>
      <c r="X488" s="67"/>
      <c r="Y488" s="71"/>
      <c r="Z488" s="1"/>
    </row>
    <row r="489" spans="1:26" ht="36" customHeight="1">
      <c r="A489" s="1"/>
      <c r="B489" s="66" t="s">
        <v>6419</v>
      </c>
      <c r="C489" s="66"/>
      <c r="D489" s="66"/>
      <c r="E489" s="66"/>
      <c r="F489" s="96"/>
      <c r="G489" s="96"/>
      <c r="H489" s="96"/>
      <c r="I489" s="96"/>
      <c r="J489" s="96"/>
      <c r="K489" s="103"/>
      <c r="L489" s="66"/>
      <c r="M489" s="68"/>
      <c r="N489" s="68"/>
      <c r="O489" s="69"/>
      <c r="P489" s="69"/>
      <c r="Q489" s="69"/>
      <c r="R489" s="96"/>
      <c r="S489" s="100"/>
      <c r="T489" s="68"/>
      <c r="U489" s="67"/>
      <c r="V489" s="67"/>
      <c r="W489" s="67"/>
      <c r="X489" s="67"/>
      <c r="Y489" s="71"/>
      <c r="Z489" s="1"/>
    </row>
    <row r="490" spans="1:26" ht="36" customHeight="1">
      <c r="A490" s="1"/>
      <c r="B490" s="2"/>
      <c r="C490" s="2"/>
      <c r="D490" s="2"/>
      <c r="E490" s="2"/>
      <c r="F490" s="87"/>
      <c r="G490" s="87"/>
      <c r="H490" s="87"/>
      <c r="I490" s="87"/>
      <c r="J490" s="87"/>
      <c r="K490" s="94"/>
      <c r="L490" s="2"/>
      <c r="M490" s="1"/>
      <c r="N490" s="1"/>
      <c r="O490" s="87"/>
      <c r="P490" s="4"/>
      <c r="Q490" s="4"/>
      <c r="R490" s="4"/>
      <c r="S490" s="4"/>
      <c r="T490" s="1"/>
      <c r="U490" s="3"/>
      <c r="V490" s="3"/>
      <c r="W490" s="7"/>
      <c r="X490" s="7"/>
      <c r="Y490" s="7"/>
      <c r="Z490" s="1"/>
    </row>
    <row r="491" spans="1:26" ht="36" customHeight="1">
      <c r="A491" s="1"/>
      <c r="B491" s="1"/>
      <c r="C491" s="2"/>
      <c r="D491" s="2"/>
      <c r="E491" s="2"/>
      <c r="F491" s="87"/>
      <c r="G491" s="87"/>
      <c r="H491" s="87"/>
      <c r="I491" s="87"/>
      <c r="J491" s="87"/>
      <c r="K491" s="1"/>
      <c r="L491" s="1"/>
      <c r="M491" s="1"/>
      <c r="N491" s="1"/>
      <c r="O491" s="87"/>
      <c r="P491" s="87"/>
      <c r="Q491" s="87"/>
      <c r="R491" s="87"/>
      <c r="S491" s="4"/>
      <c r="T491" s="1"/>
      <c r="U491" s="5"/>
      <c r="V491" s="3"/>
      <c r="W491" s="3"/>
      <c r="X491" s="3"/>
      <c r="Y491" s="7"/>
      <c r="Z491" s="1"/>
    </row>
    <row r="492" spans="1:26" ht="36" customHeight="1">
      <c r="A492" s="1"/>
      <c r="B492" s="1"/>
      <c r="C492" s="2"/>
      <c r="D492" s="2"/>
      <c r="E492" s="2"/>
      <c r="F492" s="87"/>
      <c r="G492" s="87"/>
      <c r="H492" s="87"/>
      <c r="I492" s="87"/>
      <c r="J492" s="87"/>
      <c r="K492" s="1"/>
      <c r="L492" s="1"/>
      <c r="M492" s="1"/>
      <c r="N492" s="1"/>
      <c r="O492" s="87"/>
      <c r="P492" s="87"/>
      <c r="Q492" s="87"/>
      <c r="R492" s="87"/>
      <c r="S492" s="4"/>
      <c r="T492" s="1"/>
      <c r="U492" s="5"/>
      <c r="V492" s="3"/>
      <c r="W492" s="3"/>
      <c r="X492" s="3"/>
      <c r="Y492" s="7"/>
      <c r="Z492" s="1"/>
    </row>
    <row r="493" spans="1:26" ht="27" customHeight="1">
      <c r="A493" s="1"/>
      <c r="B493" s="1"/>
      <c r="C493" s="2"/>
      <c r="D493" s="2"/>
      <c r="E493" s="2"/>
      <c r="F493" s="87"/>
      <c r="G493" s="87"/>
      <c r="H493" s="87"/>
      <c r="I493" s="87"/>
      <c r="J493" s="87"/>
      <c r="K493" s="1"/>
      <c r="L493" s="1"/>
      <c r="M493" s="1"/>
      <c r="N493" s="1"/>
      <c r="O493" s="87"/>
      <c r="P493" s="87"/>
      <c r="Q493" s="87"/>
      <c r="R493" s="87"/>
      <c r="S493" s="4"/>
      <c r="T493" s="1"/>
      <c r="U493" s="5"/>
      <c r="V493" s="3"/>
      <c r="W493" s="3"/>
      <c r="X493" s="3"/>
      <c r="Y493" s="7"/>
      <c r="Z493" s="1"/>
    </row>
    <row r="494" spans="1:26" ht="27" customHeight="1">
      <c r="A494" s="1"/>
      <c r="B494" s="1"/>
      <c r="C494" s="2"/>
      <c r="D494" s="2"/>
      <c r="E494" s="2"/>
      <c r="F494" s="87"/>
      <c r="G494" s="87"/>
      <c r="H494" s="87"/>
      <c r="I494" s="87"/>
      <c r="J494" s="87"/>
      <c r="K494" s="1"/>
      <c r="L494" s="1"/>
      <c r="M494" s="1"/>
      <c r="N494" s="1"/>
      <c r="O494" s="87"/>
      <c r="P494" s="87"/>
      <c r="Q494" s="87"/>
      <c r="R494" s="87"/>
      <c r="S494" s="4"/>
      <c r="T494" s="1"/>
      <c r="U494" s="5"/>
      <c r="V494" s="3"/>
      <c r="W494" s="3"/>
      <c r="X494" s="3"/>
      <c r="Y494" s="7"/>
      <c r="Z494" s="1"/>
    </row>
    <row r="495" spans="1:26" ht="27" customHeight="1">
      <c r="A495" s="1"/>
      <c r="B495" s="1"/>
      <c r="C495" s="2"/>
      <c r="D495" s="2"/>
      <c r="E495" s="2"/>
      <c r="F495" s="87"/>
      <c r="G495" s="87"/>
      <c r="H495" s="87"/>
      <c r="I495" s="87"/>
      <c r="J495" s="87"/>
      <c r="K495" s="1"/>
      <c r="L495" s="1"/>
      <c r="M495" s="1"/>
      <c r="N495" s="1"/>
      <c r="O495" s="87"/>
      <c r="P495" s="87"/>
      <c r="Q495" s="87"/>
      <c r="R495" s="87"/>
      <c r="S495" s="4"/>
      <c r="T495" s="1"/>
      <c r="U495" s="5"/>
      <c r="V495" s="3"/>
      <c r="W495" s="3"/>
      <c r="X495" s="3"/>
      <c r="Y495" s="7"/>
      <c r="Z495" s="1"/>
    </row>
    <row r="496" spans="1:26" ht="27" customHeight="1">
      <c r="A496" s="1"/>
      <c r="B496" s="1"/>
      <c r="C496" s="2"/>
      <c r="D496" s="2"/>
      <c r="E496" s="2"/>
      <c r="F496" s="87"/>
      <c r="G496" s="87"/>
      <c r="H496" s="87"/>
      <c r="I496" s="87"/>
      <c r="J496" s="87"/>
      <c r="K496" s="1"/>
      <c r="L496" s="1"/>
      <c r="M496" s="1"/>
      <c r="N496" s="1"/>
      <c r="O496" s="87"/>
      <c r="P496" s="87"/>
      <c r="Q496" s="87"/>
      <c r="R496" s="87"/>
      <c r="S496" s="4"/>
      <c r="T496" s="1"/>
      <c r="U496" s="5"/>
      <c r="V496" s="3"/>
      <c r="W496" s="3"/>
      <c r="X496" s="3"/>
      <c r="Y496" s="7"/>
      <c r="Z496" s="1"/>
    </row>
    <row r="497" spans="1:26" ht="27" customHeight="1">
      <c r="A497" s="1"/>
      <c r="B497" s="1"/>
      <c r="C497" s="2"/>
      <c r="D497" s="2"/>
      <c r="E497" s="2"/>
      <c r="F497" s="87"/>
      <c r="G497" s="87"/>
      <c r="H497" s="87"/>
      <c r="I497" s="87"/>
      <c r="J497" s="87"/>
      <c r="K497" s="1"/>
      <c r="L497" s="1"/>
      <c r="M497" s="1"/>
      <c r="N497" s="1"/>
      <c r="O497" s="87"/>
      <c r="P497" s="87"/>
      <c r="Q497" s="87"/>
      <c r="R497" s="87"/>
      <c r="S497" s="4"/>
      <c r="T497" s="1"/>
      <c r="U497" s="5"/>
      <c r="V497" s="3"/>
      <c r="W497" s="3"/>
      <c r="X497" s="3"/>
      <c r="Y497" s="7"/>
      <c r="Z497" s="1"/>
    </row>
    <row r="498" spans="1:26" ht="27" customHeight="1">
      <c r="A498" s="1"/>
      <c r="B498" s="1"/>
      <c r="C498" s="2"/>
      <c r="D498" s="2"/>
      <c r="E498" s="2"/>
      <c r="F498" s="87"/>
      <c r="G498" s="87"/>
      <c r="H498" s="87"/>
      <c r="I498" s="87"/>
      <c r="J498" s="87"/>
      <c r="K498" s="1"/>
      <c r="L498" s="1"/>
      <c r="M498" s="1"/>
      <c r="N498" s="1"/>
      <c r="O498" s="87"/>
      <c r="P498" s="87"/>
      <c r="Q498" s="87"/>
      <c r="R498" s="87"/>
      <c r="S498" s="4"/>
      <c r="T498" s="1"/>
      <c r="U498" s="5"/>
      <c r="V498" s="3"/>
      <c r="W498" s="3"/>
      <c r="X498" s="3"/>
      <c r="Y498" s="7"/>
      <c r="Z498" s="1"/>
    </row>
    <row r="499" spans="1:26" ht="27" customHeight="1">
      <c r="A499" s="1"/>
      <c r="B499" s="1"/>
      <c r="C499" s="2"/>
      <c r="D499" s="2"/>
      <c r="E499" s="2"/>
      <c r="F499" s="87"/>
      <c r="G499" s="87"/>
      <c r="H499" s="87"/>
      <c r="I499" s="87"/>
      <c r="J499" s="87"/>
      <c r="K499" s="1"/>
      <c r="L499" s="1"/>
      <c r="M499" s="1"/>
      <c r="N499" s="1"/>
      <c r="O499" s="87"/>
      <c r="P499" s="87"/>
      <c r="Q499" s="87"/>
      <c r="R499" s="87"/>
      <c r="S499" s="4"/>
      <c r="T499" s="1"/>
      <c r="U499" s="5"/>
      <c r="V499" s="3"/>
      <c r="W499" s="3"/>
      <c r="X499" s="3"/>
      <c r="Y499" s="7"/>
      <c r="Z499" s="1"/>
    </row>
    <row r="500" spans="1:26" ht="27" customHeight="1">
      <c r="A500" s="1"/>
      <c r="B500" s="1"/>
      <c r="C500" s="2"/>
      <c r="D500" s="2"/>
      <c r="E500" s="2"/>
      <c r="F500" s="87"/>
      <c r="G500" s="87"/>
      <c r="H500" s="87"/>
      <c r="I500" s="87"/>
      <c r="J500" s="87"/>
      <c r="K500" s="1"/>
      <c r="L500" s="1"/>
      <c r="M500" s="1"/>
      <c r="N500" s="1"/>
      <c r="O500" s="87"/>
      <c r="P500" s="87"/>
      <c r="Q500" s="87"/>
      <c r="R500" s="87"/>
      <c r="S500" s="4"/>
      <c r="T500" s="1"/>
      <c r="U500" s="5"/>
      <c r="V500" s="3"/>
      <c r="W500" s="3"/>
      <c r="X500" s="3"/>
      <c r="Y500" s="7"/>
      <c r="Z500" s="1"/>
    </row>
    <row r="501" spans="1:26" ht="27" customHeight="1">
      <c r="A501" s="1"/>
      <c r="B501" s="1"/>
      <c r="C501" s="2"/>
      <c r="D501" s="2"/>
      <c r="E501" s="2"/>
      <c r="F501" s="87"/>
      <c r="G501" s="87"/>
      <c r="H501" s="87"/>
      <c r="I501" s="87"/>
      <c r="J501" s="87"/>
      <c r="K501" s="1"/>
      <c r="L501" s="1"/>
      <c r="M501" s="1"/>
      <c r="N501" s="1"/>
      <c r="O501" s="87"/>
      <c r="P501" s="87"/>
      <c r="Q501" s="87"/>
      <c r="R501" s="87"/>
      <c r="S501" s="4"/>
      <c r="T501" s="1"/>
      <c r="U501" s="5"/>
      <c r="V501" s="3"/>
      <c r="W501" s="3"/>
      <c r="X501" s="3"/>
      <c r="Y501" s="7"/>
      <c r="Z501" s="1"/>
    </row>
    <row r="502" spans="1:26" ht="27" customHeight="1">
      <c r="A502" s="1"/>
      <c r="B502" s="1"/>
      <c r="C502" s="2"/>
      <c r="D502" s="2"/>
      <c r="E502" s="2"/>
      <c r="F502" s="87"/>
      <c r="G502" s="87"/>
      <c r="H502" s="87"/>
      <c r="I502" s="87"/>
      <c r="J502" s="87"/>
      <c r="K502" s="1"/>
      <c r="L502" s="1"/>
      <c r="M502" s="1"/>
      <c r="N502" s="1"/>
      <c r="O502" s="87"/>
      <c r="P502" s="87"/>
      <c r="Q502" s="87"/>
      <c r="R502" s="87"/>
      <c r="S502" s="4"/>
      <c r="T502" s="1"/>
      <c r="U502" s="5"/>
      <c r="V502" s="3"/>
      <c r="W502" s="3"/>
      <c r="X502" s="3"/>
      <c r="Y502" s="7"/>
      <c r="Z502" s="1"/>
    </row>
    <row r="503" spans="1:26" ht="27" customHeight="1">
      <c r="A503" s="1"/>
      <c r="B503" s="1"/>
      <c r="C503" s="2"/>
      <c r="D503" s="2"/>
      <c r="E503" s="2"/>
      <c r="F503" s="87"/>
      <c r="G503" s="87"/>
      <c r="H503" s="87"/>
      <c r="I503" s="87"/>
      <c r="J503" s="87"/>
      <c r="K503" s="1"/>
      <c r="L503" s="1"/>
      <c r="M503" s="1"/>
      <c r="N503" s="1"/>
      <c r="O503" s="87"/>
      <c r="P503" s="87"/>
      <c r="Q503" s="87"/>
      <c r="R503" s="87"/>
      <c r="S503" s="4"/>
      <c r="T503" s="1"/>
      <c r="U503" s="5"/>
      <c r="V503" s="3"/>
      <c r="W503" s="3"/>
      <c r="X503" s="3"/>
      <c r="Y503" s="7"/>
      <c r="Z503" s="1"/>
    </row>
    <row r="504" spans="1:26" ht="27" customHeight="1">
      <c r="A504" s="1"/>
      <c r="B504" s="1"/>
      <c r="C504" s="2"/>
      <c r="D504" s="2"/>
      <c r="E504" s="2"/>
      <c r="F504" s="87"/>
      <c r="G504" s="87"/>
      <c r="H504" s="87"/>
      <c r="I504" s="87"/>
      <c r="J504" s="87"/>
      <c r="K504" s="1"/>
      <c r="L504" s="1"/>
      <c r="M504" s="1"/>
      <c r="N504" s="1"/>
      <c r="O504" s="87"/>
      <c r="P504" s="87"/>
      <c r="Q504" s="87"/>
      <c r="R504" s="87"/>
      <c r="S504" s="4"/>
      <c r="T504" s="1"/>
      <c r="U504" s="5"/>
      <c r="V504" s="3"/>
      <c r="W504" s="3"/>
      <c r="X504" s="3"/>
      <c r="Y504" s="7"/>
      <c r="Z504" s="1"/>
    </row>
    <row r="505" spans="1:26" ht="27" customHeight="1">
      <c r="A505" s="1"/>
      <c r="B505" s="1"/>
      <c r="C505" s="2"/>
      <c r="D505" s="2"/>
      <c r="E505" s="2"/>
      <c r="F505" s="87"/>
      <c r="G505" s="87"/>
      <c r="H505" s="87"/>
      <c r="I505" s="87"/>
      <c r="J505" s="87"/>
      <c r="K505" s="1"/>
      <c r="L505" s="1"/>
      <c r="M505" s="1"/>
      <c r="N505" s="1"/>
      <c r="O505" s="87"/>
      <c r="P505" s="87"/>
      <c r="Q505" s="87"/>
      <c r="R505" s="87"/>
      <c r="S505" s="4"/>
      <c r="T505" s="1"/>
      <c r="U505" s="5"/>
      <c r="V505" s="3"/>
      <c r="W505" s="3"/>
      <c r="X505" s="3"/>
      <c r="Y505" s="7"/>
      <c r="Z505" s="1"/>
    </row>
    <row r="506" spans="1:26" ht="27" customHeight="1">
      <c r="A506" s="1"/>
      <c r="B506" s="1"/>
      <c r="C506" s="2"/>
      <c r="D506" s="2"/>
      <c r="E506" s="2"/>
      <c r="F506" s="87"/>
      <c r="G506" s="87"/>
      <c r="H506" s="87"/>
      <c r="I506" s="87"/>
      <c r="J506" s="87"/>
      <c r="K506" s="1"/>
      <c r="L506" s="1"/>
      <c r="M506" s="1"/>
      <c r="N506" s="1"/>
      <c r="O506" s="87"/>
      <c r="P506" s="87"/>
      <c r="Q506" s="87"/>
      <c r="R506" s="87"/>
      <c r="S506" s="4"/>
      <c r="T506" s="1"/>
      <c r="U506" s="5"/>
      <c r="V506" s="3"/>
      <c r="W506" s="3"/>
      <c r="X506" s="3"/>
      <c r="Y506" s="7"/>
      <c r="Z506" s="1"/>
    </row>
    <row r="507" spans="1:26" ht="27" customHeight="1">
      <c r="A507" s="1"/>
      <c r="B507" s="1"/>
      <c r="C507" s="2"/>
      <c r="D507" s="2"/>
      <c r="E507" s="2"/>
      <c r="F507" s="87"/>
      <c r="G507" s="87"/>
      <c r="H507" s="87"/>
      <c r="I507" s="87"/>
      <c r="J507" s="87"/>
      <c r="K507" s="1"/>
      <c r="L507" s="1"/>
      <c r="M507" s="1"/>
      <c r="N507" s="1"/>
      <c r="O507" s="87"/>
      <c r="P507" s="87"/>
      <c r="Q507" s="87"/>
      <c r="R507" s="87"/>
      <c r="S507" s="4"/>
      <c r="T507" s="1"/>
      <c r="U507" s="5"/>
      <c r="V507" s="3"/>
      <c r="W507" s="3"/>
      <c r="X507" s="3"/>
      <c r="Y507" s="7"/>
      <c r="Z507" s="1"/>
    </row>
    <row r="508" spans="1:26" ht="27" customHeight="1">
      <c r="A508" s="1"/>
      <c r="B508" s="1"/>
      <c r="C508" s="2"/>
      <c r="D508" s="2"/>
      <c r="E508" s="2"/>
      <c r="F508" s="87"/>
      <c r="G508" s="87"/>
      <c r="H508" s="87"/>
      <c r="I508" s="87"/>
      <c r="J508" s="87"/>
      <c r="K508" s="1"/>
      <c r="L508" s="1"/>
      <c r="M508" s="1"/>
      <c r="N508" s="1"/>
      <c r="O508" s="87"/>
      <c r="P508" s="87"/>
      <c r="Q508" s="87"/>
      <c r="R508" s="87"/>
      <c r="S508" s="4"/>
      <c r="T508" s="1"/>
      <c r="U508" s="5"/>
      <c r="V508" s="3"/>
      <c r="W508" s="3"/>
      <c r="X508" s="3"/>
      <c r="Y508" s="7"/>
      <c r="Z508" s="1"/>
    </row>
    <row r="509" spans="1:26" ht="27" customHeight="1">
      <c r="A509" s="1"/>
      <c r="B509" s="1"/>
      <c r="C509" s="2"/>
      <c r="D509" s="2"/>
      <c r="E509" s="2"/>
      <c r="F509" s="87"/>
      <c r="G509" s="87"/>
      <c r="H509" s="87"/>
      <c r="I509" s="87"/>
      <c r="J509" s="87"/>
      <c r="K509" s="1"/>
      <c r="L509" s="1"/>
      <c r="M509" s="1"/>
      <c r="N509" s="1"/>
      <c r="O509" s="87"/>
      <c r="P509" s="87"/>
      <c r="Q509" s="87"/>
      <c r="R509" s="87"/>
      <c r="S509" s="4"/>
      <c r="T509" s="1"/>
      <c r="U509" s="5"/>
      <c r="V509" s="3"/>
      <c r="W509" s="3"/>
      <c r="X509" s="3"/>
      <c r="Y509" s="7"/>
      <c r="Z509" s="1"/>
    </row>
    <row r="510" spans="1:26" ht="27" customHeight="1">
      <c r="A510" s="1"/>
      <c r="B510" s="1"/>
      <c r="C510" s="2"/>
      <c r="D510" s="2"/>
      <c r="E510" s="2"/>
      <c r="F510" s="87"/>
      <c r="G510" s="87"/>
      <c r="H510" s="87"/>
      <c r="I510" s="87"/>
      <c r="J510" s="87"/>
      <c r="K510" s="1"/>
      <c r="L510" s="1"/>
      <c r="M510" s="1"/>
      <c r="N510" s="1"/>
      <c r="O510" s="87"/>
      <c r="P510" s="87"/>
      <c r="Q510" s="87"/>
      <c r="R510" s="87"/>
      <c r="S510" s="4"/>
      <c r="T510" s="1"/>
      <c r="U510" s="5"/>
      <c r="V510" s="3"/>
      <c r="W510" s="3"/>
      <c r="X510" s="3"/>
      <c r="Y510" s="7"/>
      <c r="Z510" s="1"/>
    </row>
    <row r="511" spans="1:26" ht="27" customHeight="1">
      <c r="A511" s="1"/>
      <c r="B511" s="1"/>
      <c r="C511" s="2"/>
      <c r="D511" s="2"/>
      <c r="E511" s="2"/>
      <c r="F511" s="87"/>
      <c r="G511" s="87"/>
      <c r="H511" s="87"/>
      <c r="I511" s="87"/>
      <c r="J511" s="87"/>
      <c r="K511" s="1"/>
      <c r="L511" s="1"/>
      <c r="M511" s="1"/>
      <c r="N511" s="1"/>
      <c r="O511" s="87"/>
      <c r="P511" s="87"/>
      <c r="Q511" s="87"/>
      <c r="R511" s="87"/>
      <c r="S511" s="4"/>
      <c r="T511" s="1"/>
      <c r="U511" s="5"/>
      <c r="V511" s="3"/>
      <c r="W511" s="3"/>
      <c r="X511" s="3"/>
      <c r="Y511" s="7"/>
      <c r="Z511" s="1"/>
    </row>
    <row r="512" spans="1:26" ht="27" customHeight="1">
      <c r="A512" s="1"/>
      <c r="B512" s="1"/>
      <c r="C512" s="2"/>
      <c r="D512" s="2"/>
      <c r="E512" s="2"/>
      <c r="F512" s="87"/>
      <c r="G512" s="87"/>
      <c r="H512" s="87"/>
      <c r="I512" s="87"/>
      <c r="J512" s="87"/>
      <c r="K512" s="1"/>
      <c r="L512" s="1"/>
      <c r="M512" s="1"/>
      <c r="N512" s="1"/>
      <c r="O512" s="87"/>
      <c r="P512" s="87"/>
      <c r="Q512" s="87"/>
      <c r="R512" s="87"/>
      <c r="S512" s="4"/>
      <c r="T512" s="1"/>
      <c r="U512" s="5"/>
      <c r="V512" s="3"/>
      <c r="W512" s="3"/>
      <c r="X512" s="3"/>
      <c r="Y512" s="7"/>
      <c r="Z512" s="1"/>
    </row>
    <row r="513" spans="1:26" ht="27" customHeight="1">
      <c r="A513" s="1"/>
      <c r="B513" s="1"/>
      <c r="C513" s="2"/>
      <c r="D513" s="2"/>
      <c r="E513" s="2"/>
      <c r="F513" s="87"/>
      <c r="G513" s="87"/>
      <c r="H513" s="87"/>
      <c r="I513" s="87"/>
      <c r="J513" s="87"/>
      <c r="K513" s="1"/>
      <c r="L513" s="1"/>
      <c r="M513" s="1"/>
      <c r="N513" s="1"/>
      <c r="O513" s="87"/>
      <c r="P513" s="87"/>
      <c r="Q513" s="87"/>
      <c r="R513" s="87"/>
      <c r="S513" s="4"/>
      <c r="T513" s="1"/>
      <c r="U513" s="5"/>
      <c r="V513" s="3"/>
      <c r="W513" s="3"/>
      <c r="X513" s="3"/>
      <c r="Y513" s="7"/>
      <c r="Z513" s="1"/>
    </row>
    <row r="514" spans="1:26" ht="27" customHeight="1">
      <c r="A514" s="1"/>
      <c r="B514" s="1"/>
      <c r="C514" s="2"/>
      <c r="D514" s="2"/>
      <c r="E514" s="2"/>
      <c r="F514" s="87"/>
      <c r="G514" s="87"/>
      <c r="H514" s="87"/>
      <c r="I514" s="87"/>
      <c r="J514" s="87"/>
      <c r="K514" s="1"/>
      <c r="L514" s="1"/>
      <c r="M514" s="1"/>
      <c r="N514" s="1"/>
      <c r="O514" s="87"/>
      <c r="P514" s="87"/>
      <c r="Q514" s="87"/>
      <c r="R514" s="87"/>
      <c r="S514" s="4"/>
      <c r="T514" s="1"/>
      <c r="U514" s="5"/>
      <c r="V514" s="3"/>
      <c r="W514" s="3"/>
      <c r="X514" s="3"/>
      <c r="Y514" s="7"/>
      <c r="Z514" s="1"/>
    </row>
    <row r="515" spans="1:26" ht="27" customHeight="1">
      <c r="A515" s="1"/>
      <c r="B515" s="1"/>
      <c r="C515" s="2"/>
      <c r="D515" s="2"/>
      <c r="E515" s="2"/>
      <c r="F515" s="87"/>
      <c r="G515" s="87"/>
      <c r="H515" s="87"/>
      <c r="I515" s="87"/>
      <c r="J515" s="87"/>
      <c r="K515" s="1"/>
      <c r="L515" s="1"/>
      <c r="M515" s="1"/>
      <c r="N515" s="1"/>
      <c r="O515" s="87"/>
      <c r="P515" s="87"/>
      <c r="Q515" s="87"/>
      <c r="R515" s="87"/>
      <c r="S515" s="4"/>
      <c r="T515" s="1"/>
      <c r="U515" s="5"/>
      <c r="V515" s="3"/>
      <c r="W515" s="3"/>
      <c r="X515" s="3"/>
      <c r="Y515" s="7"/>
      <c r="Z515" s="1"/>
    </row>
    <row r="516" spans="1:26" ht="27" customHeight="1">
      <c r="A516" s="1"/>
      <c r="B516" s="1"/>
      <c r="C516" s="2"/>
      <c r="D516" s="2"/>
      <c r="E516" s="2"/>
      <c r="F516" s="87"/>
      <c r="G516" s="87"/>
      <c r="H516" s="87"/>
      <c r="I516" s="87"/>
      <c r="J516" s="87"/>
      <c r="K516" s="1"/>
      <c r="L516" s="1"/>
      <c r="M516" s="1"/>
      <c r="N516" s="1"/>
      <c r="O516" s="87"/>
      <c r="P516" s="87"/>
      <c r="Q516" s="87"/>
      <c r="R516" s="87"/>
      <c r="S516" s="4"/>
      <c r="T516" s="1"/>
      <c r="U516" s="5"/>
      <c r="V516" s="3"/>
      <c r="W516" s="3"/>
      <c r="X516" s="3"/>
      <c r="Y516" s="7"/>
      <c r="Z516" s="1"/>
    </row>
    <row r="517" spans="1:26" ht="27" customHeight="1">
      <c r="A517" s="1"/>
      <c r="B517" s="1"/>
      <c r="C517" s="2"/>
      <c r="D517" s="2"/>
      <c r="E517" s="2"/>
      <c r="F517" s="87"/>
      <c r="G517" s="87"/>
      <c r="H517" s="87"/>
      <c r="I517" s="87"/>
      <c r="J517" s="87"/>
      <c r="K517" s="1"/>
      <c r="L517" s="1"/>
      <c r="M517" s="1"/>
      <c r="N517" s="1"/>
      <c r="O517" s="87"/>
      <c r="P517" s="87"/>
      <c r="Q517" s="87"/>
      <c r="R517" s="87"/>
      <c r="S517" s="4"/>
      <c r="T517" s="1"/>
      <c r="U517" s="5"/>
      <c r="V517" s="3"/>
      <c r="W517" s="3"/>
      <c r="X517" s="3"/>
      <c r="Y517" s="7"/>
      <c r="Z517" s="1"/>
    </row>
    <row r="518" spans="1:26" ht="27" customHeight="1">
      <c r="A518" s="1"/>
      <c r="B518" s="1"/>
      <c r="C518" s="2"/>
      <c r="D518" s="2"/>
      <c r="E518" s="2"/>
      <c r="F518" s="87"/>
      <c r="G518" s="87"/>
      <c r="H518" s="87"/>
      <c r="I518" s="87"/>
      <c r="J518" s="87"/>
      <c r="K518" s="1"/>
      <c r="L518" s="1"/>
      <c r="M518" s="1"/>
      <c r="N518" s="1"/>
      <c r="O518" s="87"/>
      <c r="P518" s="87"/>
      <c r="Q518" s="87"/>
      <c r="R518" s="87"/>
      <c r="S518" s="4"/>
      <c r="T518" s="1"/>
      <c r="U518" s="5"/>
      <c r="V518" s="3"/>
      <c r="W518" s="3"/>
      <c r="X518" s="3"/>
      <c r="Y518" s="7"/>
      <c r="Z518" s="1"/>
    </row>
    <row r="519" spans="1:26" ht="27" customHeight="1">
      <c r="A519" s="1"/>
      <c r="B519" s="1"/>
      <c r="C519" s="2"/>
      <c r="D519" s="2"/>
      <c r="E519" s="2"/>
      <c r="F519" s="87"/>
      <c r="G519" s="87"/>
      <c r="H519" s="87"/>
      <c r="I519" s="87"/>
      <c r="J519" s="87"/>
      <c r="K519" s="1"/>
      <c r="L519" s="1"/>
      <c r="M519" s="1"/>
      <c r="N519" s="1"/>
      <c r="O519" s="87"/>
      <c r="P519" s="87"/>
      <c r="Q519" s="87"/>
      <c r="R519" s="87"/>
      <c r="S519" s="4"/>
      <c r="T519" s="1"/>
      <c r="U519" s="5"/>
      <c r="V519" s="3"/>
      <c r="W519" s="3"/>
      <c r="X519" s="3"/>
      <c r="Y519" s="7"/>
      <c r="Z519" s="1"/>
    </row>
    <row r="520" spans="1:26" ht="27" customHeight="1">
      <c r="A520" s="1"/>
      <c r="B520" s="1"/>
      <c r="C520" s="2"/>
      <c r="D520" s="2"/>
      <c r="E520" s="2"/>
      <c r="F520" s="87"/>
      <c r="G520" s="87"/>
      <c r="H520" s="87"/>
      <c r="I520" s="87"/>
      <c r="J520" s="87"/>
      <c r="K520" s="1"/>
      <c r="L520" s="1"/>
      <c r="M520" s="1"/>
      <c r="N520" s="1"/>
      <c r="O520" s="87"/>
      <c r="P520" s="87"/>
      <c r="Q520" s="87"/>
      <c r="R520" s="87"/>
      <c r="S520" s="4"/>
      <c r="T520" s="1"/>
      <c r="U520" s="5"/>
      <c r="V520" s="3"/>
      <c r="W520" s="3"/>
      <c r="X520" s="3"/>
      <c r="Y520" s="7"/>
      <c r="Z520" s="1"/>
    </row>
    <row r="521" spans="1:26" ht="27" customHeight="1">
      <c r="A521" s="1"/>
      <c r="B521" s="1"/>
      <c r="C521" s="2"/>
      <c r="D521" s="2"/>
      <c r="E521" s="2"/>
      <c r="F521" s="87"/>
      <c r="G521" s="87"/>
      <c r="H521" s="87"/>
      <c r="I521" s="87"/>
      <c r="J521" s="87"/>
      <c r="K521" s="1"/>
      <c r="L521" s="1"/>
      <c r="M521" s="1"/>
      <c r="N521" s="1"/>
      <c r="O521" s="87"/>
      <c r="P521" s="87"/>
      <c r="Q521" s="87"/>
      <c r="R521" s="87"/>
      <c r="S521" s="4"/>
      <c r="T521" s="1"/>
      <c r="U521" s="5"/>
      <c r="V521" s="3"/>
      <c r="W521" s="3"/>
      <c r="X521" s="3"/>
      <c r="Y521" s="7"/>
      <c r="Z521" s="1"/>
    </row>
    <row r="522" spans="1:26" ht="27" customHeight="1">
      <c r="A522" s="1"/>
      <c r="B522" s="1"/>
      <c r="C522" s="2"/>
      <c r="D522" s="2"/>
      <c r="E522" s="2"/>
      <c r="F522" s="87"/>
      <c r="G522" s="87"/>
      <c r="H522" s="87"/>
      <c r="I522" s="87"/>
      <c r="J522" s="87"/>
      <c r="K522" s="1"/>
      <c r="L522" s="1"/>
      <c r="M522" s="1"/>
      <c r="N522" s="1"/>
      <c r="O522" s="87"/>
      <c r="P522" s="87"/>
      <c r="Q522" s="87"/>
      <c r="R522" s="87"/>
      <c r="S522" s="4"/>
      <c r="T522" s="1"/>
      <c r="U522" s="5"/>
      <c r="V522" s="3"/>
      <c r="W522" s="3"/>
      <c r="X522" s="3"/>
      <c r="Y522" s="7"/>
      <c r="Z522" s="1"/>
    </row>
    <row r="523" spans="1:26" ht="27" customHeight="1">
      <c r="A523" s="1"/>
      <c r="B523" s="1"/>
      <c r="C523" s="2"/>
      <c r="D523" s="2"/>
      <c r="E523" s="2"/>
      <c r="F523" s="87"/>
      <c r="G523" s="87"/>
      <c r="H523" s="87"/>
      <c r="I523" s="87"/>
      <c r="J523" s="87"/>
      <c r="K523" s="1"/>
      <c r="L523" s="1"/>
      <c r="M523" s="1"/>
      <c r="N523" s="1"/>
      <c r="O523" s="87"/>
      <c r="P523" s="87"/>
      <c r="Q523" s="87"/>
      <c r="R523" s="87"/>
      <c r="S523" s="4"/>
      <c r="T523" s="1"/>
      <c r="U523" s="5"/>
      <c r="V523" s="3"/>
      <c r="W523" s="3"/>
      <c r="X523" s="3"/>
      <c r="Y523" s="7"/>
      <c r="Z523" s="1"/>
    </row>
    <row r="524" spans="1:26" ht="27" customHeight="1">
      <c r="A524" s="1"/>
      <c r="B524" s="1"/>
      <c r="C524" s="2"/>
      <c r="D524" s="2"/>
      <c r="E524" s="2"/>
      <c r="F524" s="87"/>
      <c r="G524" s="87"/>
      <c r="H524" s="87"/>
      <c r="I524" s="87"/>
      <c r="J524" s="87"/>
      <c r="K524" s="1"/>
      <c r="L524" s="1"/>
      <c r="M524" s="1"/>
      <c r="N524" s="1"/>
      <c r="O524" s="87"/>
      <c r="P524" s="87"/>
      <c r="Q524" s="87"/>
      <c r="R524" s="87"/>
      <c r="S524" s="4"/>
      <c r="T524" s="1"/>
      <c r="U524" s="5"/>
      <c r="V524" s="3"/>
      <c r="W524" s="3"/>
      <c r="X524" s="3"/>
      <c r="Y524" s="7"/>
      <c r="Z524" s="1"/>
    </row>
    <row r="525" spans="1:26" ht="27" customHeight="1">
      <c r="A525" s="1"/>
      <c r="B525" s="1"/>
      <c r="C525" s="2"/>
      <c r="D525" s="2"/>
      <c r="E525" s="2"/>
      <c r="F525" s="87"/>
      <c r="G525" s="87"/>
      <c r="H525" s="87"/>
      <c r="I525" s="87"/>
      <c r="J525" s="87"/>
      <c r="K525" s="1"/>
      <c r="L525" s="1"/>
      <c r="M525" s="1"/>
      <c r="N525" s="1"/>
      <c r="O525" s="87"/>
      <c r="P525" s="87"/>
      <c r="Q525" s="87"/>
      <c r="R525" s="87"/>
      <c r="S525" s="4"/>
      <c r="T525" s="1"/>
      <c r="U525" s="5"/>
      <c r="V525" s="3"/>
      <c r="W525" s="3"/>
      <c r="X525" s="3"/>
      <c r="Y525" s="7"/>
      <c r="Z525" s="1"/>
    </row>
    <row r="526" spans="1:26" ht="27" customHeight="1">
      <c r="A526" s="1"/>
      <c r="B526" s="1"/>
      <c r="C526" s="2"/>
      <c r="D526" s="2"/>
      <c r="E526" s="2"/>
      <c r="F526" s="87"/>
      <c r="G526" s="87"/>
      <c r="H526" s="87"/>
      <c r="I526" s="87"/>
      <c r="J526" s="87"/>
      <c r="K526" s="1"/>
      <c r="L526" s="1"/>
      <c r="M526" s="1"/>
      <c r="N526" s="1"/>
      <c r="O526" s="87"/>
      <c r="P526" s="87"/>
      <c r="Q526" s="87"/>
      <c r="R526" s="87"/>
      <c r="S526" s="4"/>
      <c r="T526" s="1"/>
      <c r="U526" s="5"/>
      <c r="V526" s="3"/>
      <c r="W526" s="3"/>
      <c r="X526" s="3"/>
      <c r="Y526" s="7"/>
      <c r="Z526" s="1"/>
    </row>
    <row r="527" spans="1:26" ht="27" customHeight="1">
      <c r="A527" s="1"/>
      <c r="B527" s="1"/>
      <c r="C527" s="2"/>
      <c r="D527" s="2"/>
      <c r="E527" s="2"/>
      <c r="F527" s="87"/>
      <c r="G527" s="87"/>
      <c r="H527" s="87"/>
      <c r="I527" s="87"/>
      <c r="J527" s="87"/>
      <c r="K527" s="1"/>
      <c r="L527" s="1"/>
      <c r="M527" s="1"/>
      <c r="N527" s="1"/>
      <c r="O527" s="87"/>
      <c r="P527" s="87"/>
      <c r="Q527" s="87"/>
      <c r="R527" s="87"/>
      <c r="S527" s="4"/>
      <c r="T527" s="1"/>
      <c r="U527" s="5"/>
      <c r="V527" s="3"/>
      <c r="W527" s="3"/>
      <c r="X527" s="3"/>
      <c r="Y527" s="7"/>
      <c r="Z527" s="1"/>
    </row>
    <row r="528" spans="1:26" ht="27" customHeight="1">
      <c r="A528" s="1"/>
      <c r="B528" s="1"/>
      <c r="C528" s="2"/>
      <c r="D528" s="2"/>
      <c r="E528" s="2"/>
      <c r="F528" s="87"/>
      <c r="G528" s="87"/>
      <c r="H528" s="87"/>
      <c r="I528" s="87"/>
      <c r="J528" s="87"/>
      <c r="K528" s="1"/>
      <c r="L528" s="1"/>
      <c r="M528" s="1"/>
      <c r="N528" s="1"/>
      <c r="O528" s="87"/>
      <c r="P528" s="87"/>
      <c r="Q528" s="87"/>
      <c r="R528" s="87"/>
      <c r="S528" s="4"/>
      <c r="T528" s="1"/>
      <c r="U528" s="5"/>
      <c r="V528" s="3"/>
      <c r="W528" s="3"/>
      <c r="X528" s="3"/>
      <c r="Y528" s="7"/>
      <c r="Z528" s="1"/>
    </row>
    <row r="529" spans="1:26" ht="27" customHeight="1">
      <c r="A529" s="1"/>
      <c r="B529" s="1"/>
      <c r="C529" s="2"/>
      <c r="D529" s="2"/>
      <c r="E529" s="2"/>
      <c r="F529" s="87"/>
      <c r="G529" s="87"/>
      <c r="H529" s="87"/>
      <c r="I529" s="87"/>
      <c r="J529" s="87"/>
      <c r="K529" s="1"/>
      <c r="L529" s="1"/>
      <c r="M529" s="1"/>
      <c r="N529" s="1"/>
      <c r="O529" s="87"/>
      <c r="P529" s="87"/>
      <c r="Q529" s="87"/>
      <c r="R529" s="87"/>
      <c r="S529" s="4"/>
      <c r="T529" s="1"/>
      <c r="U529" s="5"/>
      <c r="V529" s="3"/>
      <c r="W529" s="3"/>
      <c r="X529" s="3"/>
      <c r="Y529" s="7"/>
      <c r="Z529" s="1"/>
    </row>
    <row r="530" spans="1:26" ht="27" customHeight="1">
      <c r="A530" s="1"/>
      <c r="B530" s="1"/>
      <c r="C530" s="2"/>
      <c r="D530" s="2"/>
      <c r="E530" s="2"/>
      <c r="F530" s="87"/>
      <c r="G530" s="87"/>
      <c r="H530" s="87"/>
      <c r="I530" s="87"/>
      <c r="J530" s="87"/>
      <c r="K530" s="1"/>
      <c r="L530" s="1"/>
      <c r="M530" s="1"/>
      <c r="N530" s="1"/>
      <c r="O530" s="87"/>
      <c r="P530" s="87"/>
      <c r="Q530" s="87"/>
      <c r="R530" s="87"/>
      <c r="S530" s="4"/>
      <c r="T530" s="1"/>
      <c r="U530" s="5"/>
      <c r="V530" s="3"/>
      <c r="W530" s="3"/>
      <c r="X530" s="3"/>
      <c r="Y530" s="7"/>
      <c r="Z530" s="1"/>
    </row>
    <row r="531" spans="1:26" ht="27" customHeight="1">
      <c r="A531" s="1"/>
      <c r="B531" s="1"/>
      <c r="C531" s="2"/>
      <c r="D531" s="2"/>
      <c r="E531" s="2"/>
      <c r="F531" s="87"/>
      <c r="G531" s="87"/>
      <c r="H531" s="87"/>
      <c r="I531" s="87"/>
      <c r="J531" s="87"/>
      <c r="K531" s="1"/>
      <c r="L531" s="1"/>
      <c r="M531" s="1"/>
      <c r="N531" s="1"/>
      <c r="O531" s="87"/>
      <c r="P531" s="87"/>
      <c r="Q531" s="87"/>
      <c r="R531" s="87"/>
      <c r="S531" s="4"/>
      <c r="T531" s="1"/>
      <c r="U531" s="5"/>
      <c r="V531" s="3"/>
      <c r="W531" s="3"/>
      <c r="X531" s="3"/>
      <c r="Y531" s="7"/>
      <c r="Z531" s="1"/>
    </row>
    <row r="532" spans="1:26" ht="27" customHeight="1">
      <c r="A532" s="1"/>
      <c r="B532" s="1"/>
      <c r="C532" s="2"/>
      <c r="D532" s="2"/>
      <c r="E532" s="2"/>
      <c r="F532" s="87"/>
      <c r="G532" s="87"/>
      <c r="H532" s="87"/>
      <c r="I532" s="87"/>
      <c r="J532" s="87"/>
      <c r="K532" s="1"/>
      <c r="L532" s="1"/>
      <c r="M532" s="1"/>
      <c r="N532" s="1"/>
      <c r="O532" s="87"/>
      <c r="P532" s="87"/>
      <c r="Q532" s="87"/>
      <c r="R532" s="87"/>
      <c r="S532" s="4"/>
      <c r="T532" s="1"/>
      <c r="U532" s="5"/>
      <c r="V532" s="3"/>
      <c r="W532" s="3"/>
      <c r="X532" s="3"/>
      <c r="Y532" s="7"/>
      <c r="Z532" s="1"/>
    </row>
    <row r="533" spans="1:26" ht="27" customHeight="1">
      <c r="A533" s="1"/>
      <c r="B533" s="1"/>
      <c r="C533" s="2"/>
      <c r="D533" s="2"/>
      <c r="E533" s="2"/>
      <c r="F533" s="87"/>
      <c r="G533" s="87"/>
      <c r="H533" s="87"/>
      <c r="I533" s="87"/>
      <c r="J533" s="87"/>
      <c r="K533" s="1"/>
      <c r="L533" s="1"/>
      <c r="M533" s="1"/>
      <c r="N533" s="1"/>
      <c r="O533" s="87"/>
      <c r="P533" s="87"/>
      <c r="Q533" s="87"/>
      <c r="R533" s="87"/>
      <c r="S533" s="4"/>
      <c r="T533" s="1"/>
      <c r="U533" s="5"/>
      <c r="V533" s="3"/>
      <c r="W533" s="3"/>
      <c r="X533" s="3"/>
      <c r="Y533" s="7"/>
      <c r="Z533" s="1"/>
    </row>
    <row r="534" spans="1:26" ht="27" customHeight="1">
      <c r="A534" s="1"/>
      <c r="B534" s="1"/>
      <c r="C534" s="2"/>
      <c r="D534" s="2"/>
      <c r="E534" s="2"/>
      <c r="F534" s="87"/>
      <c r="G534" s="87"/>
      <c r="H534" s="87"/>
      <c r="I534" s="87"/>
      <c r="J534" s="87"/>
      <c r="K534" s="1"/>
      <c r="L534" s="1"/>
      <c r="M534" s="1"/>
      <c r="N534" s="1"/>
      <c r="O534" s="87"/>
      <c r="P534" s="87"/>
      <c r="Q534" s="87"/>
      <c r="R534" s="87"/>
      <c r="S534" s="4"/>
      <c r="T534" s="1"/>
      <c r="U534" s="5"/>
      <c r="V534" s="3"/>
      <c r="W534" s="3"/>
      <c r="X534" s="3"/>
      <c r="Y534" s="7"/>
      <c r="Z534" s="1"/>
    </row>
    <row r="535" spans="1:26" ht="27" customHeight="1">
      <c r="A535" s="1"/>
      <c r="B535" s="1"/>
      <c r="C535" s="2"/>
      <c r="D535" s="2"/>
      <c r="E535" s="2"/>
      <c r="F535" s="87"/>
      <c r="G535" s="87"/>
      <c r="H535" s="87"/>
      <c r="I535" s="87"/>
      <c r="J535" s="87"/>
      <c r="K535" s="1"/>
      <c r="L535" s="1"/>
      <c r="M535" s="1"/>
      <c r="N535" s="1"/>
      <c r="O535" s="87"/>
      <c r="P535" s="87"/>
      <c r="Q535" s="87"/>
      <c r="R535" s="87"/>
      <c r="S535" s="4"/>
      <c r="T535" s="1"/>
      <c r="U535" s="5"/>
      <c r="V535" s="3"/>
      <c r="W535" s="3"/>
      <c r="X535" s="3"/>
      <c r="Y535" s="7"/>
      <c r="Z535" s="1"/>
    </row>
    <row r="536" spans="1:26" ht="27" customHeight="1">
      <c r="A536" s="1"/>
      <c r="B536" s="1"/>
      <c r="C536" s="2"/>
      <c r="D536" s="2"/>
      <c r="E536" s="2"/>
      <c r="F536" s="87"/>
      <c r="G536" s="87"/>
      <c r="H536" s="87"/>
      <c r="I536" s="87"/>
      <c r="J536" s="87"/>
      <c r="K536" s="1"/>
      <c r="L536" s="1"/>
      <c r="M536" s="1"/>
      <c r="N536" s="1"/>
      <c r="O536" s="87"/>
      <c r="P536" s="87"/>
      <c r="Q536" s="87"/>
      <c r="R536" s="87"/>
      <c r="S536" s="4"/>
      <c r="T536" s="1"/>
      <c r="U536" s="5"/>
      <c r="V536" s="3"/>
      <c r="W536" s="3"/>
      <c r="X536" s="3"/>
      <c r="Y536" s="7"/>
      <c r="Z536" s="1"/>
    </row>
    <row r="537" spans="1:26" ht="27" customHeight="1">
      <c r="A537" s="1"/>
      <c r="B537" s="1"/>
      <c r="C537" s="2"/>
      <c r="D537" s="2"/>
      <c r="E537" s="2"/>
      <c r="F537" s="87"/>
      <c r="G537" s="87"/>
      <c r="H537" s="87"/>
      <c r="I537" s="87"/>
      <c r="J537" s="87"/>
      <c r="K537" s="1"/>
      <c r="L537" s="1"/>
      <c r="M537" s="1"/>
      <c r="N537" s="1"/>
      <c r="O537" s="87"/>
      <c r="P537" s="87"/>
      <c r="Q537" s="87"/>
      <c r="R537" s="87"/>
      <c r="S537" s="4"/>
      <c r="T537" s="1"/>
      <c r="U537" s="5"/>
      <c r="V537" s="3"/>
      <c r="W537" s="3"/>
      <c r="X537" s="3"/>
      <c r="Y537" s="7"/>
      <c r="Z537" s="1"/>
    </row>
    <row r="538" spans="1:26" ht="27" customHeight="1">
      <c r="A538" s="1"/>
      <c r="B538" s="1"/>
      <c r="C538" s="2"/>
      <c r="D538" s="2"/>
      <c r="E538" s="2"/>
      <c r="F538" s="87"/>
      <c r="G538" s="87"/>
      <c r="H538" s="87"/>
      <c r="I538" s="87"/>
      <c r="J538" s="87"/>
      <c r="K538" s="1"/>
      <c r="L538" s="1"/>
      <c r="M538" s="1"/>
      <c r="N538" s="1"/>
      <c r="O538" s="87"/>
      <c r="P538" s="87"/>
      <c r="Q538" s="87"/>
      <c r="R538" s="87"/>
      <c r="S538" s="4"/>
      <c r="T538" s="1"/>
      <c r="U538" s="5"/>
      <c r="V538" s="3"/>
      <c r="W538" s="3"/>
      <c r="X538" s="3"/>
      <c r="Y538" s="7"/>
      <c r="Z538" s="1"/>
    </row>
    <row r="539" spans="1:26" ht="27" customHeight="1">
      <c r="A539" s="1"/>
      <c r="B539" s="1"/>
      <c r="C539" s="2"/>
      <c r="D539" s="2"/>
      <c r="E539" s="2"/>
      <c r="F539" s="87"/>
      <c r="G539" s="87"/>
      <c r="H539" s="87"/>
      <c r="I539" s="87"/>
      <c r="J539" s="87"/>
      <c r="K539" s="1"/>
      <c r="L539" s="1"/>
      <c r="M539" s="1"/>
      <c r="N539" s="1"/>
      <c r="O539" s="87"/>
      <c r="P539" s="87"/>
      <c r="Q539" s="87"/>
      <c r="R539" s="87"/>
      <c r="S539" s="4"/>
      <c r="T539" s="1"/>
      <c r="U539" s="5"/>
      <c r="V539" s="3"/>
      <c r="W539" s="3"/>
      <c r="X539" s="3"/>
      <c r="Y539" s="7"/>
      <c r="Z539" s="1"/>
    </row>
    <row r="540" spans="1:26" ht="27" customHeight="1">
      <c r="A540" s="1"/>
      <c r="B540" s="1"/>
      <c r="C540" s="2"/>
      <c r="D540" s="2"/>
      <c r="E540" s="2"/>
      <c r="F540" s="87"/>
      <c r="G540" s="87"/>
      <c r="H540" s="87"/>
      <c r="I540" s="87"/>
      <c r="J540" s="87"/>
      <c r="K540" s="1"/>
      <c r="L540" s="1"/>
      <c r="M540" s="1"/>
      <c r="N540" s="1"/>
      <c r="O540" s="87"/>
      <c r="P540" s="87"/>
      <c r="Q540" s="87"/>
      <c r="R540" s="87"/>
      <c r="S540" s="4"/>
      <c r="T540" s="1"/>
      <c r="U540" s="5"/>
      <c r="V540" s="3"/>
      <c r="W540" s="3"/>
      <c r="X540" s="3"/>
      <c r="Y540" s="7"/>
      <c r="Z540" s="1"/>
    </row>
    <row r="541" spans="1:26" ht="27" customHeight="1">
      <c r="A541" s="1"/>
      <c r="B541" s="1"/>
      <c r="C541" s="2"/>
      <c r="D541" s="2"/>
      <c r="E541" s="2"/>
      <c r="F541" s="87"/>
      <c r="G541" s="87"/>
      <c r="H541" s="87"/>
      <c r="I541" s="87"/>
      <c r="J541" s="87"/>
      <c r="K541" s="1"/>
      <c r="L541" s="1"/>
      <c r="M541" s="1"/>
      <c r="N541" s="1"/>
      <c r="O541" s="87"/>
      <c r="P541" s="87"/>
      <c r="Q541" s="87"/>
      <c r="R541" s="87"/>
      <c r="S541" s="4"/>
      <c r="T541" s="1"/>
      <c r="U541" s="5"/>
      <c r="V541" s="3"/>
      <c r="W541" s="3"/>
      <c r="X541" s="3"/>
      <c r="Y541" s="7"/>
      <c r="Z541" s="1"/>
    </row>
    <row r="542" spans="1:26" ht="27" customHeight="1">
      <c r="A542" s="1"/>
      <c r="B542" s="1"/>
      <c r="C542" s="2"/>
      <c r="D542" s="2"/>
      <c r="E542" s="2"/>
      <c r="F542" s="87"/>
      <c r="G542" s="87"/>
      <c r="H542" s="87"/>
      <c r="I542" s="87"/>
      <c r="J542" s="87"/>
      <c r="K542" s="1"/>
      <c r="L542" s="1"/>
      <c r="M542" s="1"/>
      <c r="N542" s="1"/>
      <c r="O542" s="87"/>
      <c r="P542" s="87"/>
      <c r="Q542" s="87"/>
      <c r="R542" s="87"/>
      <c r="S542" s="4"/>
      <c r="T542" s="1"/>
      <c r="U542" s="5"/>
      <c r="V542" s="3"/>
      <c r="W542" s="3"/>
      <c r="X542" s="3"/>
      <c r="Y542" s="7"/>
      <c r="Z542" s="1"/>
    </row>
    <row r="543" spans="1:26" ht="27" customHeight="1">
      <c r="A543" s="1"/>
      <c r="B543" s="1"/>
      <c r="C543" s="2"/>
      <c r="D543" s="2"/>
      <c r="E543" s="2"/>
      <c r="F543" s="87"/>
      <c r="G543" s="87"/>
      <c r="H543" s="87"/>
      <c r="I543" s="87"/>
      <c r="J543" s="87"/>
      <c r="K543" s="1"/>
      <c r="L543" s="1"/>
      <c r="M543" s="1"/>
      <c r="N543" s="1"/>
      <c r="O543" s="87"/>
      <c r="P543" s="87"/>
      <c r="Q543" s="87"/>
      <c r="R543" s="87"/>
      <c r="S543" s="4"/>
      <c r="T543" s="1"/>
      <c r="U543" s="5"/>
      <c r="V543" s="3"/>
      <c r="W543" s="3"/>
      <c r="X543" s="3"/>
      <c r="Y543" s="7"/>
      <c r="Z543" s="1"/>
    </row>
    <row r="544" spans="1:26" ht="27" customHeight="1">
      <c r="A544" s="1"/>
      <c r="B544" s="1"/>
      <c r="C544" s="2"/>
      <c r="D544" s="2"/>
      <c r="E544" s="2"/>
      <c r="F544" s="87"/>
      <c r="G544" s="87"/>
      <c r="H544" s="87"/>
      <c r="I544" s="87"/>
      <c r="J544" s="87"/>
      <c r="K544" s="1"/>
      <c r="L544" s="1"/>
      <c r="M544" s="1"/>
      <c r="N544" s="1"/>
      <c r="O544" s="87"/>
      <c r="P544" s="87"/>
      <c r="Q544" s="87"/>
      <c r="R544" s="87"/>
      <c r="S544" s="4"/>
      <c r="T544" s="1"/>
      <c r="U544" s="5"/>
      <c r="V544" s="3"/>
      <c r="W544" s="3"/>
      <c r="X544" s="3"/>
      <c r="Y544" s="7"/>
      <c r="Z544" s="1"/>
    </row>
    <row r="545" spans="1:26" ht="27" customHeight="1">
      <c r="A545" s="1"/>
      <c r="B545" s="1"/>
      <c r="C545" s="2"/>
      <c r="D545" s="2"/>
      <c r="E545" s="2"/>
      <c r="F545" s="87"/>
      <c r="G545" s="87"/>
      <c r="H545" s="87"/>
      <c r="I545" s="87"/>
      <c r="J545" s="87"/>
      <c r="K545" s="1"/>
      <c r="L545" s="1"/>
      <c r="M545" s="1"/>
      <c r="N545" s="1"/>
      <c r="O545" s="87"/>
      <c r="P545" s="87"/>
      <c r="Q545" s="87"/>
      <c r="R545" s="87"/>
      <c r="S545" s="4"/>
      <c r="T545" s="1"/>
      <c r="U545" s="5"/>
      <c r="V545" s="3"/>
      <c r="W545" s="3"/>
      <c r="X545" s="3"/>
      <c r="Y545" s="7"/>
      <c r="Z545" s="1"/>
    </row>
    <row r="546" spans="1:26" ht="27" customHeight="1">
      <c r="A546" s="1"/>
      <c r="B546" s="1"/>
      <c r="C546" s="2"/>
      <c r="D546" s="2"/>
      <c r="E546" s="2"/>
      <c r="F546" s="87"/>
      <c r="G546" s="87"/>
      <c r="H546" s="87"/>
      <c r="I546" s="87"/>
      <c r="J546" s="87"/>
      <c r="K546" s="1"/>
      <c r="L546" s="1"/>
      <c r="M546" s="1"/>
      <c r="N546" s="1"/>
      <c r="O546" s="87"/>
      <c r="P546" s="87"/>
      <c r="Q546" s="87"/>
      <c r="R546" s="87"/>
      <c r="S546" s="4"/>
      <c r="T546" s="1"/>
      <c r="U546" s="5"/>
      <c r="V546" s="3"/>
      <c r="W546" s="3"/>
      <c r="X546" s="3"/>
      <c r="Y546" s="7"/>
      <c r="Z546" s="1"/>
    </row>
    <row r="547" spans="1:26" ht="27" customHeight="1">
      <c r="A547" s="1"/>
      <c r="B547" s="1"/>
      <c r="C547" s="2"/>
      <c r="D547" s="2"/>
      <c r="E547" s="2"/>
      <c r="F547" s="87"/>
      <c r="G547" s="87"/>
      <c r="H547" s="87"/>
      <c r="I547" s="87"/>
      <c r="J547" s="87"/>
      <c r="K547" s="1"/>
      <c r="L547" s="1"/>
      <c r="M547" s="1"/>
      <c r="N547" s="1"/>
      <c r="O547" s="87"/>
      <c r="P547" s="87"/>
      <c r="Q547" s="87"/>
      <c r="R547" s="87"/>
      <c r="S547" s="4"/>
      <c r="T547" s="1"/>
      <c r="U547" s="5"/>
      <c r="V547" s="3"/>
      <c r="W547" s="3"/>
      <c r="X547" s="3"/>
      <c r="Y547" s="7"/>
      <c r="Z547" s="1"/>
    </row>
    <row r="548" spans="1:26" ht="27" customHeight="1">
      <c r="A548" s="1"/>
      <c r="B548" s="1"/>
      <c r="C548" s="2"/>
      <c r="D548" s="2"/>
      <c r="E548" s="2"/>
      <c r="F548" s="87"/>
      <c r="G548" s="87"/>
      <c r="H548" s="87"/>
      <c r="I548" s="87"/>
      <c r="J548" s="87"/>
      <c r="K548" s="1"/>
      <c r="L548" s="1"/>
      <c r="M548" s="1"/>
      <c r="N548" s="1"/>
      <c r="O548" s="87"/>
      <c r="P548" s="87"/>
      <c r="Q548" s="87"/>
      <c r="R548" s="87"/>
      <c r="S548" s="4"/>
      <c r="T548" s="1"/>
      <c r="U548" s="5"/>
      <c r="V548" s="3"/>
      <c r="W548" s="3"/>
      <c r="X548" s="3"/>
      <c r="Y548" s="7"/>
      <c r="Z548" s="1"/>
    </row>
    <row r="549" spans="1:26" ht="27" customHeight="1">
      <c r="A549" s="1"/>
      <c r="B549" s="1"/>
      <c r="C549" s="2"/>
      <c r="D549" s="2"/>
      <c r="E549" s="2"/>
      <c r="F549" s="87"/>
      <c r="G549" s="87"/>
      <c r="H549" s="87"/>
      <c r="I549" s="87"/>
      <c r="J549" s="87"/>
      <c r="K549" s="1"/>
      <c r="L549" s="1"/>
      <c r="M549" s="1"/>
      <c r="N549" s="1"/>
      <c r="O549" s="87"/>
      <c r="P549" s="87"/>
      <c r="Q549" s="87"/>
      <c r="R549" s="87"/>
      <c r="S549" s="4"/>
      <c r="T549" s="1"/>
      <c r="U549" s="5"/>
      <c r="V549" s="3"/>
      <c r="W549" s="3"/>
      <c r="X549" s="3"/>
      <c r="Y549" s="7"/>
      <c r="Z549" s="1"/>
    </row>
    <row r="550" spans="1:26" ht="27" customHeight="1">
      <c r="A550" s="1"/>
      <c r="B550" s="1"/>
      <c r="C550" s="2"/>
      <c r="D550" s="2"/>
      <c r="E550" s="2"/>
      <c r="F550" s="87"/>
      <c r="G550" s="87"/>
      <c r="H550" s="87"/>
      <c r="I550" s="87"/>
      <c r="J550" s="87"/>
      <c r="K550" s="1"/>
      <c r="L550" s="1"/>
      <c r="M550" s="1"/>
      <c r="N550" s="1"/>
      <c r="O550" s="87"/>
      <c r="P550" s="87"/>
      <c r="Q550" s="87"/>
      <c r="R550" s="87"/>
      <c r="S550" s="4"/>
      <c r="T550" s="1"/>
      <c r="U550" s="5"/>
      <c r="V550" s="3"/>
      <c r="W550" s="3"/>
      <c r="X550" s="3"/>
      <c r="Y550" s="7"/>
      <c r="Z550" s="1"/>
    </row>
    <row r="551" spans="1:26" ht="27" customHeight="1">
      <c r="A551" s="1"/>
      <c r="B551" s="1"/>
      <c r="C551" s="2"/>
      <c r="D551" s="2"/>
      <c r="E551" s="2"/>
      <c r="F551" s="87"/>
      <c r="G551" s="87"/>
      <c r="H551" s="87"/>
      <c r="I551" s="87"/>
      <c r="J551" s="87"/>
      <c r="K551" s="1"/>
      <c r="L551" s="1"/>
      <c r="M551" s="1"/>
      <c r="N551" s="1"/>
      <c r="O551" s="87"/>
      <c r="P551" s="87"/>
      <c r="Q551" s="87"/>
      <c r="R551" s="87"/>
      <c r="S551" s="4"/>
      <c r="T551" s="1"/>
      <c r="U551" s="5"/>
      <c r="V551" s="3"/>
      <c r="W551" s="3"/>
      <c r="X551" s="3"/>
      <c r="Y551" s="7"/>
      <c r="Z551" s="1"/>
    </row>
    <row r="552" spans="1:26" ht="27" customHeight="1">
      <c r="A552" s="1"/>
      <c r="B552" s="1"/>
      <c r="C552" s="2"/>
      <c r="D552" s="2"/>
      <c r="E552" s="2"/>
      <c r="F552" s="87"/>
      <c r="G552" s="87"/>
      <c r="H552" s="87"/>
      <c r="I552" s="87"/>
      <c r="J552" s="87"/>
      <c r="K552" s="1"/>
      <c r="L552" s="1"/>
      <c r="M552" s="1"/>
      <c r="N552" s="1"/>
      <c r="O552" s="87"/>
      <c r="P552" s="87"/>
      <c r="Q552" s="87"/>
      <c r="R552" s="87"/>
      <c r="S552" s="4"/>
      <c r="T552" s="1"/>
      <c r="U552" s="5"/>
      <c r="V552" s="3"/>
      <c r="W552" s="3"/>
      <c r="X552" s="3"/>
      <c r="Y552" s="7"/>
      <c r="Z552" s="1"/>
    </row>
    <row r="553" spans="1:26" ht="27" customHeight="1">
      <c r="A553" s="1"/>
      <c r="B553" s="1"/>
      <c r="C553" s="2"/>
      <c r="D553" s="2"/>
      <c r="E553" s="2"/>
      <c r="F553" s="87"/>
      <c r="G553" s="87"/>
      <c r="H553" s="87"/>
      <c r="I553" s="87"/>
      <c r="J553" s="87"/>
      <c r="K553" s="1"/>
      <c r="L553" s="1"/>
      <c r="M553" s="1"/>
      <c r="N553" s="1"/>
      <c r="O553" s="87"/>
      <c r="P553" s="87"/>
      <c r="Q553" s="87"/>
      <c r="R553" s="87"/>
      <c r="S553" s="4"/>
      <c r="T553" s="1"/>
      <c r="U553" s="5"/>
      <c r="V553" s="3"/>
      <c r="W553" s="3"/>
      <c r="X553" s="3"/>
      <c r="Y553" s="7"/>
      <c r="Z553" s="1"/>
    </row>
    <row r="554" spans="1:26" ht="27" customHeight="1">
      <c r="A554" s="1"/>
      <c r="B554" s="1"/>
      <c r="C554" s="2"/>
      <c r="D554" s="2"/>
      <c r="E554" s="2"/>
      <c r="F554" s="87"/>
      <c r="G554" s="87"/>
      <c r="H554" s="87"/>
      <c r="I554" s="87"/>
      <c r="J554" s="87"/>
      <c r="K554" s="1"/>
      <c r="L554" s="1"/>
      <c r="M554" s="1"/>
      <c r="N554" s="1"/>
      <c r="O554" s="87"/>
      <c r="P554" s="87"/>
      <c r="Q554" s="87"/>
      <c r="R554" s="87"/>
      <c r="S554" s="4"/>
      <c r="T554" s="1"/>
      <c r="U554" s="5"/>
      <c r="V554" s="3"/>
      <c r="W554" s="3"/>
      <c r="X554" s="3"/>
      <c r="Y554" s="7"/>
      <c r="Z554" s="1"/>
    </row>
    <row r="555" spans="1:26" ht="27" customHeight="1">
      <c r="A555" s="1"/>
      <c r="B555" s="1"/>
      <c r="C555" s="2"/>
      <c r="D555" s="2"/>
      <c r="E555" s="2"/>
      <c r="F555" s="87"/>
      <c r="G555" s="87"/>
      <c r="H555" s="87"/>
      <c r="I555" s="87"/>
      <c r="J555" s="87"/>
      <c r="K555" s="1"/>
      <c r="L555" s="1"/>
      <c r="M555" s="1"/>
      <c r="N555" s="1"/>
      <c r="O555" s="87"/>
      <c r="P555" s="87"/>
      <c r="Q555" s="87"/>
      <c r="R555" s="87"/>
      <c r="S555" s="4"/>
      <c r="T555" s="1"/>
      <c r="U555" s="5"/>
      <c r="V555" s="3"/>
      <c r="W555" s="3"/>
      <c r="X555" s="3"/>
      <c r="Y555" s="7"/>
      <c r="Z555" s="1"/>
    </row>
    <row r="556" spans="1:26" ht="27" customHeight="1">
      <c r="A556" s="1"/>
      <c r="B556" s="1"/>
      <c r="C556" s="2"/>
      <c r="D556" s="2"/>
      <c r="E556" s="2"/>
      <c r="F556" s="87"/>
      <c r="G556" s="87"/>
      <c r="H556" s="87"/>
      <c r="I556" s="87"/>
      <c r="J556" s="87"/>
      <c r="K556" s="1"/>
      <c r="L556" s="1"/>
      <c r="M556" s="1"/>
      <c r="N556" s="1"/>
      <c r="O556" s="87"/>
      <c r="P556" s="87"/>
      <c r="Q556" s="87"/>
      <c r="R556" s="87"/>
      <c r="S556" s="4"/>
      <c r="T556" s="1"/>
      <c r="U556" s="5"/>
      <c r="V556" s="3"/>
      <c r="W556" s="3"/>
      <c r="X556" s="3"/>
      <c r="Y556" s="7"/>
      <c r="Z556" s="1"/>
    </row>
    <row r="557" spans="1:26" ht="27" customHeight="1">
      <c r="A557" s="1"/>
      <c r="B557" s="1"/>
      <c r="C557" s="2"/>
      <c r="D557" s="2"/>
      <c r="E557" s="2"/>
      <c r="F557" s="87"/>
      <c r="G557" s="87"/>
      <c r="H557" s="87"/>
      <c r="I557" s="87"/>
      <c r="J557" s="87"/>
      <c r="K557" s="1"/>
      <c r="L557" s="1"/>
      <c r="M557" s="1"/>
      <c r="N557" s="1"/>
      <c r="O557" s="87"/>
      <c r="P557" s="87"/>
      <c r="Q557" s="87"/>
      <c r="R557" s="87"/>
      <c r="S557" s="4"/>
      <c r="T557" s="1"/>
      <c r="U557" s="5"/>
      <c r="V557" s="3"/>
      <c r="W557" s="3"/>
      <c r="X557" s="3"/>
      <c r="Y557" s="7"/>
      <c r="Z557" s="1"/>
    </row>
    <row r="558" spans="1:26" ht="27" customHeight="1">
      <c r="A558" s="1"/>
      <c r="B558" s="1"/>
      <c r="C558" s="2"/>
      <c r="D558" s="2"/>
      <c r="E558" s="2"/>
      <c r="F558" s="87"/>
      <c r="G558" s="87"/>
      <c r="H558" s="87"/>
      <c r="I558" s="87"/>
      <c r="J558" s="87"/>
      <c r="K558" s="1"/>
      <c r="L558" s="1"/>
      <c r="M558" s="1"/>
      <c r="N558" s="1"/>
      <c r="O558" s="87"/>
      <c r="P558" s="87"/>
      <c r="Q558" s="87"/>
      <c r="R558" s="87"/>
      <c r="S558" s="4"/>
      <c r="T558" s="1"/>
      <c r="U558" s="5"/>
      <c r="V558" s="3"/>
      <c r="W558" s="3"/>
      <c r="X558" s="3"/>
      <c r="Y558" s="7"/>
      <c r="Z558" s="1"/>
    </row>
    <row r="559" spans="1:26" ht="27" customHeight="1">
      <c r="A559" s="1"/>
      <c r="B559" s="1"/>
      <c r="C559" s="2"/>
      <c r="D559" s="2"/>
      <c r="E559" s="2"/>
      <c r="F559" s="87"/>
      <c r="G559" s="87"/>
      <c r="H559" s="87"/>
      <c r="I559" s="87"/>
      <c r="J559" s="87"/>
      <c r="K559" s="1"/>
      <c r="L559" s="1"/>
      <c r="M559" s="1"/>
      <c r="N559" s="1"/>
      <c r="O559" s="87"/>
      <c r="P559" s="87"/>
      <c r="Q559" s="87"/>
      <c r="R559" s="87"/>
      <c r="S559" s="4"/>
      <c r="T559" s="1"/>
      <c r="U559" s="5"/>
      <c r="V559" s="3"/>
      <c r="W559" s="3"/>
      <c r="X559" s="3"/>
      <c r="Y559" s="7"/>
      <c r="Z559" s="1"/>
    </row>
    <row r="560" spans="1:26" ht="27" customHeight="1">
      <c r="A560" s="1"/>
      <c r="B560" s="1"/>
      <c r="C560" s="2"/>
      <c r="D560" s="2"/>
      <c r="E560" s="2"/>
      <c r="F560" s="87"/>
      <c r="G560" s="87"/>
      <c r="H560" s="87"/>
      <c r="I560" s="87"/>
      <c r="J560" s="87"/>
      <c r="K560" s="1"/>
      <c r="L560" s="1"/>
      <c r="M560" s="1"/>
      <c r="N560" s="1"/>
      <c r="O560" s="87"/>
      <c r="P560" s="87"/>
      <c r="Q560" s="87"/>
      <c r="R560" s="87"/>
      <c r="S560" s="4"/>
      <c r="T560" s="1"/>
      <c r="U560" s="5"/>
      <c r="V560" s="3"/>
      <c r="W560" s="3"/>
      <c r="X560" s="3"/>
      <c r="Y560" s="7"/>
      <c r="Z560" s="1"/>
    </row>
    <row r="561" spans="1:26" ht="27" customHeight="1">
      <c r="A561" s="1"/>
      <c r="B561" s="1"/>
      <c r="C561" s="2"/>
      <c r="D561" s="2"/>
      <c r="E561" s="2"/>
      <c r="F561" s="87"/>
      <c r="G561" s="87"/>
      <c r="H561" s="87"/>
      <c r="I561" s="87"/>
      <c r="J561" s="87"/>
      <c r="K561" s="1"/>
      <c r="L561" s="1"/>
      <c r="M561" s="1"/>
      <c r="N561" s="1"/>
      <c r="O561" s="87"/>
      <c r="P561" s="87"/>
      <c r="Q561" s="87"/>
      <c r="R561" s="87"/>
      <c r="S561" s="4"/>
      <c r="T561" s="1"/>
      <c r="U561" s="5"/>
      <c r="V561" s="3"/>
      <c r="W561" s="3"/>
      <c r="X561" s="3"/>
      <c r="Y561" s="7"/>
      <c r="Z561" s="1"/>
    </row>
    <row r="562" spans="1:26" ht="27" customHeight="1">
      <c r="A562" s="1"/>
      <c r="B562" s="1"/>
      <c r="C562" s="2"/>
      <c r="D562" s="2"/>
      <c r="E562" s="2"/>
      <c r="F562" s="87"/>
      <c r="G562" s="87"/>
      <c r="H562" s="87"/>
      <c r="I562" s="87"/>
      <c r="J562" s="87"/>
      <c r="K562" s="1"/>
      <c r="L562" s="1"/>
      <c r="M562" s="1"/>
      <c r="N562" s="1"/>
      <c r="O562" s="87"/>
      <c r="P562" s="87"/>
      <c r="Q562" s="87"/>
      <c r="R562" s="87"/>
      <c r="S562" s="4"/>
      <c r="T562" s="1"/>
      <c r="U562" s="5"/>
      <c r="V562" s="3"/>
      <c r="W562" s="3"/>
      <c r="X562" s="3"/>
      <c r="Y562" s="7"/>
      <c r="Z562" s="1"/>
    </row>
    <row r="563" spans="1:26" ht="27" customHeight="1">
      <c r="A563" s="1"/>
      <c r="B563" s="1"/>
      <c r="C563" s="2"/>
      <c r="D563" s="2"/>
      <c r="E563" s="2"/>
      <c r="F563" s="87"/>
      <c r="G563" s="87"/>
      <c r="H563" s="87"/>
      <c r="I563" s="87"/>
      <c r="J563" s="87"/>
      <c r="K563" s="1"/>
      <c r="L563" s="1"/>
      <c r="M563" s="1"/>
      <c r="N563" s="1"/>
      <c r="O563" s="87"/>
      <c r="P563" s="87"/>
      <c r="Q563" s="87"/>
      <c r="R563" s="87"/>
      <c r="S563" s="4"/>
      <c r="T563" s="1"/>
      <c r="U563" s="5"/>
      <c r="V563" s="3"/>
      <c r="W563" s="3"/>
      <c r="X563" s="3"/>
      <c r="Y563" s="7"/>
      <c r="Z563" s="1"/>
    </row>
    <row r="564" spans="1:26" ht="27" customHeight="1">
      <c r="A564" s="1"/>
      <c r="B564" s="1"/>
      <c r="C564" s="2"/>
      <c r="D564" s="2"/>
      <c r="E564" s="2"/>
      <c r="F564" s="87"/>
      <c r="G564" s="87"/>
      <c r="H564" s="87"/>
      <c r="I564" s="87"/>
      <c r="J564" s="87"/>
      <c r="K564" s="1"/>
      <c r="L564" s="1"/>
      <c r="M564" s="1"/>
      <c r="N564" s="1"/>
      <c r="O564" s="87"/>
      <c r="P564" s="87"/>
      <c r="Q564" s="87"/>
      <c r="R564" s="87"/>
      <c r="S564" s="4"/>
      <c r="T564" s="1"/>
      <c r="U564" s="5"/>
      <c r="V564" s="3"/>
      <c r="W564" s="3"/>
      <c r="X564" s="3"/>
      <c r="Y564" s="7"/>
      <c r="Z564" s="1"/>
    </row>
    <row r="565" spans="1:26" ht="27" customHeight="1">
      <c r="A565" s="1"/>
      <c r="B565" s="1"/>
      <c r="C565" s="2"/>
      <c r="D565" s="2"/>
      <c r="E565" s="2"/>
      <c r="F565" s="87"/>
      <c r="G565" s="87"/>
      <c r="H565" s="87"/>
      <c r="I565" s="87"/>
      <c r="J565" s="87"/>
      <c r="K565" s="1"/>
      <c r="L565" s="1"/>
      <c r="M565" s="1"/>
      <c r="N565" s="1"/>
      <c r="O565" s="87"/>
      <c r="P565" s="87"/>
      <c r="Q565" s="87"/>
      <c r="R565" s="87"/>
      <c r="S565" s="4"/>
      <c r="T565" s="1"/>
      <c r="U565" s="5"/>
      <c r="V565" s="3"/>
      <c r="W565" s="3"/>
      <c r="X565" s="3"/>
      <c r="Y565" s="7"/>
      <c r="Z565" s="1"/>
    </row>
    <row r="566" spans="1:26" ht="27" customHeight="1">
      <c r="A566" s="1"/>
      <c r="B566" s="1"/>
      <c r="C566" s="2"/>
      <c r="D566" s="2"/>
      <c r="E566" s="2"/>
      <c r="F566" s="87"/>
      <c r="G566" s="87"/>
      <c r="H566" s="87"/>
      <c r="I566" s="87"/>
      <c r="J566" s="87"/>
      <c r="K566" s="1"/>
      <c r="L566" s="1"/>
      <c r="M566" s="1"/>
      <c r="N566" s="1"/>
      <c r="O566" s="87"/>
      <c r="P566" s="87"/>
      <c r="Q566" s="87"/>
      <c r="R566" s="87"/>
      <c r="S566" s="4"/>
      <c r="T566" s="1"/>
      <c r="U566" s="5"/>
      <c r="V566" s="3"/>
      <c r="W566" s="3"/>
      <c r="X566" s="3"/>
      <c r="Y566" s="7"/>
      <c r="Z566" s="1"/>
    </row>
    <row r="567" spans="1:26" ht="27" customHeight="1">
      <c r="A567" s="1"/>
      <c r="B567" s="1"/>
      <c r="C567" s="2"/>
      <c r="D567" s="2"/>
      <c r="E567" s="2"/>
      <c r="F567" s="87"/>
      <c r="G567" s="87"/>
      <c r="H567" s="87"/>
      <c r="I567" s="87"/>
      <c r="J567" s="87"/>
      <c r="K567" s="1"/>
      <c r="L567" s="1"/>
      <c r="M567" s="1"/>
      <c r="N567" s="1"/>
      <c r="O567" s="87"/>
      <c r="P567" s="87"/>
      <c r="Q567" s="87"/>
      <c r="R567" s="87"/>
      <c r="S567" s="4"/>
      <c r="T567" s="1"/>
      <c r="U567" s="5"/>
      <c r="V567" s="3"/>
      <c r="W567" s="3"/>
      <c r="X567" s="3"/>
      <c r="Y567" s="7"/>
      <c r="Z567" s="1"/>
    </row>
    <row r="568" spans="1:26" ht="27" customHeight="1">
      <c r="A568" s="1"/>
      <c r="B568" s="1"/>
      <c r="C568" s="2"/>
      <c r="D568" s="2"/>
      <c r="E568" s="2"/>
      <c r="F568" s="87"/>
      <c r="G568" s="87"/>
      <c r="H568" s="87"/>
      <c r="I568" s="87"/>
      <c r="J568" s="87"/>
      <c r="K568" s="1"/>
      <c r="L568" s="1"/>
      <c r="M568" s="1"/>
      <c r="N568" s="1"/>
      <c r="O568" s="87"/>
      <c r="P568" s="87"/>
      <c r="Q568" s="87"/>
      <c r="R568" s="87"/>
      <c r="S568" s="4"/>
      <c r="T568" s="1"/>
      <c r="U568" s="5"/>
      <c r="V568" s="3"/>
      <c r="W568" s="3"/>
      <c r="X568" s="3"/>
      <c r="Y568" s="7"/>
      <c r="Z568" s="1"/>
    </row>
    <row r="569" spans="1:26" ht="27" customHeight="1">
      <c r="A569" s="1"/>
      <c r="B569" s="1"/>
      <c r="C569" s="2"/>
      <c r="D569" s="2"/>
      <c r="E569" s="2"/>
      <c r="F569" s="87"/>
      <c r="G569" s="87"/>
      <c r="H569" s="87"/>
      <c r="I569" s="87"/>
      <c r="J569" s="87"/>
      <c r="K569" s="1"/>
      <c r="L569" s="1"/>
      <c r="M569" s="1"/>
      <c r="N569" s="1"/>
      <c r="O569" s="87"/>
      <c r="P569" s="87"/>
      <c r="Q569" s="87"/>
      <c r="R569" s="87"/>
      <c r="S569" s="4"/>
      <c r="T569" s="1"/>
      <c r="U569" s="5"/>
      <c r="V569" s="3"/>
      <c r="W569" s="3"/>
      <c r="X569" s="3"/>
      <c r="Y569" s="7"/>
      <c r="Z569" s="1"/>
    </row>
    <row r="570" spans="1:26" ht="27" customHeight="1">
      <c r="A570" s="1"/>
      <c r="B570" s="1"/>
      <c r="C570" s="2"/>
      <c r="D570" s="2"/>
      <c r="E570" s="2"/>
      <c r="F570" s="87"/>
      <c r="G570" s="87"/>
      <c r="H570" s="87"/>
      <c r="I570" s="87"/>
      <c r="J570" s="87"/>
      <c r="K570" s="1"/>
      <c r="L570" s="1"/>
      <c r="M570" s="1"/>
      <c r="N570" s="1"/>
      <c r="O570" s="87"/>
      <c r="P570" s="87"/>
      <c r="Q570" s="87"/>
      <c r="R570" s="87"/>
      <c r="S570" s="4"/>
      <c r="T570" s="1"/>
      <c r="U570" s="5"/>
      <c r="V570" s="3"/>
      <c r="W570" s="3"/>
      <c r="X570" s="3"/>
      <c r="Y570" s="7"/>
      <c r="Z570" s="1"/>
    </row>
    <row r="571" spans="1:26" ht="27" customHeight="1">
      <c r="A571" s="1"/>
      <c r="B571" s="1"/>
      <c r="C571" s="2"/>
      <c r="D571" s="2"/>
      <c r="E571" s="2"/>
      <c r="F571" s="87"/>
      <c r="G571" s="87"/>
      <c r="H571" s="87"/>
      <c r="I571" s="87"/>
      <c r="J571" s="87"/>
      <c r="K571" s="1"/>
      <c r="L571" s="1"/>
      <c r="M571" s="1"/>
      <c r="N571" s="1"/>
      <c r="O571" s="87"/>
      <c r="P571" s="87"/>
      <c r="Q571" s="87"/>
      <c r="R571" s="87"/>
      <c r="S571" s="4"/>
      <c r="T571" s="1"/>
      <c r="U571" s="5"/>
      <c r="V571" s="3"/>
      <c r="W571" s="3"/>
      <c r="X571" s="3"/>
      <c r="Y571" s="7"/>
      <c r="Z571" s="1"/>
    </row>
    <row r="572" spans="1:26" ht="27" customHeight="1">
      <c r="A572" s="1"/>
      <c r="B572" s="1"/>
      <c r="C572" s="2"/>
      <c r="D572" s="2"/>
      <c r="E572" s="2"/>
      <c r="F572" s="87"/>
      <c r="G572" s="87"/>
      <c r="H572" s="87"/>
      <c r="I572" s="87"/>
      <c r="J572" s="87"/>
      <c r="K572" s="1"/>
      <c r="L572" s="1"/>
      <c r="M572" s="1"/>
      <c r="N572" s="1"/>
      <c r="O572" s="87"/>
      <c r="P572" s="87"/>
      <c r="Q572" s="87"/>
      <c r="R572" s="87"/>
      <c r="S572" s="4"/>
      <c r="T572" s="1"/>
      <c r="U572" s="5"/>
      <c r="V572" s="3"/>
      <c r="W572" s="3"/>
      <c r="X572" s="3"/>
      <c r="Y572" s="7"/>
      <c r="Z572" s="1"/>
    </row>
    <row r="573" spans="1:26" ht="27" customHeight="1">
      <c r="A573" s="1"/>
      <c r="B573" s="1"/>
      <c r="C573" s="2"/>
      <c r="D573" s="2"/>
      <c r="E573" s="2"/>
      <c r="F573" s="87"/>
      <c r="G573" s="87"/>
      <c r="H573" s="87"/>
      <c r="I573" s="87"/>
      <c r="J573" s="87"/>
      <c r="K573" s="1"/>
      <c r="L573" s="1"/>
      <c r="M573" s="1"/>
      <c r="N573" s="1"/>
      <c r="O573" s="87"/>
      <c r="P573" s="87"/>
      <c r="Q573" s="87"/>
      <c r="R573" s="87"/>
      <c r="S573" s="4"/>
      <c r="T573" s="1"/>
      <c r="U573" s="5"/>
      <c r="V573" s="3"/>
      <c r="W573" s="3"/>
      <c r="X573" s="3"/>
      <c r="Y573" s="7"/>
      <c r="Z573" s="1"/>
    </row>
    <row r="574" spans="1:26" ht="27" customHeight="1">
      <c r="A574" s="1"/>
      <c r="B574" s="1"/>
      <c r="C574" s="2"/>
      <c r="D574" s="2"/>
      <c r="E574" s="2"/>
      <c r="F574" s="87"/>
      <c r="G574" s="87"/>
      <c r="H574" s="87"/>
      <c r="I574" s="87"/>
      <c r="J574" s="87"/>
      <c r="K574" s="1"/>
      <c r="L574" s="1"/>
      <c r="M574" s="1"/>
      <c r="N574" s="1"/>
      <c r="O574" s="87"/>
      <c r="P574" s="87"/>
      <c r="Q574" s="87"/>
      <c r="R574" s="87"/>
      <c r="S574" s="4"/>
      <c r="T574" s="1"/>
      <c r="U574" s="5"/>
      <c r="V574" s="3"/>
      <c r="W574" s="3"/>
      <c r="X574" s="3"/>
      <c r="Y574" s="7"/>
      <c r="Z574" s="1"/>
    </row>
    <row r="575" spans="1:26" ht="27" customHeight="1">
      <c r="A575" s="1"/>
      <c r="B575" s="1"/>
      <c r="C575" s="2"/>
      <c r="D575" s="2"/>
      <c r="E575" s="2"/>
      <c r="F575" s="87"/>
      <c r="G575" s="87"/>
      <c r="H575" s="87"/>
      <c r="I575" s="87"/>
      <c r="J575" s="87"/>
      <c r="K575" s="1"/>
      <c r="L575" s="1"/>
      <c r="M575" s="1"/>
      <c r="N575" s="1"/>
      <c r="O575" s="87"/>
      <c r="P575" s="87"/>
      <c r="Q575" s="87"/>
      <c r="R575" s="87"/>
      <c r="S575" s="4"/>
      <c r="T575" s="1"/>
      <c r="U575" s="5"/>
      <c r="V575" s="3"/>
      <c r="W575" s="3"/>
      <c r="X575" s="3"/>
      <c r="Y575" s="7"/>
      <c r="Z575" s="1"/>
    </row>
    <row r="576" spans="1:26" ht="27" customHeight="1">
      <c r="A576" s="1"/>
      <c r="B576" s="1"/>
      <c r="C576" s="2"/>
      <c r="D576" s="2"/>
      <c r="E576" s="2"/>
      <c r="F576" s="87"/>
      <c r="G576" s="87"/>
      <c r="H576" s="87"/>
      <c r="I576" s="87"/>
      <c r="J576" s="87"/>
      <c r="K576" s="1"/>
      <c r="L576" s="1"/>
      <c r="M576" s="1"/>
      <c r="N576" s="1"/>
      <c r="O576" s="87"/>
      <c r="P576" s="87"/>
      <c r="Q576" s="87"/>
      <c r="R576" s="87"/>
      <c r="S576" s="4"/>
      <c r="T576" s="1"/>
      <c r="U576" s="5"/>
      <c r="V576" s="3"/>
      <c r="W576" s="3"/>
      <c r="X576" s="3"/>
      <c r="Y576" s="7"/>
      <c r="Z576" s="1"/>
    </row>
    <row r="577" spans="1:26" ht="27" customHeight="1">
      <c r="A577" s="1"/>
      <c r="B577" s="1"/>
      <c r="C577" s="2"/>
      <c r="D577" s="2"/>
      <c r="E577" s="2"/>
      <c r="F577" s="87"/>
      <c r="G577" s="87"/>
      <c r="H577" s="87"/>
      <c r="I577" s="87"/>
      <c r="J577" s="87"/>
      <c r="K577" s="1"/>
      <c r="L577" s="1"/>
      <c r="M577" s="1"/>
      <c r="N577" s="1"/>
      <c r="O577" s="87"/>
      <c r="P577" s="87"/>
      <c r="Q577" s="87"/>
      <c r="R577" s="87"/>
      <c r="S577" s="4"/>
      <c r="T577" s="1"/>
      <c r="U577" s="5"/>
      <c r="V577" s="3"/>
      <c r="W577" s="3"/>
      <c r="X577" s="3"/>
      <c r="Y577" s="7"/>
      <c r="Z577" s="1"/>
    </row>
    <row r="578" spans="1:26" ht="27" customHeight="1">
      <c r="A578" s="1"/>
      <c r="B578" s="1"/>
      <c r="C578" s="2"/>
      <c r="D578" s="2"/>
      <c r="E578" s="2"/>
      <c r="F578" s="87"/>
      <c r="G578" s="87"/>
      <c r="H578" s="87"/>
      <c r="I578" s="87"/>
      <c r="J578" s="87"/>
      <c r="K578" s="1"/>
      <c r="L578" s="1"/>
      <c r="M578" s="1"/>
      <c r="N578" s="1"/>
      <c r="O578" s="87"/>
      <c r="P578" s="87"/>
      <c r="Q578" s="87"/>
      <c r="R578" s="87"/>
      <c r="S578" s="4"/>
      <c r="T578" s="1"/>
      <c r="U578" s="5"/>
      <c r="V578" s="3"/>
      <c r="W578" s="3"/>
      <c r="X578" s="3"/>
      <c r="Y578" s="7"/>
      <c r="Z578" s="1"/>
    </row>
    <row r="579" spans="1:26" ht="27" customHeight="1">
      <c r="A579" s="1"/>
      <c r="B579" s="1"/>
      <c r="C579" s="2"/>
      <c r="D579" s="2"/>
      <c r="E579" s="2"/>
      <c r="F579" s="87"/>
      <c r="G579" s="87"/>
      <c r="H579" s="87"/>
      <c r="I579" s="87"/>
      <c r="J579" s="87"/>
      <c r="K579" s="1"/>
      <c r="L579" s="1"/>
      <c r="M579" s="1"/>
      <c r="N579" s="1"/>
      <c r="O579" s="87"/>
      <c r="P579" s="87"/>
      <c r="Q579" s="87"/>
      <c r="R579" s="87"/>
      <c r="S579" s="4"/>
      <c r="T579" s="1"/>
      <c r="U579" s="5"/>
      <c r="V579" s="3"/>
      <c r="W579" s="3"/>
      <c r="X579" s="3"/>
      <c r="Y579" s="7"/>
      <c r="Z579" s="1"/>
    </row>
    <row r="580" spans="1:26" ht="27" customHeight="1">
      <c r="A580" s="1"/>
      <c r="B580" s="1"/>
      <c r="C580" s="2"/>
      <c r="D580" s="2"/>
      <c r="E580" s="2"/>
      <c r="F580" s="87"/>
      <c r="G580" s="87"/>
      <c r="H580" s="87"/>
      <c r="I580" s="87"/>
      <c r="J580" s="87"/>
      <c r="K580" s="1"/>
      <c r="L580" s="1"/>
      <c r="M580" s="1"/>
      <c r="N580" s="1"/>
      <c r="O580" s="87"/>
      <c r="P580" s="87"/>
      <c r="Q580" s="87"/>
      <c r="R580" s="87"/>
      <c r="S580" s="4"/>
      <c r="T580" s="1"/>
      <c r="U580" s="5"/>
      <c r="V580" s="3"/>
      <c r="W580" s="3"/>
      <c r="X580" s="3"/>
      <c r="Y580" s="7"/>
      <c r="Z580" s="1"/>
    </row>
    <row r="581" spans="1:26" ht="27" customHeight="1">
      <c r="A581" s="1"/>
      <c r="B581" s="1"/>
      <c r="C581" s="2"/>
      <c r="D581" s="2"/>
      <c r="E581" s="2"/>
      <c r="F581" s="87"/>
      <c r="G581" s="87"/>
      <c r="H581" s="87"/>
      <c r="I581" s="87"/>
      <c r="J581" s="87"/>
      <c r="K581" s="1"/>
      <c r="L581" s="1"/>
      <c r="M581" s="1"/>
      <c r="N581" s="1"/>
      <c r="O581" s="87"/>
      <c r="P581" s="87"/>
      <c r="Q581" s="87"/>
      <c r="R581" s="87"/>
      <c r="S581" s="4"/>
      <c r="T581" s="1"/>
      <c r="U581" s="5"/>
      <c r="V581" s="3"/>
      <c r="W581" s="3"/>
      <c r="X581" s="3"/>
      <c r="Y581" s="7"/>
      <c r="Z581" s="1"/>
    </row>
    <row r="582" spans="1:26" ht="27" customHeight="1">
      <c r="A582" s="1"/>
      <c r="B582" s="1"/>
      <c r="C582" s="2"/>
      <c r="D582" s="2"/>
      <c r="E582" s="2"/>
      <c r="F582" s="87"/>
      <c r="G582" s="87"/>
      <c r="H582" s="87"/>
      <c r="I582" s="87"/>
      <c r="J582" s="87"/>
      <c r="K582" s="1"/>
      <c r="L582" s="1"/>
      <c r="M582" s="1"/>
      <c r="N582" s="1"/>
      <c r="O582" s="87"/>
      <c r="P582" s="87"/>
      <c r="Q582" s="87"/>
      <c r="R582" s="87"/>
      <c r="S582" s="4"/>
      <c r="T582" s="1"/>
      <c r="U582" s="5"/>
      <c r="V582" s="3"/>
      <c r="W582" s="3"/>
      <c r="X582" s="3"/>
      <c r="Y582" s="7"/>
      <c r="Z582" s="1"/>
    </row>
    <row r="583" spans="1:26" ht="27" customHeight="1">
      <c r="A583" s="1"/>
      <c r="B583" s="1"/>
      <c r="C583" s="2"/>
      <c r="D583" s="2"/>
      <c r="E583" s="2"/>
      <c r="F583" s="87"/>
      <c r="G583" s="87"/>
      <c r="H583" s="87"/>
      <c r="I583" s="87"/>
      <c r="J583" s="87"/>
      <c r="K583" s="1"/>
      <c r="L583" s="1"/>
      <c r="M583" s="1"/>
      <c r="N583" s="1"/>
      <c r="O583" s="87"/>
      <c r="P583" s="87"/>
      <c r="Q583" s="87"/>
      <c r="R583" s="87"/>
      <c r="S583" s="4"/>
      <c r="T583" s="1"/>
      <c r="U583" s="5"/>
      <c r="V583" s="3"/>
      <c r="W583" s="3"/>
      <c r="X583" s="3"/>
      <c r="Y583" s="7"/>
      <c r="Z583" s="1"/>
    </row>
    <row r="584" spans="1:26" ht="27" customHeight="1">
      <c r="A584" s="1"/>
      <c r="B584" s="1"/>
      <c r="C584" s="2"/>
      <c r="D584" s="2"/>
      <c r="E584" s="2"/>
      <c r="F584" s="87"/>
      <c r="G584" s="87"/>
      <c r="H584" s="87"/>
      <c r="I584" s="87"/>
      <c r="J584" s="87"/>
      <c r="K584" s="1"/>
      <c r="L584" s="1"/>
      <c r="M584" s="1"/>
      <c r="N584" s="1"/>
      <c r="O584" s="87"/>
      <c r="P584" s="87"/>
      <c r="Q584" s="87"/>
      <c r="R584" s="87"/>
      <c r="S584" s="4"/>
      <c r="T584" s="1"/>
      <c r="U584" s="5"/>
      <c r="V584" s="3"/>
      <c r="W584" s="3"/>
      <c r="X584" s="3"/>
      <c r="Y584" s="7"/>
      <c r="Z584" s="1"/>
    </row>
    <row r="585" spans="1:26" ht="27" customHeight="1">
      <c r="A585" s="1"/>
      <c r="B585" s="1"/>
      <c r="C585" s="2"/>
      <c r="D585" s="2"/>
      <c r="E585" s="2"/>
      <c r="F585" s="87"/>
      <c r="G585" s="87"/>
      <c r="H585" s="87"/>
      <c r="I585" s="87"/>
      <c r="J585" s="87"/>
      <c r="K585" s="1"/>
      <c r="L585" s="1"/>
      <c r="M585" s="1"/>
      <c r="N585" s="1"/>
      <c r="O585" s="87"/>
      <c r="P585" s="87"/>
      <c r="Q585" s="87"/>
      <c r="R585" s="87"/>
      <c r="S585" s="4"/>
      <c r="T585" s="1"/>
      <c r="U585" s="5"/>
      <c r="V585" s="3"/>
      <c r="W585" s="3"/>
      <c r="X585" s="3"/>
      <c r="Y585" s="7"/>
      <c r="Z585" s="1"/>
    </row>
    <row r="586" spans="1:26" ht="27" customHeight="1">
      <c r="A586" s="1"/>
      <c r="B586" s="1"/>
      <c r="C586" s="2"/>
      <c r="D586" s="2"/>
      <c r="E586" s="2"/>
      <c r="F586" s="87"/>
      <c r="G586" s="87"/>
      <c r="H586" s="87"/>
      <c r="I586" s="87"/>
      <c r="J586" s="87"/>
      <c r="K586" s="1"/>
      <c r="L586" s="1"/>
      <c r="M586" s="1"/>
      <c r="N586" s="1"/>
      <c r="O586" s="87"/>
      <c r="P586" s="87"/>
      <c r="Q586" s="87"/>
      <c r="R586" s="87"/>
      <c r="S586" s="4"/>
      <c r="T586" s="1"/>
      <c r="U586" s="5"/>
      <c r="V586" s="3"/>
      <c r="W586" s="3"/>
      <c r="X586" s="3"/>
      <c r="Y586" s="7"/>
      <c r="Z586" s="1"/>
    </row>
    <row r="587" spans="1:26" ht="27" customHeight="1">
      <c r="A587" s="1"/>
      <c r="B587" s="1"/>
      <c r="C587" s="2"/>
      <c r="D587" s="2"/>
      <c r="E587" s="2"/>
      <c r="F587" s="87"/>
      <c r="G587" s="87"/>
      <c r="H587" s="87"/>
      <c r="I587" s="87"/>
      <c r="J587" s="87"/>
      <c r="K587" s="1"/>
      <c r="L587" s="1"/>
      <c r="M587" s="1"/>
      <c r="N587" s="1"/>
      <c r="O587" s="87"/>
      <c r="P587" s="87"/>
      <c r="Q587" s="87"/>
      <c r="R587" s="87"/>
      <c r="S587" s="4"/>
      <c r="T587" s="1"/>
      <c r="U587" s="5"/>
      <c r="V587" s="3"/>
      <c r="W587" s="3"/>
      <c r="X587" s="3"/>
      <c r="Y587" s="7"/>
      <c r="Z587" s="1"/>
    </row>
    <row r="588" spans="1:26" ht="27" customHeight="1">
      <c r="A588" s="1"/>
      <c r="B588" s="1"/>
      <c r="C588" s="2"/>
      <c r="D588" s="2"/>
      <c r="E588" s="2"/>
      <c r="F588" s="87"/>
      <c r="G588" s="87"/>
      <c r="H588" s="87"/>
      <c r="I588" s="87"/>
      <c r="J588" s="87"/>
      <c r="K588" s="1"/>
      <c r="L588" s="1"/>
      <c r="M588" s="1"/>
      <c r="N588" s="1"/>
      <c r="O588" s="87"/>
      <c r="P588" s="87"/>
      <c r="Q588" s="87"/>
      <c r="R588" s="87"/>
      <c r="S588" s="4"/>
      <c r="T588" s="1"/>
      <c r="U588" s="5"/>
      <c r="V588" s="3"/>
      <c r="W588" s="3"/>
      <c r="X588" s="3"/>
      <c r="Y588" s="7"/>
      <c r="Z588" s="1"/>
    </row>
    <row r="589" spans="1:26" ht="27" customHeight="1">
      <c r="A589" s="1"/>
      <c r="B589" s="1"/>
      <c r="C589" s="2"/>
      <c r="D589" s="2"/>
      <c r="E589" s="2"/>
      <c r="F589" s="87"/>
      <c r="G589" s="87"/>
      <c r="H589" s="87"/>
      <c r="I589" s="87"/>
      <c r="J589" s="87"/>
      <c r="K589" s="1"/>
      <c r="L589" s="1"/>
      <c r="M589" s="1"/>
      <c r="N589" s="1"/>
      <c r="O589" s="87"/>
      <c r="P589" s="87"/>
      <c r="Q589" s="87"/>
      <c r="R589" s="87"/>
      <c r="S589" s="4"/>
      <c r="T589" s="1"/>
      <c r="U589" s="5"/>
      <c r="V589" s="3"/>
      <c r="W589" s="3"/>
      <c r="X589" s="3"/>
      <c r="Y589" s="7"/>
      <c r="Z589" s="1"/>
    </row>
    <row r="590" spans="1:26" ht="27" customHeight="1">
      <c r="A590" s="1"/>
      <c r="B590" s="1"/>
      <c r="C590" s="2"/>
      <c r="D590" s="2"/>
      <c r="E590" s="2"/>
      <c r="F590" s="87"/>
      <c r="G590" s="87"/>
      <c r="H590" s="87"/>
      <c r="I590" s="87"/>
      <c r="J590" s="87"/>
      <c r="K590" s="1"/>
      <c r="L590" s="1"/>
      <c r="M590" s="1"/>
      <c r="N590" s="1"/>
      <c r="O590" s="87"/>
      <c r="P590" s="87"/>
      <c r="Q590" s="87"/>
      <c r="R590" s="87"/>
      <c r="S590" s="4"/>
      <c r="T590" s="1"/>
      <c r="U590" s="5"/>
      <c r="V590" s="3"/>
      <c r="W590" s="3"/>
      <c r="X590" s="3"/>
      <c r="Y590" s="7"/>
      <c r="Z590" s="1"/>
    </row>
    <row r="591" spans="1:26" ht="27" customHeight="1">
      <c r="A591" s="1"/>
      <c r="B591" s="1"/>
      <c r="C591" s="2"/>
      <c r="D591" s="2"/>
      <c r="E591" s="2"/>
      <c r="F591" s="87"/>
      <c r="G591" s="87"/>
      <c r="H591" s="87"/>
      <c r="I591" s="87"/>
      <c r="J591" s="87"/>
      <c r="K591" s="1"/>
      <c r="L591" s="1"/>
      <c r="M591" s="1"/>
      <c r="N591" s="1"/>
      <c r="O591" s="87"/>
      <c r="P591" s="87"/>
      <c r="Q591" s="87"/>
      <c r="R591" s="87"/>
      <c r="S591" s="4"/>
      <c r="T591" s="1"/>
      <c r="U591" s="5"/>
      <c r="V591" s="3"/>
      <c r="W591" s="3"/>
      <c r="X591" s="3"/>
      <c r="Y591" s="7"/>
      <c r="Z591" s="1"/>
    </row>
    <row r="592" spans="1:26" ht="27" customHeight="1">
      <c r="A592" s="1"/>
      <c r="B592" s="1"/>
      <c r="C592" s="2"/>
      <c r="D592" s="2"/>
      <c r="E592" s="2"/>
      <c r="F592" s="87"/>
      <c r="G592" s="87"/>
      <c r="H592" s="87"/>
      <c r="I592" s="87"/>
      <c r="J592" s="87"/>
      <c r="K592" s="1"/>
      <c r="L592" s="1"/>
      <c r="M592" s="1"/>
      <c r="N592" s="1"/>
      <c r="O592" s="87"/>
      <c r="P592" s="87"/>
      <c r="Q592" s="87"/>
      <c r="R592" s="87"/>
      <c r="S592" s="4"/>
      <c r="T592" s="1"/>
      <c r="U592" s="5"/>
      <c r="V592" s="3"/>
      <c r="W592" s="3"/>
      <c r="X592" s="3"/>
      <c r="Y592" s="7"/>
      <c r="Z592" s="1"/>
    </row>
    <row r="593" spans="1:26" ht="27" customHeight="1">
      <c r="A593" s="1"/>
      <c r="B593" s="1"/>
      <c r="C593" s="2"/>
      <c r="D593" s="2"/>
      <c r="E593" s="2"/>
      <c r="F593" s="87"/>
      <c r="G593" s="87"/>
      <c r="H593" s="87"/>
      <c r="I593" s="87"/>
      <c r="J593" s="87"/>
      <c r="K593" s="1"/>
      <c r="L593" s="1"/>
      <c r="M593" s="1"/>
      <c r="N593" s="1"/>
      <c r="O593" s="87"/>
      <c r="P593" s="87"/>
      <c r="Q593" s="87"/>
      <c r="R593" s="87"/>
      <c r="S593" s="4"/>
      <c r="T593" s="1"/>
      <c r="U593" s="5"/>
      <c r="V593" s="3"/>
      <c r="W593" s="3"/>
      <c r="X593" s="3"/>
      <c r="Y593" s="7"/>
      <c r="Z593" s="1"/>
    </row>
    <row r="594" spans="1:26" ht="27" customHeight="1">
      <c r="A594" s="1"/>
      <c r="B594" s="1"/>
      <c r="C594" s="2"/>
      <c r="D594" s="2"/>
      <c r="E594" s="2"/>
      <c r="F594" s="87"/>
      <c r="G594" s="87"/>
      <c r="H594" s="87"/>
      <c r="I594" s="87"/>
      <c r="J594" s="87"/>
      <c r="K594" s="1"/>
      <c r="L594" s="1"/>
      <c r="M594" s="1"/>
      <c r="N594" s="1"/>
      <c r="O594" s="87"/>
      <c r="P594" s="87"/>
      <c r="Q594" s="87"/>
      <c r="R594" s="87"/>
      <c r="S594" s="4"/>
      <c r="T594" s="1"/>
      <c r="U594" s="5"/>
      <c r="V594" s="3"/>
      <c r="W594" s="3"/>
      <c r="X594" s="3"/>
      <c r="Y594" s="7"/>
      <c r="Z594" s="1"/>
    </row>
    <row r="595" spans="1:26" ht="27" customHeight="1">
      <c r="A595" s="1"/>
      <c r="B595" s="1"/>
      <c r="C595" s="2"/>
      <c r="D595" s="2"/>
      <c r="E595" s="2"/>
      <c r="F595" s="87"/>
      <c r="G595" s="87"/>
      <c r="H595" s="87"/>
      <c r="I595" s="87"/>
      <c r="J595" s="87"/>
      <c r="K595" s="1"/>
      <c r="L595" s="1"/>
      <c r="M595" s="1"/>
      <c r="N595" s="1"/>
      <c r="O595" s="87"/>
      <c r="P595" s="87"/>
      <c r="Q595" s="87"/>
      <c r="R595" s="87"/>
      <c r="S595" s="4"/>
      <c r="T595" s="1"/>
      <c r="U595" s="5"/>
      <c r="V595" s="3"/>
      <c r="W595" s="3"/>
      <c r="X595" s="3"/>
      <c r="Y595" s="7"/>
      <c r="Z595" s="1"/>
    </row>
    <row r="596" spans="1:26" ht="27" customHeight="1">
      <c r="A596" s="1"/>
      <c r="B596" s="1"/>
      <c r="C596" s="2"/>
      <c r="D596" s="2"/>
      <c r="E596" s="2"/>
      <c r="F596" s="87"/>
      <c r="G596" s="87"/>
      <c r="H596" s="87"/>
      <c r="I596" s="87"/>
      <c r="J596" s="87"/>
      <c r="K596" s="1"/>
      <c r="L596" s="1"/>
      <c r="M596" s="1"/>
      <c r="N596" s="1"/>
      <c r="O596" s="87"/>
      <c r="P596" s="87"/>
      <c r="Q596" s="87"/>
      <c r="R596" s="87"/>
      <c r="S596" s="4"/>
      <c r="T596" s="1"/>
      <c r="U596" s="5"/>
      <c r="V596" s="3"/>
      <c r="W596" s="3"/>
      <c r="X596" s="3"/>
      <c r="Y596" s="7"/>
      <c r="Z596" s="1"/>
    </row>
    <row r="597" spans="1:26" ht="27" customHeight="1">
      <c r="A597" s="1"/>
      <c r="B597" s="1"/>
      <c r="C597" s="2"/>
      <c r="D597" s="2"/>
      <c r="E597" s="2"/>
      <c r="F597" s="87"/>
      <c r="G597" s="87"/>
      <c r="H597" s="87"/>
      <c r="I597" s="87"/>
      <c r="J597" s="87"/>
      <c r="K597" s="1"/>
      <c r="L597" s="1"/>
      <c r="M597" s="1"/>
      <c r="N597" s="1"/>
      <c r="O597" s="87"/>
      <c r="P597" s="87"/>
      <c r="Q597" s="87"/>
      <c r="R597" s="87"/>
      <c r="S597" s="4"/>
      <c r="T597" s="1"/>
      <c r="U597" s="5"/>
      <c r="V597" s="3"/>
      <c r="W597" s="3"/>
      <c r="X597" s="3"/>
      <c r="Y597" s="7"/>
      <c r="Z597" s="1"/>
    </row>
    <row r="598" spans="1:26" ht="27" customHeight="1">
      <c r="A598" s="1"/>
      <c r="B598" s="1"/>
      <c r="C598" s="2"/>
      <c r="D598" s="2"/>
      <c r="E598" s="2"/>
      <c r="F598" s="87"/>
      <c r="G598" s="87"/>
      <c r="H598" s="87"/>
      <c r="I598" s="87"/>
      <c r="J598" s="87"/>
      <c r="K598" s="1"/>
      <c r="L598" s="1"/>
      <c r="M598" s="1"/>
      <c r="N598" s="1"/>
      <c r="O598" s="87"/>
      <c r="P598" s="87"/>
      <c r="Q598" s="87"/>
      <c r="R598" s="87"/>
      <c r="S598" s="4"/>
      <c r="T598" s="1"/>
      <c r="U598" s="5"/>
      <c r="V598" s="3"/>
      <c r="W598" s="3"/>
      <c r="X598" s="3"/>
      <c r="Y598" s="7"/>
      <c r="Z598" s="1"/>
    </row>
    <row r="599" spans="1:26" ht="27" customHeight="1">
      <c r="A599" s="1"/>
      <c r="B599" s="1"/>
      <c r="C599" s="2"/>
      <c r="D599" s="2"/>
      <c r="E599" s="2"/>
      <c r="F599" s="87"/>
      <c r="G599" s="87"/>
      <c r="H599" s="87"/>
      <c r="I599" s="87"/>
      <c r="J599" s="87"/>
      <c r="K599" s="1"/>
      <c r="L599" s="1"/>
      <c r="M599" s="1"/>
      <c r="N599" s="1"/>
      <c r="O599" s="87"/>
      <c r="P599" s="87"/>
      <c r="Q599" s="87"/>
      <c r="R599" s="87"/>
      <c r="S599" s="4"/>
      <c r="T599" s="1"/>
      <c r="U599" s="5"/>
      <c r="V599" s="3"/>
      <c r="W599" s="3"/>
      <c r="X599" s="3"/>
      <c r="Y599" s="7"/>
      <c r="Z599" s="1"/>
    </row>
    <row r="600" spans="1:26" ht="27" customHeight="1">
      <c r="A600" s="1"/>
      <c r="B600" s="1"/>
      <c r="C600" s="2"/>
      <c r="D600" s="2"/>
      <c r="E600" s="2"/>
      <c r="F600" s="87"/>
      <c r="G600" s="87"/>
      <c r="H600" s="87"/>
      <c r="I600" s="87"/>
      <c r="J600" s="87"/>
      <c r="K600" s="1"/>
      <c r="L600" s="1"/>
      <c r="M600" s="1"/>
      <c r="N600" s="1"/>
      <c r="O600" s="87"/>
      <c r="P600" s="87"/>
      <c r="Q600" s="87"/>
      <c r="R600" s="87"/>
      <c r="S600" s="4"/>
      <c r="T600" s="1"/>
      <c r="U600" s="5"/>
      <c r="V600" s="3"/>
      <c r="W600" s="3"/>
      <c r="X600" s="3"/>
      <c r="Y600" s="7"/>
      <c r="Z600" s="1"/>
    </row>
    <row r="601" spans="1:26" ht="27" customHeight="1">
      <c r="A601" s="1"/>
      <c r="B601" s="1"/>
      <c r="C601" s="2"/>
      <c r="D601" s="2"/>
      <c r="E601" s="2"/>
      <c r="F601" s="87"/>
      <c r="G601" s="87"/>
      <c r="H601" s="87"/>
      <c r="I601" s="87"/>
      <c r="J601" s="87"/>
      <c r="K601" s="1"/>
      <c r="L601" s="1"/>
      <c r="M601" s="1"/>
      <c r="N601" s="1"/>
      <c r="O601" s="87"/>
      <c r="P601" s="87"/>
      <c r="Q601" s="87"/>
      <c r="R601" s="87"/>
      <c r="S601" s="4"/>
      <c r="T601" s="1"/>
      <c r="U601" s="5"/>
      <c r="V601" s="3"/>
      <c r="W601" s="3"/>
      <c r="X601" s="3"/>
      <c r="Y601" s="7"/>
      <c r="Z601" s="1"/>
    </row>
    <row r="602" spans="1:26" ht="27" customHeight="1">
      <c r="A602" s="1"/>
      <c r="B602" s="1"/>
      <c r="C602" s="2"/>
      <c r="D602" s="2"/>
      <c r="E602" s="2"/>
      <c r="F602" s="87"/>
      <c r="G602" s="87"/>
      <c r="H602" s="87"/>
      <c r="I602" s="87"/>
      <c r="J602" s="87"/>
      <c r="K602" s="1"/>
      <c r="L602" s="1"/>
      <c r="M602" s="1"/>
      <c r="N602" s="1"/>
      <c r="O602" s="87"/>
      <c r="P602" s="87"/>
      <c r="Q602" s="87"/>
      <c r="R602" s="87"/>
      <c r="S602" s="4"/>
      <c r="T602" s="1"/>
      <c r="U602" s="5"/>
      <c r="V602" s="3"/>
      <c r="W602" s="3"/>
      <c r="X602" s="3"/>
      <c r="Y602" s="7"/>
      <c r="Z602" s="1"/>
    </row>
    <row r="603" spans="1:26" ht="27" customHeight="1">
      <c r="A603" s="1"/>
      <c r="B603" s="1"/>
      <c r="C603" s="2"/>
      <c r="D603" s="2"/>
      <c r="E603" s="2"/>
      <c r="F603" s="87"/>
      <c r="G603" s="87"/>
      <c r="H603" s="87"/>
      <c r="I603" s="87"/>
      <c r="J603" s="87"/>
      <c r="K603" s="1"/>
      <c r="L603" s="1"/>
      <c r="M603" s="1"/>
      <c r="N603" s="1"/>
      <c r="O603" s="87"/>
      <c r="P603" s="87"/>
      <c r="Q603" s="87"/>
      <c r="R603" s="87"/>
      <c r="S603" s="4"/>
      <c r="T603" s="1"/>
      <c r="U603" s="5"/>
      <c r="V603" s="3"/>
      <c r="W603" s="3"/>
      <c r="X603" s="3"/>
      <c r="Y603" s="7"/>
      <c r="Z603" s="1"/>
    </row>
    <row r="604" spans="1:26" ht="27" customHeight="1">
      <c r="A604" s="1"/>
      <c r="B604" s="1"/>
      <c r="C604" s="2"/>
      <c r="D604" s="2"/>
      <c r="E604" s="2"/>
      <c r="F604" s="87"/>
      <c r="G604" s="87"/>
      <c r="H604" s="87"/>
      <c r="I604" s="87"/>
      <c r="J604" s="87"/>
      <c r="K604" s="1"/>
      <c r="L604" s="1"/>
      <c r="M604" s="1"/>
      <c r="N604" s="1"/>
      <c r="O604" s="87"/>
      <c r="P604" s="87"/>
      <c r="Q604" s="87"/>
      <c r="R604" s="87"/>
      <c r="S604" s="4"/>
      <c r="T604" s="1"/>
      <c r="U604" s="5"/>
      <c r="V604" s="3"/>
      <c r="W604" s="3"/>
      <c r="X604" s="3"/>
      <c r="Y604" s="7"/>
      <c r="Z604" s="1"/>
    </row>
    <row r="605" spans="1:26" ht="27" customHeight="1">
      <c r="A605" s="1"/>
      <c r="B605" s="1"/>
      <c r="C605" s="2"/>
      <c r="D605" s="2"/>
      <c r="E605" s="2"/>
      <c r="F605" s="87"/>
      <c r="G605" s="87"/>
      <c r="H605" s="87"/>
      <c r="I605" s="87"/>
      <c r="J605" s="87"/>
      <c r="K605" s="1"/>
      <c r="L605" s="1"/>
      <c r="M605" s="1"/>
      <c r="N605" s="1"/>
      <c r="O605" s="87"/>
      <c r="P605" s="87"/>
      <c r="Q605" s="87"/>
      <c r="R605" s="87"/>
      <c r="S605" s="4"/>
      <c r="T605" s="1"/>
      <c r="U605" s="5"/>
      <c r="V605" s="3"/>
      <c r="W605" s="3"/>
      <c r="X605" s="3"/>
      <c r="Y605" s="7"/>
      <c r="Z605" s="1"/>
    </row>
    <row r="606" spans="1:26" ht="27" customHeight="1">
      <c r="A606" s="1"/>
      <c r="B606" s="1"/>
      <c r="C606" s="2"/>
      <c r="D606" s="2"/>
      <c r="E606" s="2"/>
      <c r="F606" s="87"/>
      <c r="G606" s="87"/>
      <c r="H606" s="87"/>
      <c r="I606" s="87"/>
      <c r="J606" s="87"/>
      <c r="K606" s="1"/>
      <c r="L606" s="1"/>
      <c r="M606" s="1"/>
      <c r="N606" s="1"/>
      <c r="O606" s="87"/>
      <c r="P606" s="87"/>
      <c r="Q606" s="87"/>
      <c r="R606" s="87"/>
      <c r="S606" s="4"/>
      <c r="T606" s="1"/>
      <c r="U606" s="5"/>
      <c r="V606" s="3"/>
      <c r="W606" s="3"/>
      <c r="X606" s="3"/>
      <c r="Y606" s="7"/>
      <c r="Z606" s="1"/>
    </row>
    <row r="607" spans="1:26" ht="27" customHeight="1">
      <c r="A607" s="1"/>
      <c r="B607" s="1"/>
      <c r="C607" s="2"/>
      <c r="D607" s="2"/>
      <c r="E607" s="2"/>
      <c r="F607" s="87"/>
      <c r="G607" s="87"/>
      <c r="H607" s="87"/>
      <c r="I607" s="87"/>
      <c r="J607" s="87"/>
      <c r="K607" s="1"/>
      <c r="L607" s="1"/>
      <c r="M607" s="1"/>
      <c r="N607" s="1"/>
      <c r="O607" s="87"/>
      <c r="P607" s="87"/>
      <c r="Q607" s="87"/>
      <c r="R607" s="87"/>
      <c r="S607" s="4"/>
      <c r="T607" s="1"/>
      <c r="U607" s="5"/>
      <c r="V607" s="3"/>
      <c r="W607" s="3"/>
      <c r="X607" s="3"/>
      <c r="Y607" s="7"/>
      <c r="Z607" s="1"/>
    </row>
    <row r="608" spans="1:26" ht="27" customHeight="1">
      <c r="A608" s="1"/>
      <c r="B608" s="1"/>
      <c r="C608" s="2"/>
      <c r="D608" s="2"/>
      <c r="E608" s="2"/>
      <c r="F608" s="87"/>
      <c r="G608" s="87"/>
      <c r="H608" s="87"/>
      <c r="I608" s="87"/>
      <c r="J608" s="87"/>
      <c r="K608" s="1"/>
      <c r="L608" s="1"/>
      <c r="M608" s="1"/>
      <c r="N608" s="1"/>
      <c r="O608" s="87"/>
      <c r="P608" s="87"/>
      <c r="Q608" s="87"/>
      <c r="R608" s="87"/>
      <c r="S608" s="4"/>
      <c r="T608" s="1"/>
      <c r="U608" s="5"/>
      <c r="V608" s="3"/>
      <c r="W608" s="3"/>
      <c r="X608" s="3"/>
      <c r="Y608" s="7"/>
      <c r="Z608" s="1"/>
    </row>
    <row r="609" spans="1:26" ht="27" customHeight="1">
      <c r="A609" s="1"/>
      <c r="B609" s="1"/>
      <c r="C609" s="2"/>
      <c r="D609" s="2"/>
      <c r="E609" s="2"/>
      <c r="F609" s="87"/>
      <c r="G609" s="87"/>
      <c r="H609" s="87"/>
      <c r="I609" s="87"/>
      <c r="J609" s="87"/>
      <c r="K609" s="1"/>
      <c r="L609" s="1"/>
      <c r="M609" s="1"/>
      <c r="N609" s="1"/>
      <c r="O609" s="87"/>
      <c r="P609" s="87"/>
      <c r="Q609" s="87"/>
      <c r="R609" s="87"/>
      <c r="S609" s="4"/>
      <c r="T609" s="1"/>
      <c r="U609" s="5"/>
      <c r="V609" s="3"/>
      <c r="W609" s="3"/>
      <c r="X609" s="3"/>
      <c r="Y609" s="7"/>
      <c r="Z609" s="1"/>
    </row>
    <row r="610" spans="1:26" ht="27" customHeight="1">
      <c r="A610" s="1"/>
      <c r="B610" s="1"/>
      <c r="C610" s="2"/>
      <c r="D610" s="2"/>
      <c r="E610" s="2"/>
      <c r="F610" s="87"/>
      <c r="G610" s="87"/>
      <c r="H610" s="87"/>
      <c r="I610" s="87"/>
      <c r="J610" s="87"/>
      <c r="K610" s="1"/>
      <c r="L610" s="1"/>
      <c r="M610" s="1"/>
      <c r="N610" s="1"/>
      <c r="O610" s="87"/>
      <c r="P610" s="87"/>
      <c r="Q610" s="87"/>
      <c r="R610" s="87"/>
      <c r="S610" s="4"/>
      <c r="T610" s="1"/>
      <c r="U610" s="5"/>
      <c r="V610" s="3"/>
      <c r="W610" s="3"/>
      <c r="X610" s="3"/>
      <c r="Y610" s="7"/>
      <c r="Z610" s="1"/>
    </row>
    <row r="611" spans="1:26" ht="27" customHeight="1">
      <c r="A611" s="1"/>
      <c r="B611" s="1"/>
      <c r="C611" s="2"/>
      <c r="D611" s="2"/>
      <c r="E611" s="2"/>
      <c r="F611" s="87"/>
      <c r="G611" s="87"/>
      <c r="H611" s="87"/>
      <c r="I611" s="87"/>
      <c r="J611" s="87"/>
      <c r="K611" s="1"/>
      <c r="L611" s="1"/>
      <c r="M611" s="1"/>
      <c r="N611" s="1"/>
      <c r="O611" s="87"/>
      <c r="P611" s="87"/>
      <c r="Q611" s="87"/>
      <c r="R611" s="87"/>
      <c r="S611" s="4"/>
      <c r="T611" s="1"/>
      <c r="U611" s="5"/>
      <c r="V611" s="3"/>
      <c r="W611" s="3"/>
      <c r="X611" s="3"/>
      <c r="Y611" s="7"/>
      <c r="Z611" s="1"/>
    </row>
    <row r="612" spans="1:26" ht="27" customHeight="1">
      <c r="A612" s="1"/>
      <c r="B612" s="1"/>
      <c r="C612" s="2"/>
      <c r="D612" s="2"/>
      <c r="E612" s="2"/>
      <c r="F612" s="87"/>
      <c r="G612" s="87"/>
      <c r="H612" s="87"/>
      <c r="I612" s="87"/>
      <c r="J612" s="87"/>
      <c r="K612" s="1"/>
      <c r="L612" s="1"/>
      <c r="M612" s="1"/>
      <c r="N612" s="1"/>
      <c r="O612" s="87"/>
      <c r="P612" s="87"/>
      <c r="Q612" s="87"/>
      <c r="R612" s="87"/>
      <c r="S612" s="4"/>
      <c r="T612" s="1"/>
      <c r="U612" s="5"/>
      <c r="V612" s="3"/>
      <c r="W612" s="3"/>
      <c r="X612" s="3"/>
      <c r="Y612" s="7"/>
      <c r="Z612" s="1"/>
    </row>
    <row r="613" spans="1:26" ht="27" customHeight="1">
      <c r="A613" s="1"/>
      <c r="B613" s="1"/>
      <c r="C613" s="2"/>
      <c r="D613" s="2"/>
      <c r="E613" s="2"/>
      <c r="F613" s="87"/>
      <c r="G613" s="87"/>
      <c r="H613" s="87"/>
      <c r="I613" s="87"/>
      <c r="J613" s="87"/>
      <c r="K613" s="1"/>
      <c r="L613" s="1"/>
      <c r="M613" s="1"/>
      <c r="N613" s="1"/>
      <c r="O613" s="87"/>
      <c r="P613" s="87"/>
      <c r="Q613" s="87"/>
      <c r="R613" s="87"/>
      <c r="S613" s="4"/>
      <c r="T613" s="1"/>
      <c r="U613" s="5"/>
      <c r="V613" s="3"/>
      <c r="W613" s="3"/>
      <c r="X613" s="3"/>
      <c r="Y613" s="7"/>
      <c r="Z613" s="1"/>
    </row>
    <row r="614" spans="1:26" ht="27" customHeight="1">
      <c r="A614" s="1"/>
      <c r="B614" s="1"/>
      <c r="C614" s="2"/>
      <c r="D614" s="2"/>
      <c r="E614" s="2"/>
      <c r="F614" s="87"/>
      <c r="G614" s="87"/>
      <c r="H614" s="87"/>
      <c r="I614" s="87"/>
      <c r="J614" s="87"/>
      <c r="K614" s="1"/>
      <c r="L614" s="1"/>
      <c r="M614" s="1"/>
      <c r="N614" s="1"/>
      <c r="O614" s="87"/>
      <c r="P614" s="87"/>
      <c r="Q614" s="87"/>
      <c r="R614" s="87"/>
      <c r="S614" s="4"/>
      <c r="T614" s="1"/>
      <c r="U614" s="5"/>
      <c r="V614" s="3"/>
      <c r="W614" s="3"/>
      <c r="X614" s="3"/>
      <c r="Y614" s="7"/>
      <c r="Z614" s="1"/>
    </row>
    <row r="615" spans="1:26" ht="27" customHeight="1">
      <c r="A615" s="1"/>
      <c r="B615" s="1"/>
      <c r="C615" s="2"/>
      <c r="D615" s="2"/>
      <c r="E615" s="2"/>
      <c r="F615" s="87"/>
      <c r="G615" s="87"/>
      <c r="H615" s="87"/>
      <c r="I615" s="87"/>
      <c r="J615" s="87"/>
      <c r="K615" s="1"/>
      <c r="L615" s="1"/>
      <c r="M615" s="1"/>
      <c r="N615" s="1"/>
      <c r="O615" s="87"/>
      <c r="P615" s="87"/>
      <c r="Q615" s="87"/>
      <c r="R615" s="87"/>
      <c r="S615" s="4"/>
      <c r="T615" s="1"/>
      <c r="U615" s="5"/>
      <c r="V615" s="3"/>
      <c r="W615" s="3"/>
      <c r="X615" s="3"/>
      <c r="Y615" s="7"/>
      <c r="Z615" s="1"/>
    </row>
    <row r="616" spans="1:26" ht="27" customHeight="1">
      <c r="A616" s="1"/>
      <c r="B616" s="1"/>
      <c r="C616" s="2"/>
      <c r="D616" s="2"/>
      <c r="E616" s="2"/>
      <c r="F616" s="87"/>
      <c r="G616" s="87"/>
      <c r="H616" s="87"/>
      <c r="I616" s="87"/>
      <c r="J616" s="87"/>
      <c r="K616" s="1"/>
      <c r="L616" s="1"/>
      <c r="M616" s="1"/>
      <c r="N616" s="1"/>
      <c r="O616" s="87"/>
      <c r="P616" s="87"/>
      <c r="Q616" s="87"/>
      <c r="R616" s="87"/>
      <c r="S616" s="4"/>
      <c r="T616" s="1"/>
      <c r="U616" s="5"/>
      <c r="V616" s="3"/>
      <c r="W616" s="3"/>
      <c r="X616" s="3"/>
      <c r="Y616" s="7"/>
      <c r="Z616" s="1"/>
    </row>
    <row r="617" spans="1:26" ht="27" customHeight="1">
      <c r="A617" s="1"/>
      <c r="B617" s="1"/>
      <c r="C617" s="2"/>
      <c r="D617" s="2"/>
      <c r="E617" s="2"/>
      <c r="F617" s="87"/>
      <c r="G617" s="87"/>
      <c r="H617" s="87"/>
      <c r="I617" s="87"/>
      <c r="J617" s="87"/>
      <c r="K617" s="1"/>
      <c r="L617" s="1"/>
      <c r="M617" s="1"/>
      <c r="N617" s="1"/>
      <c r="O617" s="87"/>
      <c r="P617" s="87"/>
      <c r="Q617" s="87"/>
      <c r="R617" s="87"/>
      <c r="S617" s="4"/>
      <c r="T617" s="1"/>
      <c r="U617" s="5"/>
      <c r="V617" s="3"/>
      <c r="W617" s="3"/>
      <c r="X617" s="3"/>
      <c r="Y617" s="7"/>
      <c r="Z617" s="1"/>
    </row>
    <row r="618" spans="1:26" ht="27" customHeight="1">
      <c r="A618" s="1"/>
      <c r="B618" s="1"/>
      <c r="C618" s="2"/>
      <c r="D618" s="2"/>
      <c r="E618" s="2"/>
      <c r="F618" s="87"/>
      <c r="G618" s="87"/>
      <c r="H618" s="87"/>
      <c r="I618" s="87"/>
      <c r="J618" s="87"/>
      <c r="K618" s="1"/>
      <c r="L618" s="1"/>
      <c r="M618" s="1"/>
      <c r="N618" s="1"/>
      <c r="O618" s="87"/>
      <c r="P618" s="87"/>
      <c r="Q618" s="87"/>
      <c r="R618" s="87"/>
      <c r="S618" s="4"/>
      <c r="T618" s="1"/>
      <c r="U618" s="5"/>
      <c r="V618" s="3"/>
      <c r="W618" s="3"/>
      <c r="X618" s="3"/>
      <c r="Y618" s="7"/>
      <c r="Z618" s="1"/>
    </row>
    <row r="619" spans="1:26" ht="27" customHeight="1">
      <c r="A619" s="1"/>
      <c r="B619" s="1"/>
      <c r="C619" s="2"/>
      <c r="D619" s="2"/>
      <c r="E619" s="2"/>
      <c r="F619" s="87"/>
      <c r="G619" s="87"/>
      <c r="H619" s="87"/>
      <c r="I619" s="87"/>
      <c r="J619" s="87"/>
      <c r="K619" s="1"/>
      <c r="L619" s="1"/>
      <c r="M619" s="1"/>
      <c r="N619" s="1"/>
      <c r="O619" s="87"/>
      <c r="P619" s="87"/>
      <c r="Q619" s="87"/>
      <c r="R619" s="87"/>
      <c r="S619" s="4"/>
      <c r="T619" s="1"/>
      <c r="U619" s="5"/>
      <c r="V619" s="3"/>
      <c r="W619" s="3"/>
      <c r="X619" s="3"/>
      <c r="Y619" s="7"/>
      <c r="Z619" s="1"/>
    </row>
    <row r="620" spans="1:26" ht="27" customHeight="1">
      <c r="A620" s="1"/>
      <c r="B620" s="1"/>
      <c r="C620" s="2"/>
      <c r="D620" s="2"/>
      <c r="E620" s="2"/>
      <c r="F620" s="87"/>
      <c r="G620" s="87"/>
      <c r="H620" s="87"/>
      <c r="I620" s="87"/>
      <c r="J620" s="87"/>
      <c r="K620" s="1"/>
      <c r="L620" s="1"/>
      <c r="M620" s="1"/>
      <c r="N620" s="1"/>
      <c r="O620" s="87"/>
      <c r="P620" s="87"/>
      <c r="Q620" s="87"/>
      <c r="R620" s="87"/>
      <c r="S620" s="4"/>
      <c r="T620" s="1"/>
      <c r="U620" s="5"/>
      <c r="V620" s="3"/>
      <c r="W620" s="3"/>
      <c r="X620" s="3"/>
      <c r="Y620" s="7"/>
      <c r="Z620" s="1"/>
    </row>
    <row r="621" spans="1:26" ht="27" customHeight="1">
      <c r="A621" s="1"/>
      <c r="B621" s="1"/>
      <c r="C621" s="2"/>
      <c r="D621" s="2"/>
      <c r="E621" s="2"/>
      <c r="F621" s="87"/>
      <c r="G621" s="87"/>
      <c r="H621" s="87"/>
      <c r="I621" s="87"/>
      <c r="J621" s="87"/>
      <c r="K621" s="1"/>
      <c r="L621" s="1"/>
      <c r="M621" s="1"/>
      <c r="N621" s="1"/>
      <c r="O621" s="87"/>
      <c r="P621" s="87"/>
      <c r="Q621" s="87"/>
      <c r="R621" s="87"/>
      <c r="S621" s="4"/>
      <c r="T621" s="1"/>
      <c r="U621" s="5"/>
      <c r="V621" s="3"/>
      <c r="W621" s="3"/>
      <c r="X621" s="3"/>
      <c r="Y621" s="7"/>
      <c r="Z621" s="1"/>
    </row>
    <row r="622" spans="1:26" ht="27" customHeight="1">
      <c r="A622" s="1"/>
      <c r="B622" s="1"/>
      <c r="C622" s="2"/>
      <c r="D622" s="2"/>
      <c r="E622" s="2"/>
      <c r="F622" s="87"/>
      <c r="G622" s="87"/>
      <c r="H622" s="87"/>
      <c r="I622" s="87"/>
      <c r="J622" s="87"/>
      <c r="K622" s="1"/>
      <c r="L622" s="1"/>
      <c r="M622" s="1"/>
      <c r="N622" s="1"/>
      <c r="O622" s="87"/>
      <c r="P622" s="87"/>
      <c r="Q622" s="87"/>
      <c r="R622" s="87"/>
      <c r="S622" s="4"/>
      <c r="T622" s="1"/>
      <c r="U622" s="5"/>
      <c r="V622" s="3"/>
      <c r="W622" s="3"/>
      <c r="X622" s="3"/>
      <c r="Y622" s="7"/>
      <c r="Z622" s="1"/>
    </row>
    <row r="623" spans="1:26" ht="27" customHeight="1">
      <c r="A623" s="1"/>
      <c r="B623" s="1"/>
      <c r="C623" s="2"/>
      <c r="D623" s="2"/>
      <c r="E623" s="2"/>
      <c r="F623" s="87"/>
      <c r="G623" s="87"/>
      <c r="H623" s="87"/>
      <c r="I623" s="87"/>
      <c r="J623" s="87"/>
      <c r="K623" s="1"/>
      <c r="L623" s="1"/>
      <c r="M623" s="1"/>
      <c r="N623" s="1"/>
      <c r="O623" s="87"/>
      <c r="P623" s="87"/>
      <c r="Q623" s="87"/>
      <c r="R623" s="87"/>
      <c r="S623" s="4"/>
      <c r="T623" s="1"/>
      <c r="U623" s="5"/>
      <c r="V623" s="3"/>
      <c r="W623" s="3"/>
      <c r="X623" s="3"/>
      <c r="Y623" s="7"/>
      <c r="Z623" s="1"/>
    </row>
    <row r="624" spans="1:26" ht="27" customHeight="1">
      <c r="A624" s="1"/>
      <c r="B624" s="1"/>
      <c r="C624" s="2"/>
      <c r="D624" s="2"/>
      <c r="E624" s="2"/>
      <c r="F624" s="87"/>
      <c r="G624" s="87"/>
      <c r="H624" s="87"/>
      <c r="I624" s="87"/>
      <c r="J624" s="87"/>
      <c r="K624" s="1"/>
      <c r="L624" s="1"/>
      <c r="M624" s="1"/>
      <c r="N624" s="1"/>
      <c r="O624" s="87"/>
      <c r="P624" s="87"/>
      <c r="Q624" s="87"/>
      <c r="R624" s="87"/>
      <c r="S624" s="4"/>
      <c r="T624" s="1"/>
      <c r="U624" s="5"/>
      <c r="V624" s="3"/>
      <c r="W624" s="3"/>
      <c r="X624" s="3"/>
      <c r="Y624" s="7"/>
      <c r="Z624" s="1"/>
    </row>
    <row r="625" spans="1:26" ht="27" customHeight="1">
      <c r="A625" s="1"/>
      <c r="B625" s="1"/>
      <c r="C625" s="2"/>
      <c r="D625" s="2"/>
      <c r="E625" s="2"/>
      <c r="F625" s="87"/>
      <c r="G625" s="87"/>
      <c r="H625" s="87"/>
      <c r="I625" s="87"/>
      <c r="J625" s="87"/>
      <c r="K625" s="1"/>
      <c r="L625" s="1"/>
      <c r="M625" s="1"/>
      <c r="N625" s="1"/>
      <c r="O625" s="87"/>
      <c r="P625" s="87"/>
      <c r="Q625" s="87"/>
      <c r="R625" s="87"/>
      <c r="S625" s="4"/>
      <c r="T625" s="1"/>
      <c r="U625" s="5"/>
      <c r="V625" s="3"/>
      <c r="W625" s="3"/>
      <c r="X625" s="3"/>
      <c r="Y625" s="7"/>
      <c r="Z625" s="1"/>
    </row>
    <row r="626" spans="1:26" ht="27" customHeight="1">
      <c r="A626" s="1"/>
      <c r="B626" s="1"/>
      <c r="C626" s="2"/>
      <c r="D626" s="2"/>
      <c r="E626" s="2"/>
      <c r="F626" s="87"/>
      <c r="G626" s="87"/>
      <c r="H626" s="87"/>
      <c r="I626" s="87"/>
      <c r="J626" s="87"/>
      <c r="K626" s="1"/>
      <c r="L626" s="1"/>
      <c r="M626" s="1"/>
      <c r="N626" s="1"/>
      <c r="O626" s="87"/>
      <c r="P626" s="87"/>
      <c r="Q626" s="87"/>
      <c r="R626" s="87"/>
      <c r="S626" s="4"/>
      <c r="T626" s="1"/>
      <c r="U626" s="5"/>
      <c r="V626" s="3"/>
      <c r="W626" s="3"/>
      <c r="X626" s="3"/>
      <c r="Y626" s="7"/>
      <c r="Z626" s="1"/>
    </row>
    <row r="627" spans="1:26" ht="27" customHeight="1">
      <c r="A627" s="1"/>
      <c r="B627" s="1"/>
      <c r="C627" s="2"/>
      <c r="D627" s="2"/>
      <c r="E627" s="2"/>
      <c r="F627" s="87"/>
      <c r="G627" s="87"/>
      <c r="H627" s="87"/>
      <c r="I627" s="87"/>
      <c r="J627" s="87"/>
      <c r="K627" s="1"/>
      <c r="L627" s="1"/>
      <c r="M627" s="1"/>
      <c r="N627" s="1"/>
      <c r="O627" s="87"/>
      <c r="P627" s="87"/>
      <c r="Q627" s="87"/>
      <c r="R627" s="87"/>
      <c r="S627" s="4"/>
      <c r="T627" s="1"/>
      <c r="U627" s="5"/>
      <c r="V627" s="3"/>
      <c r="W627" s="3"/>
      <c r="X627" s="3"/>
      <c r="Y627" s="7"/>
      <c r="Z627" s="1"/>
    </row>
    <row r="628" spans="1:26" ht="27" customHeight="1">
      <c r="A628" s="1"/>
      <c r="B628" s="1"/>
      <c r="C628" s="2"/>
      <c r="D628" s="2"/>
      <c r="E628" s="2"/>
      <c r="F628" s="87"/>
      <c r="G628" s="87"/>
      <c r="H628" s="87"/>
      <c r="I628" s="87"/>
      <c r="J628" s="87"/>
      <c r="K628" s="1"/>
      <c r="L628" s="1"/>
      <c r="M628" s="1"/>
      <c r="N628" s="1"/>
      <c r="O628" s="87"/>
      <c r="P628" s="87"/>
      <c r="Q628" s="87"/>
      <c r="R628" s="87"/>
      <c r="S628" s="4"/>
      <c r="T628" s="1"/>
      <c r="U628" s="5"/>
      <c r="V628" s="3"/>
      <c r="W628" s="3"/>
      <c r="X628" s="3"/>
      <c r="Y628" s="7"/>
      <c r="Z628" s="1"/>
    </row>
    <row r="629" spans="1:26" ht="27" customHeight="1">
      <c r="A629" s="1"/>
      <c r="B629" s="1"/>
      <c r="C629" s="2"/>
      <c r="D629" s="2"/>
      <c r="E629" s="2"/>
      <c r="F629" s="87"/>
      <c r="G629" s="87"/>
      <c r="H629" s="87"/>
      <c r="I629" s="87"/>
      <c r="J629" s="87"/>
      <c r="K629" s="1"/>
      <c r="L629" s="1"/>
      <c r="M629" s="1"/>
      <c r="N629" s="1"/>
      <c r="O629" s="87"/>
      <c r="P629" s="87"/>
      <c r="Q629" s="87"/>
      <c r="R629" s="87"/>
      <c r="S629" s="4"/>
      <c r="T629" s="1"/>
      <c r="U629" s="5"/>
      <c r="V629" s="3"/>
      <c r="W629" s="3"/>
      <c r="X629" s="3"/>
      <c r="Y629" s="7"/>
      <c r="Z629" s="1"/>
    </row>
    <row r="630" spans="1:26" ht="27" customHeight="1">
      <c r="A630" s="1"/>
      <c r="B630" s="1"/>
      <c r="C630" s="2"/>
      <c r="D630" s="2"/>
      <c r="E630" s="2"/>
      <c r="F630" s="87"/>
      <c r="G630" s="87"/>
      <c r="H630" s="87"/>
      <c r="I630" s="87"/>
      <c r="J630" s="87"/>
      <c r="K630" s="1"/>
      <c r="L630" s="1"/>
      <c r="M630" s="1"/>
      <c r="N630" s="1"/>
      <c r="O630" s="87"/>
      <c r="P630" s="87"/>
      <c r="Q630" s="87"/>
      <c r="R630" s="87"/>
      <c r="S630" s="4"/>
      <c r="T630" s="1"/>
      <c r="U630" s="5"/>
      <c r="V630" s="3"/>
      <c r="W630" s="3"/>
      <c r="X630" s="3"/>
      <c r="Y630" s="7"/>
      <c r="Z630" s="1"/>
    </row>
    <row r="631" spans="1:26" ht="27" customHeight="1">
      <c r="A631" s="1"/>
      <c r="B631" s="1"/>
      <c r="C631" s="2"/>
      <c r="D631" s="2"/>
      <c r="E631" s="2"/>
      <c r="F631" s="87"/>
      <c r="G631" s="87"/>
      <c r="H631" s="87"/>
      <c r="I631" s="87"/>
      <c r="J631" s="87"/>
      <c r="K631" s="1"/>
      <c r="L631" s="1"/>
      <c r="M631" s="1"/>
      <c r="N631" s="1"/>
      <c r="O631" s="87"/>
      <c r="P631" s="87"/>
      <c r="Q631" s="87"/>
      <c r="R631" s="87"/>
      <c r="S631" s="4"/>
      <c r="T631" s="1"/>
      <c r="U631" s="5"/>
      <c r="V631" s="3"/>
      <c r="W631" s="3"/>
      <c r="X631" s="3"/>
      <c r="Y631" s="7"/>
      <c r="Z631" s="1"/>
    </row>
    <row r="632" spans="1:26" ht="27" customHeight="1">
      <c r="A632" s="1"/>
      <c r="B632" s="1"/>
      <c r="C632" s="2"/>
      <c r="D632" s="2"/>
      <c r="E632" s="2"/>
      <c r="F632" s="87"/>
      <c r="G632" s="87"/>
      <c r="H632" s="87"/>
      <c r="I632" s="87"/>
      <c r="J632" s="87"/>
      <c r="K632" s="1"/>
      <c r="L632" s="1"/>
      <c r="M632" s="1"/>
      <c r="N632" s="1"/>
      <c r="O632" s="87"/>
      <c r="P632" s="87"/>
      <c r="Q632" s="87"/>
      <c r="R632" s="87"/>
      <c r="S632" s="4"/>
      <c r="T632" s="1"/>
      <c r="U632" s="5"/>
      <c r="V632" s="3"/>
      <c r="W632" s="3"/>
      <c r="X632" s="3"/>
      <c r="Y632" s="7"/>
      <c r="Z632" s="1"/>
    </row>
    <row r="633" spans="1:26" ht="27" customHeight="1">
      <c r="A633" s="1"/>
      <c r="B633" s="1"/>
      <c r="C633" s="2"/>
      <c r="D633" s="2"/>
      <c r="E633" s="2"/>
      <c r="F633" s="87"/>
      <c r="G633" s="87"/>
      <c r="H633" s="87"/>
      <c r="I633" s="87"/>
      <c r="J633" s="87"/>
      <c r="K633" s="1"/>
      <c r="L633" s="1"/>
      <c r="M633" s="1"/>
      <c r="N633" s="1"/>
      <c r="O633" s="87"/>
      <c r="P633" s="87"/>
      <c r="Q633" s="87"/>
      <c r="R633" s="87"/>
      <c r="S633" s="4"/>
      <c r="T633" s="1"/>
      <c r="U633" s="5"/>
      <c r="V633" s="3"/>
      <c r="W633" s="3"/>
      <c r="X633" s="3"/>
      <c r="Y633" s="7"/>
      <c r="Z633" s="1"/>
    </row>
    <row r="634" spans="1:26" ht="27" customHeight="1">
      <c r="A634" s="1"/>
      <c r="B634" s="1"/>
      <c r="C634" s="2"/>
      <c r="D634" s="2"/>
      <c r="E634" s="2"/>
      <c r="F634" s="87"/>
      <c r="G634" s="87"/>
      <c r="H634" s="87"/>
      <c r="I634" s="87"/>
      <c r="J634" s="87"/>
      <c r="K634" s="1"/>
      <c r="L634" s="1"/>
      <c r="M634" s="1"/>
      <c r="N634" s="1"/>
      <c r="O634" s="87"/>
      <c r="P634" s="87"/>
      <c r="Q634" s="87"/>
      <c r="R634" s="87"/>
      <c r="S634" s="4"/>
      <c r="T634" s="1"/>
      <c r="U634" s="5"/>
      <c r="V634" s="3"/>
      <c r="W634" s="3"/>
      <c r="X634" s="3"/>
      <c r="Y634" s="7"/>
      <c r="Z634" s="1"/>
    </row>
    <row r="635" spans="1:26" ht="27" customHeight="1">
      <c r="A635" s="1"/>
      <c r="B635" s="1"/>
      <c r="C635" s="2"/>
      <c r="D635" s="2"/>
      <c r="E635" s="2"/>
      <c r="F635" s="87"/>
      <c r="G635" s="87"/>
      <c r="H635" s="87"/>
      <c r="I635" s="87"/>
      <c r="J635" s="87"/>
      <c r="K635" s="1"/>
      <c r="L635" s="1"/>
      <c r="M635" s="1"/>
      <c r="N635" s="1"/>
      <c r="O635" s="87"/>
      <c r="P635" s="87"/>
      <c r="Q635" s="87"/>
      <c r="R635" s="87"/>
      <c r="S635" s="4"/>
      <c r="T635" s="1"/>
      <c r="U635" s="5"/>
      <c r="V635" s="3"/>
      <c r="W635" s="3"/>
      <c r="X635" s="3"/>
      <c r="Y635" s="7"/>
      <c r="Z635" s="1"/>
    </row>
    <row r="636" spans="1:26" ht="27" customHeight="1">
      <c r="A636" s="1"/>
      <c r="B636" s="1"/>
      <c r="C636" s="2"/>
      <c r="D636" s="2"/>
      <c r="E636" s="2"/>
      <c r="F636" s="87"/>
      <c r="G636" s="87"/>
      <c r="H636" s="87"/>
      <c r="I636" s="87"/>
      <c r="J636" s="87"/>
      <c r="K636" s="1"/>
      <c r="L636" s="1"/>
      <c r="M636" s="1"/>
      <c r="N636" s="1"/>
      <c r="O636" s="87"/>
      <c r="P636" s="87"/>
      <c r="Q636" s="87"/>
      <c r="R636" s="87"/>
      <c r="S636" s="4"/>
      <c r="T636" s="1"/>
      <c r="U636" s="5"/>
      <c r="V636" s="3"/>
      <c r="W636" s="3"/>
      <c r="X636" s="3"/>
      <c r="Y636" s="7"/>
      <c r="Z636" s="1"/>
    </row>
    <row r="637" spans="1:26" ht="27" customHeight="1">
      <c r="A637" s="1"/>
      <c r="B637" s="1"/>
      <c r="C637" s="2"/>
      <c r="D637" s="2"/>
      <c r="E637" s="2"/>
      <c r="F637" s="87"/>
      <c r="G637" s="87"/>
      <c r="H637" s="87"/>
      <c r="I637" s="87"/>
      <c r="J637" s="87"/>
      <c r="K637" s="1"/>
      <c r="L637" s="1"/>
      <c r="M637" s="1"/>
      <c r="N637" s="1"/>
      <c r="O637" s="87"/>
      <c r="P637" s="87"/>
      <c r="Q637" s="87"/>
      <c r="R637" s="87"/>
      <c r="S637" s="4"/>
      <c r="T637" s="1"/>
      <c r="U637" s="5"/>
      <c r="V637" s="3"/>
      <c r="W637" s="3"/>
      <c r="X637" s="3"/>
      <c r="Y637" s="7"/>
      <c r="Z637" s="1"/>
    </row>
    <row r="638" spans="1:26" ht="27" customHeight="1">
      <c r="A638" s="1"/>
      <c r="B638" s="1"/>
      <c r="C638" s="2"/>
      <c r="D638" s="2"/>
      <c r="E638" s="2"/>
      <c r="F638" s="87"/>
      <c r="G638" s="87"/>
      <c r="H638" s="87"/>
      <c r="I638" s="87"/>
      <c r="J638" s="87"/>
      <c r="K638" s="1"/>
      <c r="L638" s="1"/>
      <c r="M638" s="1"/>
      <c r="N638" s="1"/>
      <c r="O638" s="87"/>
      <c r="P638" s="87"/>
      <c r="Q638" s="87"/>
      <c r="R638" s="87"/>
      <c r="S638" s="4"/>
      <c r="T638" s="1"/>
      <c r="U638" s="5"/>
      <c r="V638" s="3"/>
      <c r="W638" s="3"/>
      <c r="X638" s="3"/>
      <c r="Y638" s="7"/>
      <c r="Z638" s="1"/>
    </row>
    <row r="639" spans="1:26" ht="27" customHeight="1">
      <c r="A639" s="1"/>
      <c r="B639" s="1"/>
      <c r="C639" s="2"/>
      <c r="D639" s="2"/>
      <c r="E639" s="2"/>
      <c r="F639" s="87"/>
      <c r="G639" s="87"/>
      <c r="H639" s="87"/>
      <c r="I639" s="87"/>
      <c r="J639" s="87"/>
      <c r="K639" s="1"/>
      <c r="L639" s="1"/>
      <c r="M639" s="1"/>
      <c r="N639" s="1"/>
      <c r="O639" s="87"/>
      <c r="P639" s="87"/>
      <c r="Q639" s="87"/>
      <c r="R639" s="87"/>
      <c r="S639" s="4"/>
      <c r="T639" s="1"/>
      <c r="U639" s="5"/>
      <c r="V639" s="3"/>
      <c r="W639" s="3"/>
      <c r="X639" s="3"/>
      <c r="Y639" s="7"/>
      <c r="Z639" s="1"/>
    </row>
    <row r="640" spans="1:26" ht="27" customHeight="1">
      <c r="A640" s="1"/>
      <c r="B640" s="1"/>
      <c r="C640" s="2"/>
      <c r="D640" s="2"/>
      <c r="E640" s="2"/>
      <c r="F640" s="87"/>
      <c r="G640" s="87"/>
      <c r="H640" s="87"/>
      <c r="I640" s="87"/>
      <c r="J640" s="87"/>
      <c r="K640" s="1"/>
      <c r="L640" s="1"/>
      <c r="M640" s="1"/>
      <c r="N640" s="1"/>
      <c r="O640" s="87"/>
      <c r="P640" s="87"/>
      <c r="Q640" s="87"/>
      <c r="R640" s="87"/>
      <c r="S640" s="4"/>
      <c r="T640" s="1"/>
      <c r="U640" s="5"/>
      <c r="V640" s="3"/>
      <c r="W640" s="3"/>
      <c r="X640" s="3"/>
      <c r="Y640" s="7"/>
      <c r="Z640" s="1"/>
    </row>
    <row r="641" spans="1:26" ht="27" customHeight="1">
      <c r="A641" s="1"/>
      <c r="B641" s="1"/>
      <c r="C641" s="2"/>
      <c r="D641" s="2"/>
      <c r="E641" s="2"/>
      <c r="F641" s="87"/>
      <c r="G641" s="87"/>
      <c r="H641" s="87"/>
      <c r="I641" s="87"/>
      <c r="J641" s="87"/>
      <c r="K641" s="1"/>
      <c r="L641" s="1"/>
      <c r="M641" s="1"/>
      <c r="N641" s="1"/>
      <c r="O641" s="87"/>
      <c r="P641" s="87"/>
      <c r="Q641" s="87"/>
      <c r="R641" s="87"/>
      <c r="S641" s="4"/>
      <c r="T641" s="1"/>
      <c r="U641" s="5"/>
      <c r="V641" s="3"/>
      <c r="W641" s="3"/>
      <c r="X641" s="3"/>
      <c r="Y641" s="7"/>
      <c r="Z641" s="1"/>
    </row>
    <row r="642" spans="1:26" ht="27" customHeight="1">
      <c r="A642" s="1"/>
      <c r="B642" s="1"/>
      <c r="C642" s="2"/>
      <c r="D642" s="2"/>
      <c r="E642" s="2"/>
      <c r="F642" s="87"/>
      <c r="G642" s="87"/>
      <c r="H642" s="87"/>
      <c r="I642" s="87"/>
      <c r="J642" s="87"/>
      <c r="K642" s="1"/>
      <c r="L642" s="1"/>
      <c r="M642" s="1"/>
      <c r="N642" s="1"/>
      <c r="O642" s="87"/>
      <c r="P642" s="87"/>
      <c r="Q642" s="87"/>
      <c r="R642" s="87"/>
      <c r="S642" s="4"/>
      <c r="T642" s="1"/>
      <c r="U642" s="5"/>
      <c r="V642" s="3"/>
      <c r="W642" s="3"/>
      <c r="X642" s="3"/>
      <c r="Y642" s="7"/>
      <c r="Z642" s="1"/>
    </row>
    <row r="643" spans="1:26" ht="27" customHeight="1">
      <c r="A643" s="1"/>
      <c r="B643" s="1"/>
      <c r="C643" s="2"/>
      <c r="D643" s="2"/>
      <c r="E643" s="2"/>
      <c r="F643" s="87"/>
      <c r="G643" s="87"/>
      <c r="H643" s="87"/>
      <c r="I643" s="87"/>
      <c r="J643" s="87"/>
      <c r="K643" s="1"/>
      <c r="L643" s="1"/>
      <c r="M643" s="1"/>
      <c r="N643" s="1"/>
      <c r="O643" s="87"/>
      <c r="P643" s="87"/>
      <c r="Q643" s="87"/>
      <c r="R643" s="87"/>
      <c r="S643" s="4"/>
      <c r="T643" s="1"/>
      <c r="U643" s="5"/>
      <c r="V643" s="3"/>
      <c r="W643" s="3"/>
      <c r="X643" s="3"/>
      <c r="Y643" s="7"/>
      <c r="Z643" s="1"/>
    </row>
    <row r="644" spans="1:26" ht="27" customHeight="1">
      <c r="A644" s="1"/>
      <c r="B644" s="1"/>
      <c r="C644" s="2"/>
      <c r="D644" s="2"/>
      <c r="E644" s="2"/>
      <c r="F644" s="87"/>
      <c r="G644" s="87"/>
      <c r="H644" s="87"/>
      <c r="I644" s="87"/>
      <c r="J644" s="87"/>
      <c r="K644" s="1"/>
      <c r="L644" s="1"/>
      <c r="M644" s="1"/>
      <c r="N644" s="1"/>
      <c r="O644" s="87"/>
      <c r="P644" s="87"/>
      <c r="Q644" s="87"/>
      <c r="R644" s="87"/>
      <c r="S644" s="4"/>
      <c r="T644" s="1"/>
      <c r="U644" s="5"/>
      <c r="V644" s="3"/>
      <c r="W644" s="3"/>
      <c r="X644" s="3"/>
      <c r="Y644" s="7"/>
      <c r="Z644" s="1"/>
    </row>
    <row r="645" spans="1:26" ht="27" customHeight="1">
      <c r="A645" s="1"/>
      <c r="B645" s="1"/>
      <c r="C645" s="2"/>
      <c r="D645" s="2"/>
      <c r="E645" s="2"/>
      <c r="F645" s="87"/>
      <c r="G645" s="87"/>
      <c r="H645" s="87"/>
      <c r="I645" s="87"/>
      <c r="J645" s="87"/>
      <c r="K645" s="1"/>
      <c r="L645" s="1"/>
      <c r="M645" s="1"/>
      <c r="N645" s="1"/>
      <c r="O645" s="87"/>
      <c r="P645" s="87"/>
      <c r="Q645" s="87"/>
      <c r="R645" s="87"/>
      <c r="S645" s="4"/>
      <c r="T645" s="1"/>
      <c r="U645" s="5"/>
      <c r="V645" s="3"/>
      <c r="W645" s="3"/>
      <c r="X645" s="3"/>
      <c r="Y645" s="7"/>
      <c r="Z645" s="1"/>
    </row>
    <row r="646" spans="1:26" ht="27" customHeight="1">
      <c r="A646" s="1"/>
      <c r="B646" s="1"/>
      <c r="C646" s="2"/>
      <c r="D646" s="2"/>
      <c r="E646" s="2"/>
      <c r="F646" s="87"/>
      <c r="G646" s="87"/>
      <c r="H646" s="87"/>
      <c r="I646" s="87"/>
      <c r="J646" s="87"/>
      <c r="K646" s="1"/>
      <c r="L646" s="1"/>
      <c r="M646" s="1"/>
      <c r="N646" s="1"/>
      <c r="O646" s="87"/>
      <c r="P646" s="87"/>
      <c r="Q646" s="87"/>
      <c r="R646" s="87"/>
      <c r="S646" s="4"/>
      <c r="T646" s="1"/>
      <c r="U646" s="5"/>
      <c r="V646" s="3"/>
      <c r="W646" s="3"/>
      <c r="X646" s="3"/>
      <c r="Y646" s="7"/>
      <c r="Z646" s="1"/>
    </row>
    <row r="647" spans="1:26" ht="27" customHeight="1">
      <c r="A647" s="1"/>
      <c r="B647" s="1"/>
      <c r="C647" s="2"/>
      <c r="D647" s="2"/>
      <c r="E647" s="2"/>
      <c r="F647" s="87"/>
      <c r="G647" s="87"/>
      <c r="H647" s="87"/>
      <c r="I647" s="87"/>
      <c r="J647" s="87"/>
      <c r="K647" s="1"/>
      <c r="L647" s="1"/>
      <c r="M647" s="1"/>
      <c r="N647" s="1"/>
      <c r="O647" s="87"/>
      <c r="P647" s="87"/>
      <c r="Q647" s="87"/>
      <c r="R647" s="87"/>
      <c r="S647" s="4"/>
      <c r="T647" s="1"/>
      <c r="U647" s="5"/>
      <c r="V647" s="3"/>
      <c r="W647" s="3"/>
      <c r="X647" s="3"/>
      <c r="Y647" s="7"/>
      <c r="Z647" s="1"/>
    </row>
    <row r="648" spans="1:26" ht="27" customHeight="1">
      <c r="A648" s="1"/>
      <c r="B648" s="1"/>
      <c r="C648" s="2"/>
      <c r="D648" s="2"/>
      <c r="E648" s="2"/>
      <c r="F648" s="87"/>
      <c r="G648" s="87"/>
      <c r="H648" s="87"/>
      <c r="I648" s="87"/>
      <c r="J648" s="87"/>
      <c r="K648" s="1"/>
      <c r="L648" s="1"/>
      <c r="M648" s="1"/>
      <c r="N648" s="1"/>
      <c r="O648" s="87"/>
      <c r="P648" s="87"/>
      <c r="Q648" s="87"/>
      <c r="R648" s="87"/>
      <c r="S648" s="4"/>
      <c r="T648" s="1"/>
      <c r="U648" s="5"/>
      <c r="V648" s="3"/>
      <c r="W648" s="3"/>
      <c r="X648" s="3"/>
      <c r="Y648" s="7"/>
      <c r="Z648" s="1"/>
    </row>
    <row r="649" spans="1:26" ht="27" customHeight="1">
      <c r="A649" s="1"/>
      <c r="B649" s="1"/>
      <c r="C649" s="2"/>
      <c r="D649" s="2"/>
      <c r="E649" s="2"/>
      <c r="F649" s="87"/>
      <c r="G649" s="87"/>
      <c r="H649" s="87"/>
      <c r="I649" s="87"/>
      <c r="J649" s="87"/>
      <c r="K649" s="1"/>
      <c r="L649" s="1"/>
      <c r="M649" s="1"/>
      <c r="N649" s="1"/>
      <c r="O649" s="87"/>
      <c r="P649" s="87"/>
      <c r="Q649" s="87"/>
      <c r="R649" s="87"/>
      <c r="S649" s="4"/>
      <c r="T649" s="1"/>
      <c r="U649" s="5"/>
      <c r="V649" s="3"/>
      <c r="W649" s="3"/>
      <c r="X649" s="3"/>
      <c r="Y649" s="7"/>
      <c r="Z649" s="1"/>
    </row>
    <row r="650" spans="1:26" ht="27" customHeight="1">
      <c r="A650" s="1"/>
      <c r="B650" s="1"/>
      <c r="C650" s="2"/>
      <c r="D650" s="2"/>
      <c r="E650" s="2"/>
      <c r="F650" s="87"/>
      <c r="G650" s="87"/>
      <c r="H650" s="87"/>
      <c r="I650" s="87"/>
      <c r="J650" s="87"/>
      <c r="K650" s="1"/>
      <c r="L650" s="1"/>
      <c r="M650" s="1"/>
      <c r="N650" s="1"/>
      <c r="O650" s="87"/>
      <c r="P650" s="87"/>
      <c r="Q650" s="87"/>
      <c r="R650" s="87"/>
      <c r="S650" s="4"/>
      <c r="T650" s="1"/>
      <c r="U650" s="5"/>
      <c r="V650" s="3"/>
      <c r="W650" s="3"/>
      <c r="X650" s="3"/>
      <c r="Y650" s="7"/>
      <c r="Z650" s="1"/>
    </row>
    <row r="651" spans="1:26" ht="27" customHeight="1">
      <c r="A651" s="1"/>
      <c r="B651" s="1"/>
      <c r="C651" s="2"/>
      <c r="D651" s="2"/>
      <c r="E651" s="2"/>
      <c r="F651" s="87"/>
      <c r="G651" s="87"/>
      <c r="H651" s="87"/>
      <c r="I651" s="87"/>
      <c r="J651" s="87"/>
      <c r="K651" s="1"/>
      <c r="L651" s="1"/>
      <c r="M651" s="1"/>
      <c r="N651" s="1"/>
      <c r="O651" s="87"/>
      <c r="P651" s="87"/>
      <c r="Q651" s="87"/>
      <c r="R651" s="87"/>
      <c r="S651" s="4"/>
      <c r="T651" s="1"/>
      <c r="U651" s="5"/>
      <c r="V651" s="3"/>
      <c r="W651" s="3"/>
      <c r="X651" s="3"/>
      <c r="Y651" s="7"/>
      <c r="Z651" s="1"/>
    </row>
    <row r="652" spans="1:26" ht="27" customHeight="1">
      <c r="A652" s="1"/>
      <c r="B652" s="1"/>
      <c r="C652" s="2"/>
      <c r="D652" s="2"/>
      <c r="E652" s="2"/>
      <c r="F652" s="87"/>
      <c r="G652" s="87"/>
      <c r="H652" s="87"/>
      <c r="I652" s="87"/>
      <c r="J652" s="87"/>
      <c r="K652" s="1"/>
      <c r="L652" s="1"/>
      <c r="M652" s="1"/>
      <c r="N652" s="1"/>
      <c r="O652" s="87"/>
      <c r="P652" s="87"/>
      <c r="Q652" s="87"/>
      <c r="R652" s="87"/>
      <c r="S652" s="4"/>
      <c r="T652" s="1"/>
      <c r="U652" s="5"/>
      <c r="V652" s="3"/>
      <c r="W652" s="3"/>
      <c r="X652" s="3"/>
      <c r="Y652" s="7"/>
      <c r="Z652" s="1"/>
    </row>
    <row r="653" spans="1:26" ht="27" customHeight="1">
      <c r="A653" s="1"/>
      <c r="B653" s="1"/>
      <c r="C653" s="2"/>
      <c r="D653" s="2"/>
      <c r="E653" s="2"/>
      <c r="F653" s="87"/>
      <c r="G653" s="87"/>
      <c r="H653" s="87"/>
      <c r="I653" s="87"/>
      <c r="J653" s="87"/>
      <c r="K653" s="1"/>
      <c r="L653" s="1"/>
      <c r="M653" s="1"/>
      <c r="N653" s="1"/>
      <c r="O653" s="87"/>
      <c r="P653" s="87"/>
      <c r="Q653" s="87"/>
      <c r="R653" s="87"/>
      <c r="S653" s="4"/>
      <c r="T653" s="1"/>
      <c r="U653" s="5"/>
      <c r="V653" s="3"/>
      <c r="W653" s="3"/>
      <c r="X653" s="3"/>
      <c r="Y653" s="7"/>
      <c r="Z653" s="1"/>
    </row>
    <row r="654" spans="1:26" ht="27" customHeight="1">
      <c r="A654" s="1"/>
      <c r="B654" s="1"/>
      <c r="C654" s="2"/>
      <c r="D654" s="2"/>
      <c r="E654" s="2"/>
      <c r="F654" s="87"/>
      <c r="G654" s="87"/>
      <c r="H654" s="87"/>
      <c r="I654" s="87"/>
      <c r="J654" s="87"/>
      <c r="K654" s="1"/>
      <c r="L654" s="1"/>
      <c r="M654" s="1"/>
      <c r="N654" s="1"/>
      <c r="O654" s="87"/>
      <c r="P654" s="87"/>
      <c r="Q654" s="87"/>
      <c r="R654" s="87"/>
      <c r="S654" s="4"/>
      <c r="T654" s="1"/>
      <c r="U654" s="5"/>
      <c r="V654" s="3"/>
      <c r="W654" s="3"/>
      <c r="X654" s="3"/>
      <c r="Y654" s="7"/>
      <c r="Z654" s="1"/>
    </row>
    <row r="655" spans="1:26" ht="27" customHeight="1">
      <c r="A655" s="1"/>
      <c r="B655" s="1"/>
      <c r="C655" s="2"/>
      <c r="D655" s="2"/>
      <c r="E655" s="2"/>
      <c r="F655" s="87"/>
      <c r="G655" s="87"/>
      <c r="H655" s="87"/>
      <c r="I655" s="87"/>
      <c r="J655" s="87"/>
      <c r="K655" s="1"/>
      <c r="L655" s="1"/>
      <c r="M655" s="1"/>
      <c r="N655" s="1"/>
      <c r="O655" s="87"/>
      <c r="P655" s="87"/>
      <c r="Q655" s="87"/>
      <c r="R655" s="87"/>
      <c r="S655" s="4"/>
      <c r="T655" s="1"/>
      <c r="U655" s="5"/>
      <c r="V655" s="3"/>
      <c r="W655" s="3"/>
      <c r="X655" s="3"/>
      <c r="Y655" s="7"/>
      <c r="Z655" s="1"/>
    </row>
    <row r="656" spans="1:26" ht="27" customHeight="1">
      <c r="A656" s="1"/>
      <c r="B656" s="1"/>
      <c r="C656" s="2"/>
      <c r="D656" s="2"/>
      <c r="E656" s="2"/>
      <c r="F656" s="87"/>
      <c r="G656" s="87"/>
      <c r="H656" s="87"/>
      <c r="I656" s="87"/>
      <c r="J656" s="87"/>
      <c r="K656" s="1"/>
      <c r="L656" s="1"/>
      <c r="M656" s="1"/>
      <c r="N656" s="1"/>
      <c r="O656" s="87"/>
      <c r="P656" s="87"/>
      <c r="Q656" s="87"/>
      <c r="R656" s="87"/>
      <c r="S656" s="4"/>
      <c r="T656" s="1"/>
      <c r="U656" s="5"/>
      <c r="V656" s="3"/>
      <c r="W656" s="3"/>
      <c r="X656" s="3"/>
      <c r="Y656" s="7"/>
      <c r="Z656" s="1"/>
    </row>
    <row r="657" spans="1:26" ht="27" customHeight="1">
      <c r="A657" s="1"/>
      <c r="B657" s="1"/>
      <c r="C657" s="2"/>
      <c r="D657" s="2"/>
      <c r="E657" s="2"/>
      <c r="F657" s="87"/>
      <c r="G657" s="87"/>
      <c r="H657" s="87"/>
      <c r="I657" s="87"/>
      <c r="J657" s="87"/>
      <c r="K657" s="1"/>
      <c r="L657" s="1"/>
      <c r="M657" s="1"/>
      <c r="N657" s="1"/>
      <c r="O657" s="87"/>
      <c r="P657" s="87"/>
      <c r="Q657" s="87"/>
      <c r="R657" s="87"/>
      <c r="S657" s="4"/>
      <c r="T657" s="1"/>
      <c r="U657" s="5"/>
      <c r="V657" s="3"/>
      <c r="W657" s="3"/>
      <c r="X657" s="3"/>
      <c r="Y657" s="7"/>
      <c r="Z657" s="1"/>
    </row>
    <row r="658" spans="1:26" ht="27" customHeight="1">
      <c r="A658" s="1"/>
      <c r="B658" s="1"/>
      <c r="C658" s="2"/>
      <c r="D658" s="2"/>
      <c r="E658" s="2"/>
      <c r="F658" s="87"/>
      <c r="G658" s="87"/>
      <c r="H658" s="87"/>
      <c r="I658" s="87"/>
      <c r="J658" s="87"/>
      <c r="K658" s="1"/>
      <c r="L658" s="1"/>
      <c r="M658" s="1"/>
      <c r="N658" s="1"/>
      <c r="O658" s="87"/>
      <c r="P658" s="87"/>
      <c r="Q658" s="87"/>
      <c r="R658" s="87"/>
      <c r="S658" s="4"/>
      <c r="T658" s="1"/>
      <c r="U658" s="5"/>
      <c r="V658" s="3"/>
      <c r="W658" s="3"/>
      <c r="X658" s="3"/>
      <c r="Y658" s="7"/>
      <c r="Z658" s="1"/>
    </row>
    <row r="659" spans="1:26" ht="27" customHeight="1">
      <c r="A659" s="1"/>
      <c r="B659" s="1"/>
      <c r="C659" s="2"/>
      <c r="D659" s="2"/>
      <c r="E659" s="2"/>
      <c r="F659" s="87"/>
      <c r="G659" s="87"/>
      <c r="H659" s="87"/>
      <c r="I659" s="87"/>
      <c r="J659" s="87"/>
      <c r="K659" s="1"/>
      <c r="L659" s="1"/>
      <c r="M659" s="1"/>
      <c r="N659" s="1"/>
      <c r="O659" s="87"/>
      <c r="P659" s="87"/>
      <c r="Q659" s="87"/>
      <c r="R659" s="87"/>
      <c r="S659" s="4"/>
      <c r="T659" s="1"/>
      <c r="U659" s="5"/>
      <c r="V659" s="3"/>
      <c r="W659" s="3"/>
      <c r="X659" s="3"/>
      <c r="Y659" s="7"/>
      <c r="Z659" s="1"/>
    </row>
    <row r="660" spans="1:26" ht="27" customHeight="1">
      <c r="A660" s="1"/>
      <c r="B660" s="1"/>
      <c r="C660" s="2"/>
      <c r="D660" s="2"/>
      <c r="E660" s="2"/>
      <c r="F660" s="87"/>
      <c r="G660" s="87"/>
      <c r="H660" s="87"/>
      <c r="I660" s="87"/>
      <c r="J660" s="87"/>
      <c r="K660" s="1"/>
      <c r="L660" s="1"/>
      <c r="M660" s="1"/>
      <c r="N660" s="1"/>
      <c r="O660" s="87"/>
      <c r="P660" s="87"/>
      <c r="Q660" s="87"/>
      <c r="R660" s="87"/>
      <c r="S660" s="4"/>
      <c r="T660" s="1"/>
      <c r="U660" s="5"/>
      <c r="V660" s="3"/>
      <c r="W660" s="3"/>
      <c r="X660" s="3"/>
      <c r="Y660" s="7"/>
      <c r="Z660" s="1"/>
    </row>
    <row r="661" spans="1:26" ht="27" customHeight="1">
      <c r="A661" s="1"/>
      <c r="B661" s="1"/>
      <c r="C661" s="2"/>
      <c r="D661" s="2"/>
      <c r="E661" s="2"/>
      <c r="F661" s="87"/>
      <c r="G661" s="87"/>
      <c r="H661" s="87"/>
      <c r="I661" s="87"/>
      <c r="J661" s="87"/>
      <c r="K661" s="1"/>
      <c r="L661" s="1"/>
      <c r="M661" s="1"/>
      <c r="N661" s="1"/>
      <c r="O661" s="87"/>
      <c r="P661" s="87"/>
      <c r="Q661" s="87"/>
      <c r="R661" s="87"/>
      <c r="S661" s="4"/>
      <c r="T661" s="1"/>
      <c r="U661" s="5"/>
      <c r="V661" s="3"/>
      <c r="W661" s="3"/>
      <c r="X661" s="3"/>
      <c r="Y661" s="7"/>
      <c r="Z661" s="1"/>
    </row>
    <row r="662" spans="1:26" ht="27" customHeight="1">
      <c r="A662" s="1"/>
      <c r="B662" s="1"/>
      <c r="C662" s="2"/>
      <c r="D662" s="2"/>
      <c r="E662" s="2"/>
      <c r="F662" s="87"/>
      <c r="G662" s="87"/>
      <c r="H662" s="87"/>
      <c r="I662" s="87"/>
      <c r="J662" s="87"/>
      <c r="K662" s="1"/>
      <c r="L662" s="1"/>
      <c r="M662" s="1"/>
      <c r="N662" s="1"/>
      <c r="O662" s="87"/>
      <c r="P662" s="87"/>
      <c r="Q662" s="87"/>
      <c r="R662" s="87"/>
      <c r="S662" s="4"/>
      <c r="T662" s="1"/>
      <c r="U662" s="5"/>
      <c r="V662" s="3"/>
      <c r="W662" s="3"/>
      <c r="X662" s="3"/>
      <c r="Y662" s="7"/>
      <c r="Z662" s="1"/>
    </row>
    <row r="663" spans="1:26" ht="27" customHeight="1">
      <c r="A663" s="1"/>
      <c r="B663" s="1"/>
      <c r="C663" s="2"/>
      <c r="D663" s="2"/>
      <c r="E663" s="2"/>
      <c r="F663" s="87"/>
      <c r="G663" s="87"/>
      <c r="H663" s="87"/>
      <c r="I663" s="87"/>
      <c r="J663" s="87"/>
      <c r="K663" s="1"/>
      <c r="L663" s="1"/>
      <c r="M663" s="1"/>
      <c r="N663" s="1"/>
      <c r="O663" s="87"/>
      <c r="P663" s="87"/>
      <c r="Q663" s="87"/>
      <c r="R663" s="87"/>
      <c r="S663" s="4"/>
      <c r="T663" s="1"/>
      <c r="U663" s="5"/>
      <c r="V663" s="3"/>
      <c r="W663" s="3"/>
      <c r="X663" s="3"/>
      <c r="Y663" s="7"/>
      <c r="Z663" s="1"/>
    </row>
    <row r="664" spans="1:26" ht="27" customHeight="1">
      <c r="A664" s="1"/>
      <c r="B664" s="1"/>
      <c r="C664" s="2"/>
      <c r="D664" s="2"/>
      <c r="E664" s="2"/>
      <c r="F664" s="87"/>
      <c r="G664" s="87"/>
      <c r="H664" s="87"/>
      <c r="I664" s="87"/>
      <c r="J664" s="87"/>
      <c r="K664" s="1"/>
      <c r="L664" s="1"/>
      <c r="M664" s="1"/>
      <c r="N664" s="1"/>
      <c r="O664" s="87"/>
      <c r="P664" s="87"/>
      <c r="Q664" s="87"/>
      <c r="R664" s="87"/>
      <c r="S664" s="4"/>
      <c r="T664" s="1"/>
      <c r="U664" s="5"/>
      <c r="V664" s="3"/>
      <c r="W664" s="3"/>
      <c r="X664" s="3"/>
      <c r="Y664" s="7"/>
      <c r="Z664" s="1"/>
    </row>
    <row r="665" spans="1:26" ht="27" customHeight="1">
      <c r="A665" s="1"/>
      <c r="B665" s="1"/>
      <c r="C665" s="2"/>
      <c r="D665" s="2"/>
      <c r="E665" s="2"/>
      <c r="F665" s="87"/>
      <c r="G665" s="87"/>
      <c r="H665" s="87"/>
      <c r="I665" s="87"/>
      <c r="J665" s="87"/>
      <c r="K665" s="1"/>
      <c r="L665" s="1"/>
      <c r="M665" s="1"/>
      <c r="N665" s="1"/>
      <c r="O665" s="87"/>
      <c r="P665" s="87"/>
      <c r="Q665" s="87"/>
      <c r="R665" s="87"/>
      <c r="S665" s="4"/>
      <c r="T665" s="1"/>
      <c r="U665" s="5"/>
      <c r="V665" s="3"/>
      <c r="W665" s="3"/>
      <c r="X665" s="3"/>
      <c r="Y665" s="7"/>
      <c r="Z665" s="1"/>
    </row>
    <row r="666" spans="1:26" ht="27" customHeight="1">
      <c r="A666" s="1"/>
      <c r="B666" s="1"/>
      <c r="C666" s="2"/>
      <c r="D666" s="2"/>
      <c r="E666" s="2"/>
      <c r="F666" s="87"/>
      <c r="G666" s="87"/>
      <c r="H666" s="87"/>
      <c r="I666" s="87"/>
      <c r="J666" s="87"/>
      <c r="K666" s="1"/>
      <c r="L666" s="1"/>
      <c r="M666" s="1"/>
      <c r="N666" s="1"/>
      <c r="O666" s="87"/>
      <c r="P666" s="87"/>
      <c r="Q666" s="87"/>
      <c r="R666" s="87"/>
      <c r="S666" s="4"/>
      <c r="T666" s="1"/>
      <c r="U666" s="5"/>
      <c r="V666" s="3"/>
      <c r="W666" s="3"/>
      <c r="X666" s="3"/>
      <c r="Y666" s="7"/>
      <c r="Z666" s="1"/>
    </row>
    <row r="667" spans="1:26" ht="27" customHeight="1">
      <c r="A667" s="1"/>
      <c r="B667" s="1"/>
      <c r="C667" s="2"/>
      <c r="D667" s="2"/>
      <c r="E667" s="2"/>
      <c r="F667" s="87"/>
      <c r="G667" s="87"/>
      <c r="H667" s="87"/>
      <c r="I667" s="87"/>
      <c r="J667" s="87"/>
      <c r="K667" s="1"/>
      <c r="L667" s="1"/>
      <c r="M667" s="1"/>
      <c r="N667" s="1"/>
      <c r="O667" s="87"/>
      <c r="P667" s="87"/>
      <c r="Q667" s="87"/>
      <c r="R667" s="87"/>
      <c r="S667" s="4"/>
      <c r="T667" s="1"/>
      <c r="U667" s="5"/>
      <c r="V667" s="3"/>
      <c r="W667" s="3"/>
      <c r="X667" s="3"/>
      <c r="Y667" s="7"/>
      <c r="Z667" s="1"/>
    </row>
    <row r="668" spans="1:26" ht="27" customHeight="1">
      <c r="A668" s="1"/>
      <c r="B668" s="1"/>
      <c r="C668" s="2"/>
      <c r="D668" s="2"/>
      <c r="E668" s="2"/>
      <c r="F668" s="87"/>
      <c r="G668" s="87"/>
      <c r="H668" s="87"/>
      <c r="I668" s="87"/>
      <c r="J668" s="87"/>
      <c r="K668" s="1"/>
      <c r="L668" s="1"/>
      <c r="M668" s="1"/>
      <c r="N668" s="1"/>
      <c r="O668" s="87"/>
      <c r="P668" s="87"/>
      <c r="Q668" s="87"/>
      <c r="R668" s="87"/>
      <c r="S668" s="4"/>
      <c r="T668" s="1"/>
      <c r="U668" s="5"/>
      <c r="V668" s="3"/>
      <c r="W668" s="3"/>
      <c r="X668" s="3"/>
      <c r="Y668" s="7"/>
      <c r="Z668" s="1"/>
    </row>
    <row r="669" spans="1:26" ht="27" customHeight="1">
      <c r="A669" s="1"/>
      <c r="B669" s="1"/>
      <c r="C669" s="2"/>
      <c r="D669" s="2"/>
      <c r="E669" s="2"/>
      <c r="F669" s="87"/>
      <c r="G669" s="87"/>
      <c r="H669" s="87"/>
      <c r="I669" s="87"/>
      <c r="J669" s="87"/>
      <c r="K669" s="1"/>
      <c r="L669" s="1"/>
      <c r="M669" s="1"/>
      <c r="N669" s="1"/>
      <c r="O669" s="87"/>
      <c r="P669" s="87"/>
      <c r="Q669" s="87"/>
      <c r="R669" s="87"/>
      <c r="S669" s="4"/>
      <c r="T669" s="1"/>
      <c r="U669" s="5"/>
      <c r="V669" s="3"/>
      <c r="W669" s="3"/>
      <c r="X669" s="3"/>
      <c r="Y669" s="7"/>
      <c r="Z669" s="1"/>
    </row>
    <row r="670" spans="1:26" ht="27" customHeight="1">
      <c r="A670" s="1"/>
      <c r="B670" s="1"/>
      <c r="C670" s="2"/>
      <c r="D670" s="2"/>
      <c r="E670" s="2"/>
      <c r="F670" s="87"/>
      <c r="G670" s="87"/>
      <c r="H670" s="87"/>
      <c r="I670" s="87"/>
      <c r="J670" s="87"/>
      <c r="K670" s="1"/>
      <c r="L670" s="1"/>
      <c r="M670" s="1"/>
      <c r="N670" s="1"/>
      <c r="O670" s="87"/>
      <c r="P670" s="87"/>
      <c r="Q670" s="87"/>
      <c r="R670" s="87"/>
      <c r="S670" s="4"/>
      <c r="T670" s="1"/>
      <c r="U670" s="5"/>
      <c r="V670" s="3"/>
      <c r="W670" s="3"/>
      <c r="X670" s="3"/>
      <c r="Y670" s="7"/>
      <c r="Z670" s="1"/>
    </row>
    <row r="671" spans="1:26" ht="27" customHeight="1">
      <c r="A671" s="1"/>
      <c r="B671" s="1"/>
      <c r="C671" s="2"/>
      <c r="D671" s="2"/>
      <c r="E671" s="2"/>
      <c r="F671" s="87"/>
      <c r="G671" s="87"/>
      <c r="H671" s="87"/>
      <c r="I671" s="87"/>
      <c r="J671" s="87"/>
      <c r="K671" s="1"/>
      <c r="L671" s="1"/>
      <c r="M671" s="1"/>
      <c r="N671" s="1"/>
      <c r="O671" s="87"/>
      <c r="P671" s="87"/>
      <c r="Q671" s="87"/>
      <c r="R671" s="87"/>
      <c r="S671" s="4"/>
      <c r="T671" s="1"/>
      <c r="U671" s="5"/>
      <c r="V671" s="3"/>
      <c r="W671" s="3"/>
      <c r="X671" s="3"/>
      <c r="Y671" s="7"/>
      <c r="Z671" s="1"/>
    </row>
    <row r="672" spans="1:26" ht="27" customHeight="1">
      <c r="A672" s="1"/>
      <c r="B672" s="1"/>
      <c r="C672" s="2"/>
      <c r="D672" s="2"/>
      <c r="E672" s="2"/>
      <c r="F672" s="87"/>
      <c r="G672" s="87"/>
      <c r="H672" s="87"/>
      <c r="I672" s="87"/>
      <c r="J672" s="87"/>
      <c r="K672" s="1"/>
      <c r="L672" s="1"/>
      <c r="M672" s="1"/>
      <c r="N672" s="1"/>
      <c r="O672" s="87"/>
      <c r="P672" s="87"/>
      <c r="Q672" s="87"/>
      <c r="R672" s="87"/>
      <c r="S672" s="4"/>
      <c r="T672" s="1"/>
      <c r="U672" s="5"/>
      <c r="V672" s="3"/>
      <c r="W672" s="3"/>
      <c r="X672" s="3"/>
      <c r="Y672" s="7"/>
      <c r="Z672" s="1"/>
    </row>
    <row r="673" spans="1:26" ht="27" customHeight="1">
      <c r="A673" s="1"/>
      <c r="B673" s="1"/>
      <c r="C673" s="2"/>
      <c r="D673" s="2"/>
      <c r="E673" s="2"/>
      <c r="F673" s="87"/>
      <c r="G673" s="87"/>
      <c r="H673" s="87"/>
      <c r="I673" s="87"/>
      <c r="J673" s="87"/>
      <c r="K673" s="1"/>
      <c r="L673" s="1"/>
      <c r="M673" s="1"/>
      <c r="N673" s="1"/>
      <c r="O673" s="87"/>
      <c r="P673" s="87"/>
      <c r="Q673" s="87"/>
      <c r="R673" s="87"/>
      <c r="S673" s="4"/>
      <c r="T673" s="1"/>
      <c r="U673" s="5"/>
      <c r="V673" s="3"/>
      <c r="W673" s="3"/>
      <c r="X673" s="3"/>
      <c r="Y673" s="7"/>
      <c r="Z673" s="1"/>
    </row>
    <row r="674" spans="1:26" ht="27" customHeight="1">
      <c r="A674" s="1"/>
      <c r="B674" s="1"/>
      <c r="C674" s="2"/>
      <c r="D674" s="2"/>
      <c r="E674" s="2"/>
      <c r="F674" s="87"/>
      <c r="G674" s="87"/>
      <c r="H674" s="87"/>
      <c r="I674" s="87"/>
      <c r="J674" s="87"/>
      <c r="K674" s="1"/>
      <c r="L674" s="1"/>
      <c r="M674" s="1"/>
      <c r="N674" s="1"/>
      <c r="O674" s="87"/>
      <c r="P674" s="87"/>
      <c r="Q674" s="87"/>
      <c r="R674" s="87"/>
      <c r="S674" s="4"/>
      <c r="T674" s="1"/>
      <c r="U674" s="5"/>
      <c r="V674" s="3"/>
      <c r="W674" s="3"/>
      <c r="X674" s="3"/>
      <c r="Y674" s="7"/>
      <c r="Z674" s="1"/>
    </row>
    <row r="675" spans="1:26" ht="27" customHeight="1">
      <c r="A675" s="1"/>
      <c r="B675" s="1"/>
      <c r="C675" s="2"/>
      <c r="D675" s="2"/>
      <c r="E675" s="2"/>
      <c r="F675" s="87"/>
      <c r="G675" s="87"/>
      <c r="H675" s="87"/>
      <c r="I675" s="87"/>
      <c r="J675" s="87"/>
      <c r="K675" s="1"/>
      <c r="L675" s="1"/>
      <c r="M675" s="1"/>
      <c r="N675" s="1"/>
      <c r="O675" s="87"/>
      <c r="P675" s="87"/>
      <c r="Q675" s="87"/>
      <c r="R675" s="87"/>
      <c r="S675" s="4"/>
      <c r="T675" s="1"/>
      <c r="U675" s="5"/>
      <c r="V675" s="3"/>
      <c r="W675" s="3"/>
      <c r="X675" s="3"/>
      <c r="Y675" s="7"/>
      <c r="Z675" s="1"/>
    </row>
    <row r="676" spans="1:26" ht="27" customHeight="1">
      <c r="A676" s="1"/>
      <c r="B676" s="1"/>
      <c r="C676" s="2"/>
      <c r="D676" s="2"/>
      <c r="E676" s="2"/>
      <c r="F676" s="87"/>
      <c r="G676" s="87"/>
      <c r="H676" s="87"/>
      <c r="I676" s="87"/>
      <c r="J676" s="87"/>
      <c r="K676" s="1"/>
      <c r="L676" s="1"/>
      <c r="M676" s="1"/>
      <c r="N676" s="1"/>
      <c r="O676" s="87"/>
      <c r="P676" s="87"/>
      <c r="Q676" s="87"/>
      <c r="R676" s="87"/>
      <c r="S676" s="4"/>
      <c r="T676" s="1"/>
      <c r="U676" s="5"/>
      <c r="V676" s="3"/>
      <c r="W676" s="3"/>
      <c r="X676" s="3"/>
      <c r="Y676" s="7"/>
      <c r="Z676" s="1"/>
    </row>
    <row r="677" spans="1:26" ht="27" customHeight="1">
      <c r="A677" s="1"/>
      <c r="B677" s="1"/>
      <c r="C677" s="2"/>
      <c r="D677" s="2"/>
      <c r="E677" s="2"/>
      <c r="F677" s="87"/>
      <c r="G677" s="87"/>
      <c r="H677" s="87"/>
      <c r="I677" s="87"/>
      <c r="J677" s="87"/>
      <c r="K677" s="1"/>
      <c r="L677" s="1"/>
      <c r="M677" s="1"/>
      <c r="N677" s="1"/>
      <c r="O677" s="87"/>
      <c r="P677" s="87"/>
      <c r="Q677" s="87"/>
      <c r="R677" s="87"/>
      <c r="S677" s="4"/>
      <c r="T677" s="1"/>
      <c r="U677" s="5"/>
      <c r="V677" s="3"/>
      <c r="W677" s="3"/>
      <c r="X677" s="3"/>
      <c r="Y677" s="7"/>
      <c r="Z677" s="1"/>
    </row>
    <row r="678" spans="1:26" ht="27" customHeight="1">
      <c r="A678" s="1"/>
      <c r="B678" s="1"/>
      <c r="C678" s="2"/>
      <c r="D678" s="2"/>
      <c r="E678" s="2"/>
      <c r="F678" s="87"/>
      <c r="G678" s="87"/>
      <c r="H678" s="87"/>
      <c r="I678" s="87"/>
      <c r="J678" s="87"/>
      <c r="K678" s="1"/>
      <c r="L678" s="1"/>
      <c r="M678" s="1"/>
      <c r="N678" s="1"/>
      <c r="O678" s="87"/>
      <c r="P678" s="87"/>
      <c r="Q678" s="87"/>
      <c r="R678" s="87"/>
      <c r="S678" s="4"/>
      <c r="T678" s="1"/>
      <c r="U678" s="5"/>
      <c r="V678" s="3"/>
      <c r="W678" s="3"/>
      <c r="X678" s="3"/>
      <c r="Y678" s="7"/>
      <c r="Z678" s="1"/>
    </row>
    <row r="679" spans="1:26" ht="27" customHeight="1">
      <c r="A679" s="1"/>
      <c r="B679" s="1"/>
      <c r="C679" s="2"/>
      <c r="D679" s="2"/>
      <c r="E679" s="2"/>
      <c r="F679" s="87"/>
      <c r="G679" s="87"/>
      <c r="H679" s="87"/>
      <c r="I679" s="87"/>
      <c r="J679" s="87"/>
      <c r="K679" s="1"/>
      <c r="L679" s="1"/>
      <c r="M679" s="1"/>
      <c r="N679" s="1"/>
      <c r="O679" s="87"/>
      <c r="P679" s="87"/>
      <c r="Q679" s="87"/>
      <c r="R679" s="87"/>
      <c r="S679" s="4"/>
      <c r="T679" s="1"/>
      <c r="U679" s="5"/>
      <c r="V679" s="3"/>
      <c r="W679" s="3"/>
      <c r="X679" s="3"/>
      <c r="Y679" s="7"/>
      <c r="Z679" s="1"/>
    </row>
    <row r="680" spans="1:26" ht="27" customHeight="1">
      <c r="A680" s="1"/>
      <c r="B680" s="1"/>
      <c r="C680" s="2"/>
      <c r="D680" s="2"/>
      <c r="E680" s="2"/>
      <c r="F680" s="87"/>
      <c r="G680" s="87"/>
      <c r="H680" s="87"/>
      <c r="I680" s="87"/>
      <c r="J680" s="87"/>
      <c r="K680" s="1"/>
      <c r="L680" s="1"/>
      <c r="M680" s="1"/>
      <c r="N680" s="1"/>
      <c r="O680" s="87"/>
      <c r="P680" s="87"/>
      <c r="Q680" s="87"/>
      <c r="R680" s="87"/>
      <c r="S680" s="4"/>
      <c r="T680" s="1"/>
      <c r="U680" s="5"/>
      <c r="V680" s="3"/>
      <c r="W680" s="3"/>
      <c r="X680" s="3"/>
      <c r="Y680" s="7"/>
      <c r="Z680" s="1"/>
    </row>
    <row r="681" spans="1:26" ht="27" customHeight="1">
      <c r="A681" s="1"/>
      <c r="B681" s="1"/>
      <c r="C681" s="2"/>
      <c r="D681" s="2"/>
      <c r="E681" s="2"/>
      <c r="F681" s="87"/>
      <c r="G681" s="87"/>
      <c r="H681" s="87"/>
      <c r="I681" s="87"/>
      <c r="J681" s="87"/>
      <c r="K681" s="1"/>
      <c r="L681" s="1"/>
      <c r="M681" s="1"/>
      <c r="N681" s="1"/>
      <c r="O681" s="87"/>
      <c r="P681" s="87"/>
      <c r="Q681" s="87"/>
      <c r="R681" s="87"/>
      <c r="S681" s="4"/>
      <c r="T681" s="1"/>
      <c r="U681" s="5"/>
      <c r="V681" s="3"/>
      <c r="W681" s="3"/>
      <c r="X681" s="3"/>
      <c r="Y681" s="7"/>
      <c r="Z681" s="1"/>
    </row>
    <row r="682" spans="1:26" ht="27" customHeight="1">
      <c r="A682" s="1"/>
      <c r="B682" s="1"/>
      <c r="C682" s="2"/>
      <c r="D682" s="2"/>
      <c r="E682" s="2"/>
      <c r="F682" s="87"/>
      <c r="G682" s="87"/>
      <c r="H682" s="87"/>
      <c r="I682" s="87"/>
      <c r="J682" s="87"/>
      <c r="K682" s="1"/>
      <c r="L682" s="1"/>
      <c r="M682" s="1"/>
      <c r="N682" s="1"/>
      <c r="O682" s="87"/>
      <c r="P682" s="87"/>
      <c r="Q682" s="87"/>
      <c r="R682" s="87"/>
      <c r="S682" s="4"/>
      <c r="T682" s="1"/>
      <c r="U682" s="5"/>
      <c r="V682" s="3"/>
      <c r="W682" s="3"/>
      <c r="X682" s="3"/>
      <c r="Y682" s="7"/>
      <c r="Z682" s="1"/>
    </row>
    <row r="683" spans="1:26" ht="27" customHeight="1">
      <c r="A683" s="1"/>
      <c r="B683" s="1"/>
      <c r="C683" s="2"/>
      <c r="D683" s="2"/>
      <c r="E683" s="2"/>
      <c r="F683" s="87"/>
      <c r="G683" s="87"/>
      <c r="H683" s="87"/>
      <c r="I683" s="87"/>
      <c r="J683" s="87"/>
      <c r="K683" s="1"/>
      <c r="L683" s="1"/>
      <c r="M683" s="1"/>
      <c r="N683" s="1"/>
      <c r="O683" s="87"/>
      <c r="P683" s="87"/>
      <c r="Q683" s="87"/>
      <c r="R683" s="87"/>
      <c r="S683" s="4"/>
      <c r="T683" s="1"/>
      <c r="U683" s="5"/>
      <c r="V683" s="3"/>
      <c r="W683" s="3"/>
      <c r="X683" s="3"/>
      <c r="Y683" s="7"/>
      <c r="Z683" s="1"/>
    </row>
    <row r="684" spans="1:26" ht="27" customHeight="1">
      <c r="A684" s="1"/>
      <c r="B684" s="1"/>
      <c r="C684" s="2"/>
      <c r="D684" s="2"/>
      <c r="E684" s="2"/>
      <c r="F684" s="87"/>
      <c r="G684" s="87"/>
      <c r="H684" s="87"/>
      <c r="I684" s="87"/>
      <c r="J684" s="87"/>
      <c r="K684" s="1"/>
      <c r="L684" s="1"/>
      <c r="M684" s="1"/>
      <c r="N684" s="1"/>
      <c r="O684" s="87"/>
      <c r="P684" s="87"/>
      <c r="Q684" s="87"/>
      <c r="R684" s="87"/>
      <c r="S684" s="4"/>
      <c r="T684" s="1"/>
      <c r="U684" s="5"/>
      <c r="V684" s="3"/>
      <c r="W684" s="3"/>
      <c r="X684" s="3"/>
      <c r="Y684" s="7"/>
      <c r="Z684" s="1"/>
    </row>
    <row r="685" spans="1:26" ht="27" customHeight="1">
      <c r="A685" s="1"/>
      <c r="B685" s="1"/>
      <c r="C685" s="2"/>
      <c r="D685" s="2"/>
      <c r="E685" s="2"/>
      <c r="F685" s="87"/>
      <c r="G685" s="87"/>
      <c r="H685" s="87"/>
      <c r="I685" s="87"/>
      <c r="J685" s="87"/>
      <c r="K685" s="1"/>
      <c r="L685" s="1"/>
      <c r="M685" s="1"/>
      <c r="N685" s="1"/>
      <c r="O685" s="87"/>
      <c r="P685" s="87"/>
      <c r="Q685" s="87"/>
      <c r="R685" s="87"/>
      <c r="S685" s="4"/>
      <c r="T685" s="1"/>
      <c r="U685" s="5"/>
      <c r="V685" s="3"/>
      <c r="W685" s="3"/>
      <c r="X685" s="3"/>
      <c r="Y685" s="7"/>
      <c r="Z685" s="1"/>
    </row>
    <row r="686" spans="1:26" ht="27" customHeight="1">
      <c r="A686" s="1"/>
      <c r="B686" s="1"/>
      <c r="C686" s="2"/>
      <c r="D686" s="2"/>
      <c r="E686" s="2"/>
      <c r="F686" s="87"/>
      <c r="G686" s="87"/>
      <c r="H686" s="87"/>
      <c r="I686" s="87"/>
      <c r="J686" s="87"/>
      <c r="K686" s="1"/>
      <c r="L686" s="1"/>
      <c r="M686" s="1"/>
      <c r="N686" s="1"/>
      <c r="O686" s="87"/>
      <c r="P686" s="87"/>
      <c r="Q686" s="87"/>
      <c r="R686" s="87"/>
      <c r="S686" s="4"/>
      <c r="T686" s="1"/>
      <c r="U686" s="5"/>
      <c r="V686" s="3"/>
      <c r="W686" s="3"/>
      <c r="X686" s="3"/>
      <c r="Y686" s="7"/>
      <c r="Z686" s="1"/>
    </row>
    <row r="687" spans="1:26" ht="27" customHeight="1">
      <c r="A687" s="1"/>
      <c r="B687" s="1"/>
      <c r="C687" s="2"/>
      <c r="D687" s="2"/>
      <c r="E687" s="2"/>
      <c r="F687" s="87"/>
      <c r="G687" s="87"/>
      <c r="H687" s="87"/>
      <c r="I687" s="87"/>
      <c r="J687" s="87"/>
      <c r="K687" s="1"/>
      <c r="L687" s="1"/>
      <c r="M687" s="1"/>
      <c r="N687" s="1"/>
      <c r="O687" s="87"/>
      <c r="P687" s="87"/>
      <c r="Q687" s="87"/>
      <c r="R687" s="87"/>
      <c r="S687" s="4"/>
      <c r="T687" s="1"/>
      <c r="U687" s="5"/>
      <c r="V687" s="3"/>
      <c r="W687" s="3"/>
      <c r="X687" s="3"/>
      <c r="Y687" s="7"/>
      <c r="Z687" s="1"/>
    </row>
    <row r="688" spans="1:26" ht="27" customHeight="1">
      <c r="A688" s="1"/>
      <c r="B688" s="1"/>
      <c r="C688" s="2"/>
      <c r="D688" s="2"/>
      <c r="E688" s="2"/>
      <c r="F688" s="87"/>
      <c r="G688" s="87"/>
      <c r="H688" s="87"/>
      <c r="I688" s="87"/>
      <c r="J688" s="87"/>
      <c r="K688" s="1"/>
      <c r="L688" s="1"/>
      <c r="M688" s="1"/>
      <c r="N688" s="1"/>
      <c r="O688" s="87"/>
      <c r="P688" s="87"/>
      <c r="Q688" s="87"/>
      <c r="R688" s="87"/>
      <c r="S688" s="4"/>
      <c r="T688" s="1"/>
      <c r="U688" s="5"/>
      <c r="V688" s="3"/>
      <c r="W688" s="3"/>
      <c r="X688" s="3"/>
      <c r="Y688" s="7"/>
      <c r="Z688" s="1"/>
    </row>
    <row r="689" spans="1:26" ht="27" customHeight="1">
      <c r="A689" s="1"/>
      <c r="B689" s="1"/>
      <c r="C689" s="2"/>
      <c r="D689" s="2"/>
      <c r="E689" s="2"/>
      <c r="F689" s="87"/>
      <c r="G689" s="87"/>
      <c r="H689" s="87"/>
      <c r="I689" s="87"/>
      <c r="J689" s="87"/>
      <c r="K689" s="1"/>
      <c r="L689" s="1"/>
      <c r="M689" s="1"/>
      <c r="N689" s="1"/>
      <c r="O689" s="87"/>
      <c r="P689" s="87"/>
      <c r="Q689" s="87"/>
      <c r="R689" s="87"/>
      <c r="S689" s="4"/>
      <c r="T689" s="1"/>
      <c r="U689" s="5"/>
      <c r="V689" s="3"/>
      <c r="W689" s="3"/>
      <c r="X689" s="3"/>
      <c r="Y689" s="7"/>
      <c r="Z689" s="1"/>
    </row>
    <row r="690" spans="1:26" ht="27" customHeight="1">
      <c r="A690" s="1"/>
      <c r="B690" s="1"/>
      <c r="C690" s="2"/>
      <c r="D690" s="2"/>
      <c r="E690" s="2"/>
      <c r="F690" s="87"/>
      <c r="G690" s="87"/>
      <c r="H690" s="87"/>
      <c r="I690" s="87"/>
      <c r="J690" s="87"/>
      <c r="K690" s="1"/>
      <c r="L690" s="1"/>
      <c r="M690" s="1"/>
      <c r="N690" s="1"/>
      <c r="O690" s="87"/>
      <c r="P690" s="87"/>
      <c r="Q690" s="87"/>
      <c r="R690" s="87"/>
      <c r="S690" s="4"/>
      <c r="T690" s="1"/>
      <c r="U690" s="5"/>
      <c r="V690" s="3"/>
      <c r="W690" s="3"/>
      <c r="X690" s="3"/>
      <c r="Y690" s="7"/>
      <c r="Z690" s="1"/>
    </row>
    <row r="691" spans="1:26" ht="27" customHeight="1">
      <c r="A691" s="1"/>
      <c r="B691" s="1"/>
      <c r="C691" s="2"/>
      <c r="D691" s="2"/>
      <c r="E691" s="2"/>
      <c r="F691" s="87"/>
      <c r="G691" s="87"/>
      <c r="H691" s="87"/>
      <c r="I691" s="87"/>
      <c r="J691" s="87"/>
      <c r="K691" s="1"/>
      <c r="L691" s="1"/>
      <c r="M691" s="1"/>
      <c r="N691" s="1"/>
      <c r="O691" s="87"/>
      <c r="P691" s="87"/>
      <c r="Q691" s="87"/>
      <c r="R691" s="87"/>
      <c r="S691" s="4"/>
      <c r="T691" s="1"/>
      <c r="U691" s="5"/>
      <c r="V691" s="3"/>
      <c r="W691" s="3"/>
      <c r="X691" s="3"/>
      <c r="Y691" s="7"/>
      <c r="Z691" s="1"/>
    </row>
    <row r="692" spans="1:26" ht="27" customHeight="1">
      <c r="A692" s="1"/>
      <c r="B692" s="1"/>
      <c r="C692" s="2"/>
      <c r="D692" s="2"/>
      <c r="E692" s="2"/>
      <c r="F692" s="87"/>
      <c r="G692" s="87"/>
      <c r="H692" s="87"/>
      <c r="I692" s="87"/>
      <c r="J692" s="87"/>
      <c r="K692" s="1"/>
      <c r="L692" s="1"/>
      <c r="M692" s="1"/>
      <c r="N692" s="1"/>
      <c r="O692" s="87"/>
      <c r="P692" s="87"/>
      <c r="Q692" s="87"/>
      <c r="R692" s="87"/>
      <c r="S692" s="4"/>
      <c r="T692" s="1"/>
      <c r="U692" s="5"/>
      <c r="V692" s="3"/>
      <c r="W692" s="3"/>
      <c r="X692" s="3"/>
      <c r="Y692" s="7"/>
      <c r="Z692" s="1"/>
    </row>
    <row r="693" spans="1:26" ht="27" customHeight="1">
      <c r="A693" s="1"/>
      <c r="B693" s="1"/>
      <c r="C693" s="2"/>
      <c r="D693" s="2"/>
      <c r="E693" s="2"/>
      <c r="F693" s="87"/>
      <c r="G693" s="87"/>
      <c r="H693" s="87"/>
      <c r="I693" s="87"/>
      <c r="J693" s="87"/>
      <c r="K693" s="1"/>
      <c r="L693" s="1"/>
      <c r="M693" s="1"/>
      <c r="N693" s="1"/>
      <c r="O693" s="87"/>
      <c r="P693" s="87"/>
      <c r="Q693" s="87"/>
      <c r="R693" s="87"/>
      <c r="S693" s="4"/>
      <c r="T693" s="1"/>
      <c r="U693" s="5"/>
      <c r="V693" s="3"/>
      <c r="W693" s="3"/>
      <c r="X693" s="3"/>
      <c r="Y693" s="7"/>
      <c r="Z693" s="1"/>
    </row>
    <row r="694" spans="1:26" ht="27" customHeight="1">
      <c r="A694" s="1"/>
      <c r="B694" s="1"/>
      <c r="C694" s="2"/>
      <c r="D694" s="2"/>
      <c r="E694" s="2"/>
      <c r="F694" s="87"/>
      <c r="G694" s="87"/>
      <c r="H694" s="87"/>
      <c r="I694" s="87"/>
      <c r="J694" s="87"/>
      <c r="K694" s="1"/>
      <c r="L694" s="1"/>
      <c r="M694" s="1"/>
      <c r="N694" s="1"/>
      <c r="O694" s="87"/>
      <c r="P694" s="87"/>
      <c r="Q694" s="87"/>
      <c r="R694" s="87"/>
      <c r="S694" s="4"/>
      <c r="T694" s="1"/>
      <c r="U694" s="5"/>
      <c r="V694" s="3"/>
      <c r="W694" s="3"/>
      <c r="X694" s="3"/>
      <c r="Y694" s="7"/>
      <c r="Z694" s="1"/>
    </row>
    <row r="695" spans="1:26" ht="27" customHeight="1">
      <c r="A695" s="1"/>
      <c r="B695" s="1"/>
      <c r="C695" s="2"/>
      <c r="D695" s="2"/>
      <c r="E695" s="2"/>
      <c r="F695" s="87"/>
      <c r="G695" s="87"/>
      <c r="H695" s="87"/>
      <c r="I695" s="87"/>
      <c r="J695" s="87"/>
      <c r="K695" s="1"/>
      <c r="L695" s="1"/>
      <c r="M695" s="1"/>
      <c r="N695" s="1"/>
      <c r="O695" s="87"/>
      <c r="P695" s="87"/>
      <c r="Q695" s="87"/>
      <c r="R695" s="87"/>
      <c r="S695" s="4"/>
      <c r="T695" s="1"/>
      <c r="U695" s="5"/>
      <c r="V695" s="3"/>
      <c r="W695" s="3"/>
      <c r="X695" s="3"/>
      <c r="Y695" s="7"/>
      <c r="Z695" s="1"/>
    </row>
    <row r="696" spans="1:26" ht="27" customHeight="1">
      <c r="A696" s="1"/>
      <c r="B696" s="1"/>
      <c r="C696" s="2"/>
      <c r="D696" s="2"/>
      <c r="E696" s="2"/>
      <c r="F696" s="87"/>
      <c r="G696" s="87"/>
      <c r="H696" s="87"/>
      <c r="I696" s="87"/>
      <c r="J696" s="87"/>
      <c r="K696" s="1"/>
      <c r="L696" s="1"/>
      <c r="M696" s="1"/>
      <c r="N696" s="1"/>
      <c r="O696" s="87"/>
      <c r="P696" s="87"/>
      <c r="Q696" s="87"/>
      <c r="R696" s="87"/>
      <c r="S696" s="4"/>
      <c r="T696" s="1"/>
      <c r="U696" s="5"/>
      <c r="V696" s="3"/>
      <c r="W696" s="3"/>
      <c r="X696" s="3"/>
      <c r="Y696" s="7"/>
      <c r="Z696" s="1"/>
    </row>
    <row r="697" spans="1:26" ht="27" customHeight="1">
      <c r="A697" s="1"/>
      <c r="B697" s="1"/>
      <c r="C697" s="2"/>
      <c r="D697" s="2"/>
      <c r="E697" s="2"/>
      <c r="F697" s="87"/>
      <c r="G697" s="87"/>
      <c r="H697" s="87"/>
      <c r="I697" s="87"/>
      <c r="J697" s="87"/>
      <c r="K697" s="1"/>
      <c r="L697" s="1"/>
      <c r="M697" s="1"/>
      <c r="N697" s="1"/>
      <c r="O697" s="87"/>
      <c r="P697" s="87"/>
      <c r="Q697" s="87"/>
      <c r="R697" s="87"/>
      <c r="S697" s="4"/>
      <c r="T697" s="1"/>
      <c r="U697" s="5"/>
      <c r="V697" s="3"/>
      <c r="W697" s="3"/>
      <c r="X697" s="3"/>
      <c r="Y697" s="7"/>
      <c r="Z697" s="1"/>
    </row>
    <row r="698" spans="1:26" ht="27" customHeight="1">
      <c r="A698" s="1"/>
      <c r="B698" s="1"/>
      <c r="C698" s="2"/>
      <c r="D698" s="2"/>
      <c r="E698" s="2"/>
      <c r="F698" s="87"/>
      <c r="G698" s="87"/>
      <c r="H698" s="87"/>
      <c r="I698" s="87"/>
      <c r="J698" s="87"/>
      <c r="K698" s="1"/>
      <c r="L698" s="1"/>
      <c r="M698" s="1"/>
      <c r="N698" s="1"/>
      <c r="O698" s="87"/>
      <c r="P698" s="87"/>
      <c r="Q698" s="87"/>
      <c r="R698" s="87"/>
      <c r="S698" s="4"/>
      <c r="T698" s="1"/>
      <c r="U698" s="5"/>
      <c r="V698" s="3"/>
      <c r="W698" s="3"/>
      <c r="X698" s="3"/>
      <c r="Y698" s="7"/>
      <c r="Z698" s="1"/>
    </row>
    <row r="699" spans="1:26" ht="27" customHeight="1">
      <c r="A699" s="1"/>
      <c r="B699" s="1"/>
      <c r="C699" s="2"/>
      <c r="D699" s="2"/>
      <c r="E699" s="2"/>
      <c r="F699" s="87"/>
      <c r="G699" s="87"/>
      <c r="H699" s="87"/>
      <c r="I699" s="87"/>
      <c r="J699" s="87"/>
      <c r="K699" s="1"/>
      <c r="L699" s="1"/>
      <c r="M699" s="1"/>
      <c r="N699" s="1"/>
      <c r="O699" s="87"/>
      <c r="P699" s="87"/>
      <c r="Q699" s="87"/>
      <c r="R699" s="87"/>
      <c r="S699" s="4"/>
      <c r="T699" s="1"/>
      <c r="U699" s="5"/>
      <c r="V699" s="3"/>
      <c r="W699" s="3"/>
      <c r="X699" s="3"/>
      <c r="Y699" s="7"/>
      <c r="Z699" s="1"/>
    </row>
    <row r="700" spans="1:26" ht="27" customHeight="1">
      <c r="A700" s="1"/>
      <c r="B700" s="1"/>
      <c r="C700" s="2"/>
      <c r="D700" s="2"/>
      <c r="E700" s="2"/>
      <c r="F700" s="87"/>
      <c r="G700" s="87"/>
      <c r="H700" s="87"/>
      <c r="I700" s="87"/>
      <c r="J700" s="87"/>
      <c r="K700" s="1"/>
      <c r="L700" s="1"/>
      <c r="M700" s="1"/>
      <c r="N700" s="1"/>
      <c r="O700" s="87"/>
      <c r="P700" s="87"/>
      <c r="Q700" s="87"/>
      <c r="R700" s="87"/>
      <c r="S700" s="4"/>
      <c r="T700" s="1"/>
      <c r="U700" s="5"/>
      <c r="V700" s="3"/>
      <c r="W700" s="3"/>
      <c r="X700" s="3"/>
      <c r="Y700" s="7"/>
      <c r="Z700" s="1"/>
    </row>
    <row r="701" spans="1:26" ht="27" customHeight="1">
      <c r="A701" s="1"/>
      <c r="B701" s="1"/>
      <c r="C701" s="2"/>
      <c r="D701" s="2"/>
      <c r="E701" s="2"/>
      <c r="F701" s="87"/>
      <c r="G701" s="87"/>
      <c r="H701" s="87"/>
      <c r="I701" s="87"/>
      <c r="J701" s="87"/>
      <c r="K701" s="1"/>
      <c r="L701" s="1"/>
      <c r="M701" s="1"/>
      <c r="N701" s="1"/>
      <c r="O701" s="87"/>
      <c r="P701" s="87"/>
      <c r="Q701" s="87"/>
      <c r="R701" s="87"/>
      <c r="S701" s="4"/>
      <c r="T701" s="1"/>
      <c r="U701" s="5"/>
      <c r="V701" s="3"/>
      <c r="W701" s="3"/>
      <c r="X701" s="3"/>
      <c r="Y701" s="7"/>
      <c r="Z701" s="1"/>
    </row>
    <row r="702" spans="1:26" ht="27" customHeight="1">
      <c r="A702" s="1"/>
      <c r="B702" s="1"/>
      <c r="C702" s="2"/>
      <c r="D702" s="2"/>
      <c r="E702" s="2"/>
      <c r="F702" s="87"/>
      <c r="G702" s="87"/>
      <c r="H702" s="87"/>
      <c r="I702" s="87"/>
      <c r="J702" s="87"/>
      <c r="K702" s="1"/>
      <c r="L702" s="1"/>
      <c r="M702" s="1"/>
      <c r="N702" s="1"/>
      <c r="O702" s="87"/>
      <c r="P702" s="87"/>
      <c r="Q702" s="87"/>
      <c r="R702" s="87"/>
      <c r="S702" s="4"/>
      <c r="T702" s="1"/>
      <c r="U702" s="5"/>
      <c r="V702" s="3"/>
      <c r="W702" s="3"/>
      <c r="X702" s="3"/>
      <c r="Y702" s="7"/>
      <c r="Z702" s="1"/>
    </row>
    <row r="703" spans="1:26" ht="27" customHeight="1">
      <c r="A703" s="1"/>
      <c r="B703" s="1"/>
      <c r="C703" s="2"/>
      <c r="D703" s="2"/>
      <c r="E703" s="2"/>
      <c r="F703" s="87"/>
      <c r="G703" s="87"/>
      <c r="H703" s="87"/>
      <c r="I703" s="87"/>
      <c r="J703" s="87"/>
      <c r="K703" s="1"/>
      <c r="L703" s="1"/>
      <c r="M703" s="1"/>
      <c r="N703" s="1"/>
      <c r="O703" s="87"/>
      <c r="P703" s="87"/>
      <c r="Q703" s="87"/>
      <c r="R703" s="87"/>
      <c r="S703" s="4"/>
      <c r="T703" s="1"/>
      <c r="U703" s="5"/>
      <c r="V703" s="3"/>
      <c r="W703" s="3"/>
      <c r="X703" s="3"/>
      <c r="Y703" s="7"/>
      <c r="Z703" s="1"/>
    </row>
    <row r="704" spans="1:26" ht="27" customHeight="1">
      <c r="A704" s="1"/>
      <c r="B704" s="1"/>
      <c r="C704" s="2"/>
      <c r="D704" s="2"/>
      <c r="E704" s="2"/>
      <c r="F704" s="87"/>
      <c r="G704" s="87"/>
      <c r="H704" s="87"/>
      <c r="I704" s="87"/>
      <c r="J704" s="87"/>
      <c r="K704" s="1"/>
      <c r="L704" s="1"/>
      <c r="M704" s="1"/>
      <c r="N704" s="1"/>
      <c r="O704" s="87"/>
      <c r="P704" s="87"/>
      <c r="Q704" s="87"/>
      <c r="R704" s="87"/>
      <c r="S704" s="4"/>
      <c r="T704" s="1"/>
      <c r="U704" s="5"/>
      <c r="V704" s="3"/>
      <c r="W704" s="3"/>
      <c r="X704" s="3"/>
      <c r="Y704" s="7"/>
      <c r="Z704" s="1"/>
    </row>
    <row r="705" spans="1:26" ht="27" customHeight="1">
      <c r="A705" s="1"/>
      <c r="B705" s="1"/>
      <c r="C705" s="2"/>
      <c r="D705" s="2"/>
      <c r="E705" s="2"/>
      <c r="F705" s="87"/>
      <c r="G705" s="87"/>
      <c r="H705" s="87"/>
      <c r="I705" s="87"/>
      <c r="J705" s="87"/>
      <c r="K705" s="1"/>
      <c r="L705" s="1"/>
      <c r="M705" s="1"/>
      <c r="N705" s="1"/>
      <c r="O705" s="87"/>
      <c r="P705" s="87"/>
      <c r="Q705" s="87"/>
      <c r="R705" s="87"/>
      <c r="S705" s="4"/>
      <c r="T705" s="1"/>
      <c r="U705" s="5"/>
      <c r="V705" s="3"/>
      <c r="W705" s="3"/>
      <c r="X705" s="3"/>
      <c r="Y705" s="7"/>
      <c r="Z705" s="1"/>
    </row>
    <row r="706" spans="1:26" ht="27" customHeight="1">
      <c r="A706" s="1"/>
      <c r="B706" s="1"/>
      <c r="C706" s="2"/>
      <c r="D706" s="2"/>
      <c r="E706" s="2"/>
      <c r="F706" s="87"/>
      <c r="G706" s="87"/>
      <c r="H706" s="87"/>
      <c r="I706" s="87"/>
      <c r="J706" s="87"/>
      <c r="K706" s="1"/>
      <c r="L706" s="1"/>
      <c r="M706" s="1"/>
      <c r="N706" s="1"/>
      <c r="O706" s="87"/>
      <c r="P706" s="87"/>
      <c r="Q706" s="87"/>
      <c r="R706" s="87"/>
      <c r="S706" s="4"/>
      <c r="T706" s="1"/>
      <c r="U706" s="5"/>
      <c r="V706" s="3"/>
      <c r="W706" s="3"/>
      <c r="X706" s="3"/>
      <c r="Y706" s="7"/>
      <c r="Z706" s="1"/>
    </row>
    <row r="707" spans="1:26" ht="27" customHeight="1">
      <c r="A707" s="1"/>
      <c r="B707" s="1"/>
      <c r="C707" s="2"/>
      <c r="D707" s="2"/>
      <c r="E707" s="2"/>
      <c r="F707" s="87"/>
      <c r="G707" s="87"/>
      <c r="H707" s="87"/>
      <c r="I707" s="87"/>
      <c r="J707" s="87"/>
      <c r="K707" s="1"/>
      <c r="L707" s="1"/>
      <c r="M707" s="1"/>
      <c r="N707" s="1"/>
      <c r="O707" s="87"/>
      <c r="P707" s="87"/>
      <c r="Q707" s="87"/>
      <c r="R707" s="87"/>
      <c r="S707" s="4"/>
      <c r="T707" s="1"/>
      <c r="U707" s="5"/>
      <c r="V707" s="3"/>
      <c r="W707" s="3"/>
      <c r="X707" s="3"/>
      <c r="Y707" s="7"/>
      <c r="Z707" s="1"/>
    </row>
    <row r="708" spans="1:26" ht="27" customHeight="1">
      <c r="A708" s="1"/>
      <c r="B708" s="1"/>
      <c r="C708" s="2"/>
      <c r="D708" s="2"/>
      <c r="E708" s="2"/>
      <c r="F708" s="87"/>
      <c r="G708" s="87"/>
      <c r="H708" s="87"/>
      <c r="I708" s="87"/>
      <c r="J708" s="87"/>
      <c r="K708" s="1"/>
      <c r="L708" s="1"/>
      <c r="M708" s="1"/>
      <c r="N708" s="1"/>
      <c r="O708" s="87"/>
      <c r="P708" s="87"/>
      <c r="Q708" s="87"/>
      <c r="R708" s="87"/>
      <c r="S708" s="4"/>
      <c r="T708" s="1"/>
      <c r="U708" s="5"/>
      <c r="V708" s="3"/>
      <c r="W708" s="3"/>
      <c r="X708" s="3"/>
      <c r="Y708" s="7"/>
      <c r="Z708" s="1"/>
    </row>
    <row r="709" spans="1:26" ht="27" customHeight="1">
      <c r="A709" s="1"/>
      <c r="B709" s="1"/>
      <c r="C709" s="2"/>
      <c r="D709" s="2"/>
      <c r="E709" s="2"/>
      <c r="F709" s="87"/>
      <c r="G709" s="87"/>
      <c r="H709" s="87"/>
      <c r="I709" s="87"/>
      <c r="J709" s="87"/>
      <c r="K709" s="1"/>
      <c r="L709" s="1"/>
      <c r="M709" s="1"/>
      <c r="N709" s="1"/>
      <c r="O709" s="87"/>
      <c r="P709" s="87"/>
      <c r="Q709" s="87"/>
      <c r="R709" s="87"/>
      <c r="S709" s="4"/>
      <c r="T709" s="1"/>
      <c r="U709" s="5"/>
      <c r="V709" s="3"/>
      <c r="W709" s="3"/>
      <c r="X709" s="3"/>
      <c r="Y709" s="7"/>
      <c r="Z709" s="1"/>
    </row>
    <row r="710" spans="1:26" ht="27" customHeight="1">
      <c r="A710" s="1"/>
      <c r="B710" s="1"/>
      <c r="C710" s="2"/>
      <c r="D710" s="2"/>
      <c r="E710" s="2"/>
      <c r="F710" s="87"/>
      <c r="G710" s="87"/>
      <c r="H710" s="87"/>
      <c r="I710" s="87"/>
      <c r="J710" s="87"/>
      <c r="K710" s="1"/>
      <c r="L710" s="1"/>
      <c r="M710" s="1"/>
      <c r="N710" s="1"/>
      <c r="O710" s="87"/>
      <c r="P710" s="87"/>
      <c r="Q710" s="87"/>
      <c r="R710" s="87"/>
      <c r="S710" s="4"/>
      <c r="T710" s="1"/>
      <c r="U710" s="5"/>
      <c r="V710" s="3"/>
      <c r="W710" s="3"/>
      <c r="X710" s="3"/>
      <c r="Y710" s="7"/>
      <c r="Z710" s="1"/>
    </row>
    <row r="711" spans="1:26" ht="27" customHeight="1">
      <c r="A711" s="1"/>
      <c r="B711" s="1"/>
      <c r="C711" s="2"/>
      <c r="D711" s="2"/>
      <c r="E711" s="2"/>
      <c r="F711" s="87"/>
      <c r="G711" s="87"/>
      <c r="H711" s="87"/>
      <c r="I711" s="87"/>
      <c r="J711" s="87"/>
      <c r="K711" s="1"/>
      <c r="L711" s="1"/>
      <c r="M711" s="1"/>
      <c r="N711" s="1"/>
      <c r="O711" s="87"/>
      <c r="P711" s="87"/>
      <c r="Q711" s="87"/>
      <c r="R711" s="87"/>
      <c r="S711" s="4"/>
      <c r="T711" s="1"/>
      <c r="U711" s="5"/>
      <c r="V711" s="3"/>
      <c r="W711" s="3"/>
      <c r="X711" s="3"/>
      <c r="Y711" s="7"/>
      <c r="Z711" s="1"/>
    </row>
    <row r="712" spans="1:26" ht="27" customHeight="1">
      <c r="A712" s="1"/>
      <c r="B712" s="1"/>
      <c r="C712" s="2"/>
      <c r="D712" s="2"/>
      <c r="E712" s="2"/>
      <c r="F712" s="87"/>
      <c r="G712" s="87"/>
      <c r="H712" s="87"/>
      <c r="I712" s="87"/>
      <c r="J712" s="87"/>
      <c r="K712" s="1"/>
      <c r="L712" s="1"/>
      <c r="M712" s="1"/>
      <c r="N712" s="1"/>
      <c r="O712" s="87"/>
      <c r="P712" s="87"/>
      <c r="Q712" s="87"/>
      <c r="R712" s="87"/>
      <c r="S712" s="4"/>
      <c r="T712" s="1"/>
      <c r="U712" s="5"/>
      <c r="V712" s="3"/>
      <c r="W712" s="3"/>
      <c r="X712" s="3"/>
      <c r="Y712" s="7"/>
      <c r="Z712" s="1"/>
    </row>
    <row r="713" spans="1:26" ht="27" customHeight="1">
      <c r="A713" s="1"/>
      <c r="B713" s="1"/>
      <c r="C713" s="2"/>
      <c r="D713" s="2"/>
      <c r="E713" s="2"/>
      <c r="F713" s="87"/>
      <c r="G713" s="87"/>
      <c r="H713" s="87"/>
      <c r="I713" s="87"/>
      <c r="J713" s="87"/>
      <c r="K713" s="1"/>
      <c r="L713" s="1"/>
      <c r="M713" s="1"/>
      <c r="N713" s="1"/>
      <c r="O713" s="87"/>
      <c r="P713" s="87"/>
      <c r="Q713" s="87"/>
      <c r="R713" s="87"/>
      <c r="S713" s="4"/>
      <c r="T713" s="1"/>
      <c r="U713" s="5"/>
      <c r="V713" s="3"/>
      <c r="W713" s="3"/>
      <c r="X713" s="3"/>
      <c r="Y713" s="7"/>
      <c r="Z713" s="1"/>
    </row>
    <row r="714" spans="1:26" ht="27" customHeight="1">
      <c r="A714" s="1"/>
      <c r="B714" s="1"/>
      <c r="C714" s="2"/>
      <c r="D714" s="2"/>
      <c r="E714" s="2"/>
      <c r="F714" s="87"/>
      <c r="G714" s="87"/>
      <c r="H714" s="87"/>
      <c r="I714" s="87"/>
      <c r="J714" s="87"/>
      <c r="K714" s="1"/>
      <c r="L714" s="1"/>
      <c r="M714" s="1"/>
      <c r="N714" s="1"/>
      <c r="O714" s="87"/>
      <c r="P714" s="87"/>
      <c r="Q714" s="87"/>
      <c r="R714" s="87"/>
      <c r="S714" s="4"/>
      <c r="T714" s="1"/>
      <c r="U714" s="5"/>
      <c r="V714" s="3"/>
      <c r="W714" s="3"/>
      <c r="X714" s="3"/>
      <c r="Y714" s="7"/>
      <c r="Z714" s="1"/>
    </row>
    <row r="715" spans="1:26" ht="27" customHeight="1">
      <c r="A715" s="1"/>
      <c r="B715" s="1"/>
      <c r="C715" s="2"/>
      <c r="D715" s="2"/>
      <c r="E715" s="2"/>
      <c r="F715" s="87"/>
      <c r="G715" s="87"/>
      <c r="H715" s="87"/>
      <c r="I715" s="87"/>
      <c r="J715" s="87"/>
      <c r="K715" s="1"/>
      <c r="L715" s="1"/>
      <c r="M715" s="1"/>
      <c r="N715" s="1"/>
      <c r="O715" s="87"/>
      <c r="P715" s="87"/>
      <c r="Q715" s="87"/>
      <c r="R715" s="87"/>
      <c r="S715" s="4"/>
      <c r="T715" s="1"/>
      <c r="U715" s="5"/>
      <c r="V715" s="3"/>
      <c r="W715" s="3"/>
      <c r="X715" s="3"/>
      <c r="Y715" s="7"/>
      <c r="Z715" s="1"/>
    </row>
    <row r="716" spans="1:26" ht="27" customHeight="1">
      <c r="A716" s="1"/>
      <c r="B716" s="1"/>
      <c r="C716" s="2"/>
      <c r="D716" s="2"/>
      <c r="E716" s="2"/>
      <c r="F716" s="87"/>
      <c r="G716" s="87"/>
      <c r="H716" s="87"/>
      <c r="I716" s="87"/>
      <c r="J716" s="87"/>
      <c r="K716" s="1"/>
      <c r="L716" s="1"/>
      <c r="M716" s="1"/>
      <c r="N716" s="1"/>
      <c r="O716" s="87"/>
      <c r="P716" s="87"/>
      <c r="Q716" s="87"/>
      <c r="R716" s="87"/>
      <c r="S716" s="4"/>
      <c r="T716" s="1"/>
      <c r="U716" s="5"/>
      <c r="V716" s="3"/>
      <c r="W716" s="3"/>
      <c r="X716" s="3"/>
      <c r="Y716" s="7"/>
      <c r="Z716" s="1"/>
    </row>
    <row r="717" spans="1:26" ht="27" customHeight="1">
      <c r="A717" s="1"/>
      <c r="B717" s="1"/>
      <c r="C717" s="2"/>
      <c r="D717" s="2"/>
      <c r="E717" s="2"/>
      <c r="F717" s="87"/>
      <c r="G717" s="87"/>
      <c r="H717" s="87"/>
      <c r="I717" s="87"/>
      <c r="J717" s="87"/>
      <c r="K717" s="1"/>
      <c r="L717" s="1"/>
      <c r="M717" s="1"/>
      <c r="N717" s="1"/>
      <c r="O717" s="87"/>
      <c r="P717" s="87"/>
      <c r="Q717" s="87"/>
      <c r="R717" s="87"/>
      <c r="S717" s="4"/>
      <c r="T717" s="1"/>
      <c r="U717" s="5"/>
      <c r="V717" s="3"/>
      <c r="W717" s="3"/>
      <c r="X717" s="3"/>
      <c r="Y717" s="7"/>
      <c r="Z717" s="1"/>
    </row>
    <row r="718" spans="1:26" ht="27" customHeight="1">
      <c r="A718" s="1"/>
      <c r="B718" s="1"/>
      <c r="C718" s="2"/>
      <c r="D718" s="2"/>
      <c r="E718" s="2"/>
      <c r="F718" s="87"/>
      <c r="G718" s="87"/>
      <c r="H718" s="87"/>
      <c r="I718" s="87"/>
      <c r="J718" s="87"/>
      <c r="K718" s="1"/>
      <c r="L718" s="1"/>
      <c r="M718" s="1"/>
      <c r="N718" s="1"/>
      <c r="O718" s="87"/>
      <c r="P718" s="87"/>
      <c r="Q718" s="87"/>
      <c r="R718" s="87"/>
      <c r="S718" s="4"/>
      <c r="T718" s="1"/>
      <c r="U718" s="5"/>
      <c r="V718" s="3"/>
      <c r="W718" s="3"/>
      <c r="X718" s="3"/>
      <c r="Y718" s="7"/>
      <c r="Z718" s="1"/>
    </row>
    <row r="719" spans="1:26" ht="27" customHeight="1">
      <c r="A719" s="1"/>
      <c r="B719" s="1"/>
      <c r="C719" s="2"/>
      <c r="D719" s="2"/>
      <c r="E719" s="2"/>
      <c r="F719" s="87"/>
      <c r="G719" s="87"/>
      <c r="H719" s="87"/>
      <c r="I719" s="87"/>
      <c r="J719" s="87"/>
      <c r="K719" s="1"/>
      <c r="L719" s="1"/>
      <c r="M719" s="1"/>
      <c r="N719" s="1"/>
      <c r="O719" s="87"/>
      <c r="P719" s="87"/>
      <c r="Q719" s="87"/>
      <c r="R719" s="87"/>
      <c r="S719" s="4"/>
      <c r="T719" s="1"/>
      <c r="U719" s="5"/>
      <c r="V719" s="3"/>
      <c r="W719" s="3"/>
      <c r="X719" s="3"/>
      <c r="Y719" s="7"/>
      <c r="Z719" s="1"/>
    </row>
    <row r="720" spans="1:26" ht="27" customHeight="1">
      <c r="A720" s="1"/>
      <c r="B720" s="1"/>
      <c r="C720" s="2"/>
      <c r="D720" s="2"/>
      <c r="E720" s="2"/>
      <c r="F720" s="87"/>
      <c r="G720" s="87"/>
      <c r="H720" s="87"/>
      <c r="I720" s="87"/>
      <c r="J720" s="87"/>
      <c r="K720" s="1"/>
      <c r="L720" s="1"/>
      <c r="M720" s="1"/>
      <c r="N720" s="1"/>
      <c r="O720" s="87"/>
      <c r="P720" s="87"/>
      <c r="Q720" s="87"/>
      <c r="R720" s="87"/>
      <c r="S720" s="4"/>
      <c r="T720" s="1"/>
      <c r="U720" s="5"/>
      <c r="V720" s="3"/>
      <c r="W720" s="3"/>
      <c r="X720" s="3"/>
      <c r="Y720" s="7"/>
      <c r="Z720" s="1"/>
    </row>
    <row r="721" spans="1:26" ht="27" customHeight="1">
      <c r="A721" s="1"/>
      <c r="B721" s="1"/>
      <c r="C721" s="2"/>
      <c r="D721" s="2"/>
      <c r="E721" s="2"/>
      <c r="F721" s="87"/>
      <c r="G721" s="87"/>
      <c r="H721" s="87"/>
      <c r="I721" s="87"/>
      <c r="J721" s="87"/>
      <c r="K721" s="1"/>
      <c r="L721" s="1"/>
      <c r="M721" s="1"/>
      <c r="N721" s="1"/>
      <c r="O721" s="87"/>
      <c r="P721" s="87"/>
      <c r="Q721" s="87"/>
      <c r="R721" s="87"/>
      <c r="S721" s="4"/>
      <c r="T721" s="1"/>
      <c r="U721" s="5"/>
      <c r="V721" s="3"/>
      <c r="W721" s="3"/>
      <c r="X721" s="3"/>
      <c r="Y721" s="7"/>
      <c r="Z721" s="1"/>
    </row>
    <row r="722" spans="1:26" ht="27" customHeight="1">
      <c r="A722" s="1"/>
      <c r="B722" s="1"/>
      <c r="C722" s="2"/>
      <c r="D722" s="2"/>
      <c r="E722" s="2"/>
      <c r="F722" s="87"/>
      <c r="G722" s="87"/>
      <c r="H722" s="87"/>
      <c r="I722" s="87"/>
      <c r="J722" s="87"/>
      <c r="K722" s="1"/>
      <c r="L722" s="1"/>
      <c r="M722" s="1"/>
      <c r="N722" s="1"/>
      <c r="O722" s="87"/>
      <c r="P722" s="87"/>
      <c r="Q722" s="87"/>
      <c r="R722" s="87"/>
      <c r="S722" s="4"/>
      <c r="T722" s="1"/>
      <c r="U722" s="5"/>
      <c r="V722" s="3"/>
      <c r="W722" s="3"/>
      <c r="X722" s="3"/>
      <c r="Y722" s="7"/>
      <c r="Z722" s="1"/>
    </row>
    <row r="723" spans="1:26" ht="27" customHeight="1">
      <c r="A723" s="1"/>
      <c r="B723" s="1"/>
      <c r="C723" s="2"/>
      <c r="D723" s="2"/>
      <c r="E723" s="2"/>
      <c r="F723" s="87"/>
      <c r="G723" s="87"/>
      <c r="H723" s="87"/>
      <c r="I723" s="87"/>
      <c r="J723" s="87"/>
      <c r="K723" s="1"/>
      <c r="L723" s="1"/>
      <c r="M723" s="1"/>
      <c r="N723" s="1"/>
      <c r="O723" s="87"/>
      <c r="P723" s="87"/>
      <c r="Q723" s="87"/>
      <c r="R723" s="87"/>
      <c r="S723" s="4"/>
      <c r="T723" s="1"/>
      <c r="U723" s="5"/>
      <c r="V723" s="3"/>
      <c r="W723" s="3"/>
      <c r="X723" s="3"/>
      <c r="Y723" s="7"/>
      <c r="Z723" s="1"/>
    </row>
    <row r="724" spans="1:26" ht="27" customHeight="1">
      <c r="A724" s="1"/>
      <c r="B724" s="1"/>
      <c r="C724" s="2"/>
      <c r="D724" s="2"/>
      <c r="E724" s="2"/>
      <c r="F724" s="87"/>
      <c r="G724" s="87"/>
      <c r="H724" s="87"/>
      <c r="I724" s="87"/>
      <c r="J724" s="87"/>
      <c r="K724" s="1"/>
      <c r="L724" s="1"/>
      <c r="M724" s="1"/>
      <c r="N724" s="1"/>
      <c r="O724" s="87"/>
      <c r="P724" s="87"/>
      <c r="Q724" s="87"/>
      <c r="R724" s="87"/>
      <c r="S724" s="4"/>
      <c r="T724" s="1"/>
      <c r="U724" s="5"/>
      <c r="V724" s="3"/>
      <c r="W724" s="3"/>
      <c r="X724" s="3"/>
      <c r="Y724" s="7"/>
      <c r="Z724" s="1"/>
    </row>
    <row r="725" spans="1:26" ht="27" customHeight="1">
      <c r="A725" s="1"/>
      <c r="B725" s="1"/>
      <c r="C725" s="2"/>
      <c r="D725" s="2"/>
      <c r="E725" s="2"/>
      <c r="F725" s="87"/>
      <c r="G725" s="87"/>
      <c r="H725" s="87"/>
      <c r="I725" s="87"/>
      <c r="J725" s="87"/>
      <c r="K725" s="1"/>
      <c r="L725" s="1"/>
      <c r="M725" s="1"/>
      <c r="N725" s="1"/>
      <c r="O725" s="87"/>
      <c r="P725" s="87"/>
      <c r="Q725" s="87"/>
      <c r="R725" s="87"/>
      <c r="S725" s="4"/>
      <c r="T725" s="1"/>
      <c r="U725" s="5"/>
      <c r="V725" s="3"/>
      <c r="W725" s="3"/>
      <c r="X725" s="3"/>
      <c r="Y725" s="7"/>
      <c r="Z725" s="1"/>
    </row>
    <row r="726" spans="1:26" ht="27" customHeight="1">
      <c r="A726" s="1"/>
      <c r="B726" s="1"/>
      <c r="C726" s="2"/>
      <c r="D726" s="2"/>
      <c r="E726" s="2"/>
      <c r="F726" s="87"/>
      <c r="G726" s="87"/>
      <c r="H726" s="87"/>
      <c r="I726" s="87"/>
      <c r="J726" s="87"/>
      <c r="K726" s="1"/>
      <c r="L726" s="1"/>
      <c r="M726" s="1"/>
      <c r="N726" s="1"/>
      <c r="O726" s="87"/>
      <c r="P726" s="87"/>
      <c r="Q726" s="87"/>
      <c r="R726" s="87"/>
      <c r="S726" s="4"/>
      <c r="T726" s="1"/>
      <c r="U726" s="5"/>
      <c r="V726" s="3"/>
      <c r="W726" s="3"/>
      <c r="X726" s="3"/>
      <c r="Y726" s="7"/>
      <c r="Z726" s="1"/>
    </row>
    <row r="727" spans="1:26" ht="27" customHeight="1">
      <c r="A727" s="1"/>
      <c r="B727" s="1"/>
      <c r="C727" s="2"/>
      <c r="D727" s="2"/>
      <c r="E727" s="2"/>
      <c r="F727" s="87"/>
      <c r="G727" s="87"/>
      <c r="H727" s="87"/>
      <c r="I727" s="87"/>
      <c r="J727" s="87"/>
      <c r="K727" s="1"/>
      <c r="L727" s="1"/>
      <c r="M727" s="1"/>
      <c r="N727" s="1"/>
      <c r="O727" s="87"/>
      <c r="P727" s="87"/>
      <c r="Q727" s="87"/>
      <c r="R727" s="87"/>
      <c r="S727" s="4"/>
      <c r="T727" s="1"/>
      <c r="U727" s="5"/>
      <c r="V727" s="3"/>
      <c r="W727" s="3"/>
      <c r="X727" s="3"/>
      <c r="Y727" s="7"/>
      <c r="Z727" s="1"/>
    </row>
    <row r="728" spans="1:26" ht="27" customHeight="1">
      <c r="A728" s="1"/>
      <c r="B728" s="1"/>
      <c r="C728" s="2"/>
      <c r="D728" s="2"/>
      <c r="E728" s="2"/>
      <c r="F728" s="87"/>
      <c r="G728" s="87"/>
      <c r="H728" s="87"/>
      <c r="I728" s="87"/>
      <c r="J728" s="87"/>
      <c r="K728" s="1"/>
      <c r="L728" s="1"/>
      <c r="M728" s="1"/>
      <c r="N728" s="1"/>
      <c r="O728" s="87"/>
      <c r="P728" s="87"/>
      <c r="Q728" s="87"/>
      <c r="R728" s="87"/>
      <c r="S728" s="4"/>
      <c r="T728" s="1"/>
      <c r="U728" s="5"/>
      <c r="V728" s="3"/>
      <c r="W728" s="3"/>
      <c r="X728" s="3"/>
      <c r="Y728" s="7"/>
      <c r="Z728" s="1"/>
    </row>
    <row r="729" spans="1:26" ht="27" customHeight="1">
      <c r="A729" s="1"/>
      <c r="B729" s="1"/>
      <c r="C729" s="2"/>
      <c r="D729" s="2"/>
      <c r="E729" s="2"/>
      <c r="F729" s="87"/>
      <c r="G729" s="87"/>
      <c r="H729" s="87"/>
      <c r="I729" s="87"/>
      <c r="J729" s="87"/>
      <c r="K729" s="1"/>
      <c r="L729" s="1"/>
      <c r="M729" s="1"/>
      <c r="N729" s="1"/>
      <c r="O729" s="87"/>
      <c r="P729" s="87"/>
      <c r="Q729" s="87"/>
      <c r="R729" s="87"/>
      <c r="S729" s="4"/>
      <c r="T729" s="1"/>
      <c r="U729" s="5"/>
      <c r="V729" s="3"/>
      <c r="W729" s="3"/>
      <c r="X729" s="3"/>
      <c r="Y729" s="7"/>
      <c r="Z729" s="1"/>
    </row>
    <row r="730" spans="1:26" ht="27" customHeight="1">
      <c r="A730" s="1"/>
      <c r="B730" s="1"/>
      <c r="C730" s="2"/>
      <c r="D730" s="2"/>
      <c r="E730" s="2"/>
      <c r="F730" s="87"/>
      <c r="G730" s="87"/>
      <c r="H730" s="87"/>
      <c r="I730" s="87"/>
      <c r="J730" s="87"/>
      <c r="K730" s="1"/>
      <c r="L730" s="1"/>
      <c r="M730" s="1"/>
      <c r="N730" s="1"/>
      <c r="O730" s="87"/>
      <c r="P730" s="87"/>
      <c r="Q730" s="87"/>
      <c r="R730" s="87"/>
      <c r="S730" s="4"/>
      <c r="T730" s="1"/>
      <c r="U730" s="5"/>
      <c r="V730" s="3"/>
      <c r="W730" s="3"/>
      <c r="X730" s="3"/>
      <c r="Y730" s="7"/>
      <c r="Z730" s="1"/>
    </row>
    <row r="731" spans="1:26" ht="27" customHeight="1">
      <c r="A731" s="1"/>
      <c r="B731" s="1"/>
      <c r="C731" s="2"/>
      <c r="D731" s="2"/>
      <c r="E731" s="2"/>
      <c r="F731" s="87"/>
      <c r="G731" s="87"/>
      <c r="H731" s="87"/>
      <c r="I731" s="87"/>
      <c r="J731" s="87"/>
      <c r="K731" s="1"/>
      <c r="L731" s="1"/>
      <c r="M731" s="1"/>
      <c r="N731" s="1"/>
      <c r="O731" s="87"/>
      <c r="P731" s="87"/>
      <c r="Q731" s="87"/>
      <c r="R731" s="87"/>
      <c r="S731" s="4"/>
      <c r="T731" s="1"/>
      <c r="U731" s="5"/>
      <c r="V731" s="3"/>
      <c r="W731" s="3"/>
      <c r="X731" s="3"/>
      <c r="Y731" s="7"/>
      <c r="Z731" s="1"/>
    </row>
    <row r="732" spans="1:26" ht="27" customHeight="1">
      <c r="A732" s="1"/>
      <c r="B732" s="1"/>
      <c r="C732" s="2"/>
      <c r="D732" s="2"/>
      <c r="E732" s="2"/>
      <c r="F732" s="87"/>
      <c r="G732" s="87"/>
      <c r="H732" s="87"/>
      <c r="I732" s="87"/>
      <c r="J732" s="87"/>
      <c r="K732" s="1"/>
      <c r="L732" s="1"/>
      <c r="M732" s="1"/>
      <c r="N732" s="1"/>
      <c r="O732" s="87"/>
      <c r="P732" s="87"/>
      <c r="Q732" s="87"/>
      <c r="R732" s="87"/>
      <c r="S732" s="4"/>
      <c r="T732" s="1"/>
      <c r="U732" s="5"/>
      <c r="V732" s="3"/>
      <c r="W732" s="3"/>
      <c r="X732" s="3"/>
      <c r="Y732" s="7"/>
      <c r="Z732" s="1"/>
    </row>
    <row r="733" spans="1:26" ht="27" customHeight="1">
      <c r="A733" s="1"/>
      <c r="B733" s="1"/>
      <c r="C733" s="2"/>
      <c r="D733" s="2"/>
      <c r="E733" s="2"/>
      <c r="F733" s="87"/>
      <c r="G733" s="87"/>
      <c r="H733" s="87"/>
      <c r="I733" s="87"/>
      <c r="J733" s="87"/>
      <c r="K733" s="1"/>
      <c r="L733" s="1"/>
      <c r="M733" s="1"/>
      <c r="N733" s="1"/>
      <c r="O733" s="87"/>
      <c r="P733" s="87"/>
      <c r="Q733" s="87"/>
      <c r="R733" s="87"/>
      <c r="S733" s="4"/>
      <c r="T733" s="1"/>
      <c r="U733" s="5"/>
      <c r="V733" s="3"/>
      <c r="W733" s="3"/>
      <c r="X733" s="3"/>
      <c r="Y733" s="7"/>
      <c r="Z733" s="1"/>
    </row>
    <row r="734" spans="1:26" ht="27" customHeight="1">
      <c r="A734" s="1"/>
      <c r="B734" s="1"/>
      <c r="C734" s="2"/>
      <c r="D734" s="2"/>
      <c r="E734" s="2"/>
      <c r="F734" s="87"/>
      <c r="G734" s="87"/>
      <c r="H734" s="87"/>
      <c r="I734" s="87"/>
      <c r="J734" s="87"/>
      <c r="K734" s="1"/>
      <c r="L734" s="1"/>
      <c r="M734" s="1"/>
      <c r="N734" s="1"/>
      <c r="O734" s="87"/>
      <c r="P734" s="87"/>
      <c r="Q734" s="87"/>
      <c r="R734" s="87"/>
      <c r="S734" s="4"/>
      <c r="T734" s="1"/>
      <c r="U734" s="5"/>
      <c r="V734" s="3"/>
      <c r="W734" s="3"/>
      <c r="X734" s="3"/>
      <c r="Y734" s="7"/>
      <c r="Z734" s="1"/>
    </row>
    <row r="735" spans="1:26" ht="27" customHeight="1">
      <c r="A735" s="1"/>
      <c r="B735" s="1"/>
      <c r="C735" s="2"/>
      <c r="D735" s="2"/>
      <c r="E735" s="2"/>
      <c r="F735" s="87"/>
      <c r="G735" s="87"/>
      <c r="H735" s="87"/>
      <c r="I735" s="87"/>
      <c r="J735" s="87"/>
      <c r="K735" s="1"/>
      <c r="L735" s="1"/>
      <c r="M735" s="1"/>
      <c r="N735" s="1"/>
      <c r="O735" s="87"/>
      <c r="P735" s="87"/>
      <c r="Q735" s="87"/>
      <c r="R735" s="87"/>
      <c r="S735" s="4"/>
      <c r="T735" s="1"/>
      <c r="U735" s="5"/>
      <c r="V735" s="3"/>
      <c r="W735" s="3"/>
      <c r="X735" s="3"/>
      <c r="Y735" s="7"/>
      <c r="Z735" s="1"/>
    </row>
    <row r="736" spans="1:26" ht="27" customHeight="1">
      <c r="A736" s="1"/>
      <c r="B736" s="1"/>
      <c r="C736" s="2"/>
      <c r="D736" s="2"/>
      <c r="E736" s="2"/>
      <c r="F736" s="87"/>
      <c r="G736" s="87"/>
      <c r="H736" s="87"/>
      <c r="I736" s="87"/>
      <c r="J736" s="87"/>
      <c r="K736" s="1"/>
      <c r="L736" s="1"/>
      <c r="M736" s="1"/>
      <c r="N736" s="1"/>
      <c r="O736" s="87"/>
      <c r="P736" s="87"/>
      <c r="Q736" s="87"/>
      <c r="R736" s="87"/>
      <c r="S736" s="4"/>
      <c r="T736" s="1"/>
      <c r="U736" s="5"/>
      <c r="V736" s="3"/>
      <c r="W736" s="3"/>
      <c r="X736" s="3"/>
      <c r="Y736" s="7"/>
      <c r="Z736" s="1"/>
    </row>
    <row r="737" spans="1:26" ht="27" customHeight="1">
      <c r="A737" s="1"/>
      <c r="B737" s="1"/>
      <c r="C737" s="2"/>
      <c r="D737" s="2"/>
      <c r="E737" s="2"/>
      <c r="F737" s="87"/>
      <c r="G737" s="87"/>
      <c r="H737" s="87"/>
      <c r="I737" s="87"/>
      <c r="J737" s="87"/>
      <c r="K737" s="1"/>
      <c r="L737" s="1"/>
      <c r="M737" s="1"/>
      <c r="N737" s="1"/>
      <c r="O737" s="87"/>
      <c r="P737" s="87"/>
      <c r="Q737" s="87"/>
      <c r="R737" s="87"/>
      <c r="S737" s="4"/>
      <c r="T737" s="1"/>
      <c r="U737" s="5"/>
      <c r="V737" s="3"/>
      <c r="W737" s="3"/>
      <c r="X737" s="3"/>
      <c r="Y737" s="7"/>
      <c r="Z737" s="1"/>
    </row>
    <row r="738" spans="1:26" ht="27" customHeight="1">
      <c r="A738" s="1"/>
      <c r="B738" s="1"/>
      <c r="C738" s="2"/>
      <c r="D738" s="2"/>
      <c r="E738" s="2"/>
      <c r="F738" s="87"/>
      <c r="G738" s="87"/>
      <c r="H738" s="87"/>
      <c r="I738" s="87"/>
      <c r="J738" s="87"/>
      <c r="K738" s="1"/>
      <c r="L738" s="1"/>
      <c r="M738" s="1"/>
      <c r="N738" s="1"/>
      <c r="O738" s="87"/>
      <c r="P738" s="87"/>
      <c r="Q738" s="87"/>
      <c r="R738" s="87"/>
      <c r="S738" s="4"/>
      <c r="T738" s="1"/>
      <c r="U738" s="5"/>
      <c r="V738" s="3"/>
      <c r="W738" s="3"/>
      <c r="X738" s="3"/>
      <c r="Y738" s="7"/>
      <c r="Z738" s="1"/>
    </row>
    <row r="739" spans="1:26" ht="27" customHeight="1">
      <c r="A739" s="1"/>
      <c r="B739" s="1"/>
      <c r="C739" s="2"/>
      <c r="D739" s="2"/>
      <c r="E739" s="2"/>
      <c r="F739" s="87"/>
      <c r="G739" s="87"/>
      <c r="H739" s="87"/>
      <c r="I739" s="87"/>
      <c r="J739" s="87"/>
      <c r="K739" s="1"/>
      <c r="L739" s="1"/>
      <c r="M739" s="1"/>
      <c r="N739" s="1"/>
      <c r="O739" s="87"/>
      <c r="P739" s="87"/>
      <c r="Q739" s="87"/>
      <c r="R739" s="87"/>
      <c r="S739" s="4"/>
      <c r="T739" s="1"/>
      <c r="U739" s="5"/>
      <c r="V739" s="3"/>
      <c r="W739" s="3"/>
      <c r="X739" s="3"/>
      <c r="Y739" s="7"/>
      <c r="Z739" s="1"/>
    </row>
    <row r="740" spans="1:26" ht="27" customHeight="1">
      <c r="A740" s="1"/>
      <c r="B740" s="1"/>
      <c r="C740" s="2"/>
      <c r="D740" s="2"/>
      <c r="E740" s="2"/>
      <c r="F740" s="87"/>
      <c r="G740" s="87"/>
      <c r="H740" s="87"/>
      <c r="I740" s="87"/>
      <c r="J740" s="87"/>
      <c r="K740" s="1"/>
      <c r="L740" s="1"/>
      <c r="M740" s="1"/>
      <c r="N740" s="1"/>
      <c r="O740" s="87"/>
      <c r="P740" s="87"/>
      <c r="Q740" s="87"/>
      <c r="R740" s="87"/>
      <c r="S740" s="4"/>
      <c r="T740" s="1"/>
      <c r="U740" s="5"/>
      <c r="V740" s="3"/>
      <c r="W740" s="3"/>
      <c r="X740" s="3"/>
      <c r="Y740" s="7"/>
      <c r="Z740" s="1"/>
    </row>
    <row r="741" spans="1:26" ht="27" customHeight="1">
      <c r="A741" s="1"/>
      <c r="B741" s="1"/>
      <c r="C741" s="2"/>
      <c r="D741" s="2"/>
      <c r="E741" s="2"/>
      <c r="F741" s="87"/>
      <c r="G741" s="87"/>
      <c r="H741" s="87"/>
      <c r="I741" s="87"/>
      <c r="J741" s="87"/>
      <c r="K741" s="1"/>
      <c r="L741" s="1"/>
      <c r="M741" s="1"/>
      <c r="N741" s="1"/>
      <c r="O741" s="87"/>
      <c r="P741" s="87"/>
      <c r="Q741" s="87"/>
      <c r="R741" s="87"/>
      <c r="S741" s="4"/>
      <c r="T741" s="1"/>
      <c r="U741" s="5"/>
      <c r="V741" s="3"/>
      <c r="W741" s="3"/>
      <c r="X741" s="3"/>
      <c r="Y741" s="7"/>
      <c r="Z741" s="1"/>
    </row>
    <row r="742" spans="1:26" ht="27" customHeight="1">
      <c r="A742" s="1"/>
      <c r="B742" s="1"/>
      <c r="C742" s="2"/>
      <c r="D742" s="2"/>
      <c r="E742" s="2"/>
      <c r="F742" s="87"/>
      <c r="G742" s="87"/>
      <c r="H742" s="87"/>
      <c r="I742" s="87"/>
      <c r="J742" s="87"/>
      <c r="K742" s="1"/>
      <c r="L742" s="1"/>
      <c r="M742" s="1"/>
      <c r="N742" s="1"/>
      <c r="O742" s="87"/>
      <c r="P742" s="87"/>
      <c r="Q742" s="87"/>
      <c r="R742" s="87"/>
      <c r="S742" s="4"/>
      <c r="T742" s="1"/>
      <c r="U742" s="5"/>
      <c r="V742" s="3"/>
      <c r="W742" s="3"/>
      <c r="X742" s="3"/>
      <c r="Y742" s="7"/>
      <c r="Z742" s="1"/>
    </row>
    <row r="743" spans="1:26" ht="27" customHeight="1">
      <c r="A743" s="1"/>
      <c r="B743" s="1"/>
      <c r="C743" s="2"/>
      <c r="D743" s="2"/>
      <c r="E743" s="2"/>
      <c r="F743" s="87"/>
      <c r="G743" s="87"/>
      <c r="H743" s="87"/>
      <c r="I743" s="87"/>
      <c r="J743" s="87"/>
      <c r="K743" s="1"/>
      <c r="L743" s="1"/>
      <c r="M743" s="1"/>
      <c r="N743" s="1"/>
      <c r="O743" s="87"/>
      <c r="P743" s="87"/>
      <c r="Q743" s="87"/>
      <c r="R743" s="87"/>
      <c r="S743" s="4"/>
      <c r="T743" s="1"/>
      <c r="U743" s="5"/>
      <c r="V743" s="3"/>
      <c r="W743" s="3"/>
      <c r="X743" s="3"/>
      <c r="Y743" s="7"/>
      <c r="Z743" s="1"/>
    </row>
    <row r="744" spans="1:26" ht="27" customHeight="1">
      <c r="A744" s="1"/>
      <c r="B744" s="1"/>
      <c r="C744" s="2"/>
      <c r="D744" s="2"/>
      <c r="E744" s="2"/>
      <c r="F744" s="87"/>
      <c r="G744" s="87"/>
      <c r="H744" s="87"/>
      <c r="I744" s="87"/>
      <c r="J744" s="87"/>
      <c r="K744" s="1"/>
      <c r="L744" s="1"/>
      <c r="M744" s="1"/>
      <c r="N744" s="1"/>
      <c r="O744" s="87"/>
      <c r="P744" s="87"/>
      <c r="Q744" s="87"/>
      <c r="R744" s="87"/>
      <c r="S744" s="4"/>
      <c r="T744" s="1"/>
      <c r="U744" s="5"/>
      <c r="V744" s="3"/>
      <c r="W744" s="3"/>
      <c r="X744" s="3"/>
      <c r="Y744" s="7"/>
      <c r="Z744" s="1"/>
    </row>
    <row r="745" spans="1:26" ht="27" customHeight="1">
      <c r="A745" s="1"/>
      <c r="B745" s="1"/>
      <c r="C745" s="2"/>
      <c r="D745" s="2"/>
      <c r="E745" s="2"/>
      <c r="F745" s="87"/>
      <c r="G745" s="87"/>
      <c r="H745" s="87"/>
      <c r="I745" s="87"/>
      <c r="J745" s="87"/>
      <c r="K745" s="1"/>
      <c r="L745" s="1"/>
      <c r="M745" s="1"/>
      <c r="N745" s="1"/>
      <c r="O745" s="87"/>
      <c r="P745" s="87"/>
      <c r="Q745" s="87"/>
      <c r="R745" s="87"/>
      <c r="S745" s="4"/>
      <c r="T745" s="1"/>
      <c r="U745" s="5"/>
      <c r="V745" s="3"/>
      <c r="W745" s="3"/>
      <c r="X745" s="3"/>
      <c r="Y745" s="7"/>
      <c r="Z745" s="1"/>
    </row>
    <row r="746" spans="1:26" ht="27" customHeight="1">
      <c r="A746" s="1"/>
      <c r="B746" s="1"/>
      <c r="C746" s="2"/>
      <c r="D746" s="2"/>
      <c r="E746" s="2"/>
      <c r="F746" s="87"/>
      <c r="G746" s="87"/>
      <c r="H746" s="87"/>
      <c r="I746" s="87"/>
      <c r="J746" s="87"/>
      <c r="K746" s="1"/>
      <c r="L746" s="1"/>
      <c r="M746" s="1"/>
      <c r="N746" s="1"/>
      <c r="O746" s="87"/>
      <c r="P746" s="87"/>
      <c r="Q746" s="87"/>
      <c r="R746" s="87"/>
      <c r="S746" s="4"/>
      <c r="T746" s="1"/>
      <c r="U746" s="5"/>
      <c r="V746" s="3"/>
      <c r="W746" s="3"/>
      <c r="X746" s="3"/>
      <c r="Y746" s="7"/>
      <c r="Z746" s="1"/>
    </row>
    <row r="747" spans="1:26" ht="27" customHeight="1">
      <c r="A747" s="1"/>
      <c r="B747" s="1"/>
      <c r="C747" s="2"/>
      <c r="D747" s="2"/>
      <c r="E747" s="2"/>
      <c r="F747" s="87"/>
      <c r="G747" s="87"/>
      <c r="H747" s="87"/>
      <c r="I747" s="87"/>
      <c r="J747" s="87"/>
      <c r="K747" s="1"/>
      <c r="L747" s="1"/>
      <c r="M747" s="1"/>
      <c r="N747" s="1"/>
      <c r="O747" s="87"/>
      <c r="P747" s="87"/>
      <c r="Q747" s="87"/>
      <c r="R747" s="87"/>
      <c r="S747" s="4"/>
      <c r="T747" s="1"/>
      <c r="U747" s="5"/>
      <c r="V747" s="3"/>
      <c r="W747" s="3"/>
      <c r="X747" s="3"/>
      <c r="Y747" s="7"/>
      <c r="Z747" s="1"/>
    </row>
    <row r="748" spans="1:26" ht="27" customHeight="1">
      <c r="A748" s="1"/>
      <c r="B748" s="1"/>
      <c r="C748" s="2"/>
      <c r="D748" s="2"/>
      <c r="E748" s="2"/>
      <c r="F748" s="87"/>
      <c r="G748" s="87"/>
      <c r="H748" s="87"/>
      <c r="I748" s="87"/>
      <c r="J748" s="87"/>
      <c r="K748" s="1"/>
      <c r="L748" s="1"/>
      <c r="M748" s="1"/>
      <c r="N748" s="1"/>
      <c r="O748" s="87"/>
      <c r="P748" s="87"/>
      <c r="Q748" s="87"/>
      <c r="R748" s="87"/>
      <c r="S748" s="4"/>
      <c r="T748" s="1"/>
      <c r="U748" s="5"/>
      <c r="V748" s="3"/>
      <c r="W748" s="3"/>
      <c r="X748" s="3"/>
      <c r="Y748" s="7"/>
      <c r="Z748" s="1"/>
    </row>
    <row r="749" spans="1:26" ht="27" customHeight="1">
      <c r="A749" s="1"/>
      <c r="B749" s="1"/>
      <c r="C749" s="2"/>
      <c r="D749" s="2"/>
      <c r="E749" s="2"/>
      <c r="F749" s="87"/>
      <c r="G749" s="87"/>
      <c r="H749" s="87"/>
      <c r="I749" s="87"/>
      <c r="J749" s="87"/>
      <c r="K749" s="1"/>
      <c r="L749" s="1"/>
      <c r="M749" s="1"/>
      <c r="N749" s="1"/>
      <c r="O749" s="87"/>
      <c r="P749" s="87"/>
      <c r="Q749" s="87"/>
      <c r="R749" s="87"/>
      <c r="S749" s="4"/>
      <c r="T749" s="1"/>
      <c r="U749" s="5"/>
      <c r="V749" s="3"/>
      <c r="W749" s="3"/>
      <c r="X749" s="3"/>
      <c r="Y749" s="7"/>
      <c r="Z749" s="1"/>
    </row>
    <row r="750" spans="1:26" ht="27" customHeight="1">
      <c r="A750" s="1"/>
      <c r="B750" s="1"/>
      <c r="C750" s="2"/>
      <c r="D750" s="2"/>
      <c r="E750" s="2"/>
      <c r="F750" s="87"/>
      <c r="G750" s="87"/>
      <c r="H750" s="87"/>
      <c r="I750" s="87"/>
      <c r="J750" s="87"/>
      <c r="K750" s="1"/>
      <c r="L750" s="1"/>
      <c r="M750" s="1"/>
      <c r="N750" s="1"/>
      <c r="O750" s="87"/>
      <c r="P750" s="87"/>
      <c r="Q750" s="87"/>
      <c r="R750" s="87"/>
      <c r="S750" s="4"/>
      <c r="T750" s="1"/>
      <c r="U750" s="5"/>
      <c r="V750" s="3"/>
      <c r="W750" s="3"/>
      <c r="X750" s="3"/>
      <c r="Y750" s="7"/>
      <c r="Z750" s="1"/>
    </row>
    <row r="751" spans="1:26" ht="27" customHeight="1">
      <c r="A751" s="1"/>
      <c r="B751" s="1"/>
      <c r="C751" s="2"/>
      <c r="D751" s="2"/>
      <c r="E751" s="2"/>
      <c r="F751" s="87"/>
      <c r="G751" s="87"/>
      <c r="H751" s="87"/>
      <c r="I751" s="87"/>
      <c r="J751" s="87"/>
      <c r="K751" s="1"/>
      <c r="L751" s="1"/>
      <c r="M751" s="1"/>
      <c r="N751" s="1"/>
      <c r="O751" s="87"/>
      <c r="P751" s="87"/>
      <c r="Q751" s="87"/>
      <c r="R751" s="87"/>
      <c r="S751" s="4"/>
      <c r="T751" s="1"/>
      <c r="U751" s="5"/>
      <c r="V751" s="3"/>
      <c r="W751" s="3"/>
      <c r="X751" s="3"/>
      <c r="Y751" s="7"/>
      <c r="Z751" s="1"/>
    </row>
    <row r="752" spans="1:26" ht="27" customHeight="1">
      <c r="A752" s="1"/>
      <c r="B752" s="1"/>
      <c r="C752" s="2"/>
      <c r="D752" s="2"/>
      <c r="E752" s="2"/>
      <c r="F752" s="87"/>
      <c r="G752" s="87"/>
      <c r="H752" s="87"/>
      <c r="I752" s="87"/>
      <c r="J752" s="87"/>
      <c r="K752" s="1"/>
      <c r="L752" s="1"/>
      <c r="M752" s="1"/>
      <c r="N752" s="1"/>
      <c r="O752" s="87"/>
      <c r="P752" s="87"/>
      <c r="Q752" s="87"/>
      <c r="R752" s="87"/>
      <c r="S752" s="4"/>
      <c r="T752" s="1"/>
      <c r="U752" s="5"/>
      <c r="V752" s="3"/>
      <c r="W752" s="3"/>
      <c r="X752" s="3"/>
      <c r="Y752" s="7"/>
      <c r="Z752" s="1"/>
    </row>
    <row r="753" spans="1:26" ht="27" customHeight="1">
      <c r="A753" s="1"/>
      <c r="B753" s="1"/>
      <c r="C753" s="2"/>
      <c r="D753" s="2"/>
      <c r="E753" s="2"/>
      <c r="F753" s="87"/>
      <c r="G753" s="87"/>
      <c r="H753" s="87"/>
      <c r="I753" s="87"/>
      <c r="J753" s="87"/>
      <c r="K753" s="1"/>
      <c r="L753" s="1"/>
      <c r="M753" s="1"/>
      <c r="N753" s="1"/>
      <c r="O753" s="87"/>
      <c r="P753" s="87"/>
      <c r="Q753" s="87"/>
      <c r="R753" s="87"/>
      <c r="S753" s="4"/>
      <c r="T753" s="1"/>
      <c r="U753" s="5"/>
      <c r="V753" s="3"/>
      <c r="W753" s="3"/>
      <c r="X753" s="3"/>
      <c r="Y753" s="7"/>
      <c r="Z753" s="1"/>
    </row>
    <row r="754" spans="1:26" ht="27" customHeight="1">
      <c r="A754" s="1"/>
      <c r="B754" s="1"/>
      <c r="C754" s="2"/>
      <c r="D754" s="2"/>
      <c r="E754" s="2"/>
      <c r="F754" s="87"/>
      <c r="G754" s="87"/>
      <c r="H754" s="87"/>
      <c r="I754" s="87"/>
      <c r="J754" s="87"/>
      <c r="K754" s="1"/>
      <c r="L754" s="1"/>
      <c r="M754" s="1"/>
      <c r="N754" s="1"/>
      <c r="O754" s="87"/>
      <c r="P754" s="87"/>
      <c r="Q754" s="87"/>
      <c r="R754" s="87"/>
      <c r="S754" s="4"/>
      <c r="T754" s="1"/>
      <c r="U754" s="5"/>
      <c r="V754" s="3"/>
      <c r="W754" s="3"/>
      <c r="X754" s="3"/>
      <c r="Y754" s="7"/>
      <c r="Z754" s="1"/>
    </row>
    <row r="755" spans="1:26" ht="27" customHeight="1">
      <c r="A755" s="1"/>
      <c r="B755" s="1"/>
      <c r="C755" s="2"/>
      <c r="D755" s="2"/>
      <c r="E755" s="2"/>
      <c r="F755" s="87"/>
      <c r="G755" s="87"/>
      <c r="H755" s="87"/>
      <c r="I755" s="87"/>
      <c r="J755" s="87"/>
      <c r="K755" s="1"/>
      <c r="L755" s="1"/>
      <c r="M755" s="1"/>
      <c r="N755" s="1"/>
      <c r="O755" s="87"/>
      <c r="P755" s="87"/>
      <c r="Q755" s="87"/>
      <c r="R755" s="87"/>
      <c r="S755" s="4"/>
      <c r="T755" s="1"/>
      <c r="U755" s="5"/>
      <c r="V755" s="3"/>
      <c r="W755" s="3"/>
      <c r="X755" s="3"/>
      <c r="Y755" s="7"/>
      <c r="Z755" s="1"/>
    </row>
    <row r="756" spans="1:26" ht="27" customHeight="1">
      <c r="A756" s="1"/>
      <c r="B756" s="1"/>
      <c r="C756" s="2"/>
      <c r="D756" s="2"/>
      <c r="E756" s="2"/>
      <c r="F756" s="87"/>
      <c r="G756" s="87"/>
      <c r="H756" s="87"/>
      <c r="I756" s="87"/>
      <c r="J756" s="87"/>
      <c r="K756" s="1"/>
      <c r="L756" s="1"/>
      <c r="M756" s="1"/>
      <c r="N756" s="1"/>
      <c r="O756" s="87"/>
      <c r="P756" s="87"/>
      <c r="Q756" s="87"/>
      <c r="R756" s="87"/>
      <c r="S756" s="4"/>
      <c r="T756" s="1"/>
      <c r="U756" s="5"/>
      <c r="V756" s="3"/>
      <c r="W756" s="3"/>
      <c r="X756" s="3"/>
      <c r="Y756" s="7"/>
      <c r="Z756" s="1"/>
    </row>
    <row r="757" spans="1:26" ht="27" customHeight="1">
      <c r="A757" s="1"/>
      <c r="B757" s="1"/>
      <c r="C757" s="2"/>
      <c r="D757" s="2"/>
      <c r="E757" s="2"/>
      <c r="F757" s="87"/>
      <c r="G757" s="87"/>
      <c r="H757" s="87"/>
      <c r="I757" s="87"/>
      <c r="J757" s="87"/>
      <c r="K757" s="1"/>
      <c r="L757" s="1"/>
      <c r="M757" s="1"/>
      <c r="N757" s="1"/>
      <c r="O757" s="87"/>
      <c r="P757" s="87"/>
      <c r="Q757" s="87"/>
      <c r="R757" s="87"/>
      <c r="S757" s="4"/>
      <c r="T757" s="1"/>
      <c r="U757" s="5"/>
      <c r="V757" s="3"/>
      <c r="W757" s="3"/>
      <c r="X757" s="3"/>
      <c r="Y757" s="7"/>
      <c r="Z757" s="1"/>
    </row>
    <row r="758" spans="1:26" ht="27" customHeight="1">
      <c r="A758" s="1"/>
      <c r="B758" s="1"/>
      <c r="C758" s="2"/>
      <c r="D758" s="2"/>
      <c r="E758" s="2"/>
      <c r="F758" s="87"/>
      <c r="G758" s="87"/>
      <c r="H758" s="87"/>
      <c r="I758" s="87"/>
      <c r="J758" s="87"/>
      <c r="K758" s="1"/>
      <c r="L758" s="1"/>
      <c r="M758" s="1"/>
      <c r="N758" s="1"/>
      <c r="O758" s="87"/>
      <c r="P758" s="87"/>
      <c r="Q758" s="87"/>
      <c r="R758" s="87"/>
      <c r="S758" s="4"/>
      <c r="T758" s="1"/>
      <c r="U758" s="5"/>
      <c r="V758" s="3"/>
      <c r="W758" s="3"/>
      <c r="X758" s="3"/>
      <c r="Y758" s="7"/>
      <c r="Z758" s="1"/>
    </row>
    <row r="759" spans="1:26" ht="27" customHeight="1">
      <c r="A759" s="1"/>
      <c r="B759" s="1"/>
      <c r="C759" s="2"/>
      <c r="D759" s="2"/>
      <c r="E759" s="2"/>
      <c r="F759" s="87"/>
      <c r="G759" s="87"/>
      <c r="H759" s="87"/>
      <c r="I759" s="87"/>
      <c r="J759" s="87"/>
      <c r="K759" s="1"/>
      <c r="L759" s="1"/>
      <c r="M759" s="1"/>
      <c r="N759" s="1"/>
      <c r="O759" s="87"/>
      <c r="P759" s="87"/>
      <c r="Q759" s="87"/>
      <c r="R759" s="87"/>
      <c r="S759" s="4"/>
      <c r="T759" s="1"/>
      <c r="U759" s="5"/>
      <c r="V759" s="3"/>
      <c r="W759" s="3"/>
      <c r="X759" s="3"/>
      <c r="Y759" s="7"/>
      <c r="Z759" s="1"/>
    </row>
    <row r="760" spans="1:26" ht="27" customHeight="1">
      <c r="A760" s="1"/>
      <c r="B760" s="1"/>
      <c r="C760" s="2"/>
      <c r="D760" s="2"/>
      <c r="E760" s="2"/>
      <c r="F760" s="87"/>
      <c r="G760" s="87"/>
      <c r="H760" s="87"/>
      <c r="I760" s="87"/>
      <c r="J760" s="87"/>
      <c r="K760" s="1"/>
      <c r="L760" s="1"/>
      <c r="M760" s="1"/>
      <c r="N760" s="1"/>
      <c r="O760" s="87"/>
      <c r="P760" s="87"/>
      <c r="Q760" s="87"/>
      <c r="R760" s="87"/>
      <c r="S760" s="4"/>
      <c r="T760" s="1"/>
      <c r="U760" s="5"/>
      <c r="V760" s="3"/>
      <c r="W760" s="3"/>
      <c r="X760" s="3"/>
      <c r="Y760" s="7"/>
      <c r="Z760" s="1"/>
    </row>
    <row r="761" spans="1:26" ht="27" customHeight="1">
      <c r="A761" s="1"/>
      <c r="B761" s="1"/>
      <c r="C761" s="2"/>
      <c r="D761" s="2"/>
      <c r="E761" s="2"/>
      <c r="F761" s="87"/>
      <c r="G761" s="87"/>
      <c r="H761" s="87"/>
      <c r="I761" s="87"/>
      <c r="J761" s="87"/>
      <c r="K761" s="1"/>
      <c r="L761" s="1"/>
      <c r="M761" s="1"/>
      <c r="N761" s="1"/>
      <c r="O761" s="87"/>
      <c r="P761" s="87"/>
      <c r="Q761" s="87"/>
      <c r="R761" s="87"/>
      <c r="S761" s="4"/>
      <c r="T761" s="1"/>
      <c r="U761" s="5"/>
      <c r="V761" s="3"/>
      <c r="W761" s="3"/>
      <c r="X761" s="3"/>
      <c r="Y761" s="7"/>
      <c r="Z761" s="1"/>
    </row>
    <row r="762" spans="1:26" ht="27" customHeight="1">
      <c r="A762" s="1"/>
      <c r="B762" s="1"/>
      <c r="C762" s="2"/>
      <c r="D762" s="2"/>
      <c r="E762" s="2"/>
      <c r="F762" s="87"/>
      <c r="G762" s="87"/>
      <c r="H762" s="87"/>
      <c r="I762" s="87"/>
      <c r="J762" s="87"/>
      <c r="K762" s="1"/>
      <c r="L762" s="1"/>
      <c r="M762" s="1"/>
      <c r="N762" s="1"/>
      <c r="O762" s="87"/>
      <c r="P762" s="87"/>
      <c r="Q762" s="87"/>
      <c r="R762" s="87"/>
      <c r="S762" s="4"/>
      <c r="T762" s="1"/>
      <c r="U762" s="5"/>
      <c r="V762" s="3"/>
      <c r="W762" s="3"/>
      <c r="X762" s="3"/>
      <c r="Y762" s="7"/>
      <c r="Z762" s="1"/>
    </row>
    <row r="763" spans="1:26" ht="27" customHeight="1">
      <c r="A763" s="1"/>
      <c r="B763" s="1"/>
      <c r="C763" s="2"/>
      <c r="D763" s="2"/>
      <c r="E763" s="2"/>
      <c r="F763" s="87"/>
      <c r="G763" s="87"/>
      <c r="H763" s="87"/>
      <c r="I763" s="87"/>
      <c r="J763" s="87"/>
      <c r="K763" s="1"/>
      <c r="L763" s="1"/>
      <c r="M763" s="1"/>
      <c r="N763" s="1"/>
      <c r="O763" s="87"/>
      <c r="P763" s="87"/>
      <c r="Q763" s="87"/>
      <c r="R763" s="87"/>
      <c r="S763" s="4"/>
      <c r="T763" s="1"/>
      <c r="U763" s="5"/>
      <c r="V763" s="3"/>
      <c r="W763" s="3"/>
      <c r="X763" s="3"/>
      <c r="Y763" s="7"/>
      <c r="Z763" s="1"/>
    </row>
    <row r="764" spans="1:26" ht="27" customHeight="1">
      <c r="A764" s="1"/>
      <c r="B764" s="1"/>
      <c r="C764" s="2"/>
      <c r="D764" s="2"/>
      <c r="E764" s="2"/>
      <c r="F764" s="87"/>
      <c r="G764" s="87"/>
      <c r="H764" s="87"/>
      <c r="I764" s="87"/>
      <c r="J764" s="87"/>
      <c r="K764" s="1"/>
      <c r="L764" s="1"/>
      <c r="M764" s="1"/>
      <c r="N764" s="1"/>
      <c r="O764" s="87"/>
      <c r="P764" s="87"/>
      <c r="Q764" s="87"/>
      <c r="R764" s="87"/>
      <c r="S764" s="4"/>
      <c r="T764" s="1"/>
      <c r="U764" s="5"/>
      <c r="V764" s="3"/>
      <c r="W764" s="3"/>
      <c r="X764" s="3"/>
      <c r="Y764" s="7"/>
      <c r="Z764" s="1"/>
    </row>
    <row r="765" spans="1:26" ht="27" customHeight="1">
      <c r="A765" s="1"/>
      <c r="B765" s="1"/>
      <c r="C765" s="2"/>
      <c r="D765" s="2"/>
      <c r="E765" s="2"/>
      <c r="F765" s="87"/>
      <c r="G765" s="87"/>
      <c r="H765" s="87"/>
      <c r="I765" s="87"/>
      <c r="J765" s="87"/>
      <c r="K765" s="1"/>
      <c r="L765" s="1"/>
      <c r="M765" s="1"/>
      <c r="N765" s="1"/>
      <c r="O765" s="87"/>
      <c r="P765" s="87"/>
      <c r="Q765" s="87"/>
      <c r="R765" s="87"/>
      <c r="S765" s="4"/>
      <c r="T765" s="1"/>
      <c r="U765" s="5"/>
      <c r="V765" s="3"/>
      <c r="W765" s="3"/>
      <c r="X765" s="3"/>
      <c r="Y765" s="7"/>
      <c r="Z765" s="1"/>
    </row>
    <row r="766" spans="1:26" ht="27" customHeight="1">
      <c r="A766" s="1"/>
      <c r="B766" s="1"/>
      <c r="C766" s="2"/>
      <c r="D766" s="2"/>
      <c r="E766" s="2"/>
      <c r="F766" s="87"/>
      <c r="G766" s="87"/>
      <c r="H766" s="87"/>
      <c r="I766" s="87"/>
      <c r="J766" s="87"/>
      <c r="K766" s="1"/>
      <c r="L766" s="1"/>
      <c r="M766" s="1"/>
      <c r="N766" s="1"/>
      <c r="O766" s="87"/>
      <c r="P766" s="87"/>
      <c r="Q766" s="87"/>
      <c r="R766" s="87"/>
      <c r="S766" s="4"/>
      <c r="T766" s="1"/>
      <c r="U766" s="5"/>
      <c r="V766" s="3"/>
      <c r="W766" s="3"/>
      <c r="X766" s="3"/>
      <c r="Y766" s="7"/>
      <c r="Z766" s="1"/>
    </row>
    <row r="767" spans="1:26" ht="27" customHeight="1">
      <c r="A767" s="1"/>
      <c r="B767" s="1"/>
      <c r="C767" s="2"/>
      <c r="D767" s="2"/>
      <c r="E767" s="2"/>
      <c r="F767" s="87"/>
      <c r="G767" s="87"/>
      <c r="H767" s="87"/>
      <c r="I767" s="87"/>
      <c r="J767" s="87"/>
      <c r="K767" s="1"/>
      <c r="L767" s="1"/>
      <c r="M767" s="1"/>
      <c r="N767" s="1"/>
      <c r="O767" s="87"/>
      <c r="P767" s="87"/>
      <c r="Q767" s="87"/>
      <c r="R767" s="87"/>
      <c r="S767" s="4"/>
      <c r="T767" s="1"/>
      <c r="U767" s="5"/>
      <c r="V767" s="3"/>
      <c r="W767" s="3"/>
      <c r="X767" s="3"/>
      <c r="Y767" s="7"/>
      <c r="Z767" s="1"/>
    </row>
    <row r="768" spans="1:26" ht="27" customHeight="1">
      <c r="A768" s="1"/>
      <c r="B768" s="1"/>
      <c r="C768" s="2"/>
      <c r="D768" s="2"/>
      <c r="E768" s="2"/>
      <c r="F768" s="87"/>
      <c r="G768" s="87"/>
      <c r="H768" s="87"/>
      <c r="I768" s="87"/>
      <c r="J768" s="87"/>
      <c r="K768" s="1"/>
      <c r="L768" s="1"/>
      <c r="M768" s="1"/>
      <c r="N768" s="1"/>
      <c r="O768" s="87"/>
      <c r="P768" s="87"/>
      <c r="Q768" s="87"/>
      <c r="R768" s="87"/>
      <c r="S768" s="4"/>
      <c r="T768" s="1"/>
      <c r="U768" s="5"/>
      <c r="V768" s="3"/>
      <c r="W768" s="3"/>
      <c r="X768" s="3"/>
      <c r="Y768" s="7"/>
      <c r="Z768" s="1"/>
    </row>
    <row r="769" spans="1:26" ht="27" customHeight="1">
      <c r="A769" s="1"/>
      <c r="B769" s="1"/>
      <c r="C769" s="2"/>
      <c r="D769" s="2"/>
      <c r="E769" s="2"/>
      <c r="F769" s="87"/>
      <c r="G769" s="87"/>
      <c r="H769" s="87"/>
      <c r="I769" s="87"/>
      <c r="J769" s="87"/>
      <c r="K769" s="1"/>
      <c r="L769" s="1"/>
      <c r="M769" s="1"/>
      <c r="N769" s="1"/>
      <c r="O769" s="87"/>
      <c r="P769" s="87"/>
      <c r="Q769" s="87"/>
      <c r="R769" s="87"/>
      <c r="S769" s="4"/>
      <c r="T769" s="1"/>
      <c r="U769" s="5"/>
      <c r="V769" s="3"/>
      <c r="W769" s="3"/>
      <c r="X769" s="3"/>
      <c r="Y769" s="7"/>
      <c r="Z769" s="1"/>
    </row>
    <row r="770" spans="1:26" ht="27" customHeight="1">
      <c r="A770" s="1"/>
      <c r="B770" s="1"/>
      <c r="C770" s="2"/>
      <c r="D770" s="2"/>
      <c r="E770" s="2"/>
      <c r="F770" s="87"/>
      <c r="G770" s="87"/>
      <c r="H770" s="87"/>
      <c r="I770" s="87"/>
      <c r="J770" s="87"/>
      <c r="K770" s="1"/>
      <c r="L770" s="1"/>
      <c r="M770" s="1"/>
      <c r="N770" s="1"/>
      <c r="O770" s="87"/>
      <c r="P770" s="87"/>
      <c r="Q770" s="87"/>
      <c r="R770" s="87"/>
      <c r="S770" s="4"/>
      <c r="T770" s="1"/>
      <c r="U770" s="5"/>
      <c r="V770" s="3"/>
      <c r="W770" s="3"/>
      <c r="X770" s="3"/>
      <c r="Y770" s="7"/>
      <c r="Z770" s="1"/>
    </row>
    <row r="771" spans="1:26" ht="27" customHeight="1">
      <c r="A771" s="1"/>
      <c r="B771" s="1"/>
      <c r="C771" s="2"/>
      <c r="D771" s="2"/>
      <c r="E771" s="2"/>
      <c r="F771" s="87"/>
      <c r="G771" s="87"/>
      <c r="H771" s="87"/>
      <c r="I771" s="87"/>
      <c r="J771" s="87"/>
      <c r="K771" s="1"/>
      <c r="L771" s="1"/>
      <c r="M771" s="1"/>
      <c r="N771" s="1"/>
      <c r="O771" s="87"/>
      <c r="P771" s="87"/>
      <c r="Q771" s="87"/>
      <c r="R771" s="87"/>
      <c r="S771" s="4"/>
      <c r="T771" s="1"/>
      <c r="U771" s="5"/>
      <c r="V771" s="3"/>
      <c r="W771" s="3"/>
      <c r="X771" s="3"/>
      <c r="Y771" s="7"/>
      <c r="Z771" s="1"/>
    </row>
    <row r="772" spans="1:26" ht="27" customHeight="1">
      <c r="A772" s="1"/>
      <c r="B772" s="1"/>
      <c r="C772" s="2"/>
      <c r="D772" s="2"/>
      <c r="E772" s="2"/>
      <c r="F772" s="87"/>
      <c r="G772" s="87"/>
      <c r="H772" s="87"/>
      <c r="I772" s="87"/>
      <c r="J772" s="87"/>
      <c r="K772" s="1"/>
      <c r="L772" s="1"/>
      <c r="M772" s="1"/>
      <c r="N772" s="1"/>
      <c r="O772" s="87"/>
      <c r="P772" s="87"/>
      <c r="Q772" s="87"/>
      <c r="R772" s="87"/>
      <c r="S772" s="4"/>
      <c r="T772" s="1"/>
      <c r="U772" s="5"/>
      <c r="V772" s="3"/>
      <c r="W772" s="3"/>
      <c r="X772" s="3"/>
      <c r="Y772" s="7"/>
      <c r="Z772" s="1"/>
    </row>
    <row r="773" spans="1:26" ht="27" customHeight="1">
      <c r="A773" s="1"/>
      <c r="B773" s="1"/>
      <c r="C773" s="2"/>
      <c r="D773" s="2"/>
      <c r="E773" s="2"/>
      <c r="F773" s="87"/>
      <c r="G773" s="87"/>
      <c r="H773" s="87"/>
      <c r="I773" s="87"/>
      <c r="J773" s="87"/>
      <c r="K773" s="1"/>
      <c r="L773" s="1"/>
      <c r="M773" s="1"/>
      <c r="N773" s="1"/>
      <c r="O773" s="87"/>
      <c r="P773" s="87"/>
      <c r="Q773" s="87"/>
      <c r="R773" s="87"/>
      <c r="S773" s="4"/>
      <c r="T773" s="1"/>
      <c r="U773" s="5"/>
      <c r="V773" s="3"/>
      <c r="W773" s="3"/>
      <c r="X773" s="3"/>
      <c r="Y773" s="7"/>
      <c r="Z773" s="1"/>
    </row>
    <row r="774" spans="1:26" ht="27" customHeight="1">
      <c r="A774" s="1"/>
      <c r="B774" s="1"/>
      <c r="C774" s="2"/>
      <c r="D774" s="2"/>
      <c r="E774" s="2"/>
      <c r="F774" s="87"/>
      <c r="G774" s="87"/>
      <c r="H774" s="87"/>
      <c r="I774" s="87"/>
      <c r="J774" s="87"/>
      <c r="K774" s="1"/>
      <c r="L774" s="1"/>
      <c r="M774" s="1"/>
      <c r="N774" s="1"/>
      <c r="O774" s="87"/>
      <c r="P774" s="87"/>
      <c r="Q774" s="87"/>
      <c r="R774" s="87"/>
      <c r="S774" s="4"/>
      <c r="T774" s="1"/>
      <c r="U774" s="5"/>
      <c r="V774" s="3"/>
      <c r="W774" s="3"/>
      <c r="X774" s="3"/>
      <c r="Y774" s="7"/>
      <c r="Z774" s="1"/>
    </row>
    <row r="775" spans="1:26" ht="27" customHeight="1">
      <c r="A775" s="1"/>
      <c r="B775" s="1"/>
      <c r="C775" s="2"/>
      <c r="D775" s="2"/>
      <c r="E775" s="2"/>
      <c r="F775" s="87"/>
      <c r="G775" s="87"/>
      <c r="H775" s="87"/>
      <c r="I775" s="87"/>
      <c r="J775" s="87"/>
      <c r="K775" s="1"/>
      <c r="L775" s="1"/>
      <c r="M775" s="1"/>
      <c r="N775" s="1"/>
      <c r="O775" s="87"/>
      <c r="P775" s="87"/>
      <c r="Q775" s="87"/>
      <c r="R775" s="87"/>
      <c r="S775" s="4"/>
      <c r="T775" s="1"/>
      <c r="U775" s="5"/>
      <c r="V775" s="3"/>
      <c r="W775" s="3"/>
      <c r="X775" s="3"/>
      <c r="Y775" s="7"/>
      <c r="Z775" s="1"/>
    </row>
    <row r="776" spans="1:26" ht="27" customHeight="1">
      <c r="A776" s="1"/>
      <c r="B776" s="1"/>
      <c r="C776" s="2"/>
      <c r="D776" s="2"/>
      <c r="E776" s="2"/>
      <c r="F776" s="87"/>
      <c r="G776" s="87"/>
      <c r="H776" s="87"/>
      <c r="I776" s="87"/>
      <c r="J776" s="87"/>
      <c r="K776" s="1"/>
      <c r="L776" s="1"/>
      <c r="M776" s="1"/>
      <c r="N776" s="1"/>
      <c r="O776" s="87"/>
      <c r="P776" s="87"/>
      <c r="Q776" s="87"/>
      <c r="R776" s="87"/>
      <c r="S776" s="4"/>
      <c r="T776" s="1"/>
      <c r="U776" s="5"/>
      <c r="V776" s="3"/>
      <c r="W776" s="3"/>
      <c r="X776" s="3"/>
      <c r="Y776" s="7"/>
      <c r="Z776" s="1"/>
    </row>
    <row r="777" spans="1:26" ht="27" customHeight="1">
      <c r="A777" s="1"/>
      <c r="B777" s="1"/>
      <c r="C777" s="2"/>
      <c r="D777" s="2"/>
      <c r="E777" s="2"/>
      <c r="F777" s="87"/>
      <c r="G777" s="87"/>
      <c r="H777" s="87"/>
      <c r="I777" s="87"/>
      <c r="J777" s="87"/>
      <c r="K777" s="1"/>
      <c r="L777" s="1"/>
      <c r="M777" s="1"/>
      <c r="N777" s="1"/>
      <c r="O777" s="87"/>
      <c r="P777" s="87"/>
      <c r="Q777" s="87"/>
      <c r="R777" s="87"/>
      <c r="S777" s="4"/>
      <c r="T777" s="1"/>
      <c r="U777" s="5"/>
      <c r="V777" s="3"/>
      <c r="W777" s="3"/>
      <c r="X777" s="3"/>
      <c r="Y777" s="7"/>
      <c r="Z777" s="1"/>
    </row>
    <row r="778" spans="1:26" ht="27" customHeight="1">
      <c r="A778" s="1"/>
      <c r="B778" s="1"/>
      <c r="C778" s="2"/>
      <c r="D778" s="2"/>
      <c r="E778" s="2"/>
      <c r="F778" s="87"/>
      <c r="G778" s="87"/>
      <c r="H778" s="87"/>
      <c r="I778" s="87"/>
      <c r="J778" s="87"/>
      <c r="K778" s="1"/>
      <c r="L778" s="1"/>
      <c r="M778" s="1"/>
      <c r="N778" s="1"/>
      <c r="O778" s="87"/>
      <c r="P778" s="87"/>
      <c r="Q778" s="87"/>
      <c r="R778" s="87"/>
      <c r="S778" s="4"/>
      <c r="T778" s="1"/>
      <c r="U778" s="5"/>
      <c r="V778" s="3"/>
      <c r="W778" s="3"/>
      <c r="X778" s="3"/>
      <c r="Y778" s="7"/>
      <c r="Z778" s="1"/>
    </row>
    <row r="779" spans="1:26" ht="27" customHeight="1">
      <c r="A779" s="1"/>
      <c r="B779" s="1"/>
      <c r="C779" s="2"/>
      <c r="D779" s="2"/>
      <c r="E779" s="2"/>
      <c r="F779" s="87"/>
      <c r="G779" s="87"/>
      <c r="H779" s="87"/>
      <c r="I779" s="87"/>
      <c r="J779" s="87"/>
      <c r="K779" s="1"/>
      <c r="L779" s="1"/>
      <c r="M779" s="1"/>
      <c r="N779" s="1"/>
      <c r="O779" s="87"/>
      <c r="P779" s="87"/>
      <c r="Q779" s="87"/>
      <c r="R779" s="87"/>
      <c r="S779" s="4"/>
      <c r="T779" s="1"/>
      <c r="U779" s="5"/>
      <c r="V779" s="3"/>
      <c r="W779" s="3"/>
      <c r="X779" s="3"/>
      <c r="Y779" s="7"/>
      <c r="Z779" s="1"/>
    </row>
    <row r="780" spans="1:26" ht="27" customHeight="1">
      <c r="A780" s="1"/>
      <c r="B780" s="1"/>
      <c r="C780" s="2"/>
      <c r="D780" s="2"/>
      <c r="E780" s="2"/>
      <c r="F780" s="87"/>
      <c r="G780" s="87"/>
      <c r="H780" s="87"/>
      <c r="I780" s="87"/>
      <c r="J780" s="87"/>
      <c r="K780" s="1"/>
      <c r="L780" s="1"/>
      <c r="M780" s="1"/>
      <c r="N780" s="1"/>
      <c r="O780" s="87"/>
      <c r="P780" s="87"/>
      <c r="Q780" s="87"/>
      <c r="R780" s="87"/>
      <c r="S780" s="4"/>
      <c r="T780" s="1"/>
      <c r="U780" s="5"/>
      <c r="V780" s="3"/>
      <c r="W780" s="3"/>
      <c r="X780" s="3"/>
      <c r="Y780" s="7"/>
      <c r="Z780" s="1"/>
    </row>
    <row r="781" spans="1:26" ht="27" customHeight="1">
      <c r="A781" s="1"/>
      <c r="B781" s="1"/>
      <c r="C781" s="2"/>
      <c r="D781" s="2"/>
      <c r="E781" s="2"/>
      <c r="F781" s="87"/>
      <c r="G781" s="87"/>
      <c r="H781" s="87"/>
      <c r="I781" s="87"/>
      <c r="J781" s="87"/>
      <c r="K781" s="1"/>
      <c r="L781" s="1"/>
      <c r="M781" s="1"/>
      <c r="N781" s="1"/>
      <c r="O781" s="87"/>
      <c r="P781" s="87"/>
      <c r="Q781" s="87"/>
      <c r="R781" s="87"/>
      <c r="S781" s="4"/>
      <c r="T781" s="1"/>
      <c r="U781" s="5"/>
      <c r="V781" s="3"/>
      <c r="W781" s="3"/>
      <c r="X781" s="3"/>
      <c r="Y781" s="7"/>
      <c r="Z781" s="1"/>
    </row>
    <row r="782" spans="1:26" ht="27" customHeight="1">
      <c r="A782" s="1"/>
      <c r="B782" s="1"/>
      <c r="C782" s="2"/>
      <c r="D782" s="2"/>
      <c r="E782" s="2"/>
      <c r="F782" s="87"/>
      <c r="G782" s="87"/>
      <c r="H782" s="87"/>
      <c r="I782" s="87"/>
      <c r="J782" s="87"/>
      <c r="K782" s="1"/>
      <c r="L782" s="1"/>
      <c r="M782" s="1"/>
      <c r="N782" s="1"/>
      <c r="O782" s="87"/>
      <c r="P782" s="87"/>
      <c r="Q782" s="87"/>
      <c r="R782" s="87"/>
      <c r="S782" s="4"/>
      <c r="T782" s="1"/>
      <c r="U782" s="5"/>
      <c r="V782" s="3"/>
      <c r="W782" s="3"/>
      <c r="X782" s="3"/>
      <c r="Y782" s="7"/>
      <c r="Z782" s="1"/>
    </row>
    <row r="783" spans="1:26" ht="27" customHeight="1">
      <c r="A783" s="1"/>
      <c r="B783" s="1"/>
      <c r="C783" s="2"/>
      <c r="D783" s="2"/>
      <c r="E783" s="2"/>
      <c r="F783" s="87"/>
      <c r="G783" s="87"/>
      <c r="H783" s="87"/>
      <c r="I783" s="87"/>
      <c r="J783" s="87"/>
      <c r="K783" s="1"/>
      <c r="L783" s="1"/>
      <c r="M783" s="1"/>
      <c r="N783" s="1"/>
      <c r="O783" s="87"/>
      <c r="P783" s="87"/>
      <c r="Q783" s="87"/>
      <c r="R783" s="87"/>
      <c r="S783" s="4"/>
      <c r="T783" s="1"/>
      <c r="U783" s="5"/>
      <c r="V783" s="3"/>
      <c r="W783" s="3"/>
      <c r="X783" s="3"/>
      <c r="Y783" s="7"/>
      <c r="Z783" s="1"/>
    </row>
    <row r="784" spans="1:26" ht="27" customHeight="1">
      <c r="A784" s="1"/>
      <c r="B784" s="1"/>
      <c r="C784" s="2"/>
      <c r="D784" s="2"/>
      <c r="E784" s="2"/>
      <c r="F784" s="87"/>
      <c r="G784" s="87"/>
      <c r="H784" s="87"/>
      <c r="I784" s="87"/>
      <c r="J784" s="87"/>
      <c r="K784" s="1"/>
      <c r="L784" s="1"/>
      <c r="M784" s="1"/>
      <c r="N784" s="1"/>
      <c r="O784" s="87"/>
      <c r="P784" s="87"/>
      <c r="Q784" s="87"/>
      <c r="R784" s="87"/>
      <c r="S784" s="4"/>
      <c r="T784" s="1"/>
      <c r="U784" s="5"/>
      <c r="V784" s="3"/>
      <c r="W784" s="3"/>
      <c r="X784" s="3"/>
      <c r="Y784" s="7"/>
      <c r="Z784" s="1"/>
    </row>
    <row r="785" spans="1:26" ht="27" customHeight="1">
      <c r="A785" s="1"/>
      <c r="B785" s="1"/>
      <c r="C785" s="2"/>
      <c r="D785" s="2"/>
      <c r="E785" s="2"/>
      <c r="F785" s="87"/>
      <c r="G785" s="87"/>
      <c r="H785" s="87"/>
      <c r="I785" s="87"/>
      <c r="J785" s="87"/>
      <c r="K785" s="1"/>
      <c r="L785" s="1"/>
      <c r="M785" s="1"/>
      <c r="N785" s="1"/>
      <c r="O785" s="87"/>
      <c r="P785" s="87"/>
      <c r="Q785" s="87"/>
      <c r="R785" s="87"/>
      <c r="S785" s="4"/>
      <c r="T785" s="1"/>
      <c r="U785" s="5"/>
      <c r="V785" s="3"/>
      <c r="W785" s="3"/>
      <c r="X785" s="3"/>
      <c r="Y785" s="7"/>
      <c r="Z785" s="1"/>
    </row>
    <row r="786" spans="1:26" ht="27" customHeight="1">
      <c r="A786" s="1"/>
      <c r="B786" s="1"/>
      <c r="C786" s="2"/>
      <c r="D786" s="2"/>
      <c r="E786" s="2"/>
      <c r="F786" s="87"/>
      <c r="G786" s="87"/>
      <c r="H786" s="87"/>
      <c r="I786" s="87"/>
      <c r="J786" s="87"/>
      <c r="K786" s="1"/>
      <c r="L786" s="1"/>
      <c r="M786" s="1"/>
      <c r="N786" s="1"/>
      <c r="O786" s="87"/>
      <c r="P786" s="87"/>
      <c r="Q786" s="87"/>
      <c r="R786" s="87"/>
      <c r="S786" s="4"/>
      <c r="T786" s="1"/>
      <c r="U786" s="5"/>
      <c r="V786" s="3"/>
      <c r="W786" s="3"/>
      <c r="X786" s="3"/>
      <c r="Y786" s="7"/>
      <c r="Z786" s="1"/>
    </row>
    <row r="787" spans="1:26" ht="27" customHeight="1">
      <c r="A787" s="1"/>
      <c r="B787" s="1"/>
      <c r="C787" s="2"/>
      <c r="D787" s="2"/>
      <c r="E787" s="2"/>
      <c r="F787" s="87"/>
      <c r="G787" s="87"/>
      <c r="H787" s="87"/>
      <c r="I787" s="87"/>
      <c r="J787" s="87"/>
      <c r="K787" s="1"/>
      <c r="L787" s="1"/>
      <c r="M787" s="1"/>
      <c r="N787" s="1"/>
      <c r="O787" s="87"/>
      <c r="P787" s="87"/>
      <c r="Q787" s="87"/>
      <c r="R787" s="87"/>
      <c r="S787" s="4"/>
      <c r="T787" s="1"/>
      <c r="U787" s="5"/>
      <c r="V787" s="3"/>
      <c r="W787" s="3"/>
      <c r="X787" s="3"/>
      <c r="Y787" s="7"/>
      <c r="Z787" s="1"/>
    </row>
    <row r="788" spans="1:26" ht="27" customHeight="1">
      <c r="A788" s="1"/>
      <c r="B788" s="1"/>
      <c r="C788" s="2"/>
      <c r="D788" s="2"/>
      <c r="E788" s="2"/>
      <c r="F788" s="87"/>
      <c r="G788" s="87"/>
      <c r="H788" s="87"/>
      <c r="I788" s="87"/>
      <c r="J788" s="87"/>
      <c r="K788" s="1"/>
      <c r="L788" s="1"/>
      <c r="M788" s="1"/>
      <c r="N788" s="1"/>
      <c r="O788" s="87"/>
      <c r="P788" s="87"/>
      <c r="Q788" s="87"/>
      <c r="R788" s="87"/>
      <c r="S788" s="4"/>
      <c r="T788" s="1"/>
      <c r="U788" s="5"/>
      <c r="V788" s="3"/>
      <c r="W788" s="3"/>
      <c r="X788" s="3"/>
      <c r="Y788" s="7"/>
      <c r="Z788" s="1"/>
    </row>
    <row r="789" spans="1:26" ht="27" customHeight="1">
      <c r="A789" s="1"/>
      <c r="B789" s="1"/>
      <c r="C789" s="2"/>
      <c r="D789" s="2"/>
      <c r="E789" s="2"/>
      <c r="F789" s="87"/>
      <c r="G789" s="87"/>
      <c r="H789" s="87"/>
      <c r="I789" s="87"/>
      <c r="J789" s="87"/>
      <c r="K789" s="1"/>
      <c r="L789" s="1"/>
      <c r="M789" s="1"/>
      <c r="N789" s="1"/>
      <c r="O789" s="87"/>
      <c r="P789" s="87"/>
      <c r="Q789" s="87"/>
      <c r="R789" s="87"/>
      <c r="S789" s="4"/>
      <c r="T789" s="1"/>
      <c r="U789" s="5"/>
      <c r="V789" s="3"/>
      <c r="W789" s="3"/>
      <c r="X789" s="3"/>
      <c r="Y789" s="7"/>
      <c r="Z789" s="1"/>
    </row>
    <row r="790" spans="1:26" ht="27" customHeight="1">
      <c r="A790" s="1"/>
      <c r="B790" s="1"/>
      <c r="C790" s="2"/>
      <c r="D790" s="2"/>
      <c r="E790" s="2"/>
      <c r="F790" s="87"/>
      <c r="G790" s="87"/>
      <c r="H790" s="87"/>
      <c r="I790" s="87"/>
      <c r="J790" s="87"/>
      <c r="K790" s="1"/>
      <c r="L790" s="1"/>
      <c r="M790" s="1"/>
      <c r="N790" s="1"/>
      <c r="O790" s="87"/>
      <c r="P790" s="87"/>
      <c r="Q790" s="87"/>
      <c r="R790" s="87"/>
      <c r="S790" s="4"/>
      <c r="T790" s="1"/>
      <c r="U790" s="5"/>
      <c r="V790" s="3"/>
      <c r="W790" s="3"/>
      <c r="X790" s="3"/>
      <c r="Y790" s="7"/>
      <c r="Z790" s="1"/>
    </row>
    <row r="791" spans="1:26" ht="27" customHeight="1">
      <c r="A791" s="1"/>
      <c r="B791" s="1"/>
      <c r="C791" s="2"/>
      <c r="D791" s="2"/>
      <c r="E791" s="2"/>
      <c r="F791" s="87"/>
      <c r="G791" s="87"/>
      <c r="H791" s="87"/>
      <c r="I791" s="87"/>
      <c r="J791" s="87"/>
      <c r="K791" s="1"/>
      <c r="L791" s="1"/>
      <c r="M791" s="1"/>
      <c r="N791" s="1"/>
      <c r="O791" s="87"/>
      <c r="P791" s="87"/>
      <c r="Q791" s="87"/>
      <c r="R791" s="87"/>
      <c r="S791" s="4"/>
      <c r="T791" s="1"/>
      <c r="U791" s="5"/>
      <c r="V791" s="3"/>
      <c r="W791" s="3"/>
      <c r="X791" s="3"/>
      <c r="Y791" s="7"/>
      <c r="Z791" s="1"/>
    </row>
    <row r="792" spans="1:26" ht="27" customHeight="1">
      <c r="A792" s="1"/>
      <c r="B792" s="1"/>
      <c r="C792" s="2"/>
      <c r="D792" s="2"/>
      <c r="E792" s="2"/>
      <c r="F792" s="87"/>
      <c r="G792" s="87"/>
      <c r="H792" s="87"/>
      <c r="I792" s="87"/>
      <c r="J792" s="87"/>
      <c r="K792" s="1"/>
      <c r="L792" s="1"/>
      <c r="M792" s="1"/>
      <c r="N792" s="1"/>
      <c r="O792" s="87"/>
      <c r="P792" s="87"/>
      <c r="Q792" s="87"/>
      <c r="R792" s="87"/>
      <c r="S792" s="4"/>
      <c r="T792" s="1"/>
      <c r="U792" s="5"/>
      <c r="V792" s="3"/>
      <c r="W792" s="3"/>
      <c r="X792" s="3"/>
      <c r="Y792" s="7"/>
      <c r="Z792" s="1"/>
    </row>
    <row r="793" spans="1:26" ht="27" customHeight="1">
      <c r="A793" s="1"/>
      <c r="B793" s="1"/>
      <c r="C793" s="2"/>
      <c r="D793" s="2"/>
      <c r="E793" s="2"/>
      <c r="F793" s="87"/>
      <c r="G793" s="87"/>
      <c r="H793" s="87"/>
      <c r="I793" s="87"/>
      <c r="J793" s="87"/>
      <c r="K793" s="1"/>
      <c r="L793" s="1"/>
      <c r="M793" s="1"/>
      <c r="N793" s="1"/>
      <c r="O793" s="87"/>
      <c r="P793" s="87"/>
      <c r="Q793" s="87"/>
      <c r="R793" s="87"/>
      <c r="S793" s="4"/>
      <c r="T793" s="1"/>
      <c r="U793" s="5"/>
      <c r="V793" s="3"/>
      <c r="W793" s="3"/>
      <c r="X793" s="3"/>
      <c r="Y793" s="7"/>
      <c r="Z793" s="1"/>
    </row>
    <row r="794" spans="1:26" ht="27" customHeight="1">
      <c r="A794" s="1"/>
      <c r="B794" s="1"/>
      <c r="C794" s="2"/>
      <c r="D794" s="2"/>
      <c r="E794" s="2"/>
      <c r="F794" s="87"/>
      <c r="G794" s="87"/>
      <c r="H794" s="87"/>
      <c r="I794" s="87"/>
      <c r="J794" s="87"/>
      <c r="K794" s="1"/>
      <c r="L794" s="1"/>
      <c r="M794" s="1"/>
      <c r="N794" s="1"/>
      <c r="O794" s="87"/>
      <c r="P794" s="87"/>
      <c r="Q794" s="87"/>
      <c r="R794" s="87"/>
      <c r="S794" s="4"/>
      <c r="T794" s="1"/>
      <c r="U794" s="5"/>
      <c r="V794" s="3"/>
      <c r="W794" s="3"/>
      <c r="X794" s="3"/>
      <c r="Y794" s="7"/>
      <c r="Z794" s="1"/>
    </row>
    <row r="795" spans="1:26" ht="27" customHeight="1">
      <c r="A795" s="1"/>
      <c r="B795" s="1"/>
      <c r="C795" s="2"/>
      <c r="D795" s="2"/>
      <c r="E795" s="2"/>
      <c r="F795" s="87"/>
      <c r="G795" s="87"/>
      <c r="H795" s="87"/>
      <c r="I795" s="87"/>
      <c r="J795" s="87"/>
      <c r="K795" s="1"/>
      <c r="L795" s="1"/>
      <c r="M795" s="1"/>
      <c r="N795" s="1"/>
      <c r="O795" s="87"/>
      <c r="P795" s="87"/>
      <c r="Q795" s="87"/>
      <c r="R795" s="87"/>
      <c r="S795" s="4"/>
      <c r="T795" s="1"/>
      <c r="U795" s="5"/>
      <c r="V795" s="3"/>
      <c r="W795" s="3"/>
      <c r="X795" s="3"/>
      <c r="Y795" s="7"/>
      <c r="Z795" s="1"/>
    </row>
    <row r="796" spans="1:26" ht="27" customHeight="1">
      <c r="A796" s="1"/>
      <c r="B796" s="1"/>
      <c r="C796" s="2"/>
      <c r="D796" s="2"/>
      <c r="E796" s="2"/>
      <c r="F796" s="87"/>
      <c r="G796" s="87"/>
      <c r="H796" s="87"/>
      <c r="I796" s="87"/>
      <c r="J796" s="87"/>
      <c r="K796" s="1"/>
      <c r="L796" s="1"/>
      <c r="M796" s="1"/>
      <c r="N796" s="1"/>
      <c r="O796" s="87"/>
      <c r="P796" s="87"/>
      <c r="Q796" s="87"/>
      <c r="R796" s="87"/>
      <c r="S796" s="4"/>
      <c r="T796" s="1"/>
      <c r="U796" s="5"/>
      <c r="V796" s="3"/>
      <c r="W796" s="3"/>
      <c r="X796" s="3"/>
      <c r="Y796" s="7"/>
      <c r="Z796" s="1"/>
    </row>
    <row r="797" spans="1:26" ht="27" customHeight="1">
      <c r="A797" s="1"/>
      <c r="B797" s="1"/>
      <c r="C797" s="2"/>
      <c r="D797" s="2"/>
      <c r="E797" s="2"/>
      <c r="F797" s="87"/>
      <c r="G797" s="87"/>
      <c r="H797" s="87"/>
      <c r="I797" s="87"/>
      <c r="J797" s="87"/>
      <c r="K797" s="1"/>
      <c r="L797" s="1"/>
      <c r="M797" s="1"/>
      <c r="N797" s="1"/>
      <c r="O797" s="87"/>
      <c r="P797" s="87"/>
      <c r="Q797" s="87"/>
      <c r="R797" s="87"/>
      <c r="S797" s="4"/>
      <c r="T797" s="1"/>
      <c r="U797" s="5"/>
      <c r="V797" s="3"/>
      <c r="W797" s="3"/>
      <c r="X797" s="3"/>
      <c r="Y797" s="7"/>
      <c r="Z797" s="1"/>
    </row>
    <row r="798" spans="1:26" ht="27" customHeight="1">
      <c r="A798" s="1"/>
      <c r="B798" s="1"/>
      <c r="C798" s="2"/>
      <c r="D798" s="2"/>
      <c r="E798" s="2"/>
      <c r="F798" s="87"/>
      <c r="G798" s="87"/>
      <c r="H798" s="87"/>
      <c r="I798" s="87"/>
      <c r="J798" s="87"/>
      <c r="K798" s="1"/>
      <c r="L798" s="1"/>
      <c r="M798" s="1"/>
      <c r="N798" s="1"/>
      <c r="O798" s="87"/>
      <c r="P798" s="87"/>
      <c r="Q798" s="87"/>
      <c r="R798" s="87"/>
      <c r="S798" s="4"/>
      <c r="T798" s="1"/>
      <c r="U798" s="5"/>
      <c r="V798" s="3"/>
      <c r="W798" s="3"/>
      <c r="X798" s="3"/>
      <c r="Y798" s="7"/>
      <c r="Z798" s="1"/>
    </row>
    <row r="799" spans="1:26" ht="27" customHeight="1">
      <c r="A799" s="1"/>
      <c r="B799" s="1"/>
      <c r="C799" s="2"/>
      <c r="D799" s="2"/>
      <c r="E799" s="2"/>
      <c r="F799" s="87"/>
      <c r="G799" s="87"/>
      <c r="H799" s="87"/>
      <c r="I799" s="87"/>
      <c r="J799" s="87"/>
      <c r="K799" s="1"/>
      <c r="L799" s="1"/>
      <c r="M799" s="1"/>
      <c r="N799" s="1"/>
      <c r="O799" s="87"/>
      <c r="P799" s="87"/>
      <c r="Q799" s="87"/>
      <c r="R799" s="87"/>
      <c r="S799" s="4"/>
      <c r="T799" s="1"/>
      <c r="U799" s="5"/>
      <c r="V799" s="3"/>
      <c r="W799" s="3"/>
      <c r="X799" s="3"/>
      <c r="Y799" s="7"/>
      <c r="Z799" s="1"/>
    </row>
    <row r="800" spans="1:26" ht="27" customHeight="1">
      <c r="A800" s="1"/>
      <c r="B800" s="1"/>
      <c r="C800" s="2"/>
      <c r="D800" s="2"/>
      <c r="E800" s="2"/>
      <c r="F800" s="87"/>
      <c r="G800" s="87"/>
      <c r="H800" s="87"/>
      <c r="I800" s="87"/>
      <c r="J800" s="87"/>
      <c r="K800" s="1"/>
      <c r="L800" s="1"/>
      <c r="M800" s="1"/>
      <c r="N800" s="1"/>
      <c r="O800" s="87"/>
      <c r="P800" s="87"/>
      <c r="Q800" s="87"/>
      <c r="R800" s="87"/>
      <c r="S800" s="4"/>
      <c r="T800" s="1"/>
      <c r="U800" s="5"/>
      <c r="V800" s="3"/>
      <c r="W800" s="3"/>
      <c r="X800" s="3"/>
      <c r="Y800" s="7"/>
      <c r="Z800" s="1"/>
    </row>
    <row r="801" spans="1:26" ht="27" customHeight="1">
      <c r="A801" s="1"/>
      <c r="B801" s="1"/>
      <c r="C801" s="2"/>
      <c r="D801" s="2"/>
      <c r="E801" s="2"/>
      <c r="F801" s="87"/>
      <c r="G801" s="87"/>
      <c r="H801" s="87"/>
      <c r="I801" s="87"/>
      <c r="J801" s="87"/>
      <c r="K801" s="1"/>
      <c r="L801" s="1"/>
      <c r="M801" s="1"/>
      <c r="N801" s="1"/>
      <c r="O801" s="87"/>
      <c r="P801" s="87"/>
      <c r="Q801" s="87"/>
      <c r="R801" s="87"/>
      <c r="S801" s="4"/>
      <c r="T801" s="1"/>
      <c r="U801" s="5"/>
      <c r="V801" s="3"/>
      <c r="W801" s="3"/>
      <c r="X801" s="3"/>
      <c r="Y801" s="7"/>
      <c r="Z801" s="1"/>
    </row>
    <row r="802" spans="1:26" ht="27" customHeight="1">
      <c r="A802" s="1"/>
      <c r="B802" s="1"/>
      <c r="C802" s="2"/>
      <c r="D802" s="2"/>
      <c r="E802" s="2"/>
      <c r="F802" s="87"/>
      <c r="G802" s="87"/>
      <c r="H802" s="87"/>
      <c r="I802" s="87"/>
      <c r="J802" s="87"/>
      <c r="K802" s="1"/>
      <c r="L802" s="1"/>
      <c r="M802" s="1"/>
      <c r="N802" s="1"/>
      <c r="O802" s="87"/>
      <c r="P802" s="87"/>
      <c r="Q802" s="87"/>
      <c r="R802" s="87"/>
      <c r="S802" s="4"/>
      <c r="T802" s="1"/>
      <c r="U802" s="5"/>
      <c r="V802" s="3"/>
      <c r="W802" s="3"/>
      <c r="X802" s="3"/>
      <c r="Y802" s="7"/>
      <c r="Z802" s="1"/>
    </row>
    <row r="803" spans="1:26" ht="27" customHeight="1">
      <c r="A803" s="1"/>
      <c r="B803" s="1"/>
      <c r="C803" s="2"/>
      <c r="D803" s="2"/>
      <c r="E803" s="2"/>
      <c r="F803" s="87"/>
      <c r="G803" s="87"/>
      <c r="H803" s="87"/>
      <c r="I803" s="87"/>
      <c r="J803" s="87"/>
      <c r="K803" s="1"/>
      <c r="L803" s="1"/>
      <c r="M803" s="1"/>
      <c r="N803" s="1"/>
      <c r="O803" s="87"/>
      <c r="P803" s="87"/>
      <c r="Q803" s="87"/>
      <c r="R803" s="87"/>
      <c r="S803" s="4"/>
      <c r="T803" s="1"/>
      <c r="U803" s="5"/>
      <c r="V803" s="3"/>
      <c r="W803" s="3"/>
      <c r="X803" s="3"/>
      <c r="Y803" s="7"/>
      <c r="Z803" s="1"/>
    </row>
    <row r="804" spans="1:26" ht="27" customHeight="1">
      <c r="A804" s="1"/>
      <c r="B804" s="1"/>
      <c r="C804" s="2"/>
      <c r="D804" s="2"/>
      <c r="E804" s="2"/>
      <c r="F804" s="87"/>
      <c r="G804" s="87"/>
      <c r="H804" s="87"/>
      <c r="I804" s="87"/>
      <c r="J804" s="87"/>
      <c r="K804" s="1"/>
      <c r="L804" s="1"/>
      <c r="M804" s="1"/>
      <c r="N804" s="1"/>
      <c r="O804" s="87"/>
      <c r="P804" s="87"/>
      <c r="Q804" s="87"/>
      <c r="R804" s="87"/>
      <c r="S804" s="4"/>
      <c r="T804" s="1"/>
      <c r="U804" s="5"/>
      <c r="V804" s="3"/>
      <c r="W804" s="3"/>
      <c r="X804" s="3"/>
      <c r="Y804" s="7"/>
      <c r="Z804" s="1"/>
    </row>
    <row r="805" spans="1:26" ht="27" customHeight="1">
      <c r="A805" s="1"/>
      <c r="B805" s="1"/>
      <c r="C805" s="2"/>
      <c r="D805" s="2"/>
      <c r="E805" s="2"/>
      <c r="F805" s="87"/>
      <c r="G805" s="87"/>
      <c r="H805" s="87"/>
      <c r="I805" s="87"/>
      <c r="J805" s="87"/>
      <c r="K805" s="1"/>
      <c r="L805" s="1"/>
      <c r="M805" s="1"/>
      <c r="N805" s="1"/>
      <c r="O805" s="87"/>
      <c r="P805" s="87"/>
      <c r="Q805" s="87"/>
      <c r="R805" s="87"/>
      <c r="S805" s="4"/>
      <c r="T805" s="1"/>
      <c r="U805" s="5"/>
      <c r="V805" s="3"/>
      <c r="W805" s="3"/>
      <c r="X805" s="3"/>
      <c r="Y805" s="7"/>
      <c r="Z805" s="1"/>
    </row>
    <row r="806" spans="1:26" ht="27" customHeight="1">
      <c r="A806" s="1"/>
      <c r="B806" s="1"/>
      <c r="C806" s="2"/>
      <c r="D806" s="2"/>
      <c r="E806" s="2"/>
      <c r="F806" s="87"/>
      <c r="G806" s="87"/>
      <c r="H806" s="87"/>
      <c r="I806" s="87"/>
      <c r="J806" s="87"/>
      <c r="K806" s="1"/>
      <c r="L806" s="1"/>
      <c r="M806" s="1"/>
      <c r="N806" s="1"/>
      <c r="O806" s="87"/>
      <c r="P806" s="87"/>
      <c r="Q806" s="87"/>
      <c r="R806" s="87"/>
      <c r="S806" s="4"/>
      <c r="T806" s="1"/>
      <c r="U806" s="5"/>
      <c r="V806" s="3"/>
      <c r="W806" s="3"/>
      <c r="X806" s="3"/>
      <c r="Y806" s="7"/>
      <c r="Z806" s="1"/>
    </row>
    <row r="807" spans="1:26" ht="27" customHeight="1">
      <c r="A807" s="1"/>
      <c r="B807" s="1"/>
      <c r="C807" s="2"/>
      <c r="D807" s="2"/>
      <c r="E807" s="2"/>
      <c r="F807" s="87"/>
      <c r="G807" s="87"/>
      <c r="H807" s="87"/>
      <c r="I807" s="87"/>
      <c r="J807" s="87"/>
      <c r="K807" s="1"/>
      <c r="L807" s="1"/>
      <c r="M807" s="1"/>
      <c r="N807" s="1"/>
      <c r="O807" s="87"/>
      <c r="P807" s="87"/>
      <c r="Q807" s="87"/>
      <c r="R807" s="87"/>
      <c r="S807" s="4"/>
      <c r="T807" s="1"/>
      <c r="U807" s="5"/>
      <c r="V807" s="3"/>
      <c r="W807" s="3"/>
      <c r="X807" s="3"/>
      <c r="Y807" s="7"/>
      <c r="Z807" s="1"/>
    </row>
    <row r="808" spans="1:26" ht="27" customHeight="1">
      <c r="A808" s="1"/>
      <c r="B808" s="1"/>
      <c r="C808" s="2"/>
      <c r="D808" s="2"/>
      <c r="E808" s="2"/>
      <c r="F808" s="87"/>
      <c r="G808" s="87"/>
      <c r="H808" s="87"/>
      <c r="I808" s="87"/>
      <c r="J808" s="87"/>
      <c r="K808" s="1"/>
      <c r="L808" s="1"/>
      <c r="M808" s="1"/>
      <c r="N808" s="1"/>
      <c r="O808" s="87"/>
      <c r="P808" s="87"/>
      <c r="Q808" s="87"/>
      <c r="R808" s="87"/>
      <c r="S808" s="4"/>
      <c r="T808" s="1"/>
      <c r="U808" s="5"/>
      <c r="V808" s="3"/>
      <c r="W808" s="3"/>
      <c r="X808" s="3"/>
      <c r="Y808" s="7"/>
      <c r="Z808" s="1"/>
    </row>
    <row r="809" spans="1:26" ht="27" customHeight="1">
      <c r="A809" s="1"/>
      <c r="B809" s="1"/>
      <c r="C809" s="2"/>
      <c r="D809" s="2"/>
      <c r="E809" s="2"/>
      <c r="F809" s="87"/>
      <c r="G809" s="87"/>
      <c r="H809" s="87"/>
      <c r="I809" s="87"/>
      <c r="J809" s="87"/>
      <c r="K809" s="1"/>
      <c r="L809" s="1"/>
      <c r="M809" s="1"/>
      <c r="N809" s="1"/>
      <c r="O809" s="87"/>
      <c r="P809" s="87"/>
      <c r="Q809" s="87"/>
      <c r="R809" s="87"/>
      <c r="S809" s="4"/>
      <c r="T809" s="1"/>
      <c r="U809" s="5"/>
      <c r="V809" s="3"/>
      <c r="W809" s="3"/>
      <c r="X809" s="3"/>
      <c r="Y809" s="7"/>
      <c r="Z809" s="1"/>
    </row>
    <row r="810" spans="1:26" ht="27" customHeight="1">
      <c r="A810" s="1"/>
      <c r="B810" s="1"/>
      <c r="C810" s="2"/>
      <c r="D810" s="2"/>
      <c r="E810" s="2"/>
      <c r="F810" s="87"/>
      <c r="G810" s="87"/>
      <c r="H810" s="87"/>
      <c r="I810" s="87"/>
      <c r="J810" s="87"/>
      <c r="K810" s="1"/>
      <c r="L810" s="1"/>
      <c r="M810" s="1"/>
      <c r="N810" s="1"/>
      <c r="O810" s="87"/>
      <c r="P810" s="87"/>
      <c r="Q810" s="87"/>
      <c r="R810" s="87"/>
      <c r="S810" s="4"/>
      <c r="T810" s="1"/>
      <c r="U810" s="5"/>
      <c r="V810" s="3"/>
      <c r="W810" s="3"/>
      <c r="X810" s="3"/>
      <c r="Y810" s="7"/>
      <c r="Z810" s="1"/>
    </row>
    <row r="811" spans="1:26" ht="27" customHeight="1">
      <c r="A811" s="1"/>
      <c r="B811" s="1"/>
      <c r="C811" s="2"/>
      <c r="D811" s="2"/>
      <c r="E811" s="2"/>
      <c r="F811" s="87"/>
      <c r="G811" s="87"/>
      <c r="H811" s="87"/>
      <c r="I811" s="87"/>
      <c r="J811" s="87"/>
      <c r="K811" s="1"/>
      <c r="L811" s="1"/>
      <c r="M811" s="1"/>
      <c r="N811" s="1"/>
      <c r="O811" s="87"/>
      <c r="P811" s="87"/>
      <c r="Q811" s="87"/>
      <c r="R811" s="87"/>
      <c r="S811" s="4"/>
      <c r="T811" s="1"/>
      <c r="U811" s="5"/>
      <c r="V811" s="3"/>
      <c r="W811" s="3"/>
      <c r="X811" s="3"/>
      <c r="Y811" s="7"/>
      <c r="Z811" s="1"/>
    </row>
    <row r="812" spans="1:26" ht="27" customHeight="1">
      <c r="A812" s="1"/>
      <c r="B812" s="1"/>
      <c r="C812" s="2"/>
      <c r="D812" s="2"/>
      <c r="E812" s="2"/>
      <c r="F812" s="87"/>
      <c r="G812" s="87"/>
      <c r="H812" s="87"/>
      <c r="I812" s="87"/>
      <c r="J812" s="87"/>
      <c r="K812" s="1"/>
      <c r="L812" s="1"/>
      <c r="M812" s="1"/>
      <c r="N812" s="1"/>
      <c r="O812" s="87"/>
      <c r="P812" s="87"/>
      <c r="Q812" s="87"/>
      <c r="R812" s="87"/>
      <c r="S812" s="4"/>
      <c r="T812" s="1"/>
      <c r="U812" s="5"/>
      <c r="V812" s="3"/>
      <c r="W812" s="3"/>
      <c r="X812" s="3"/>
      <c r="Y812" s="7"/>
      <c r="Z812" s="1"/>
    </row>
    <row r="813" spans="1:26" ht="27" customHeight="1">
      <c r="A813" s="1"/>
      <c r="B813" s="1"/>
      <c r="C813" s="2"/>
      <c r="D813" s="2"/>
      <c r="E813" s="2"/>
      <c r="F813" s="87"/>
      <c r="G813" s="87"/>
      <c r="H813" s="87"/>
      <c r="I813" s="87"/>
      <c r="J813" s="87"/>
      <c r="K813" s="1"/>
      <c r="L813" s="1"/>
      <c r="M813" s="1"/>
      <c r="N813" s="1"/>
      <c r="O813" s="87"/>
      <c r="P813" s="87"/>
      <c r="Q813" s="87"/>
      <c r="R813" s="87"/>
      <c r="S813" s="4"/>
      <c r="T813" s="1"/>
      <c r="U813" s="5"/>
      <c r="V813" s="3"/>
      <c r="W813" s="3"/>
      <c r="X813" s="3"/>
      <c r="Y813" s="7"/>
      <c r="Z813" s="1"/>
    </row>
    <row r="814" spans="1:26" ht="27" customHeight="1">
      <c r="A814" s="1"/>
      <c r="B814" s="1"/>
      <c r="C814" s="2"/>
      <c r="D814" s="2"/>
      <c r="E814" s="2"/>
      <c r="F814" s="87"/>
      <c r="G814" s="87"/>
      <c r="H814" s="87"/>
      <c r="I814" s="87"/>
      <c r="J814" s="87"/>
      <c r="K814" s="1"/>
      <c r="L814" s="1"/>
      <c r="M814" s="1"/>
      <c r="N814" s="1"/>
      <c r="O814" s="87"/>
      <c r="P814" s="87"/>
      <c r="Q814" s="87"/>
      <c r="R814" s="87"/>
      <c r="S814" s="4"/>
      <c r="T814" s="1"/>
      <c r="U814" s="5"/>
      <c r="V814" s="3"/>
      <c r="W814" s="3"/>
      <c r="X814" s="3"/>
      <c r="Y814" s="7"/>
      <c r="Z814" s="1"/>
    </row>
    <row r="815" spans="1:26" ht="27" customHeight="1">
      <c r="A815" s="1"/>
      <c r="B815" s="1"/>
      <c r="C815" s="2"/>
      <c r="D815" s="2"/>
      <c r="E815" s="2"/>
      <c r="F815" s="87"/>
      <c r="G815" s="87"/>
      <c r="H815" s="87"/>
      <c r="I815" s="87"/>
      <c r="J815" s="87"/>
      <c r="K815" s="1"/>
      <c r="L815" s="1"/>
      <c r="M815" s="1"/>
      <c r="N815" s="1"/>
      <c r="O815" s="87"/>
      <c r="P815" s="87"/>
      <c r="Q815" s="87"/>
      <c r="R815" s="87"/>
      <c r="S815" s="4"/>
      <c r="T815" s="1"/>
      <c r="U815" s="5"/>
      <c r="V815" s="3"/>
      <c r="W815" s="3"/>
      <c r="X815" s="3"/>
      <c r="Y815" s="7"/>
      <c r="Z815" s="1"/>
    </row>
    <row r="816" spans="1:26" ht="27" customHeight="1">
      <c r="A816" s="1"/>
      <c r="B816" s="1"/>
      <c r="C816" s="2"/>
      <c r="D816" s="2"/>
      <c r="E816" s="2"/>
      <c r="F816" s="87"/>
      <c r="G816" s="87"/>
      <c r="H816" s="87"/>
      <c r="I816" s="87"/>
      <c r="J816" s="87"/>
      <c r="K816" s="1"/>
      <c r="L816" s="1"/>
      <c r="M816" s="1"/>
      <c r="N816" s="1"/>
      <c r="O816" s="87"/>
      <c r="P816" s="87"/>
      <c r="Q816" s="87"/>
      <c r="R816" s="87"/>
      <c r="S816" s="4"/>
      <c r="T816" s="1"/>
      <c r="U816" s="5"/>
      <c r="V816" s="3"/>
      <c r="W816" s="3"/>
      <c r="X816" s="3"/>
      <c r="Y816" s="7"/>
      <c r="Z816" s="1"/>
    </row>
    <row r="817" spans="1:26" ht="27" customHeight="1">
      <c r="A817" s="1"/>
      <c r="B817" s="1"/>
      <c r="C817" s="2"/>
      <c r="D817" s="2"/>
      <c r="E817" s="2"/>
      <c r="F817" s="87"/>
      <c r="G817" s="87"/>
      <c r="H817" s="87"/>
      <c r="I817" s="87"/>
      <c r="J817" s="87"/>
      <c r="K817" s="1"/>
      <c r="L817" s="1"/>
      <c r="M817" s="1"/>
      <c r="N817" s="1"/>
      <c r="O817" s="87"/>
      <c r="P817" s="87"/>
      <c r="Q817" s="87"/>
      <c r="R817" s="87"/>
      <c r="S817" s="4"/>
      <c r="T817" s="1"/>
      <c r="U817" s="5"/>
      <c r="V817" s="3"/>
      <c r="W817" s="3"/>
      <c r="X817" s="3"/>
      <c r="Y817" s="7"/>
      <c r="Z817" s="1"/>
    </row>
    <row r="818" spans="1:26" ht="27" customHeight="1">
      <c r="A818" s="1"/>
      <c r="B818" s="1"/>
      <c r="C818" s="2"/>
      <c r="D818" s="2"/>
      <c r="E818" s="2"/>
      <c r="F818" s="87"/>
      <c r="G818" s="87"/>
      <c r="H818" s="87"/>
      <c r="I818" s="87"/>
      <c r="J818" s="87"/>
      <c r="K818" s="1"/>
      <c r="L818" s="1"/>
      <c r="M818" s="1"/>
      <c r="N818" s="1"/>
      <c r="O818" s="87"/>
      <c r="P818" s="87"/>
      <c r="Q818" s="87"/>
      <c r="R818" s="87"/>
      <c r="S818" s="4"/>
      <c r="T818" s="1"/>
      <c r="U818" s="5"/>
      <c r="V818" s="3"/>
      <c r="W818" s="3"/>
      <c r="X818" s="3"/>
      <c r="Y818" s="7"/>
      <c r="Z818" s="1"/>
    </row>
    <row r="819" spans="1:26" ht="27" customHeight="1">
      <c r="A819" s="1"/>
      <c r="B819" s="1"/>
      <c r="C819" s="2"/>
      <c r="D819" s="2"/>
      <c r="E819" s="2"/>
      <c r="F819" s="87"/>
      <c r="G819" s="87"/>
      <c r="H819" s="87"/>
      <c r="I819" s="87"/>
      <c r="J819" s="87"/>
      <c r="K819" s="1"/>
      <c r="L819" s="1"/>
      <c r="M819" s="1"/>
      <c r="N819" s="1"/>
      <c r="O819" s="87"/>
      <c r="P819" s="87"/>
      <c r="Q819" s="87"/>
      <c r="R819" s="87"/>
      <c r="S819" s="4"/>
      <c r="T819" s="1"/>
      <c r="U819" s="5"/>
      <c r="V819" s="3"/>
      <c r="W819" s="3"/>
      <c r="X819" s="3"/>
      <c r="Y819" s="7"/>
      <c r="Z819" s="1"/>
    </row>
    <row r="820" spans="1:26" ht="27" customHeight="1">
      <c r="A820" s="1"/>
      <c r="B820" s="1"/>
      <c r="C820" s="2"/>
      <c r="D820" s="2"/>
      <c r="E820" s="2"/>
      <c r="F820" s="87"/>
      <c r="G820" s="87"/>
      <c r="H820" s="87"/>
      <c r="I820" s="87"/>
      <c r="J820" s="87"/>
      <c r="K820" s="1"/>
      <c r="L820" s="1"/>
      <c r="M820" s="1"/>
      <c r="N820" s="1"/>
      <c r="O820" s="87"/>
      <c r="P820" s="87"/>
      <c r="Q820" s="87"/>
      <c r="R820" s="87"/>
      <c r="S820" s="4"/>
      <c r="T820" s="1"/>
      <c r="U820" s="5"/>
      <c r="V820" s="3"/>
      <c r="W820" s="3"/>
      <c r="X820" s="3"/>
      <c r="Y820" s="7"/>
      <c r="Z820" s="1"/>
    </row>
    <row r="821" spans="1:26" ht="27" customHeight="1">
      <c r="A821" s="1"/>
      <c r="B821" s="1"/>
      <c r="C821" s="2"/>
      <c r="D821" s="2"/>
      <c r="E821" s="2"/>
      <c r="F821" s="87"/>
      <c r="G821" s="87"/>
      <c r="H821" s="87"/>
      <c r="I821" s="87"/>
      <c r="J821" s="87"/>
      <c r="K821" s="1"/>
      <c r="L821" s="1"/>
      <c r="M821" s="1"/>
      <c r="N821" s="1"/>
      <c r="O821" s="87"/>
      <c r="P821" s="87"/>
      <c r="Q821" s="87"/>
      <c r="R821" s="87"/>
      <c r="S821" s="4"/>
      <c r="T821" s="1"/>
      <c r="U821" s="5"/>
      <c r="V821" s="3"/>
      <c r="W821" s="3"/>
      <c r="X821" s="3"/>
      <c r="Y821" s="7"/>
      <c r="Z821" s="1"/>
    </row>
    <row r="822" spans="1:26" ht="27" customHeight="1">
      <c r="A822" s="1"/>
      <c r="B822" s="1"/>
      <c r="C822" s="2"/>
      <c r="D822" s="2"/>
      <c r="E822" s="2"/>
      <c r="F822" s="87"/>
      <c r="G822" s="87"/>
      <c r="H822" s="87"/>
      <c r="I822" s="87"/>
      <c r="J822" s="87"/>
      <c r="K822" s="1"/>
      <c r="L822" s="1"/>
      <c r="M822" s="1"/>
      <c r="N822" s="1"/>
      <c r="O822" s="87"/>
      <c r="P822" s="87"/>
      <c r="Q822" s="87"/>
      <c r="R822" s="87"/>
      <c r="S822" s="4"/>
      <c r="T822" s="1"/>
      <c r="U822" s="5"/>
      <c r="V822" s="3"/>
      <c r="W822" s="3"/>
      <c r="X822" s="3"/>
      <c r="Y822" s="7"/>
      <c r="Z822" s="1"/>
    </row>
    <row r="823" spans="1:26" ht="27" customHeight="1">
      <c r="A823" s="1"/>
      <c r="B823" s="1"/>
      <c r="C823" s="2"/>
      <c r="D823" s="2"/>
      <c r="E823" s="2"/>
      <c r="F823" s="87"/>
      <c r="G823" s="87"/>
      <c r="H823" s="87"/>
      <c r="I823" s="87"/>
      <c r="J823" s="87"/>
      <c r="K823" s="1"/>
      <c r="L823" s="1"/>
      <c r="M823" s="1"/>
      <c r="N823" s="1"/>
      <c r="O823" s="87"/>
      <c r="P823" s="87"/>
      <c r="Q823" s="87"/>
      <c r="R823" s="87"/>
      <c r="S823" s="4"/>
      <c r="T823" s="1"/>
      <c r="U823" s="5"/>
      <c r="V823" s="3"/>
      <c r="W823" s="3"/>
      <c r="X823" s="3"/>
      <c r="Y823" s="7"/>
      <c r="Z823" s="1"/>
    </row>
    <row r="824" spans="1:26" ht="27" customHeight="1">
      <c r="A824" s="1"/>
      <c r="B824" s="1"/>
      <c r="C824" s="2"/>
      <c r="D824" s="2"/>
      <c r="E824" s="2"/>
      <c r="F824" s="87"/>
      <c r="G824" s="87"/>
      <c r="H824" s="87"/>
      <c r="I824" s="87"/>
      <c r="J824" s="87"/>
      <c r="K824" s="1"/>
      <c r="L824" s="1"/>
      <c r="M824" s="1"/>
      <c r="N824" s="1"/>
      <c r="O824" s="87"/>
      <c r="P824" s="87"/>
      <c r="Q824" s="87"/>
      <c r="R824" s="87"/>
      <c r="S824" s="4"/>
      <c r="T824" s="1"/>
      <c r="U824" s="5"/>
      <c r="V824" s="3"/>
      <c r="W824" s="3"/>
      <c r="X824" s="3"/>
      <c r="Y824" s="7"/>
      <c r="Z824" s="1"/>
    </row>
    <row r="825" spans="1:26" ht="27" customHeight="1">
      <c r="A825" s="1"/>
      <c r="B825" s="1"/>
      <c r="C825" s="2"/>
      <c r="D825" s="2"/>
      <c r="E825" s="2"/>
      <c r="F825" s="87"/>
      <c r="G825" s="87"/>
      <c r="H825" s="87"/>
      <c r="I825" s="87"/>
      <c r="J825" s="87"/>
      <c r="K825" s="1"/>
      <c r="L825" s="1"/>
      <c r="M825" s="1"/>
      <c r="N825" s="1"/>
      <c r="O825" s="87"/>
      <c r="P825" s="87"/>
      <c r="Q825" s="87"/>
      <c r="R825" s="87"/>
      <c r="S825" s="4"/>
      <c r="T825" s="1"/>
      <c r="U825" s="5"/>
      <c r="V825" s="3"/>
      <c r="W825" s="3"/>
      <c r="X825" s="3"/>
      <c r="Y825" s="7"/>
      <c r="Z825" s="1"/>
    </row>
    <row r="826" spans="1:26" ht="27" customHeight="1">
      <c r="A826" s="1"/>
      <c r="B826" s="1"/>
      <c r="C826" s="2"/>
      <c r="D826" s="2"/>
      <c r="E826" s="2"/>
      <c r="F826" s="87"/>
      <c r="G826" s="87"/>
      <c r="H826" s="87"/>
      <c r="I826" s="87"/>
      <c r="J826" s="87"/>
      <c r="K826" s="1"/>
      <c r="L826" s="1"/>
      <c r="M826" s="1"/>
      <c r="N826" s="1"/>
      <c r="O826" s="87"/>
      <c r="P826" s="87"/>
      <c r="Q826" s="87"/>
      <c r="R826" s="87"/>
      <c r="S826" s="4"/>
      <c r="T826" s="1"/>
      <c r="U826" s="5"/>
      <c r="V826" s="3"/>
      <c r="W826" s="3"/>
      <c r="X826" s="3"/>
      <c r="Y826" s="7"/>
      <c r="Z826" s="1"/>
    </row>
    <row r="827" spans="1:26" ht="27" customHeight="1">
      <c r="A827" s="1"/>
      <c r="B827" s="1"/>
      <c r="C827" s="2"/>
      <c r="D827" s="2"/>
      <c r="E827" s="2"/>
      <c r="F827" s="87"/>
      <c r="G827" s="87"/>
      <c r="H827" s="87"/>
      <c r="I827" s="87"/>
      <c r="J827" s="87"/>
      <c r="K827" s="1"/>
      <c r="L827" s="1"/>
      <c r="M827" s="1"/>
      <c r="N827" s="1"/>
      <c r="O827" s="87"/>
      <c r="P827" s="87"/>
      <c r="Q827" s="87"/>
      <c r="R827" s="87"/>
      <c r="S827" s="4"/>
      <c r="T827" s="1"/>
      <c r="U827" s="5"/>
      <c r="V827" s="3"/>
      <c r="W827" s="3"/>
      <c r="X827" s="3"/>
      <c r="Y827" s="7"/>
      <c r="Z827" s="1"/>
    </row>
    <row r="828" spans="1:26" ht="27" customHeight="1">
      <c r="A828" s="1"/>
      <c r="B828" s="1"/>
      <c r="C828" s="2"/>
      <c r="D828" s="2"/>
      <c r="E828" s="2"/>
      <c r="F828" s="87"/>
      <c r="G828" s="87"/>
      <c r="H828" s="87"/>
      <c r="I828" s="87"/>
      <c r="J828" s="87"/>
      <c r="K828" s="1"/>
      <c r="L828" s="1"/>
      <c r="M828" s="1"/>
      <c r="N828" s="1"/>
      <c r="O828" s="87"/>
      <c r="P828" s="87"/>
      <c r="Q828" s="87"/>
      <c r="R828" s="87"/>
      <c r="S828" s="4"/>
      <c r="T828" s="1"/>
      <c r="U828" s="5"/>
      <c r="V828" s="3"/>
      <c r="W828" s="3"/>
      <c r="X828" s="3"/>
      <c r="Y828" s="7"/>
      <c r="Z828" s="1"/>
    </row>
    <row r="829" spans="1:26" ht="27" customHeight="1">
      <c r="A829" s="1"/>
      <c r="B829" s="1"/>
      <c r="C829" s="2"/>
      <c r="D829" s="2"/>
      <c r="E829" s="2"/>
      <c r="F829" s="87"/>
      <c r="G829" s="87"/>
      <c r="H829" s="87"/>
      <c r="I829" s="87"/>
      <c r="J829" s="87"/>
      <c r="K829" s="1"/>
      <c r="L829" s="1"/>
      <c r="M829" s="1"/>
      <c r="N829" s="1"/>
      <c r="O829" s="87"/>
      <c r="P829" s="87"/>
      <c r="Q829" s="87"/>
      <c r="R829" s="87"/>
      <c r="S829" s="4"/>
      <c r="T829" s="1"/>
      <c r="U829" s="5"/>
      <c r="V829" s="3"/>
      <c r="W829" s="3"/>
      <c r="X829" s="3"/>
      <c r="Y829" s="7"/>
      <c r="Z829" s="1"/>
    </row>
    <row r="830" spans="1:26" ht="27" customHeight="1">
      <c r="A830" s="1"/>
      <c r="B830" s="1"/>
      <c r="C830" s="2"/>
      <c r="D830" s="2"/>
      <c r="E830" s="2"/>
      <c r="F830" s="87"/>
      <c r="G830" s="87"/>
      <c r="H830" s="87"/>
      <c r="I830" s="87"/>
      <c r="J830" s="87"/>
      <c r="K830" s="1"/>
      <c r="L830" s="1"/>
      <c r="M830" s="1"/>
      <c r="N830" s="1"/>
      <c r="O830" s="87"/>
      <c r="P830" s="87"/>
      <c r="Q830" s="87"/>
      <c r="R830" s="87"/>
      <c r="S830" s="4"/>
      <c r="T830" s="1"/>
      <c r="U830" s="5"/>
      <c r="V830" s="3"/>
      <c r="W830" s="3"/>
      <c r="X830" s="3"/>
      <c r="Y830" s="7"/>
      <c r="Z830" s="1"/>
    </row>
    <row r="831" spans="1:26" ht="27" customHeight="1">
      <c r="A831" s="1"/>
      <c r="B831" s="1"/>
      <c r="C831" s="2"/>
      <c r="D831" s="2"/>
      <c r="E831" s="2"/>
      <c r="F831" s="87"/>
      <c r="G831" s="87"/>
      <c r="H831" s="87"/>
      <c r="I831" s="87"/>
      <c r="J831" s="87"/>
      <c r="K831" s="1"/>
      <c r="L831" s="1"/>
      <c r="M831" s="1"/>
      <c r="N831" s="1"/>
      <c r="O831" s="87"/>
      <c r="P831" s="87"/>
      <c r="Q831" s="87"/>
      <c r="R831" s="87"/>
      <c r="S831" s="4"/>
      <c r="T831" s="1"/>
      <c r="U831" s="5"/>
      <c r="V831" s="3"/>
      <c r="W831" s="3"/>
      <c r="X831" s="3"/>
      <c r="Y831" s="7"/>
      <c r="Z831" s="1"/>
    </row>
    <row r="832" spans="1:26" ht="27" customHeight="1">
      <c r="A832" s="1"/>
      <c r="B832" s="1"/>
      <c r="C832" s="2"/>
      <c r="D832" s="2"/>
      <c r="E832" s="2"/>
      <c r="F832" s="87"/>
      <c r="G832" s="87"/>
      <c r="H832" s="87"/>
      <c r="I832" s="87"/>
      <c r="J832" s="87"/>
      <c r="K832" s="1"/>
      <c r="L832" s="1"/>
      <c r="M832" s="1"/>
      <c r="N832" s="1"/>
      <c r="O832" s="87"/>
      <c r="P832" s="87"/>
      <c r="Q832" s="87"/>
      <c r="R832" s="87"/>
      <c r="S832" s="4"/>
      <c r="T832" s="1"/>
      <c r="U832" s="5"/>
      <c r="V832" s="3"/>
      <c r="W832" s="3"/>
      <c r="X832" s="3"/>
      <c r="Y832" s="7"/>
      <c r="Z832" s="1"/>
    </row>
    <row r="833" spans="1:26" ht="27" customHeight="1">
      <c r="A833" s="1"/>
      <c r="B833" s="1"/>
      <c r="C833" s="2"/>
      <c r="D833" s="2"/>
      <c r="E833" s="2"/>
      <c r="F833" s="87"/>
      <c r="G833" s="87"/>
      <c r="H833" s="87"/>
      <c r="I833" s="87"/>
      <c r="J833" s="87"/>
      <c r="K833" s="1"/>
      <c r="L833" s="1"/>
      <c r="M833" s="1"/>
      <c r="N833" s="1"/>
      <c r="O833" s="87"/>
      <c r="P833" s="87"/>
      <c r="Q833" s="87"/>
      <c r="R833" s="87"/>
      <c r="S833" s="4"/>
      <c r="T833" s="1"/>
      <c r="U833" s="5"/>
      <c r="V833" s="3"/>
      <c r="W833" s="3"/>
      <c r="X833" s="3"/>
      <c r="Y833" s="7"/>
      <c r="Z833" s="1"/>
    </row>
    <row r="834" spans="1:26" ht="27" customHeight="1">
      <c r="A834" s="1"/>
      <c r="B834" s="1"/>
      <c r="C834" s="2"/>
      <c r="D834" s="2"/>
      <c r="E834" s="2"/>
      <c r="F834" s="87"/>
      <c r="G834" s="87"/>
      <c r="H834" s="87"/>
      <c r="I834" s="87"/>
      <c r="J834" s="87"/>
      <c r="K834" s="1"/>
      <c r="L834" s="1"/>
      <c r="M834" s="1"/>
      <c r="N834" s="1"/>
      <c r="O834" s="87"/>
      <c r="P834" s="87"/>
      <c r="Q834" s="87"/>
      <c r="R834" s="87"/>
      <c r="S834" s="4"/>
      <c r="T834" s="1"/>
      <c r="U834" s="5"/>
      <c r="V834" s="3"/>
      <c r="W834" s="3"/>
      <c r="X834" s="3"/>
      <c r="Y834" s="7"/>
      <c r="Z834" s="1"/>
    </row>
    <row r="835" spans="1:26" ht="27" customHeight="1">
      <c r="A835" s="1"/>
      <c r="B835" s="1"/>
      <c r="C835" s="2"/>
      <c r="D835" s="2"/>
      <c r="E835" s="2"/>
      <c r="F835" s="87"/>
      <c r="G835" s="87"/>
      <c r="H835" s="87"/>
      <c r="I835" s="87"/>
      <c r="J835" s="87"/>
      <c r="K835" s="1"/>
      <c r="L835" s="1"/>
      <c r="M835" s="1"/>
      <c r="N835" s="1"/>
      <c r="O835" s="87"/>
      <c r="P835" s="87"/>
      <c r="Q835" s="87"/>
      <c r="R835" s="87"/>
      <c r="S835" s="4"/>
      <c r="T835" s="1"/>
      <c r="U835" s="5"/>
      <c r="V835" s="3"/>
      <c r="W835" s="3"/>
      <c r="X835" s="3"/>
      <c r="Y835" s="7"/>
      <c r="Z835" s="1"/>
    </row>
    <row r="836" spans="1:26" ht="27" customHeight="1">
      <c r="A836" s="1"/>
      <c r="B836" s="1"/>
      <c r="C836" s="2"/>
      <c r="D836" s="2"/>
      <c r="E836" s="2"/>
      <c r="F836" s="87"/>
      <c r="G836" s="87"/>
      <c r="H836" s="87"/>
      <c r="I836" s="87"/>
      <c r="J836" s="87"/>
      <c r="K836" s="1"/>
      <c r="L836" s="1"/>
      <c r="M836" s="1"/>
      <c r="N836" s="1"/>
      <c r="O836" s="87"/>
      <c r="P836" s="87"/>
      <c r="Q836" s="87"/>
      <c r="R836" s="87"/>
      <c r="S836" s="4"/>
      <c r="T836" s="1"/>
      <c r="U836" s="5"/>
      <c r="V836" s="3"/>
      <c r="W836" s="3"/>
      <c r="X836" s="3"/>
      <c r="Y836" s="7"/>
      <c r="Z836" s="1"/>
    </row>
    <row r="837" spans="1:26" ht="27" customHeight="1">
      <c r="A837" s="1"/>
      <c r="B837" s="1"/>
      <c r="C837" s="2"/>
      <c r="D837" s="2"/>
      <c r="E837" s="2"/>
      <c r="F837" s="87"/>
      <c r="G837" s="87"/>
      <c r="H837" s="87"/>
      <c r="I837" s="87"/>
      <c r="J837" s="87"/>
      <c r="K837" s="1"/>
      <c r="L837" s="1"/>
      <c r="M837" s="1"/>
      <c r="N837" s="1"/>
      <c r="O837" s="87"/>
      <c r="P837" s="87"/>
      <c r="Q837" s="87"/>
      <c r="R837" s="87"/>
      <c r="S837" s="4"/>
      <c r="T837" s="1"/>
      <c r="U837" s="5"/>
      <c r="V837" s="3"/>
      <c r="W837" s="3"/>
      <c r="X837" s="3"/>
      <c r="Y837" s="7"/>
      <c r="Z837" s="1"/>
    </row>
    <row r="838" spans="1:26" ht="27" customHeight="1">
      <c r="A838" s="1"/>
      <c r="B838" s="1"/>
      <c r="C838" s="2"/>
      <c r="D838" s="2"/>
      <c r="E838" s="2"/>
      <c r="F838" s="87"/>
      <c r="G838" s="87"/>
      <c r="H838" s="87"/>
      <c r="I838" s="87"/>
      <c r="J838" s="87"/>
      <c r="K838" s="1"/>
      <c r="L838" s="1"/>
      <c r="M838" s="1"/>
      <c r="N838" s="1"/>
      <c r="O838" s="87"/>
      <c r="P838" s="87"/>
      <c r="Q838" s="87"/>
      <c r="R838" s="87"/>
      <c r="S838" s="4"/>
      <c r="T838" s="1"/>
      <c r="U838" s="5"/>
      <c r="V838" s="3"/>
      <c r="W838" s="3"/>
      <c r="X838" s="3"/>
      <c r="Y838" s="7"/>
      <c r="Z838" s="1"/>
    </row>
    <row r="839" spans="1:26" ht="27" customHeight="1">
      <c r="A839" s="1"/>
      <c r="B839" s="1"/>
      <c r="C839" s="2"/>
      <c r="D839" s="2"/>
      <c r="E839" s="2"/>
      <c r="F839" s="87"/>
      <c r="G839" s="87"/>
      <c r="H839" s="87"/>
      <c r="I839" s="87"/>
      <c r="J839" s="87"/>
      <c r="K839" s="1"/>
      <c r="L839" s="1"/>
      <c r="M839" s="1"/>
      <c r="N839" s="1"/>
      <c r="O839" s="87"/>
      <c r="P839" s="87"/>
      <c r="Q839" s="87"/>
      <c r="R839" s="87"/>
      <c r="S839" s="4"/>
      <c r="T839" s="1"/>
      <c r="U839" s="5"/>
      <c r="V839" s="3"/>
      <c r="W839" s="3"/>
      <c r="X839" s="3"/>
      <c r="Y839" s="7"/>
      <c r="Z839" s="1"/>
    </row>
    <row r="840" spans="1:26" ht="27" customHeight="1">
      <c r="A840" s="1"/>
      <c r="B840" s="1"/>
      <c r="C840" s="2"/>
      <c r="D840" s="2"/>
      <c r="E840" s="2"/>
      <c r="F840" s="87"/>
      <c r="G840" s="87"/>
      <c r="H840" s="87"/>
      <c r="I840" s="87"/>
      <c r="J840" s="87"/>
      <c r="K840" s="1"/>
      <c r="L840" s="1"/>
      <c r="M840" s="1"/>
      <c r="N840" s="1"/>
      <c r="O840" s="87"/>
      <c r="P840" s="87"/>
      <c r="Q840" s="87"/>
      <c r="R840" s="87"/>
      <c r="S840" s="4"/>
      <c r="T840" s="1"/>
      <c r="U840" s="5"/>
      <c r="V840" s="3"/>
      <c r="W840" s="3"/>
      <c r="X840" s="3"/>
      <c r="Y840" s="7"/>
      <c r="Z840" s="1"/>
    </row>
    <row r="841" spans="1:26" ht="27" customHeight="1">
      <c r="A841" s="1"/>
      <c r="B841" s="1"/>
      <c r="C841" s="2"/>
      <c r="D841" s="2"/>
      <c r="E841" s="2"/>
      <c r="F841" s="87"/>
      <c r="G841" s="87"/>
      <c r="H841" s="87"/>
      <c r="I841" s="87"/>
      <c r="J841" s="87"/>
      <c r="K841" s="1"/>
      <c r="L841" s="1"/>
      <c r="M841" s="1"/>
      <c r="N841" s="1"/>
      <c r="O841" s="87"/>
      <c r="P841" s="87"/>
      <c r="Q841" s="87"/>
      <c r="R841" s="87"/>
      <c r="S841" s="4"/>
      <c r="T841" s="1"/>
      <c r="U841" s="5"/>
      <c r="V841" s="3"/>
      <c r="W841" s="3"/>
      <c r="X841" s="3"/>
      <c r="Y841" s="7"/>
      <c r="Z841" s="1"/>
    </row>
    <row r="842" spans="1:26" ht="27" customHeight="1">
      <c r="A842" s="1"/>
      <c r="B842" s="1"/>
      <c r="C842" s="2"/>
      <c r="D842" s="2"/>
      <c r="E842" s="2"/>
      <c r="F842" s="87"/>
      <c r="G842" s="87"/>
      <c r="H842" s="87"/>
      <c r="I842" s="87"/>
      <c r="J842" s="87"/>
      <c r="K842" s="1"/>
      <c r="L842" s="1"/>
      <c r="M842" s="1"/>
      <c r="N842" s="1"/>
      <c r="O842" s="87"/>
      <c r="P842" s="87"/>
      <c r="Q842" s="87"/>
      <c r="R842" s="87"/>
      <c r="S842" s="4"/>
      <c r="T842" s="1"/>
      <c r="U842" s="5"/>
      <c r="V842" s="3"/>
      <c r="W842" s="3"/>
      <c r="X842" s="3"/>
      <c r="Y842" s="7"/>
      <c r="Z842" s="1"/>
    </row>
    <row r="843" spans="1:26" ht="27" customHeight="1">
      <c r="A843" s="1"/>
      <c r="B843" s="1"/>
      <c r="C843" s="2"/>
      <c r="D843" s="2"/>
      <c r="E843" s="2"/>
      <c r="F843" s="87"/>
      <c r="G843" s="87"/>
      <c r="H843" s="87"/>
      <c r="I843" s="87"/>
      <c r="J843" s="87"/>
      <c r="K843" s="1"/>
      <c r="L843" s="1"/>
      <c r="M843" s="1"/>
      <c r="N843" s="1"/>
      <c r="O843" s="87"/>
      <c r="P843" s="87"/>
      <c r="Q843" s="87"/>
      <c r="R843" s="87"/>
      <c r="S843" s="4"/>
      <c r="T843" s="1"/>
      <c r="U843" s="5"/>
      <c r="V843" s="3"/>
      <c r="W843" s="3"/>
      <c r="X843" s="3"/>
      <c r="Y843" s="7"/>
      <c r="Z843" s="1"/>
    </row>
    <row r="844" spans="1:26" ht="27" customHeight="1">
      <c r="A844" s="1"/>
      <c r="B844" s="1"/>
      <c r="C844" s="2"/>
      <c r="D844" s="2"/>
      <c r="E844" s="2"/>
      <c r="F844" s="87"/>
      <c r="G844" s="87"/>
      <c r="H844" s="87"/>
      <c r="I844" s="87"/>
      <c r="J844" s="87"/>
      <c r="K844" s="1"/>
      <c r="L844" s="1"/>
      <c r="M844" s="1"/>
      <c r="N844" s="1"/>
      <c r="O844" s="87"/>
      <c r="P844" s="87"/>
      <c r="Q844" s="87"/>
      <c r="R844" s="87"/>
      <c r="S844" s="4"/>
      <c r="T844" s="1"/>
      <c r="U844" s="5"/>
      <c r="V844" s="3"/>
      <c r="W844" s="3"/>
      <c r="X844" s="3"/>
      <c r="Y844" s="7"/>
      <c r="Z844" s="1"/>
    </row>
    <row r="845" spans="1:26" ht="27" customHeight="1">
      <c r="A845" s="1"/>
      <c r="B845" s="1"/>
      <c r="C845" s="2"/>
      <c r="D845" s="2"/>
      <c r="E845" s="2"/>
      <c r="F845" s="87"/>
      <c r="G845" s="87"/>
      <c r="H845" s="87"/>
      <c r="I845" s="87"/>
      <c r="J845" s="87"/>
      <c r="K845" s="1"/>
      <c r="L845" s="1"/>
      <c r="M845" s="1"/>
      <c r="N845" s="1"/>
      <c r="O845" s="87"/>
      <c r="P845" s="87"/>
      <c r="Q845" s="87"/>
      <c r="R845" s="87"/>
      <c r="S845" s="4"/>
      <c r="T845" s="1"/>
      <c r="U845" s="5"/>
      <c r="V845" s="3"/>
      <c r="W845" s="3"/>
      <c r="X845" s="3"/>
      <c r="Y845" s="7"/>
      <c r="Z845" s="1"/>
    </row>
    <row r="846" spans="1:26" ht="27" customHeight="1">
      <c r="A846" s="1"/>
      <c r="B846" s="1"/>
      <c r="C846" s="2"/>
      <c r="D846" s="2"/>
      <c r="E846" s="2"/>
      <c r="F846" s="87"/>
      <c r="G846" s="87"/>
      <c r="H846" s="87"/>
      <c r="I846" s="87"/>
      <c r="J846" s="87"/>
      <c r="K846" s="1"/>
      <c r="L846" s="1"/>
      <c r="M846" s="1"/>
      <c r="N846" s="1"/>
      <c r="O846" s="87"/>
      <c r="P846" s="87"/>
      <c r="Q846" s="87"/>
      <c r="R846" s="87"/>
      <c r="S846" s="4"/>
      <c r="T846" s="1"/>
      <c r="U846" s="5"/>
      <c r="V846" s="3"/>
      <c r="W846" s="3"/>
      <c r="X846" s="3"/>
      <c r="Y846" s="7"/>
      <c r="Z846" s="1"/>
    </row>
    <row r="847" spans="1:26" ht="27" customHeight="1">
      <c r="A847" s="1"/>
      <c r="B847" s="1"/>
      <c r="C847" s="2"/>
      <c r="D847" s="2"/>
      <c r="E847" s="2"/>
      <c r="F847" s="87"/>
      <c r="G847" s="87"/>
      <c r="H847" s="87"/>
      <c r="I847" s="87"/>
      <c r="J847" s="87"/>
      <c r="K847" s="1"/>
      <c r="L847" s="1"/>
      <c r="M847" s="1"/>
      <c r="N847" s="1"/>
      <c r="O847" s="87"/>
      <c r="P847" s="87"/>
      <c r="Q847" s="87"/>
      <c r="R847" s="87"/>
      <c r="S847" s="4"/>
      <c r="T847" s="1"/>
      <c r="U847" s="5"/>
      <c r="V847" s="3"/>
      <c r="W847" s="3"/>
      <c r="X847" s="3"/>
      <c r="Y847" s="7"/>
      <c r="Z847" s="1"/>
    </row>
    <row r="848" spans="1:26" ht="27" customHeight="1">
      <c r="A848" s="1"/>
      <c r="B848" s="1"/>
      <c r="C848" s="2"/>
      <c r="D848" s="2"/>
      <c r="E848" s="2"/>
      <c r="F848" s="87"/>
      <c r="G848" s="87"/>
      <c r="H848" s="87"/>
      <c r="I848" s="87"/>
      <c r="J848" s="87"/>
      <c r="K848" s="1"/>
      <c r="L848" s="1"/>
      <c r="M848" s="1"/>
      <c r="N848" s="1"/>
      <c r="O848" s="87"/>
      <c r="P848" s="87"/>
      <c r="Q848" s="87"/>
      <c r="R848" s="87"/>
      <c r="S848" s="4"/>
      <c r="T848" s="1"/>
      <c r="U848" s="5"/>
      <c r="V848" s="3"/>
      <c r="W848" s="3"/>
      <c r="X848" s="3"/>
      <c r="Y848" s="7"/>
      <c r="Z848" s="1"/>
    </row>
    <row r="849" spans="1:26" ht="27" customHeight="1">
      <c r="A849" s="1"/>
      <c r="B849" s="1"/>
      <c r="C849" s="2"/>
      <c r="D849" s="2"/>
      <c r="E849" s="2"/>
      <c r="F849" s="87"/>
      <c r="G849" s="87"/>
      <c r="H849" s="87"/>
      <c r="I849" s="87"/>
      <c r="J849" s="87"/>
      <c r="K849" s="1"/>
      <c r="L849" s="1"/>
      <c r="M849" s="1"/>
      <c r="N849" s="1"/>
      <c r="O849" s="87"/>
      <c r="P849" s="87"/>
      <c r="Q849" s="87"/>
      <c r="R849" s="87"/>
      <c r="S849" s="4"/>
      <c r="T849" s="1"/>
      <c r="U849" s="5"/>
      <c r="V849" s="3"/>
      <c r="W849" s="3"/>
      <c r="X849" s="3"/>
      <c r="Y849" s="7"/>
      <c r="Z849" s="1"/>
    </row>
    <row r="850" spans="1:26" ht="27" customHeight="1">
      <c r="A850" s="1"/>
      <c r="B850" s="1"/>
      <c r="C850" s="2"/>
      <c r="D850" s="2"/>
      <c r="E850" s="2"/>
      <c r="F850" s="87"/>
      <c r="G850" s="87"/>
      <c r="H850" s="87"/>
      <c r="I850" s="87"/>
      <c r="J850" s="87"/>
      <c r="K850" s="1"/>
      <c r="L850" s="1"/>
      <c r="M850" s="1"/>
      <c r="N850" s="1"/>
      <c r="O850" s="87"/>
      <c r="P850" s="87"/>
      <c r="Q850" s="87"/>
      <c r="R850" s="87"/>
      <c r="S850" s="4"/>
      <c r="T850" s="1"/>
      <c r="U850" s="5"/>
      <c r="V850" s="3"/>
      <c r="W850" s="3"/>
      <c r="X850" s="3"/>
      <c r="Y850" s="7"/>
      <c r="Z850" s="1"/>
    </row>
    <row r="851" spans="1:26" ht="27" customHeight="1">
      <c r="A851" s="1"/>
      <c r="B851" s="1"/>
      <c r="C851" s="2"/>
      <c r="D851" s="2"/>
      <c r="E851" s="2"/>
      <c r="F851" s="87"/>
      <c r="G851" s="87"/>
      <c r="H851" s="87"/>
      <c r="I851" s="87"/>
      <c r="J851" s="87"/>
      <c r="K851" s="1"/>
      <c r="L851" s="1"/>
      <c r="M851" s="1"/>
      <c r="N851" s="1"/>
      <c r="O851" s="87"/>
      <c r="P851" s="87"/>
      <c r="Q851" s="87"/>
      <c r="R851" s="87"/>
      <c r="S851" s="4"/>
      <c r="T851" s="1"/>
      <c r="U851" s="5"/>
      <c r="V851" s="3"/>
      <c r="W851" s="3"/>
      <c r="X851" s="3"/>
      <c r="Y851" s="7"/>
      <c r="Z851" s="1"/>
    </row>
    <row r="852" spans="1:26" ht="27" customHeight="1">
      <c r="A852" s="1"/>
      <c r="B852" s="1"/>
      <c r="C852" s="2"/>
      <c r="D852" s="2"/>
      <c r="E852" s="2"/>
      <c r="F852" s="87"/>
      <c r="G852" s="87"/>
      <c r="H852" s="87"/>
      <c r="I852" s="87"/>
      <c r="J852" s="87"/>
      <c r="K852" s="1"/>
      <c r="L852" s="1"/>
      <c r="M852" s="1"/>
      <c r="N852" s="1"/>
      <c r="O852" s="87"/>
      <c r="P852" s="87"/>
      <c r="Q852" s="87"/>
      <c r="R852" s="87"/>
      <c r="S852" s="4"/>
      <c r="T852" s="1"/>
      <c r="U852" s="5"/>
      <c r="V852" s="3"/>
      <c r="W852" s="3"/>
      <c r="X852" s="3"/>
      <c r="Y852" s="7"/>
      <c r="Z852" s="1"/>
    </row>
    <row r="853" spans="1:26" ht="27" customHeight="1">
      <c r="A853" s="1"/>
      <c r="B853" s="1"/>
      <c r="C853" s="2"/>
      <c r="D853" s="2"/>
      <c r="E853" s="2"/>
      <c r="F853" s="87"/>
      <c r="G853" s="87"/>
      <c r="H853" s="87"/>
      <c r="I853" s="87"/>
      <c r="J853" s="87"/>
      <c r="K853" s="1"/>
      <c r="L853" s="1"/>
      <c r="M853" s="1"/>
      <c r="N853" s="1"/>
      <c r="O853" s="87"/>
      <c r="P853" s="87"/>
      <c r="Q853" s="87"/>
      <c r="R853" s="87"/>
      <c r="S853" s="4"/>
      <c r="T853" s="1"/>
      <c r="U853" s="5"/>
      <c r="V853" s="3"/>
      <c r="W853" s="3"/>
      <c r="X853" s="3"/>
      <c r="Y853" s="7"/>
      <c r="Z853" s="1"/>
    </row>
    <row r="854" spans="1:26" ht="27" customHeight="1">
      <c r="A854" s="1"/>
      <c r="B854" s="1"/>
      <c r="C854" s="2"/>
      <c r="D854" s="2"/>
      <c r="E854" s="2"/>
      <c r="F854" s="87"/>
      <c r="G854" s="87"/>
      <c r="H854" s="87"/>
      <c r="I854" s="87"/>
      <c r="J854" s="87"/>
      <c r="K854" s="1"/>
      <c r="L854" s="1"/>
      <c r="M854" s="1"/>
      <c r="N854" s="1"/>
      <c r="O854" s="87"/>
      <c r="P854" s="87"/>
      <c r="Q854" s="87"/>
      <c r="R854" s="87"/>
      <c r="S854" s="4"/>
      <c r="T854" s="1"/>
      <c r="U854" s="5"/>
      <c r="V854" s="3"/>
      <c r="W854" s="3"/>
      <c r="X854" s="3"/>
      <c r="Y854" s="7"/>
      <c r="Z854" s="1"/>
    </row>
    <row r="855" spans="1:26" ht="27" customHeight="1">
      <c r="A855" s="1"/>
      <c r="B855" s="1"/>
      <c r="C855" s="2"/>
      <c r="D855" s="2"/>
      <c r="E855" s="2"/>
      <c r="F855" s="87"/>
      <c r="G855" s="87"/>
      <c r="H855" s="87"/>
      <c r="I855" s="87"/>
      <c r="J855" s="87"/>
      <c r="K855" s="1"/>
      <c r="L855" s="1"/>
      <c r="M855" s="1"/>
      <c r="N855" s="1"/>
      <c r="O855" s="87"/>
      <c r="P855" s="87"/>
      <c r="Q855" s="87"/>
      <c r="R855" s="87"/>
      <c r="S855" s="4"/>
      <c r="T855" s="1"/>
      <c r="U855" s="5"/>
      <c r="V855" s="3"/>
      <c r="W855" s="3"/>
      <c r="X855" s="3"/>
      <c r="Y855" s="7"/>
      <c r="Z855" s="1"/>
    </row>
    <row r="856" spans="1:26" ht="27" customHeight="1">
      <c r="A856" s="1"/>
      <c r="B856" s="1"/>
      <c r="C856" s="2"/>
      <c r="D856" s="2"/>
      <c r="E856" s="2"/>
      <c r="F856" s="87"/>
      <c r="G856" s="87"/>
      <c r="H856" s="87"/>
      <c r="I856" s="87"/>
      <c r="J856" s="87"/>
      <c r="K856" s="1"/>
      <c r="L856" s="1"/>
      <c r="M856" s="1"/>
      <c r="N856" s="1"/>
      <c r="O856" s="87"/>
      <c r="P856" s="87"/>
      <c r="Q856" s="87"/>
      <c r="R856" s="87"/>
      <c r="S856" s="4"/>
      <c r="T856" s="1"/>
      <c r="U856" s="5"/>
      <c r="V856" s="3"/>
      <c r="W856" s="3"/>
      <c r="X856" s="3"/>
      <c r="Y856" s="7"/>
      <c r="Z856" s="1"/>
    </row>
    <row r="857" spans="1:26" ht="27" customHeight="1">
      <c r="A857" s="1"/>
      <c r="B857" s="1"/>
      <c r="C857" s="2"/>
      <c r="D857" s="2"/>
      <c r="E857" s="2"/>
      <c r="F857" s="87"/>
      <c r="G857" s="87"/>
      <c r="H857" s="87"/>
      <c r="I857" s="87"/>
      <c r="J857" s="87"/>
      <c r="K857" s="1"/>
      <c r="L857" s="1"/>
      <c r="M857" s="1"/>
      <c r="N857" s="1"/>
      <c r="O857" s="87"/>
      <c r="P857" s="87"/>
      <c r="Q857" s="87"/>
      <c r="R857" s="87"/>
      <c r="S857" s="4"/>
      <c r="T857" s="1"/>
      <c r="U857" s="5"/>
      <c r="V857" s="3"/>
      <c r="W857" s="3"/>
      <c r="X857" s="3"/>
      <c r="Y857" s="7"/>
      <c r="Z857" s="1"/>
    </row>
    <row r="858" spans="1:26" ht="27" customHeight="1">
      <c r="A858" s="1"/>
      <c r="B858" s="1"/>
      <c r="C858" s="2"/>
      <c r="D858" s="2"/>
      <c r="E858" s="2"/>
      <c r="F858" s="87"/>
      <c r="G858" s="87"/>
      <c r="H858" s="87"/>
      <c r="I858" s="87"/>
      <c r="J858" s="87"/>
      <c r="K858" s="1"/>
      <c r="L858" s="1"/>
      <c r="M858" s="1"/>
      <c r="N858" s="1"/>
      <c r="O858" s="87"/>
      <c r="P858" s="87"/>
      <c r="Q858" s="87"/>
      <c r="R858" s="87"/>
      <c r="S858" s="4"/>
      <c r="T858" s="1"/>
      <c r="U858" s="5"/>
      <c r="V858" s="3"/>
      <c r="W858" s="3"/>
      <c r="X858" s="3"/>
      <c r="Y858" s="7"/>
      <c r="Z858" s="1"/>
    </row>
    <row r="859" spans="1:26" ht="27" customHeight="1">
      <c r="A859" s="1"/>
      <c r="B859" s="1"/>
      <c r="C859" s="2"/>
      <c r="D859" s="2"/>
      <c r="E859" s="2"/>
      <c r="F859" s="87"/>
      <c r="G859" s="87"/>
      <c r="H859" s="87"/>
      <c r="I859" s="87"/>
      <c r="J859" s="87"/>
      <c r="K859" s="1"/>
      <c r="L859" s="1"/>
      <c r="M859" s="1"/>
      <c r="N859" s="1"/>
      <c r="O859" s="87"/>
      <c r="P859" s="87"/>
      <c r="Q859" s="87"/>
      <c r="R859" s="87"/>
      <c r="S859" s="4"/>
      <c r="T859" s="1"/>
      <c r="U859" s="5"/>
      <c r="V859" s="3"/>
      <c r="W859" s="3"/>
      <c r="X859" s="3"/>
      <c r="Y859" s="7"/>
      <c r="Z859" s="1"/>
    </row>
    <row r="860" spans="1:26" ht="27" customHeight="1">
      <c r="A860" s="1"/>
      <c r="B860" s="1"/>
      <c r="C860" s="2"/>
      <c r="D860" s="2"/>
      <c r="E860" s="2"/>
      <c r="F860" s="87"/>
      <c r="G860" s="87"/>
      <c r="H860" s="87"/>
      <c r="I860" s="87"/>
      <c r="J860" s="87"/>
      <c r="K860" s="1"/>
      <c r="L860" s="1"/>
      <c r="M860" s="1"/>
      <c r="N860" s="1"/>
      <c r="O860" s="87"/>
      <c r="P860" s="87"/>
      <c r="Q860" s="87"/>
      <c r="R860" s="87"/>
      <c r="S860" s="4"/>
      <c r="T860" s="1"/>
      <c r="U860" s="5"/>
      <c r="V860" s="3"/>
      <c r="W860" s="3"/>
      <c r="X860" s="3"/>
      <c r="Y860" s="7"/>
      <c r="Z860" s="1"/>
    </row>
    <row r="861" spans="1:26" ht="27" customHeight="1">
      <c r="A861" s="1"/>
      <c r="B861" s="1"/>
      <c r="C861" s="2"/>
      <c r="D861" s="2"/>
      <c r="E861" s="2"/>
      <c r="F861" s="87"/>
      <c r="G861" s="87"/>
      <c r="H861" s="87"/>
      <c r="I861" s="87"/>
      <c r="J861" s="87"/>
      <c r="K861" s="1"/>
      <c r="L861" s="1"/>
      <c r="M861" s="1"/>
      <c r="N861" s="1"/>
      <c r="O861" s="87"/>
      <c r="P861" s="87"/>
      <c r="Q861" s="87"/>
      <c r="R861" s="87"/>
      <c r="S861" s="4"/>
      <c r="T861" s="1"/>
      <c r="U861" s="5"/>
      <c r="V861" s="3"/>
      <c r="W861" s="3"/>
      <c r="X861" s="3"/>
      <c r="Y861" s="7"/>
      <c r="Z861" s="1"/>
    </row>
    <row r="862" spans="1:26" ht="27" customHeight="1">
      <c r="A862" s="1"/>
      <c r="B862" s="1"/>
      <c r="C862" s="2"/>
      <c r="D862" s="2"/>
      <c r="E862" s="2"/>
      <c r="F862" s="87"/>
      <c r="G862" s="87"/>
      <c r="H862" s="87"/>
      <c r="I862" s="87"/>
      <c r="J862" s="87"/>
      <c r="K862" s="1"/>
      <c r="L862" s="1"/>
      <c r="M862" s="1"/>
      <c r="N862" s="1"/>
      <c r="O862" s="87"/>
      <c r="P862" s="87"/>
      <c r="Q862" s="87"/>
      <c r="R862" s="87"/>
      <c r="S862" s="4"/>
      <c r="T862" s="1"/>
      <c r="U862" s="5"/>
      <c r="V862" s="3"/>
      <c r="W862" s="3"/>
      <c r="X862" s="3"/>
      <c r="Y862" s="7"/>
      <c r="Z862" s="1"/>
    </row>
    <row r="863" spans="1:26" ht="27" customHeight="1">
      <c r="A863" s="1"/>
      <c r="B863" s="1"/>
      <c r="C863" s="2"/>
      <c r="D863" s="2"/>
      <c r="E863" s="2"/>
      <c r="F863" s="87"/>
      <c r="G863" s="87"/>
      <c r="H863" s="87"/>
      <c r="I863" s="87"/>
      <c r="J863" s="87"/>
      <c r="K863" s="1"/>
      <c r="L863" s="1"/>
      <c r="M863" s="1"/>
      <c r="N863" s="1"/>
      <c r="O863" s="87"/>
      <c r="P863" s="87"/>
      <c r="Q863" s="87"/>
      <c r="R863" s="87"/>
      <c r="S863" s="4"/>
      <c r="T863" s="1"/>
      <c r="U863" s="5"/>
      <c r="V863" s="3"/>
      <c r="W863" s="3"/>
      <c r="X863" s="3"/>
      <c r="Y863" s="7"/>
      <c r="Z863" s="1"/>
    </row>
    <row r="864" spans="1:26" ht="27" customHeight="1">
      <c r="A864" s="1"/>
      <c r="B864" s="1"/>
      <c r="C864" s="2"/>
      <c r="D864" s="2"/>
      <c r="E864" s="2"/>
      <c r="F864" s="87"/>
      <c r="G864" s="87"/>
      <c r="H864" s="87"/>
      <c r="I864" s="87"/>
      <c r="J864" s="87"/>
      <c r="K864" s="1"/>
      <c r="L864" s="1"/>
      <c r="M864" s="1"/>
      <c r="N864" s="1"/>
      <c r="O864" s="87"/>
      <c r="P864" s="87"/>
      <c r="Q864" s="87"/>
      <c r="R864" s="87"/>
      <c r="S864" s="4"/>
      <c r="T864" s="1"/>
      <c r="U864" s="5"/>
      <c r="V864" s="3"/>
      <c r="W864" s="3"/>
      <c r="X864" s="3"/>
      <c r="Y864" s="7"/>
      <c r="Z864" s="1"/>
    </row>
    <row r="865" spans="1:26" ht="27" customHeight="1">
      <c r="A865" s="1"/>
      <c r="B865" s="1"/>
      <c r="C865" s="2"/>
      <c r="D865" s="2"/>
      <c r="E865" s="2"/>
      <c r="F865" s="87"/>
      <c r="G865" s="87"/>
      <c r="H865" s="87"/>
      <c r="I865" s="87"/>
      <c r="J865" s="87"/>
      <c r="K865" s="1"/>
      <c r="L865" s="1"/>
      <c r="M865" s="1"/>
      <c r="N865" s="1"/>
      <c r="O865" s="87"/>
      <c r="P865" s="87"/>
      <c r="Q865" s="87"/>
      <c r="R865" s="87"/>
      <c r="S865" s="4"/>
      <c r="T865" s="1"/>
      <c r="U865" s="5"/>
      <c r="V865" s="3"/>
      <c r="W865" s="3"/>
      <c r="X865" s="3"/>
      <c r="Y865" s="7"/>
      <c r="Z865" s="1"/>
    </row>
    <row r="866" spans="1:26" ht="27" customHeight="1">
      <c r="A866" s="1"/>
      <c r="B866" s="1"/>
      <c r="C866" s="2"/>
      <c r="D866" s="2"/>
      <c r="E866" s="2"/>
      <c r="F866" s="87"/>
      <c r="G866" s="87"/>
      <c r="H866" s="87"/>
      <c r="I866" s="87"/>
      <c r="J866" s="87"/>
      <c r="K866" s="1"/>
      <c r="L866" s="1"/>
      <c r="M866" s="1"/>
      <c r="N866" s="1"/>
      <c r="O866" s="87"/>
      <c r="P866" s="87"/>
      <c r="Q866" s="87"/>
      <c r="R866" s="87"/>
      <c r="S866" s="4"/>
      <c r="T866" s="1"/>
      <c r="U866" s="5"/>
      <c r="V866" s="3"/>
      <c r="W866" s="3"/>
      <c r="X866" s="3"/>
      <c r="Y866" s="7"/>
      <c r="Z866" s="1"/>
    </row>
    <row r="867" spans="1:26" ht="27" customHeight="1">
      <c r="A867" s="1"/>
      <c r="B867" s="1"/>
      <c r="C867" s="2"/>
      <c r="D867" s="2"/>
      <c r="E867" s="2"/>
      <c r="F867" s="87"/>
      <c r="G867" s="87"/>
      <c r="H867" s="87"/>
      <c r="I867" s="87"/>
      <c r="J867" s="87"/>
      <c r="K867" s="1"/>
      <c r="L867" s="1"/>
      <c r="M867" s="1"/>
      <c r="N867" s="1"/>
      <c r="O867" s="87"/>
      <c r="P867" s="87"/>
      <c r="Q867" s="87"/>
      <c r="R867" s="87"/>
      <c r="S867" s="4"/>
      <c r="T867" s="1"/>
      <c r="U867" s="5"/>
      <c r="V867" s="3"/>
      <c r="W867" s="3"/>
      <c r="X867" s="3"/>
      <c r="Y867" s="7"/>
      <c r="Z867" s="1"/>
    </row>
    <row r="868" spans="1:26" ht="27" customHeight="1">
      <c r="A868" s="1"/>
      <c r="B868" s="1"/>
      <c r="C868" s="2"/>
      <c r="D868" s="2"/>
      <c r="E868" s="2"/>
      <c r="F868" s="87"/>
      <c r="G868" s="87"/>
      <c r="H868" s="87"/>
      <c r="I868" s="87"/>
      <c r="J868" s="87"/>
      <c r="K868" s="1"/>
      <c r="L868" s="1"/>
      <c r="M868" s="1"/>
      <c r="N868" s="1"/>
      <c r="O868" s="87"/>
      <c r="P868" s="87"/>
      <c r="Q868" s="87"/>
      <c r="R868" s="87"/>
      <c r="S868" s="4"/>
      <c r="T868" s="1"/>
      <c r="U868" s="5"/>
      <c r="V868" s="3"/>
      <c r="W868" s="3"/>
      <c r="X868" s="3"/>
      <c r="Y868" s="7"/>
      <c r="Z868" s="1"/>
    </row>
    <row r="869" spans="1:26" ht="27" customHeight="1">
      <c r="A869" s="1"/>
      <c r="B869" s="1"/>
      <c r="C869" s="2"/>
      <c r="D869" s="2"/>
      <c r="E869" s="2"/>
      <c r="F869" s="87"/>
      <c r="G869" s="87"/>
      <c r="H869" s="87"/>
      <c r="I869" s="87"/>
      <c r="J869" s="87"/>
      <c r="K869" s="1"/>
      <c r="L869" s="1"/>
      <c r="M869" s="1"/>
      <c r="N869" s="1"/>
      <c r="O869" s="87"/>
      <c r="P869" s="87"/>
      <c r="Q869" s="87"/>
      <c r="R869" s="87"/>
      <c r="S869" s="4"/>
      <c r="T869" s="1"/>
      <c r="U869" s="5"/>
      <c r="V869" s="3"/>
      <c r="W869" s="3"/>
      <c r="X869" s="3"/>
      <c r="Y869" s="7"/>
      <c r="Z869" s="1"/>
    </row>
    <row r="870" spans="1:26" ht="27" customHeight="1">
      <c r="A870" s="1"/>
      <c r="B870" s="1"/>
      <c r="C870" s="2"/>
      <c r="D870" s="2"/>
      <c r="E870" s="2"/>
      <c r="F870" s="87"/>
      <c r="G870" s="87"/>
      <c r="H870" s="87"/>
      <c r="I870" s="87"/>
      <c r="J870" s="87"/>
      <c r="K870" s="1"/>
      <c r="L870" s="1"/>
      <c r="M870" s="1"/>
      <c r="N870" s="1"/>
      <c r="O870" s="87"/>
      <c r="P870" s="87"/>
      <c r="Q870" s="87"/>
      <c r="R870" s="87"/>
      <c r="S870" s="4"/>
      <c r="T870" s="1"/>
      <c r="U870" s="5"/>
      <c r="V870" s="3"/>
      <c r="W870" s="3"/>
      <c r="X870" s="3"/>
      <c r="Y870" s="7"/>
      <c r="Z870" s="1"/>
    </row>
    <row r="871" spans="1:26" ht="27" customHeight="1">
      <c r="A871" s="1"/>
      <c r="B871" s="1"/>
      <c r="C871" s="2"/>
      <c r="D871" s="2"/>
      <c r="E871" s="2"/>
      <c r="F871" s="87"/>
      <c r="G871" s="87"/>
      <c r="H871" s="87"/>
      <c r="I871" s="87"/>
      <c r="J871" s="87"/>
      <c r="K871" s="1"/>
      <c r="L871" s="1"/>
      <c r="M871" s="1"/>
      <c r="N871" s="1"/>
      <c r="O871" s="87"/>
      <c r="P871" s="87"/>
      <c r="Q871" s="87"/>
      <c r="R871" s="87"/>
      <c r="S871" s="4"/>
      <c r="T871" s="1"/>
      <c r="U871" s="5"/>
      <c r="V871" s="3"/>
      <c r="W871" s="3"/>
      <c r="X871" s="3"/>
      <c r="Y871" s="7"/>
      <c r="Z871" s="1"/>
    </row>
    <row r="872" spans="1:26" ht="27" customHeight="1">
      <c r="A872" s="1"/>
      <c r="B872" s="1"/>
      <c r="C872" s="2"/>
      <c r="D872" s="2"/>
      <c r="E872" s="2"/>
      <c r="F872" s="87"/>
      <c r="G872" s="87"/>
      <c r="H872" s="87"/>
      <c r="I872" s="87"/>
      <c r="J872" s="87"/>
      <c r="K872" s="1"/>
      <c r="L872" s="1"/>
      <c r="M872" s="1"/>
      <c r="N872" s="1"/>
      <c r="O872" s="87"/>
      <c r="P872" s="87"/>
      <c r="Q872" s="87"/>
      <c r="R872" s="87"/>
      <c r="S872" s="4"/>
      <c r="T872" s="1"/>
      <c r="U872" s="5"/>
      <c r="V872" s="3"/>
      <c r="W872" s="3"/>
      <c r="X872" s="3"/>
      <c r="Y872" s="7"/>
      <c r="Z872" s="1"/>
    </row>
    <row r="873" spans="1:26" ht="27" customHeight="1">
      <c r="A873" s="1"/>
      <c r="B873" s="1"/>
      <c r="C873" s="2"/>
      <c r="D873" s="2"/>
      <c r="E873" s="2"/>
      <c r="F873" s="87"/>
      <c r="G873" s="87"/>
      <c r="H873" s="87"/>
      <c r="I873" s="87"/>
      <c r="J873" s="87"/>
      <c r="K873" s="1"/>
      <c r="L873" s="1"/>
      <c r="M873" s="1"/>
      <c r="N873" s="1"/>
      <c r="O873" s="87"/>
      <c r="P873" s="87"/>
      <c r="Q873" s="87"/>
      <c r="R873" s="87"/>
      <c r="S873" s="4"/>
      <c r="T873" s="1"/>
      <c r="U873" s="5"/>
      <c r="V873" s="3"/>
      <c r="W873" s="3"/>
      <c r="X873" s="3"/>
      <c r="Y873" s="7"/>
      <c r="Z873" s="1"/>
    </row>
    <row r="874" spans="1:26" ht="27" customHeight="1">
      <c r="A874" s="1"/>
      <c r="B874" s="1"/>
      <c r="C874" s="2"/>
      <c r="D874" s="2"/>
      <c r="E874" s="2"/>
      <c r="F874" s="87"/>
      <c r="G874" s="87"/>
      <c r="H874" s="87"/>
      <c r="I874" s="87"/>
      <c r="J874" s="87"/>
      <c r="K874" s="1"/>
      <c r="L874" s="1"/>
      <c r="M874" s="1"/>
      <c r="N874" s="1"/>
      <c r="O874" s="87"/>
      <c r="P874" s="87"/>
      <c r="Q874" s="87"/>
      <c r="R874" s="87"/>
      <c r="S874" s="4"/>
      <c r="T874" s="1"/>
      <c r="U874" s="5"/>
      <c r="V874" s="3"/>
      <c r="W874" s="3"/>
      <c r="X874" s="3"/>
      <c r="Y874" s="7"/>
      <c r="Z874" s="1"/>
    </row>
    <row r="875" spans="1:26" ht="27" customHeight="1">
      <c r="A875" s="1"/>
      <c r="B875" s="1"/>
      <c r="C875" s="2"/>
      <c r="D875" s="2"/>
      <c r="E875" s="2"/>
      <c r="F875" s="87"/>
      <c r="G875" s="87"/>
      <c r="H875" s="87"/>
      <c r="I875" s="87"/>
      <c r="J875" s="87"/>
      <c r="K875" s="1"/>
      <c r="L875" s="1"/>
      <c r="M875" s="1"/>
      <c r="N875" s="1"/>
      <c r="O875" s="87"/>
      <c r="P875" s="87"/>
      <c r="Q875" s="87"/>
      <c r="R875" s="87"/>
      <c r="S875" s="4"/>
      <c r="T875" s="1"/>
      <c r="U875" s="5"/>
      <c r="V875" s="3"/>
      <c r="W875" s="3"/>
      <c r="X875" s="3"/>
      <c r="Y875" s="7"/>
      <c r="Z875" s="1"/>
    </row>
    <row r="876" spans="1:26" ht="27" customHeight="1">
      <c r="A876" s="1"/>
      <c r="B876" s="1"/>
      <c r="C876" s="2"/>
      <c r="D876" s="2"/>
      <c r="E876" s="2"/>
      <c r="F876" s="87"/>
      <c r="G876" s="87"/>
      <c r="H876" s="87"/>
      <c r="I876" s="87"/>
      <c r="J876" s="87"/>
      <c r="K876" s="1"/>
      <c r="L876" s="1"/>
      <c r="M876" s="1"/>
      <c r="N876" s="1"/>
      <c r="O876" s="87"/>
      <c r="P876" s="87"/>
      <c r="Q876" s="87"/>
      <c r="R876" s="87"/>
      <c r="S876" s="4"/>
      <c r="T876" s="1"/>
      <c r="U876" s="5"/>
      <c r="V876" s="3"/>
      <c r="W876" s="3"/>
      <c r="X876" s="3"/>
      <c r="Y876" s="7"/>
      <c r="Z876" s="1"/>
    </row>
    <row r="877" spans="1:26" ht="27" customHeight="1">
      <c r="A877" s="1"/>
      <c r="B877" s="1"/>
      <c r="C877" s="2"/>
      <c r="D877" s="2"/>
      <c r="E877" s="2"/>
      <c r="F877" s="87"/>
      <c r="G877" s="87"/>
      <c r="H877" s="87"/>
      <c r="I877" s="87"/>
      <c r="J877" s="87"/>
      <c r="K877" s="1"/>
      <c r="L877" s="1"/>
      <c r="M877" s="1"/>
      <c r="N877" s="1"/>
      <c r="O877" s="87"/>
      <c r="P877" s="87"/>
      <c r="Q877" s="87"/>
      <c r="R877" s="87"/>
      <c r="S877" s="4"/>
      <c r="T877" s="1"/>
      <c r="U877" s="5"/>
      <c r="V877" s="3"/>
      <c r="W877" s="3"/>
      <c r="X877" s="3"/>
      <c r="Y877" s="7"/>
      <c r="Z877" s="1"/>
    </row>
    <row r="878" spans="1:26" ht="27" customHeight="1">
      <c r="A878" s="1"/>
      <c r="B878" s="1"/>
      <c r="C878" s="2"/>
      <c r="D878" s="2"/>
      <c r="E878" s="2"/>
      <c r="F878" s="87"/>
      <c r="G878" s="87"/>
      <c r="H878" s="87"/>
      <c r="I878" s="87"/>
      <c r="J878" s="87"/>
      <c r="K878" s="1"/>
      <c r="L878" s="1"/>
      <c r="M878" s="1"/>
      <c r="N878" s="1"/>
      <c r="O878" s="87"/>
      <c r="P878" s="87"/>
      <c r="Q878" s="87"/>
      <c r="R878" s="87"/>
      <c r="S878" s="4"/>
      <c r="T878" s="1"/>
      <c r="U878" s="5"/>
      <c r="V878" s="3"/>
      <c r="W878" s="3"/>
      <c r="X878" s="3"/>
      <c r="Y878" s="7"/>
      <c r="Z878" s="1"/>
    </row>
    <row r="879" spans="1:26" ht="27" customHeight="1">
      <c r="A879" s="1"/>
      <c r="B879" s="1"/>
      <c r="C879" s="2"/>
      <c r="D879" s="2"/>
      <c r="E879" s="2"/>
      <c r="F879" s="87"/>
      <c r="G879" s="87"/>
      <c r="H879" s="87"/>
      <c r="I879" s="87"/>
      <c r="J879" s="87"/>
      <c r="K879" s="1"/>
      <c r="L879" s="1"/>
      <c r="M879" s="1"/>
      <c r="N879" s="1"/>
      <c r="O879" s="87"/>
      <c r="P879" s="87"/>
      <c r="Q879" s="87"/>
      <c r="R879" s="87"/>
      <c r="S879" s="4"/>
      <c r="T879" s="1"/>
      <c r="U879" s="5"/>
      <c r="V879" s="3"/>
      <c r="W879" s="3"/>
      <c r="X879" s="3"/>
      <c r="Y879" s="7"/>
      <c r="Z879" s="1"/>
    </row>
    <row r="880" spans="1:26" ht="27" customHeight="1">
      <c r="A880" s="1"/>
      <c r="B880" s="1"/>
      <c r="C880" s="2"/>
      <c r="D880" s="2"/>
      <c r="E880" s="2"/>
      <c r="F880" s="87"/>
      <c r="G880" s="87"/>
      <c r="H880" s="87"/>
      <c r="I880" s="87"/>
      <c r="J880" s="87"/>
      <c r="K880" s="1"/>
      <c r="L880" s="1"/>
      <c r="M880" s="1"/>
      <c r="N880" s="1"/>
      <c r="O880" s="87"/>
      <c r="P880" s="87"/>
      <c r="Q880" s="87"/>
      <c r="R880" s="87"/>
      <c r="S880" s="4"/>
      <c r="T880" s="1"/>
      <c r="U880" s="5"/>
      <c r="V880" s="3"/>
      <c r="W880" s="3"/>
      <c r="X880" s="3"/>
      <c r="Y880" s="7"/>
      <c r="Z880" s="1"/>
    </row>
    <row r="881" spans="1:26" ht="27" customHeight="1">
      <c r="A881" s="1"/>
      <c r="B881" s="1"/>
      <c r="C881" s="2"/>
      <c r="D881" s="2"/>
      <c r="E881" s="2"/>
      <c r="F881" s="87"/>
      <c r="G881" s="87"/>
      <c r="H881" s="87"/>
      <c r="I881" s="87"/>
      <c r="J881" s="87"/>
      <c r="K881" s="1"/>
      <c r="L881" s="1"/>
      <c r="M881" s="1"/>
      <c r="N881" s="1"/>
      <c r="O881" s="87"/>
      <c r="P881" s="87"/>
      <c r="Q881" s="87"/>
      <c r="R881" s="87"/>
      <c r="S881" s="4"/>
      <c r="T881" s="1"/>
      <c r="U881" s="5"/>
      <c r="V881" s="3"/>
      <c r="W881" s="3"/>
      <c r="X881" s="3"/>
      <c r="Y881" s="7"/>
      <c r="Z881" s="1"/>
    </row>
    <row r="882" spans="1:26" ht="27" customHeight="1">
      <c r="A882" s="1"/>
      <c r="B882" s="1"/>
      <c r="C882" s="2"/>
      <c r="D882" s="2"/>
      <c r="E882" s="2"/>
      <c r="F882" s="87"/>
      <c r="G882" s="87"/>
      <c r="H882" s="87"/>
      <c r="I882" s="87"/>
      <c r="J882" s="87"/>
      <c r="K882" s="1"/>
      <c r="L882" s="1"/>
      <c r="M882" s="1"/>
      <c r="N882" s="1"/>
      <c r="O882" s="87"/>
      <c r="P882" s="87"/>
      <c r="Q882" s="87"/>
      <c r="R882" s="87"/>
      <c r="S882" s="4"/>
      <c r="T882" s="1"/>
      <c r="U882" s="5"/>
      <c r="V882" s="3"/>
      <c r="W882" s="3"/>
      <c r="X882" s="3"/>
      <c r="Y882" s="7"/>
      <c r="Z882" s="1"/>
    </row>
    <row r="883" spans="1:26" ht="27" customHeight="1">
      <c r="A883" s="1"/>
      <c r="B883" s="1"/>
      <c r="C883" s="2"/>
      <c r="D883" s="2"/>
      <c r="E883" s="2"/>
      <c r="F883" s="87"/>
      <c r="G883" s="87"/>
      <c r="H883" s="87"/>
      <c r="I883" s="87"/>
      <c r="J883" s="87"/>
      <c r="K883" s="1"/>
      <c r="L883" s="1"/>
      <c r="M883" s="1"/>
      <c r="N883" s="1"/>
      <c r="O883" s="87"/>
      <c r="P883" s="87"/>
      <c r="Q883" s="87"/>
      <c r="R883" s="87"/>
      <c r="S883" s="4"/>
      <c r="T883" s="1"/>
      <c r="U883" s="5"/>
      <c r="V883" s="3"/>
      <c r="W883" s="3"/>
      <c r="X883" s="3"/>
      <c r="Y883" s="7"/>
      <c r="Z883" s="1"/>
    </row>
    <row r="884" spans="1:26" ht="27" customHeight="1">
      <c r="A884" s="1"/>
      <c r="B884" s="1"/>
      <c r="C884" s="2"/>
      <c r="D884" s="2"/>
      <c r="E884" s="2"/>
      <c r="F884" s="87"/>
      <c r="G884" s="87"/>
      <c r="H884" s="87"/>
      <c r="I884" s="87"/>
      <c r="J884" s="87"/>
      <c r="K884" s="1"/>
      <c r="L884" s="1"/>
      <c r="M884" s="1"/>
      <c r="N884" s="1"/>
      <c r="O884" s="87"/>
      <c r="P884" s="87"/>
      <c r="Q884" s="87"/>
      <c r="R884" s="87"/>
      <c r="S884" s="4"/>
      <c r="T884" s="1"/>
      <c r="U884" s="5"/>
      <c r="V884" s="3"/>
      <c r="W884" s="3"/>
      <c r="X884" s="3"/>
      <c r="Y884" s="7"/>
      <c r="Z884" s="1"/>
    </row>
    <row r="885" spans="1:26" ht="27" customHeight="1">
      <c r="A885" s="1"/>
      <c r="B885" s="1"/>
      <c r="C885" s="2"/>
      <c r="D885" s="2"/>
      <c r="E885" s="2"/>
      <c r="F885" s="87"/>
      <c r="G885" s="87"/>
      <c r="H885" s="87"/>
      <c r="I885" s="87"/>
      <c r="J885" s="87"/>
      <c r="K885" s="1"/>
      <c r="L885" s="1"/>
      <c r="M885" s="1"/>
      <c r="N885" s="1"/>
      <c r="O885" s="87"/>
      <c r="P885" s="87"/>
      <c r="Q885" s="87"/>
      <c r="R885" s="87"/>
      <c r="S885" s="4"/>
      <c r="T885" s="1"/>
      <c r="U885" s="5"/>
      <c r="V885" s="3"/>
      <c r="W885" s="3"/>
      <c r="X885" s="3"/>
      <c r="Y885" s="7"/>
      <c r="Z885" s="1"/>
    </row>
    <row r="886" spans="1:26" ht="27" customHeight="1">
      <c r="A886" s="1"/>
      <c r="B886" s="1"/>
      <c r="C886" s="2"/>
      <c r="D886" s="2"/>
      <c r="E886" s="2"/>
      <c r="F886" s="87"/>
      <c r="G886" s="87"/>
      <c r="H886" s="87"/>
      <c r="I886" s="87"/>
      <c r="J886" s="87"/>
      <c r="K886" s="1"/>
      <c r="L886" s="1"/>
      <c r="M886" s="1"/>
      <c r="N886" s="1"/>
      <c r="O886" s="87"/>
      <c r="P886" s="87"/>
      <c r="Q886" s="87"/>
      <c r="R886" s="87"/>
      <c r="S886" s="4"/>
      <c r="T886" s="1"/>
      <c r="U886" s="5"/>
      <c r="V886" s="3"/>
      <c r="W886" s="3"/>
      <c r="X886" s="3"/>
      <c r="Y886" s="7"/>
      <c r="Z886" s="1"/>
    </row>
    <row r="887" spans="1:26" ht="27" customHeight="1">
      <c r="A887" s="1"/>
      <c r="B887" s="1"/>
      <c r="C887" s="2"/>
      <c r="D887" s="2"/>
      <c r="E887" s="2"/>
      <c r="F887" s="87"/>
      <c r="G887" s="87"/>
      <c r="H887" s="87"/>
      <c r="I887" s="87"/>
      <c r="J887" s="87"/>
      <c r="K887" s="1"/>
      <c r="L887" s="1"/>
      <c r="M887" s="1"/>
      <c r="N887" s="1"/>
      <c r="O887" s="87"/>
      <c r="P887" s="87"/>
      <c r="Q887" s="87"/>
      <c r="R887" s="87"/>
      <c r="S887" s="4"/>
      <c r="T887" s="1"/>
      <c r="U887" s="5"/>
      <c r="V887" s="3"/>
      <c r="W887" s="3"/>
      <c r="X887" s="3"/>
      <c r="Y887" s="7"/>
      <c r="Z887" s="1"/>
    </row>
    <row r="888" spans="1:26" ht="27" customHeight="1">
      <c r="A888" s="1"/>
      <c r="B888" s="1"/>
      <c r="C888" s="2"/>
      <c r="D888" s="2"/>
      <c r="E888" s="2"/>
      <c r="F888" s="87"/>
      <c r="G888" s="87"/>
      <c r="H888" s="87"/>
      <c r="I888" s="87"/>
      <c r="J888" s="87"/>
      <c r="K888" s="1"/>
      <c r="L888" s="1"/>
      <c r="M888" s="1"/>
      <c r="N888" s="1"/>
      <c r="O888" s="87"/>
      <c r="P888" s="87"/>
      <c r="Q888" s="87"/>
      <c r="R888" s="87"/>
      <c r="S888" s="4"/>
      <c r="T888" s="1"/>
      <c r="U888" s="5"/>
      <c r="V888" s="3"/>
      <c r="W888" s="3"/>
      <c r="X888" s="3"/>
      <c r="Y888" s="7"/>
      <c r="Z888" s="1"/>
    </row>
    <row r="889" spans="1:26" ht="27" customHeight="1">
      <c r="A889" s="1"/>
      <c r="B889" s="1"/>
      <c r="C889" s="2"/>
      <c r="D889" s="2"/>
      <c r="E889" s="2"/>
      <c r="F889" s="87"/>
      <c r="G889" s="87"/>
      <c r="H889" s="87"/>
      <c r="I889" s="87"/>
      <c r="J889" s="87"/>
      <c r="K889" s="1"/>
      <c r="L889" s="1"/>
      <c r="M889" s="1"/>
      <c r="N889" s="1"/>
      <c r="O889" s="87"/>
      <c r="P889" s="87"/>
      <c r="Q889" s="87"/>
      <c r="R889" s="87"/>
      <c r="S889" s="4"/>
      <c r="T889" s="1"/>
      <c r="U889" s="5"/>
      <c r="V889" s="3"/>
      <c r="W889" s="3"/>
      <c r="X889" s="3"/>
      <c r="Y889" s="7"/>
      <c r="Z889" s="1"/>
    </row>
    <row r="890" spans="1:26" ht="27" customHeight="1">
      <c r="A890" s="1"/>
      <c r="B890" s="1"/>
      <c r="C890" s="2"/>
      <c r="D890" s="2"/>
      <c r="E890" s="2"/>
      <c r="F890" s="87"/>
      <c r="G890" s="87"/>
      <c r="H890" s="87"/>
      <c r="I890" s="87"/>
      <c r="J890" s="87"/>
      <c r="K890" s="1"/>
      <c r="L890" s="1"/>
      <c r="M890" s="1"/>
      <c r="N890" s="1"/>
      <c r="O890" s="87"/>
      <c r="P890" s="87"/>
      <c r="Q890" s="87"/>
      <c r="R890" s="87"/>
      <c r="S890" s="4"/>
      <c r="T890" s="1"/>
      <c r="U890" s="5"/>
      <c r="V890" s="3"/>
      <c r="W890" s="3"/>
      <c r="X890" s="3"/>
      <c r="Y890" s="7"/>
      <c r="Z890" s="1"/>
    </row>
    <row r="891" spans="1:26" ht="27" customHeight="1">
      <c r="A891" s="1"/>
      <c r="B891" s="1"/>
      <c r="C891" s="2"/>
      <c r="D891" s="2"/>
      <c r="E891" s="2"/>
      <c r="F891" s="87"/>
      <c r="G891" s="87"/>
      <c r="H891" s="87"/>
      <c r="I891" s="87"/>
      <c r="J891" s="87"/>
      <c r="K891" s="1"/>
      <c r="L891" s="1"/>
      <c r="M891" s="1"/>
      <c r="N891" s="1"/>
      <c r="O891" s="87"/>
      <c r="P891" s="87"/>
      <c r="Q891" s="87"/>
      <c r="R891" s="87"/>
      <c r="S891" s="4"/>
      <c r="T891" s="1"/>
      <c r="U891" s="5"/>
      <c r="V891" s="3"/>
      <c r="W891" s="3"/>
      <c r="X891" s="3"/>
      <c r="Y891" s="7"/>
      <c r="Z891" s="1"/>
    </row>
    <row r="892" spans="1:26" ht="27" customHeight="1">
      <c r="A892" s="1"/>
      <c r="B892" s="1"/>
      <c r="C892" s="2"/>
      <c r="D892" s="2"/>
      <c r="E892" s="2"/>
      <c r="F892" s="87"/>
      <c r="G892" s="87"/>
      <c r="H892" s="87"/>
      <c r="I892" s="87"/>
      <c r="J892" s="87"/>
      <c r="K892" s="1"/>
      <c r="L892" s="1"/>
      <c r="M892" s="1"/>
      <c r="N892" s="1"/>
      <c r="O892" s="87"/>
      <c r="P892" s="87"/>
      <c r="Q892" s="87"/>
      <c r="R892" s="87"/>
      <c r="S892" s="4"/>
      <c r="T892" s="1"/>
      <c r="U892" s="5"/>
      <c r="V892" s="3"/>
      <c r="W892" s="3"/>
      <c r="X892" s="3"/>
      <c r="Y892" s="7"/>
      <c r="Z892" s="1"/>
    </row>
    <row r="893" spans="1:26" ht="27" customHeight="1">
      <c r="A893" s="1"/>
      <c r="B893" s="1"/>
      <c r="C893" s="2"/>
      <c r="D893" s="2"/>
      <c r="E893" s="2"/>
      <c r="F893" s="87"/>
      <c r="G893" s="87"/>
      <c r="H893" s="87"/>
      <c r="I893" s="87"/>
      <c r="J893" s="87"/>
      <c r="K893" s="1"/>
      <c r="L893" s="1"/>
      <c r="M893" s="1"/>
      <c r="N893" s="1"/>
      <c r="O893" s="87"/>
      <c r="P893" s="87"/>
      <c r="Q893" s="87"/>
      <c r="R893" s="87"/>
      <c r="S893" s="4"/>
      <c r="T893" s="1"/>
      <c r="U893" s="5"/>
      <c r="V893" s="3"/>
      <c r="W893" s="3"/>
      <c r="X893" s="3"/>
      <c r="Y893" s="7"/>
      <c r="Z893" s="1"/>
    </row>
    <row r="894" spans="1:26" ht="27" customHeight="1">
      <c r="A894" s="1"/>
      <c r="B894" s="1"/>
      <c r="C894" s="2"/>
      <c r="D894" s="2"/>
      <c r="E894" s="2"/>
      <c r="F894" s="87"/>
      <c r="G894" s="87"/>
      <c r="H894" s="87"/>
      <c r="I894" s="87"/>
      <c r="J894" s="87"/>
      <c r="K894" s="1"/>
      <c r="L894" s="1"/>
      <c r="M894" s="1"/>
      <c r="N894" s="1"/>
      <c r="O894" s="87"/>
      <c r="P894" s="87"/>
      <c r="Q894" s="87"/>
      <c r="R894" s="87"/>
      <c r="S894" s="4"/>
      <c r="T894" s="1"/>
      <c r="U894" s="5"/>
      <c r="V894" s="3"/>
      <c r="W894" s="3"/>
      <c r="X894" s="3"/>
      <c r="Y894" s="7"/>
      <c r="Z894" s="1"/>
    </row>
    <row r="895" spans="1:26" ht="27" customHeight="1">
      <c r="A895" s="1"/>
      <c r="B895" s="1"/>
      <c r="C895" s="2"/>
      <c r="D895" s="2"/>
      <c r="E895" s="2"/>
      <c r="F895" s="87"/>
      <c r="G895" s="87"/>
      <c r="H895" s="87"/>
      <c r="I895" s="87"/>
      <c r="J895" s="87"/>
      <c r="K895" s="1"/>
      <c r="L895" s="1"/>
      <c r="M895" s="1"/>
      <c r="N895" s="1"/>
      <c r="O895" s="87"/>
      <c r="P895" s="87"/>
      <c r="Q895" s="87"/>
      <c r="R895" s="87"/>
      <c r="S895" s="4"/>
      <c r="T895" s="1"/>
      <c r="U895" s="5"/>
      <c r="V895" s="3"/>
      <c r="W895" s="3"/>
      <c r="X895" s="3"/>
      <c r="Y895" s="7"/>
      <c r="Z895" s="1"/>
    </row>
    <row r="896" spans="1:26" ht="27" customHeight="1">
      <c r="A896" s="1"/>
      <c r="B896" s="1"/>
      <c r="C896" s="2"/>
      <c r="D896" s="2"/>
      <c r="E896" s="2"/>
      <c r="F896" s="87"/>
      <c r="G896" s="87"/>
      <c r="H896" s="87"/>
      <c r="I896" s="87"/>
      <c r="J896" s="87"/>
      <c r="K896" s="1"/>
      <c r="L896" s="1"/>
      <c r="M896" s="1"/>
      <c r="N896" s="1"/>
      <c r="O896" s="87"/>
      <c r="P896" s="87"/>
      <c r="Q896" s="87"/>
      <c r="R896" s="87"/>
      <c r="S896" s="4"/>
      <c r="T896" s="1"/>
      <c r="U896" s="5"/>
      <c r="V896" s="3"/>
      <c r="W896" s="3"/>
      <c r="X896" s="3"/>
      <c r="Y896" s="7"/>
      <c r="Z896" s="1"/>
    </row>
    <row r="897" spans="1:26" ht="27" customHeight="1">
      <c r="A897" s="1"/>
      <c r="B897" s="1"/>
      <c r="C897" s="2"/>
      <c r="D897" s="2"/>
      <c r="E897" s="2"/>
      <c r="F897" s="87"/>
      <c r="G897" s="87"/>
      <c r="H897" s="87"/>
      <c r="I897" s="87"/>
      <c r="J897" s="87"/>
      <c r="K897" s="1"/>
      <c r="L897" s="1"/>
      <c r="M897" s="1"/>
      <c r="N897" s="1"/>
      <c r="O897" s="87"/>
      <c r="P897" s="87"/>
      <c r="Q897" s="87"/>
      <c r="R897" s="87"/>
      <c r="S897" s="4"/>
      <c r="T897" s="1"/>
      <c r="U897" s="5"/>
      <c r="V897" s="3"/>
      <c r="W897" s="3"/>
      <c r="X897" s="3"/>
      <c r="Y897" s="7"/>
      <c r="Z897" s="1"/>
    </row>
    <row r="898" spans="1:26" ht="27" customHeight="1">
      <c r="A898" s="1"/>
      <c r="B898" s="1"/>
      <c r="C898" s="2"/>
      <c r="D898" s="2"/>
      <c r="E898" s="2"/>
      <c r="F898" s="87"/>
      <c r="G898" s="87"/>
      <c r="H898" s="87"/>
      <c r="I898" s="87"/>
      <c r="J898" s="87"/>
      <c r="K898" s="1"/>
      <c r="L898" s="1"/>
      <c r="M898" s="1"/>
      <c r="N898" s="1"/>
      <c r="O898" s="87"/>
      <c r="P898" s="87"/>
      <c r="Q898" s="87"/>
      <c r="R898" s="87"/>
      <c r="S898" s="4"/>
      <c r="T898" s="1"/>
      <c r="U898" s="5"/>
      <c r="V898" s="3"/>
      <c r="W898" s="3"/>
      <c r="X898" s="3"/>
      <c r="Y898" s="7"/>
      <c r="Z898" s="1"/>
    </row>
    <row r="899" spans="1:26" ht="27" customHeight="1">
      <c r="A899" s="1"/>
      <c r="B899" s="1"/>
      <c r="C899" s="2"/>
      <c r="D899" s="2"/>
      <c r="E899" s="2"/>
      <c r="F899" s="87"/>
      <c r="G899" s="87"/>
      <c r="H899" s="87"/>
      <c r="I899" s="87"/>
      <c r="J899" s="87"/>
      <c r="K899" s="1"/>
      <c r="L899" s="1"/>
      <c r="M899" s="1"/>
      <c r="N899" s="1"/>
      <c r="O899" s="87"/>
      <c r="P899" s="87"/>
      <c r="Q899" s="87"/>
      <c r="R899" s="87"/>
      <c r="S899" s="4"/>
      <c r="T899" s="1"/>
      <c r="U899" s="5"/>
      <c r="V899" s="3"/>
      <c r="W899" s="3"/>
      <c r="X899" s="3"/>
      <c r="Y899" s="7"/>
      <c r="Z899" s="1"/>
    </row>
    <row r="900" spans="1:26" ht="27" customHeight="1">
      <c r="A900" s="1"/>
      <c r="B900" s="1"/>
      <c r="C900" s="2"/>
      <c r="D900" s="2"/>
      <c r="E900" s="2"/>
      <c r="F900" s="87"/>
      <c r="G900" s="87"/>
      <c r="H900" s="87"/>
      <c r="I900" s="87"/>
      <c r="J900" s="87"/>
      <c r="K900" s="1"/>
      <c r="L900" s="1"/>
      <c r="M900" s="1"/>
      <c r="N900" s="1"/>
      <c r="O900" s="87"/>
      <c r="P900" s="87"/>
      <c r="Q900" s="87"/>
      <c r="R900" s="87"/>
      <c r="S900" s="4"/>
      <c r="T900" s="1"/>
      <c r="U900" s="5"/>
      <c r="V900" s="3"/>
      <c r="W900" s="3"/>
      <c r="X900" s="3"/>
      <c r="Y900" s="7"/>
      <c r="Z900" s="1"/>
    </row>
    <row r="901" spans="1:26" ht="27" customHeight="1">
      <c r="A901" s="1"/>
      <c r="B901" s="1"/>
      <c r="C901" s="2"/>
      <c r="D901" s="2"/>
      <c r="E901" s="2"/>
      <c r="F901" s="87"/>
      <c r="G901" s="87"/>
      <c r="H901" s="87"/>
      <c r="I901" s="87"/>
      <c r="J901" s="87"/>
      <c r="K901" s="1"/>
      <c r="L901" s="1"/>
      <c r="M901" s="1"/>
      <c r="N901" s="1"/>
      <c r="O901" s="87"/>
      <c r="P901" s="87"/>
      <c r="Q901" s="87"/>
      <c r="R901" s="87"/>
      <c r="S901" s="4"/>
      <c r="T901" s="1"/>
      <c r="U901" s="5"/>
      <c r="V901" s="3"/>
      <c r="W901" s="3"/>
      <c r="X901" s="3"/>
      <c r="Y901" s="7"/>
      <c r="Z901" s="1"/>
    </row>
    <row r="902" spans="1:26" ht="27" customHeight="1">
      <c r="A902" s="1"/>
      <c r="B902" s="1"/>
      <c r="C902" s="2"/>
      <c r="D902" s="2"/>
      <c r="E902" s="2"/>
      <c r="F902" s="87"/>
      <c r="G902" s="87"/>
      <c r="H902" s="87"/>
      <c r="I902" s="87"/>
      <c r="J902" s="87"/>
      <c r="K902" s="1"/>
      <c r="L902" s="1"/>
      <c r="M902" s="1"/>
      <c r="N902" s="1"/>
      <c r="O902" s="87"/>
      <c r="P902" s="87"/>
      <c r="Q902" s="87"/>
      <c r="R902" s="87"/>
      <c r="S902" s="4"/>
      <c r="T902" s="1"/>
      <c r="U902" s="5"/>
      <c r="V902" s="3"/>
      <c r="W902" s="3"/>
      <c r="X902" s="3"/>
      <c r="Y902" s="7"/>
      <c r="Z902" s="1"/>
    </row>
    <row r="903" spans="1:26" ht="27" customHeight="1">
      <c r="A903" s="1"/>
      <c r="B903" s="1"/>
      <c r="C903" s="2"/>
      <c r="D903" s="2"/>
      <c r="E903" s="2"/>
      <c r="F903" s="87"/>
      <c r="G903" s="87"/>
      <c r="H903" s="87"/>
      <c r="I903" s="87"/>
      <c r="J903" s="87"/>
      <c r="K903" s="1"/>
      <c r="L903" s="1"/>
      <c r="M903" s="1"/>
      <c r="N903" s="1"/>
      <c r="O903" s="87"/>
      <c r="P903" s="87"/>
      <c r="Q903" s="87"/>
      <c r="R903" s="87"/>
      <c r="S903" s="4"/>
      <c r="T903" s="1"/>
      <c r="U903" s="5"/>
      <c r="V903" s="3"/>
      <c r="W903" s="3"/>
      <c r="X903" s="3"/>
      <c r="Y903" s="7"/>
      <c r="Z903" s="1"/>
    </row>
    <row r="904" spans="1:26" ht="27" customHeight="1">
      <c r="A904" s="1"/>
      <c r="B904" s="1"/>
      <c r="C904" s="2"/>
      <c r="D904" s="2"/>
      <c r="E904" s="2"/>
      <c r="F904" s="87"/>
      <c r="G904" s="87"/>
      <c r="H904" s="87"/>
      <c r="I904" s="87"/>
      <c r="J904" s="87"/>
      <c r="K904" s="1"/>
      <c r="L904" s="1"/>
      <c r="M904" s="1"/>
      <c r="N904" s="1"/>
      <c r="O904" s="87"/>
      <c r="P904" s="87"/>
      <c r="Q904" s="87"/>
      <c r="R904" s="87"/>
      <c r="S904" s="4"/>
      <c r="T904" s="1"/>
      <c r="U904" s="5"/>
      <c r="V904" s="3"/>
      <c r="W904" s="3"/>
      <c r="X904" s="3"/>
      <c r="Y904" s="7"/>
      <c r="Z904" s="1"/>
    </row>
    <row r="905" spans="1:26" ht="27" customHeight="1">
      <c r="A905" s="1"/>
      <c r="B905" s="1"/>
      <c r="C905" s="2"/>
      <c r="D905" s="2"/>
      <c r="E905" s="2"/>
      <c r="F905" s="87"/>
      <c r="G905" s="87"/>
      <c r="H905" s="87"/>
      <c r="I905" s="87"/>
      <c r="J905" s="87"/>
      <c r="K905" s="1"/>
      <c r="L905" s="1"/>
      <c r="M905" s="1"/>
      <c r="N905" s="1"/>
      <c r="O905" s="87"/>
      <c r="P905" s="87"/>
      <c r="Q905" s="87"/>
      <c r="R905" s="87"/>
      <c r="S905" s="4"/>
      <c r="T905" s="1"/>
      <c r="U905" s="5"/>
      <c r="V905" s="3"/>
      <c r="W905" s="3"/>
      <c r="X905" s="3"/>
      <c r="Y905" s="7"/>
      <c r="Z905" s="1"/>
    </row>
    <row r="906" spans="1:26" ht="27" customHeight="1">
      <c r="A906" s="1"/>
      <c r="B906" s="1"/>
      <c r="C906" s="2"/>
      <c r="D906" s="2"/>
      <c r="E906" s="2"/>
      <c r="F906" s="87"/>
      <c r="G906" s="87"/>
      <c r="H906" s="87"/>
      <c r="I906" s="87"/>
      <c r="J906" s="87"/>
      <c r="K906" s="1"/>
      <c r="L906" s="1"/>
      <c r="M906" s="1"/>
      <c r="N906" s="1"/>
      <c r="O906" s="87"/>
      <c r="P906" s="87"/>
      <c r="Q906" s="87"/>
      <c r="R906" s="87"/>
      <c r="S906" s="4"/>
      <c r="T906" s="1"/>
      <c r="U906" s="5"/>
      <c r="V906" s="3"/>
      <c r="W906" s="3"/>
      <c r="X906" s="3"/>
      <c r="Y906" s="7"/>
      <c r="Z906" s="1"/>
    </row>
    <row r="907" spans="1:26" ht="27" customHeight="1">
      <c r="A907" s="1"/>
      <c r="B907" s="1"/>
      <c r="C907" s="2"/>
      <c r="D907" s="2"/>
      <c r="E907" s="2"/>
      <c r="F907" s="87"/>
      <c r="G907" s="87"/>
      <c r="H907" s="87"/>
      <c r="I907" s="87"/>
      <c r="J907" s="87"/>
      <c r="K907" s="1"/>
      <c r="L907" s="1"/>
      <c r="M907" s="1"/>
      <c r="N907" s="1"/>
      <c r="O907" s="87"/>
      <c r="P907" s="87"/>
      <c r="Q907" s="87"/>
      <c r="R907" s="87"/>
      <c r="S907" s="4"/>
      <c r="T907" s="1"/>
      <c r="U907" s="5"/>
      <c r="V907" s="3"/>
      <c r="W907" s="3"/>
      <c r="X907" s="3"/>
      <c r="Y907" s="7"/>
      <c r="Z907" s="1"/>
    </row>
    <row r="908" spans="1:26" ht="27" customHeight="1">
      <c r="A908" s="1"/>
      <c r="B908" s="1"/>
      <c r="C908" s="2"/>
      <c r="D908" s="2"/>
      <c r="E908" s="2"/>
      <c r="F908" s="87"/>
      <c r="G908" s="87"/>
      <c r="H908" s="87"/>
      <c r="I908" s="87"/>
      <c r="J908" s="87"/>
      <c r="K908" s="1"/>
      <c r="L908" s="1"/>
      <c r="M908" s="1"/>
      <c r="N908" s="1"/>
      <c r="O908" s="87"/>
      <c r="P908" s="87"/>
      <c r="Q908" s="87"/>
      <c r="R908" s="87"/>
      <c r="S908" s="4"/>
      <c r="T908" s="1"/>
      <c r="U908" s="5"/>
      <c r="V908" s="3"/>
      <c r="W908" s="3"/>
      <c r="X908" s="3"/>
      <c r="Y908" s="7"/>
      <c r="Z908" s="1"/>
    </row>
    <row r="909" spans="1:26" ht="27" customHeight="1">
      <c r="A909" s="1"/>
      <c r="B909" s="1"/>
      <c r="C909" s="2"/>
      <c r="D909" s="2"/>
      <c r="E909" s="2"/>
      <c r="F909" s="87"/>
      <c r="G909" s="87"/>
      <c r="H909" s="87"/>
      <c r="I909" s="87"/>
      <c r="J909" s="87"/>
      <c r="K909" s="1"/>
      <c r="L909" s="1"/>
      <c r="M909" s="1"/>
      <c r="N909" s="1"/>
      <c r="O909" s="87"/>
      <c r="P909" s="87"/>
      <c r="Q909" s="87"/>
      <c r="R909" s="87"/>
      <c r="S909" s="4"/>
      <c r="T909" s="1"/>
      <c r="U909" s="5"/>
      <c r="V909" s="3"/>
      <c r="W909" s="3"/>
      <c r="X909" s="3"/>
      <c r="Y909" s="7"/>
      <c r="Z909" s="1"/>
    </row>
    <row r="910" spans="1:26" ht="27" customHeight="1">
      <c r="A910" s="1"/>
      <c r="B910" s="1"/>
      <c r="C910" s="2"/>
      <c r="D910" s="2"/>
      <c r="E910" s="2"/>
      <c r="F910" s="87"/>
      <c r="G910" s="87"/>
      <c r="H910" s="87"/>
      <c r="I910" s="87"/>
      <c r="J910" s="87"/>
      <c r="K910" s="1"/>
      <c r="L910" s="1"/>
      <c r="M910" s="1"/>
      <c r="N910" s="1"/>
      <c r="O910" s="87"/>
      <c r="P910" s="87"/>
      <c r="Q910" s="87"/>
      <c r="R910" s="87"/>
      <c r="S910" s="4"/>
      <c r="T910" s="1"/>
      <c r="U910" s="5"/>
      <c r="V910" s="3"/>
      <c r="W910" s="3"/>
      <c r="X910" s="3"/>
      <c r="Y910" s="7"/>
      <c r="Z910" s="1"/>
    </row>
    <row r="911" spans="1:26" ht="27" customHeight="1">
      <c r="A911" s="1"/>
      <c r="B911" s="1"/>
      <c r="C911" s="2"/>
      <c r="D911" s="2"/>
      <c r="E911" s="2"/>
      <c r="F911" s="87"/>
      <c r="G911" s="87"/>
      <c r="H911" s="87"/>
      <c r="I911" s="87"/>
      <c r="J911" s="87"/>
      <c r="K911" s="1"/>
      <c r="L911" s="1"/>
      <c r="M911" s="1"/>
      <c r="N911" s="1"/>
      <c r="O911" s="87"/>
      <c r="P911" s="87"/>
      <c r="Q911" s="87"/>
      <c r="R911" s="87"/>
      <c r="S911" s="4"/>
      <c r="T911" s="1"/>
      <c r="U911" s="5"/>
      <c r="V911" s="3"/>
      <c r="W911" s="3"/>
      <c r="X911" s="3"/>
      <c r="Y911" s="7"/>
      <c r="Z911" s="1"/>
    </row>
    <row r="912" spans="1:26" ht="27" customHeight="1">
      <c r="A912" s="1"/>
      <c r="B912" s="1"/>
      <c r="C912" s="2"/>
      <c r="D912" s="2"/>
      <c r="E912" s="2"/>
      <c r="F912" s="87"/>
      <c r="G912" s="87"/>
      <c r="H912" s="87"/>
      <c r="I912" s="87"/>
      <c r="J912" s="87"/>
      <c r="K912" s="1"/>
      <c r="L912" s="1"/>
      <c r="M912" s="1"/>
      <c r="N912" s="1"/>
      <c r="O912" s="87"/>
      <c r="P912" s="87"/>
      <c r="Q912" s="87"/>
      <c r="R912" s="87"/>
      <c r="S912" s="4"/>
      <c r="T912" s="1"/>
      <c r="U912" s="5"/>
      <c r="V912" s="3"/>
      <c r="W912" s="3"/>
      <c r="X912" s="3"/>
      <c r="Y912" s="7"/>
      <c r="Z912" s="1"/>
    </row>
    <row r="913" spans="1:26" ht="27" customHeight="1">
      <c r="A913" s="1"/>
      <c r="B913" s="1"/>
      <c r="C913" s="2"/>
      <c r="D913" s="2"/>
      <c r="E913" s="2"/>
      <c r="F913" s="87"/>
      <c r="G913" s="87"/>
      <c r="H913" s="87"/>
      <c r="I913" s="87"/>
      <c r="J913" s="87"/>
      <c r="K913" s="1"/>
      <c r="L913" s="1"/>
      <c r="M913" s="1"/>
      <c r="N913" s="1"/>
      <c r="O913" s="87"/>
      <c r="P913" s="87"/>
      <c r="Q913" s="87"/>
      <c r="R913" s="87"/>
      <c r="S913" s="4"/>
      <c r="T913" s="1"/>
      <c r="U913" s="5"/>
      <c r="V913" s="3"/>
      <c r="W913" s="3"/>
      <c r="X913" s="3"/>
      <c r="Y913" s="7"/>
      <c r="Z913" s="1"/>
    </row>
    <row r="914" spans="1:26" ht="27" customHeight="1">
      <c r="A914" s="1"/>
      <c r="B914" s="1"/>
      <c r="C914" s="2"/>
      <c r="D914" s="2"/>
      <c r="E914" s="2"/>
      <c r="F914" s="87"/>
      <c r="G914" s="87"/>
      <c r="H914" s="87"/>
      <c r="I914" s="87"/>
      <c r="J914" s="87"/>
      <c r="K914" s="1"/>
      <c r="L914" s="1"/>
      <c r="M914" s="1"/>
      <c r="N914" s="1"/>
      <c r="O914" s="87"/>
      <c r="P914" s="87"/>
      <c r="Q914" s="87"/>
      <c r="R914" s="87"/>
      <c r="S914" s="4"/>
      <c r="T914" s="1"/>
      <c r="U914" s="5"/>
      <c r="V914" s="3"/>
      <c r="W914" s="3"/>
      <c r="X914" s="3"/>
      <c r="Y914" s="7"/>
      <c r="Z914" s="1"/>
    </row>
    <row r="915" spans="1:26" ht="27" customHeight="1">
      <c r="A915" s="1"/>
      <c r="B915" s="1"/>
      <c r="C915" s="2"/>
      <c r="D915" s="2"/>
      <c r="E915" s="2"/>
      <c r="F915" s="87"/>
      <c r="G915" s="87"/>
      <c r="H915" s="87"/>
      <c r="I915" s="87"/>
      <c r="J915" s="87"/>
      <c r="K915" s="1"/>
      <c r="L915" s="1"/>
      <c r="M915" s="1"/>
      <c r="N915" s="1"/>
      <c r="O915" s="87"/>
      <c r="P915" s="87"/>
      <c r="Q915" s="87"/>
      <c r="R915" s="87"/>
      <c r="S915" s="4"/>
      <c r="T915" s="1"/>
      <c r="U915" s="5"/>
      <c r="V915" s="3"/>
      <c r="W915" s="3"/>
      <c r="X915" s="3"/>
      <c r="Y915" s="7"/>
      <c r="Z915" s="1"/>
    </row>
    <row r="916" spans="1:26" ht="27" customHeight="1">
      <c r="A916" s="1"/>
      <c r="B916" s="1"/>
      <c r="C916" s="2"/>
      <c r="D916" s="2"/>
      <c r="E916" s="2"/>
      <c r="F916" s="87"/>
      <c r="G916" s="87"/>
      <c r="H916" s="87"/>
      <c r="I916" s="87"/>
      <c r="J916" s="87"/>
      <c r="K916" s="1"/>
      <c r="L916" s="1"/>
      <c r="M916" s="1"/>
      <c r="N916" s="1"/>
      <c r="O916" s="87"/>
      <c r="P916" s="87"/>
      <c r="Q916" s="87"/>
      <c r="R916" s="87"/>
      <c r="S916" s="4"/>
      <c r="T916" s="1"/>
      <c r="U916" s="5"/>
      <c r="V916" s="3"/>
      <c r="W916" s="3"/>
      <c r="X916" s="3"/>
      <c r="Y916" s="7"/>
      <c r="Z916" s="1"/>
    </row>
    <row r="917" spans="1:26" ht="27" customHeight="1">
      <c r="A917" s="1"/>
      <c r="B917" s="1"/>
      <c r="C917" s="2"/>
      <c r="D917" s="2"/>
      <c r="E917" s="2"/>
      <c r="F917" s="87"/>
      <c r="G917" s="87"/>
      <c r="H917" s="87"/>
      <c r="I917" s="87"/>
      <c r="J917" s="87"/>
      <c r="K917" s="1"/>
      <c r="L917" s="1"/>
      <c r="M917" s="1"/>
      <c r="N917" s="1"/>
      <c r="O917" s="87"/>
      <c r="P917" s="87"/>
      <c r="Q917" s="87"/>
      <c r="R917" s="87"/>
      <c r="S917" s="4"/>
      <c r="T917" s="1"/>
      <c r="U917" s="5"/>
      <c r="V917" s="3"/>
      <c r="W917" s="3"/>
      <c r="X917" s="3"/>
      <c r="Y917" s="7"/>
      <c r="Z917" s="1"/>
    </row>
    <row r="918" spans="1:26" ht="27" customHeight="1">
      <c r="A918" s="1"/>
      <c r="B918" s="1"/>
      <c r="C918" s="2"/>
      <c r="D918" s="2"/>
      <c r="E918" s="2"/>
      <c r="F918" s="87"/>
      <c r="G918" s="87"/>
      <c r="H918" s="87"/>
      <c r="I918" s="87"/>
      <c r="J918" s="87"/>
      <c r="K918" s="1"/>
      <c r="L918" s="1"/>
      <c r="M918" s="1"/>
      <c r="N918" s="1"/>
      <c r="O918" s="87"/>
      <c r="P918" s="87"/>
      <c r="Q918" s="87"/>
      <c r="R918" s="87"/>
      <c r="S918" s="4"/>
      <c r="T918" s="1"/>
      <c r="U918" s="5"/>
      <c r="V918" s="3"/>
      <c r="W918" s="3"/>
      <c r="X918" s="3"/>
      <c r="Y918" s="7"/>
      <c r="Z918" s="1"/>
    </row>
    <row r="919" spans="1:26" ht="27" customHeight="1">
      <c r="A919" s="1"/>
      <c r="B919" s="1"/>
      <c r="C919" s="2"/>
      <c r="D919" s="2"/>
      <c r="E919" s="2"/>
      <c r="F919" s="87"/>
      <c r="G919" s="87"/>
      <c r="H919" s="87"/>
      <c r="I919" s="87"/>
      <c r="J919" s="87"/>
      <c r="K919" s="1"/>
      <c r="L919" s="1"/>
      <c r="M919" s="1"/>
      <c r="N919" s="1"/>
      <c r="O919" s="87"/>
      <c r="P919" s="87"/>
      <c r="Q919" s="87"/>
      <c r="R919" s="87"/>
      <c r="S919" s="4"/>
      <c r="T919" s="1"/>
      <c r="U919" s="5"/>
      <c r="V919" s="3"/>
      <c r="W919" s="3"/>
      <c r="X919" s="3"/>
      <c r="Y919" s="7"/>
      <c r="Z919" s="1"/>
    </row>
    <row r="920" spans="1:26" ht="27" customHeight="1">
      <c r="A920" s="1"/>
      <c r="B920" s="1"/>
      <c r="C920" s="2"/>
      <c r="D920" s="2"/>
      <c r="E920" s="2"/>
      <c r="F920" s="87"/>
      <c r="G920" s="87"/>
      <c r="H920" s="87"/>
      <c r="I920" s="87"/>
      <c r="J920" s="87"/>
      <c r="K920" s="1"/>
      <c r="L920" s="1"/>
      <c r="M920" s="1"/>
      <c r="N920" s="1"/>
      <c r="O920" s="87"/>
      <c r="P920" s="87"/>
      <c r="Q920" s="87"/>
      <c r="R920" s="87"/>
      <c r="S920" s="4"/>
      <c r="T920" s="1"/>
      <c r="U920" s="5"/>
      <c r="V920" s="3"/>
      <c r="W920" s="3"/>
      <c r="X920" s="3"/>
      <c r="Y920" s="7"/>
      <c r="Z920" s="1"/>
    </row>
    <row r="921" spans="1:26" ht="27" customHeight="1">
      <c r="A921" s="1"/>
      <c r="B921" s="1"/>
      <c r="C921" s="2"/>
      <c r="D921" s="2"/>
      <c r="E921" s="2"/>
      <c r="F921" s="87"/>
      <c r="G921" s="87"/>
      <c r="H921" s="87"/>
      <c r="I921" s="87"/>
      <c r="J921" s="87"/>
      <c r="K921" s="1"/>
      <c r="L921" s="1"/>
      <c r="M921" s="1"/>
      <c r="N921" s="1"/>
      <c r="O921" s="87"/>
      <c r="P921" s="87"/>
      <c r="Q921" s="87"/>
      <c r="R921" s="87"/>
      <c r="S921" s="4"/>
      <c r="T921" s="1"/>
      <c r="U921" s="5"/>
      <c r="V921" s="3"/>
      <c r="W921" s="3"/>
      <c r="X921" s="3"/>
      <c r="Y921" s="7"/>
      <c r="Z921" s="1"/>
    </row>
    <row r="922" spans="1:26" ht="27" customHeight="1">
      <c r="A922" s="1"/>
      <c r="B922" s="1"/>
      <c r="C922" s="2"/>
      <c r="D922" s="2"/>
      <c r="E922" s="2"/>
      <c r="F922" s="87"/>
      <c r="G922" s="87"/>
      <c r="H922" s="87"/>
      <c r="I922" s="87"/>
      <c r="J922" s="87"/>
      <c r="K922" s="1"/>
      <c r="L922" s="1"/>
      <c r="M922" s="1"/>
      <c r="N922" s="1"/>
      <c r="O922" s="87"/>
      <c r="P922" s="87"/>
      <c r="Q922" s="87"/>
      <c r="R922" s="87"/>
      <c r="S922" s="4"/>
      <c r="T922" s="1"/>
      <c r="U922" s="5"/>
      <c r="V922" s="3"/>
      <c r="W922" s="3"/>
      <c r="X922" s="3"/>
      <c r="Y922" s="7"/>
      <c r="Z922" s="1"/>
    </row>
    <row r="923" spans="1:26" ht="27" customHeight="1">
      <c r="A923" s="1"/>
      <c r="B923" s="1"/>
      <c r="C923" s="2"/>
      <c r="D923" s="2"/>
      <c r="E923" s="2"/>
      <c r="F923" s="87"/>
      <c r="G923" s="87"/>
      <c r="H923" s="87"/>
      <c r="I923" s="87"/>
      <c r="J923" s="87"/>
      <c r="K923" s="1"/>
      <c r="L923" s="1"/>
      <c r="M923" s="1"/>
      <c r="N923" s="1"/>
      <c r="O923" s="87"/>
      <c r="P923" s="87"/>
      <c r="Q923" s="87"/>
      <c r="R923" s="87"/>
      <c r="S923" s="4"/>
      <c r="T923" s="1"/>
      <c r="U923" s="5"/>
      <c r="V923" s="3"/>
      <c r="W923" s="3"/>
      <c r="X923" s="3"/>
      <c r="Y923" s="7"/>
      <c r="Z923" s="1"/>
    </row>
    <row r="924" spans="1:26" ht="27" customHeight="1">
      <c r="A924" s="1"/>
      <c r="B924" s="1"/>
      <c r="C924" s="2"/>
      <c r="D924" s="2"/>
      <c r="E924" s="2"/>
      <c r="F924" s="87"/>
      <c r="G924" s="87"/>
      <c r="H924" s="87"/>
      <c r="I924" s="87"/>
      <c r="J924" s="87"/>
      <c r="K924" s="1"/>
      <c r="L924" s="1"/>
      <c r="M924" s="1"/>
      <c r="N924" s="1"/>
      <c r="O924" s="87"/>
      <c r="P924" s="87"/>
      <c r="Q924" s="87"/>
      <c r="R924" s="87"/>
      <c r="S924" s="4"/>
      <c r="T924" s="1"/>
      <c r="U924" s="5"/>
      <c r="V924" s="3"/>
      <c r="W924" s="3"/>
      <c r="X924" s="3"/>
      <c r="Y924" s="7"/>
      <c r="Z924" s="1"/>
    </row>
    <row r="925" spans="1:26" ht="27" customHeight="1">
      <c r="A925" s="1"/>
      <c r="B925" s="1"/>
      <c r="C925" s="2"/>
      <c r="D925" s="2"/>
      <c r="E925" s="2"/>
      <c r="F925" s="87"/>
      <c r="G925" s="87"/>
      <c r="H925" s="87"/>
      <c r="I925" s="87"/>
      <c r="J925" s="87"/>
      <c r="K925" s="1"/>
      <c r="L925" s="1"/>
      <c r="M925" s="1"/>
      <c r="N925" s="1"/>
      <c r="O925" s="87"/>
      <c r="P925" s="87"/>
      <c r="Q925" s="87"/>
      <c r="R925" s="87"/>
      <c r="S925" s="4"/>
      <c r="T925" s="1"/>
      <c r="U925" s="5"/>
      <c r="V925" s="3"/>
      <c r="W925" s="3"/>
      <c r="X925" s="3"/>
      <c r="Y925" s="7"/>
      <c r="Z925" s="1"/>
    </row>
    <row r="926" spans="1:26" ht="27" customHeight="1">
      <c r="A926" s="1"/>
      <c r="B926" s="1"/>
      <c r="C926" s="2"/>
      <c r="D926" s="2"/>
      <c r="E926" s="2"/>
      <c r="F926" s="87"/>
      <c r="G926" s="87"/>
      <c r="H926" s="87"/>
      <c r="I926" s="87"/>
      <c r="J926" s="87"/>
      <c r="K926" s="1"/>
      <c r="L926" s="1"/>
      <c r="M926" s="1"/>
      <c r="N926" s="1"/>
      <c r="O926" s="87"/>
      <c r="P926" s="87"/>
      <c r="Q926" s="87"/>
      <c r="R926" s="87"/>
      <c r="S926" s="4"/>
      <c r="T926" s="1"/>
      <c r="U926" s="5"/>
      <c r="V926" s="3"/>
      <c r="W926" s="3"/>
      <c r="X926" s="3"/>
      <c r="Y926" s="7"/>
      <c r="Z926" s="1"/>
    </row>
    <row r="927" spans="1:26" ht="27" customHeight="1">
      <c r="A927" s="1"/>
      <c r="B927" s="1"/>
      <c r="C927" s="2"/>
      <c r="D927" s="2"/>
      <c r="E927" s="2"/>
      <c r="F927" s="87"/>
      <c r="G927" s="87"/>
      <c r="H927" s="87"/>
      <c r="I927" s="87"/>
      <c r="J927" s="87"/>
      <c r="K927" s="1"/>
      <c r="L927" s="1"/>
      <c r="M927" s="1"/>
      <c r="N927" s="1"/>
      <c r="O927" s="87"/>
      <c r="P927" s="87"/>
      <c r="Q927" s="87"/>
      <c r="R927" s="87"/>
      <c r="S927" s="4"/>
      <c r="T927" s="1"/>
      <c r="U927" s="5"/>
      <c r="V927" s="3"/>
      <c r="W927" s="3"/>
      <c r="X927" s="3"/>
      <c r="Y927" s="7"/>
      <c r="Z927" s="1"/>
    </row>
    <row r="928" spans="1:26" ht="27" customHeight="1">
      <c r="A928" s="1"/>
      <c r="B928" s="1"/>
      <c r="C928" s="2"/>
      <c r="D928" s="2"/>
      <c r="E928" s="2"/>
      <c r="F928" s="87"/>
      <c r="G928" s="87"/>
      <c r="H928" s="87"/>
      <c r="I928" s="87"/>
      <c r="J928" s="87"/>
      <c r="K928" s="1"/>
      <c r="L928" s="1"/>
      <c r="M928" s="1"/>
      <c r="N928" s="1"/>
      <c r="O928" s="87"/>
      <c r="P928" s="87"/>
      <c r="Q928" s="87"/>
      <c r="R928" s="87"/>
      <c r="S928" s="4"/>
      <c r="T928" s="1"/>
      <c r="U928" s="5"/>
      <c r="V928" s="3"/>
      <c r="W928" s="3"/>
      <c r="X928" s="3"/>
      <c r="Y928" s="7"/>
      <c r="Z928" s="1"/>
    </row>
    <row r="929" spans="1:26" ht="27" customHeight="1">
      <c r="A929" s="1"/>
      <c r="B929" s="1"/>
      <c r="C929" s="2"/>
      <c r="D929" s="2"/>
      <c r="E929" s="2"/>
      <c r="F929" s="87"/>
      <c r="G929" s="87"/>
      <c r="H929" s="87"/>
      <c r="I929" s="87"/>
      <c r="J929" s="87"/>
      <c r="K929" s="1"/>
      <c r="L929" s="1"/>
      <c r="M929" s="1"/>
      <c r="N929" s="1"/>
      <c r="O929" s="87"/>
      <c r="P929" s="87"/>
      <c r="Q929" s="87"/>
      <c r="R929" s="87"/>
      <c r="S929" s="4"/>
      <c r="T929" s="1"/>
      <c r="U929" s="5"/>
      <c r="V929" s="3"/>
      <c r="W929" s="3"/>
      <c r="X929" s="3"/>
      <c r="Y929" s="7"/>
      <c r="Z929" s="1"/>
    </row>
    <row r="930" spans="1:26" ht="27" customHeight="1">
      <c r="A930" s="1"/>
      <c r="B930" s="1"/>
      <c r="C930" s="2"/>
      <c r="D930" s="2"/>
      <c r="E930" s="2"/>
      <c r="F930" s="87"/>
      <c r="G930" s="87"/>
      <c r="H930" s="87"/>
      <c r="I930" s="87"/>
      <c r="J930" s="87"/>
      <c r="K930" s="1"/>
      <c r="L930" s="1"/>
      <c r="M930" s="1"/>
      <c r="N930" s="1"/>
      <c r="O930" s="87"/>
      <c r="P930" s="87"/>
      <c r="Q930" s="87"/>
      <c r="R930" s="87"/>
      <c r="S930" s="4"/>
      <c r="T930" s="1"/>
      <c r="U930" s="5"/>
      <c r="V930" s="3"/>
      <c r="W930" s="3"/>
      <c r="X930" s="3"/>
      <c r="Y930" s="7"/>
      <c r="Z930" s="1"/>
    </row>
    <row r="931" spans="1:26" ht="27" customHeight="1">
      <c r="A931" s="1"/>
      <c r="B931" s="1"/>
      <c r="C931" s="2"/>
      <c r="D931" s="2"/>
      <c r="E931" s="2"/>
      <c r="F931" s="87"/>
      <c r="G931" s="87"/>
      <c r="H931" s="87"/>
      <c r="I931" s="87"/>
      <c r="J931" s="87"/>
      <c r="K931" s="1"/>
      <c r="L931" s="1"/>
      <c r="M931" s="1"/>
      <c r="N931" s="1"/>
      <c r="O931" s="87"/>
      <c r="P931" s="87"/>
      <c r="Q931" s="87"/>
      <c r="R931" s="87"/>
      <c r="S931" s="4"/>
      <c r="T931" s="1"/>
      <c r="U931" s="5"/>
      <c r="V931" s="3"/>
      <c r="W931" s="3"/>
      <c r="X931" s="3"/>
      <c r="Y931" s="7"/>
      <c r="Z931" s="1"/>
    </row>
    <row r="932" spans="1:26" ht="27" customHeight="1">
      <c r="A932" s="1"/>
      <c r="B932" s="1"/>
      <c r="C932" s="2"/>
      <c r="D932" s="2"/>
      <c r="E932" s="2"/>
      <c r="F932" s="87"/>
      <c r="G932" s="87"/>
      <c r="H932" s="87"/>
      <c r="I932" s="87"/>
      <c r="J932" s="87"/>
      <c r="K932" s="1"/>
      <c r="L932" s="1"/>
      <c r="M932" s="1"/>
      <c r="N932" s="1"/>
      <c r="O932" s="87"/>
      <c r="P932" s="87"/>
      <c r="Q932" s="87"/>
      <c r="R932" s="87"/>
      <c r="S932" s="4"/>
      <c r="T932" s="1"/>
      <c r="U932" s="5"/>
      <c r="V932" s="3"/>
      <c r="W932" s="3"/>
      <c r="X932" s="3"/>
      <c r="Y932" s="7"/>
      <c r="Z932" s="1"/>
    </row>
    <row r="933" spans="1:26" ht="27" customHeight="1">
      <c r="A933" s="1"/>
      <c r="B933" s="1"/>
      <c r="C933" s="2"/>
      <c r="D933" s="2"/>
      <c r="E933" s="2"/>
      <c r="F933" s="87"/>
      <c r="G933" s="87"/>
      <c r="H933" s="87"/>
      <c r="I933" s="87"/>
      <c r="J933" s="87"/>
      <c r="K933" s="1"/>
      <c r="L933" s="1"/>
      <c r="M933" s="1"/>
      <c r="N933" s="1"/>
      <c r="O933" s="87"/>
      <c r="P933" s="87"/>
      <c r="Q933" s="87"/>
      <c r="R933" s="87"/>
      <c r="S933" s="4"/>
      <c r="T933" s="1"/>
      <c r="U933" s="5"/>
      <c r="V933" s="3"/>
      <c r="W933" s="3"/>
      <c r="X933" s="3"/>
      <c r="Y933" s="7"/>
      <c r="Z933" s="1"/>
    </row>
    <row r="934" spans="1:26" ht="27" customHeight="1">
      <c r="A934" s="1"/>
      <c r="B934" s="1"/>
      <c r="C934" s="2"/>
      <c r="D934" s="2"/>
      <c r="E934" s="2"/>
      <c r="F934" s="87"/>
      <c r="G934" s="87"/>
      <c r="H934" s="87"/>
      <c r="I934" s="87"/>
      <c r="J934" s="87"/>
      <c r="K934" s="1"/>
      <c r="L934" s="1"/>
      <c r="M934" s="1"/>
      <c r="N934" s="1"/>
      <c r="O934" s="87"/>
      <c r="P934" s="87"/>
      <c r="Q934" s="87"/>
      <c r="R934" s="87"/>
      <c r="S934" s="4"/>
      <c r="T934" s="1"/>
      <c r="U934" s="5"/>
      <c r="V934" s="3"/>
      <c r="W934" s="3"/>
      <c r="X934" s="3"/>
      <c r="Y934" s="7"/>
      <c r="Z934" s="1"/>
    </row>
    <row r="935" spans="1:26" ht="27" customHeight="1">
      <c r="A935" s="1"/>
      <c r="B935" s="1"/>
      <c r="C935" s="2"/>
      <c r="D935" s="2"/>
      <c r="E935" s="2"/>
      <c r="F935" s="87"/>
      <c r="G935" s="87"/>
      <c r="H935" s="87"/>
      <c r="I935" s="87"/>
      <c r="J935" s="87"/>
      <c r="K935" s="1"/>
      <c r="L935" s="1"/>
      <c r="M935" s="1"/>
      <c r="N935" s="1"/>
      <c r="O935" s="87"/>
      <c r="P935" s="87"/>
      <c r="Q935" s="87"/>
      <c r="R935" s="87"/>
      <c r="S935" s="4"/>
      <c r="T935" s="1"/>
      <c r="U935" s="5"/>
      <c r="V935" s="3"/>
      <c r="W935" s="3"/>
      <c r="X935" s="3"/>
      <c r="Y935" s="7"/>
      <c r="Z935" s="1"/>
    </row>
    <row r="936" spans="1:26" ht="27" customHeight="1">
      <c r="A936" s="1"/>
      <c r="B936" s="1"/>
      <c r="C936" s="2"/>
      <c r="D936" s="2"/>
      <c r="E936" s="2"/>
      <c r="F936" s="87"/>
      <c r="G936" s="87"/>
      <c r="H936" s="87"/>
      <c r="I936" s="87"/>
      <c r="J936" s="87"/>
      <c r="K936" s="1"/>
      <c r="L936" s="1"/>
      <c r="M936" s="1"/>
      <c r="N936" s="1"/>
      <c r="O936" s="87"/>
      <c r="P936" s="87"/>
      <c r="Q936" s="87"/>
      <c r="R936" s="87"/>
      <c r="S936" s="4"/>
      <c r="T936" s="1"/>
      <c r="U936" s="5"/>
      <c r="V936" s="3"/>
      <c r="W936" s="3"/>
      <c r="X936" s="3"/>
      <c r="Y936" s="7"/>
      <c r="Z936" s="1"/>
    </row>
    <row r="937" spans="1:26" ht="27" customHeight="1">
      <c r="A937" s="1"/>
      <c r="B937" s="1"/>
      <c r="C937" s="2"/>
      <c r="D937" s="2"/>
      <c r="E937" s="2"/>
      <c r="F937" s="87"/>
      <c r="G937" s="87"/>
      <c r="H937" s="87"/>
      <c r="I937" s="87"/>
      <c r="J937" s="87"/>
      <c r="K937" s="1"/>
      <c r="L937" s="1"/>
      <c r="M937" s="1"/>
      <c r="N937" s="1"/>
      <c r="O937" s="87"/>
      <c r="P937" s="87"/>
      <c r="Q937" s="87"/>
      <c r="R937" s="87"/>
      <c r="S937" s="4"/>
      <c r="T937" s="1"/>
      <c r="U937" s="5"/>
      <c r="V937" s="3"/>
      <c r="W937" s="3"/>
      <c r="X937" s="3"/>
      <c r="Y937" s="7"/>
      <c r="Z937" s="1"/>
    </row>
    <row r="938" spans="1:26" ht="27" customHeight="1">
      <c r="A938" s="1"/>
      <c r="B938" s="1"/>
      <c r="C938" s="2"/>
      <c r="D938" s="2"/>
      <c r="E938" s="2"/>
      <c r="F938" s="87"/>
      <c r="G938" s="87"/>
      <c r="H938" s="87"/>
      <c r="I938" s="87"/>
      <c r="J938" s="87"/>
      <c r="K938" s="1"/>
      <c r="L938" s="1"/>
      <c r="M938" s="1"/>
      <c r="N938" s="1"/>
      <c r="O938" s="87"/>
      <c r="P938" s="87"/>
      <c r="Q938" s="87"/>
      <c r="R938" s="87"/>
      <c r="S938" s="4"/>
      <c r="T938" s="1"/>
      <c r="U938" s="5"/>
      <c r="V938" s="3"/>
      <c r="W938" s="3"/>
      <c r="X938" s="3"/>
      <c r="Y938" s="7"/>
      <c r="Z938" s="1"/>
    </row>
    <row r="939" spans="1:26" ht="27" customHeight="1">
      <c r="A939" s="1"/>
      <c r="B939" s="1"/>
      <c r="C939" s="2"/>
      <c r="D939" s="2"/>
      <c r="E939" s="2"/>
      <c r="F939" s="87"/>
      <c r="G939" s="87"/>
      <c r="H939" s="87"/>
      <c r="I939" s="87"/>
      <c r="J939" s="87"/>
      <c r="K939" s="1"/>
      <c r="L939" s="1"/>
      <c r="M939" s="1"/>
      <c r="N939" s="1"/>
      <c r="O939" s="87"/>
      <c r="P939" s="87"/>
      <c r="Q939" s="87"/>
      <c r="R939" s="87"/>
      <c r="S939" s="4"/>
      <c r="T939" s="1"/>
      <c r="U939" s="5"/>
      <c r="V939" s="3"/>
      <c r="W939" s="3"/>
      <c r="X939" s="3"/>
      <c r="Y939" s="7"/>
      <c r="Z939" s="1"/>
    </row>
    <row r="940" spans="1:26" ht="27" customHeight="1">
      <c r="A940" s="1"/>
      <c r="B940" s="1"/>
      <c r="C940" s="2"/>
      <c r="D940" s="2"/>
      <c r="E940" s="2"/>
      <c r="F940" s="87"/>
      <c r="G940" s="87"/>
      <c r="H940" s="87"/>
      <c r="I940" s="87"/>
      <c r="J940" s="87"/>
      <c r="K940" s="1"/>
      <c r="L940" s="1"/>
      <c r="M940" s="1"/>
      <c r="N940" s="1"/>
      <c r="O940" s="87"/>
      <c r="P940" s="87"/>
      <c r="Q940" s="87"/>
      <c r="R940" s="87"/>
      <c r="S940" s="4"/>
      <c r="T940" s="1"/>
      <c r="U940" s="5"/>
      <c r="V940" s="3"/>
      <c r="W940" s="3"/>
      <c r="X940" s="3"/>
      <c r="Y940" s="7"/>
      <c r="Z940" s="1"/>
    </row>
    <row r="941" spans="1:26" ht="27" customHeight="1">
      <c r="A941" s="1"/>
      <c r="B941" s="1"/>
      <c r="C941" s="2"/>
      <c r="D941" s="2"/>
      <c r="E941" s="2"/>
      <c r="F941" s="87"/>
      <c r="G941" s="87"/>
      <c r="H941" s="87"/>
      <c r="I941" s="87"/>
      <c r="J941" s="87"/>
      <c r="K941" s="1"/>
      <c r="L941" s="1"/>
      <c r="M941" s="1"/>
      <c r="N941" s="1"/>
      <c r="O941" s="87"/>
      <c r="P941" s="87"/>
      <c r="Q941" s="87"/>
      <c r="R941" s="87"/>
      <c r="S941" s="4"/>
      <c r="T941" s="1"/>
      <c r="U941" s="5"/>
      <c r="V941" s="3"/>
      <c r="W941" s="3"/>
      <c r="X941" s="3"/>
      <c r="Y941" s="7"/>
      <c r="Z941" s="1"/>
    </row>
    <row r="942" spans="1:26" ht="27" customHeight="1">
      <c r="A942" s="1"/>
      <c r="B942" s="1"/>
      <c r="C942" s="2"/>
      <c r="D942" s="2"/>
      <c r="E942" s="2"/>
      <c r="F942" s="87"/>
      <c r="G942" s="87"/>
      <c r="H942" s="87"/>
      <c r="I942" s="87"/>
      <c r="J942" s="87"/>
      <c r="K942" s="1"/>
      <c r="L942" s="1"/>
      <c r="M942" s="1"/>
      <c r="N942" s="1"/>
      <c r="O942" s="87"/>
      <c r="P942" s="87"/>
      <c r="Q942" s="87"/>
      <c r="R942" s="87"/>
      <c r="S942" s="4"/>
      <c r="T942" s="1"/>
      <c r="U942" s="5"/>
      <c r="V942" s="3"/>
      <c r="W942" s="3"/>
      <c r="X942" s="3"/>
      <c r="Y942" s="7"/>
      <c r="Z942" s="1"/>
    </row>
    <row r="943" spans="1:26" ht="27" customHeight="1">
      <c r="A943" s="1"/>
      <c r="B943" s="1"/>
      <c r="C943" s="2"/>
      <c r="D943" s="2"/>
      <c r="E943" s="2"/>
      <c r="F943" s="87"/>
      <c r="G943" s="87"/>
      <c r="H943" s="87"/>
      <c r="I943" s="87"/>
      <c r="J943" s="87"/>
      <c r="K943" s="1"/>
      <c r="L943" s="1"/>
      <c r="M943" s="1"/>
      <c r="N943" s="1"/>
      <c r="O943" s="87"/>
      <c r="P943" s="87"/>
      <c r="Q943" s="87"/>
      <c r="R943" s="87"/>
      <c r="S943" s="4"/>
      <c r="T943" s="1"/>
      <c r="U943" s="5"/>
      <c r="V943" s="3"/>
      <c r="W943" s="3"/>
      <c r="X943" s="3"/>
      <c r="Y943" s="7"/>
      <c r="Z943" s="1"/>
    </row>
    <row r="944" spans="1:26" ht="27" customHeight="1">
      <c r="A944" s="1"/>
      <c r="B944" s="1"/>
      <c r="C944" s="2"/>
      <c r="D944" s="2"/>
      <c r="E944" s="2"/>
      <c r="F944" s="87"/>
      <c r="G944" s="87"/>
      <c r="H944" s="87"/>
      <c r="I944" s="87"/>
      <c r="J944" s="87"/>
      <c r="K944" s="1"/>
      <c r="L944" s="1"/>
      <c r="M944" s="1"/>
      <c r="N944" s="1"/>
      <c r="O944" s="87"/>
      <c r="P944" s="87"/>
      <c r="Q944" s="87"/>
      <c r="R944" s="87"/>
      <c r="S944" s="4"/>
      <c r="T944" s="1"/>
      <c r="U944" s="5"/>
      <c r="V944" s="3"/>
      <c r="W944" s="3"/>
      <c r="X944" s="3"/>
      <c r="Y944" s="7"/>
      <c r="Z944" s="1"/>
    </row>
    <row r="945" spans="1:26" ht="27" customHeight="1">
      <c r="A945" s="1"/>
      <c r="B945" s="1"/>
      <c r="C945" s="2"/>
      <c r="D945" s="2"/>
      <c r="E945" s="2"/>
      <c r="F945" s="87"/>
      <c r="G945" s="87"/>
      <c r="H945" s="87"/>
      <c r="I945" s="87"/>
      <c r="J945" s="87"/>
      <c r="K945" s="1"/>
      <c r="L945" s="1"/>
      <c r="M945" s="1"/>
      <c r="N945" s="1"/>
      <c r="O945" s="87"/>
      <c r="P945" s="87"/>
      <c r="Q945" s="87"/>
      <c r="R945" s="87"/>
      <c r="S945" s="4"/>
      <c r="T945" s="1"/>
      <c r="U945" s="5"/>
      <c r="V945" s="3"/>
      <c r="W945" s="3"/>
      <c r="X945" s="3"/>
      <c r="Y945" s="7"/>
      <c r="Z945" s="1"/>
    </row>
    <row r="946" spans="1:26" ht="27" customHeight="1">
      <c r="A946" s="1"/>
      <c r="B946" s="1"/>
      <c r="C946" s="2"/>
      <c r="D946" s="2"/>
      <c r="E946" s="2"/>
      <c r="F946" s="87"/>
      <c r="G946" s="87"/>
      <c r="H946" s="87"/>
      <c r="I946" s="87"/>
      <c r="J946" s="87"/>
      <c r="K946" s="1"/>
      <c r="L946" s="1"/>
      <c r="M946" s="1"/>
      <c r="N946" s="1"/>
      <c r="O946" s="87"/>
      <c r="P946" s="87"/>
      <c r="Q946" s="87"/>
      <c r="R946" s="87"/>
      <c r="S946" s="4"/>
      <c r="T946" s="1"/>
      <c r="U946" s="5"/>
      <c r="V946" s="3"/>
      <c r="W946" s="3"/>
      <c r="X946" s="3"/>
      <c r="Y946" s="7"/>
      <c r="Z946" s="1"/>
    </row>
    <row r="947" spans="1:26" ht="27" customHeight="1">
      <c r="A947" s="1"/>
      <c r="B947" s="1"/>
      <c r="C947" s="2"/>
      <c r="D947" s="2"/>
      <c r="E947" s="2"/>
      <c r="F947" s="87"/>
      <c r="G947" s="87"/>
      <c r="H947" s="87"/>
      <c r="I947" s="87"/>
      <c r="J947" s="87"/>
      <c r="K947" s="1"/>
      <c r="L947" s="1"/>
      <c r="M947" s="1"/>
      <c r="N947" s="1"/>
      <c r="O947" s="87"/>
      <c r="P947" s="87"/>
      <c r="Q947" s="87"/>
      <c r="R947" s="87"/>
      <c r="S947" s="4"/>
      <c r="T947" s="1"/>
      <c r="U947" s="5"/>
      <c r="V947" s="3"/>
      <c r="W947" s="3"/>
      <c r="X947" s="3"/>
      <c r="Y947" s="7"/>
      <c r="Z947" s="1"/>
    </row>
    <row r="948" spans="1:26" ht="27" customHeight="1">
      <c r="A948" s="1"/>
      <c r="B948" s="1"/>
      <c r="C948" s="2"/>
      <c r="D948" s="2"/>
      <c r="E948" s="2"/>
      <c r="F948" s="87"/>
      <c r="G948" s="87"/>
      <c r="H948" s="87"/>
      <c r="I948" s="87"/>
      <c r="J948" s="87"/>
      <c r="K948" s="1"/>
      <c r="L948" s="1"/>
      <c r="M948" s="1"/>
      <c r="N948" s="1"/>
      <c r="O948" s="87"/>
      <c r="P948" s="87"/>
      <c r="Q948" s="87"/>
      <c r="R948" s="87"/>
      <c r="S948" s="4"/>
      <c r="T948" s="1"/>
      <c r="U948" s="5"/>
      <c r="V948" s="3"/>
      <c r="W948" s="3"/>
      <c r="X948" s="3"/>
      <c r="Y948" s="7"/>
      <c r="Z948" s="1"/>
    </row>
    <row r="949" spans="1:26" ht="27" customHeight="1">
      <c r="A949" s="1"/>
      <c r="B949" s="1"/>
      <c r="C949" s="2"/>
      <c r="D949" s="2"/>
      <c r="E949" s="2"/>
      <c r="F949" s="87"/>
      <c r="G949" s="87"/>
      <c r="H949" s="87"/>
      <c r="I949" s="87"/>
      <c r="J949" s="87"/>
      <c r="K949" s="1"/>
      <c r="L949" s="1"/>
      <c r="M949" s="1"/>
      <c r="N949" s="1"/>
      <c r="O949" s="87"/>
      <c r="P949" s="87"/>
      <c r="Q949" s="87"/>
      <c r="R949" s="87"/>
      <c r="S949" s="4"/>
      <c r="T949" s="1"/>
      <c r="U949" s="5"/>
      <c r="V949" s="3"/>
      <c r="W949" s="3"/>
      <c r="X949" s="3"/>
      <c r="Y949" s="7"/>
      <c r="Z949" s="1"/>
    </row>
    <row r="950" spans="1:26" ht="27" customHeight="1">
      <c r="A950" s="1"/>
      <c r="B950" s="1"/>
      <c r="C950" s="2"/>
      <c r="D950" s="2"/>
      <c r="E950" s="2"/>
      <c r="F950" s="87"/>
      <c r="G950" s="87"/>
      <c r="H950" s="87"/>
      <c r="I950" s="87"/>
      <c r="J950" s="87"/>
      <c r="K950" s="1"/>
      <c r="L950" s="1"/>
      <c r="M950" s="1"/>
      <c r="N950" s="1"/>
      <c r="O950" s="87"/>
      <c r="P950" s="87"/>
      <c r="Q950" s="87"/>
      <c r="R950" s="87"/>
      <c r="S950" s="4"/>
      <c r="T950" s="1"/>
      <c r="U950" s="5"/>
      <c r="V950" s="3"/>
      <c r="W950" s="3"/>
      <c r="X950" s="3"/>
      <c r="Y950" s="7"/>
      <c r="Z950" s="1"/>
    </row>
    <row r="951" spans="1:26" ht="27" customHeight="1">
      <c r="A951" s="1"/>
      <c r="B951" s="1"/>
      <c r="C951" s="2"/>
      <c r="D951" s="2"/>
      <c r="E951" s="2"/>
      <c r="F951" s="87"/>
      <c r="G951" s="87"/>
      <c r="H951" s="87"/>
      <c r="I951" s="87"/>
      <c r="J951" s="87"/>
      <c r="K951" s="1"/>
      <c r="L951" s="1"/>
      <c r="M951" s="1"/>
      <c r="N951" s="1"/>
      <c r="O951" s="87"/>
      <c r="P951" s="87"/>
      <c r="Q951" s="87"/>
      <c r="R951" s="87"/>
      <c r="S951" s="4"/>
      <c r="T951" s="1"/>
      <c r="U951" s="5"/>
      <c r="V951" s="3"/>
      <c r="W951" s="3"/>
      <c r="X951" s="3"/>
      <c r="Y951" s="7"/>
      <c r="Z951" s="1"/>
    </row>
    <row r="952" spans="1:26" ht="27" customHeight="1">
      <c r="A952" s="1"/>
      <c r="B952" s="1"/>
      <c r="C952" s="2"/>
      <c r="D952" s="2"/>
      <c r="E952" s="2"/>
      <c r="F952" s="87"/>
      <c r="G952" s="87"/>
      <c r="H952" s="87"/>
      <c r="I952" s="87"/>
      <c r="J952" s="87"/>
      <c r="K952" s="1"/>
      <c r="L952" s="1"/>
      <c r="M952" s="1"/>
      <c r="N952" s="1"/>
      <c r="O952" s="87"/>
      <c r="P952" s="87"/>
      <c r="Q952" s="87"/>
      <c r="R952" s="87"/>
      <c r="S952" s="4"/>
      <c r="T952" s="1"/>
      <c r="U952" s="5"/>
      <c r="V952" s="3"/>
      <c r="W952" s="3"/>
      <c r="X952" s="3"/>
      <c r="Y952" s="7"/>
      <c r="Z952" s="1"/>
    </row>
    <row r="953" spans="1:26" ht="27" customHeight="1">
      <c r="A953" s="1"/>
      <c r="B953" s="1"/>
      <c r="C953" s="2"/>
      <c r="D953" s="2"/>
      <c r="E953" s="2"/>
      <c r="F953" s="87"/>
      <c r="G953" s="87"/>
      <c r="H953" s="87"/>
      <c r="I953" s="87"/>
      <c r="J953" s="87"/>
      <c r="K953" s="1"/>
      <c r="L953" s="1"/>
      <c r="M953" s="1"/>
      <c r="N953" s="1"/>
      <c r="O953" s="87"/>
      <c r="P953" s="87"/>
      <c r="Q953" s="87"/>
      <c r="R953" s="87"/>
      <c r="S953" s="4"/>
      <c r="T953" s="1"/>
      <c r="U953" s="5"/>
      <c r="V953" s="3"/>
      <c r="W953" s="3"/>
      <c r="X953" s="3"/>
      <c r="Y953" s="7"/>
      <c r="Z953" s="1"/>
    </row>
    <row r="954" spans="1:26" ht="27" customHeight="1">
      <c r="A954" s="1"/>
      <c r="B954" s="1"/>
      <c r="C954" s="2"/>
      <c r="D954" s="2"/>
      <c r="E954" s="2"/>
      <c r="F954" s="87"/>
      <c r="G954" s="87"/>
      <c r="H954" s="87"/>
      <c r="I954" s="87"/>
      <c r="J954" s="87"/>
      <c r="K954" s="1"/>
      <c r="L954" s="1"/>
      <c r="M954" s="1"/>
      <c r="N954" s="1"/>
      <c r="O954" s="87"/>
      <c r="P954" s="87"/>
      <c r="Q954" s="87"/>
      <c r="R954" s="87"/>
      <c r="S954" s="4"/>
      <c r="T954" s="1"/>
      <c r="U954" s="5"/>
      <c r="V954" s="3"/>
      <c r="W954" s="3"/>
      <c r="X954" s="3"/>
      <c r="Y954" s="7"/>
      <c r="Z954" s="1"/>
    </row>
    <row r="955" spans="1:26" ht="27" customHeight="1">
      <c r="A955" s="1"/>
      <c r="B955" s="1"/>
      <c r="C955" s="2"/>
      <c r="D955" s="2"/>
      <c r="E955" s="2"/>
      <c r="F955" s="87"/>
      <c r="G955" s="87"/>
      <c r="H955" s="87"/>
      <c r="I955" s="87"/>
      <c r="J955" s="87"/>
      <c r="K955" s="1"/>
      <c r="L955" s="1"/>
      <c r="M955" s="1"/>
      <c r="N955" s="1"/>
      <c r="O955" s="87"/>
      <c r="P955" s="87"/>
      <c r="Q955" s="87"/>
      <c r="R955" s="87"/>
      <c r="S955" s="4"/>
      <c r="T955" s="1"/>
      <c r="U955" s="5"/>
      <c r="V955" s="3"/>
      <c r="W955" s="3"/>
      <c r="X955" s="3"/>
      <c r="Y955" s="7"/>
      <c r="Z955" s="1"/>
    </row>
    <row r="956" spans="1:26" ht="27" customHeight="1">
      <c r="A956" s="1"/>
      <c r="B956" s="1"/>
      <c r="C956" s="2"/>
      <c r="D956" s="2"/>
      <c r="E956" s="2"/>
      <c r="F956" s="87"/>
      <c r="G956" s="87"/>
      <c r="H956" s="87"/>
      <c r="I956" s="87"/>
      <c r="J956" s="87"/>
      <c r="K956" s="1"/>
      <c r="L956" s="1"/>
      <c r="M956" s="1"/>
      <c r="N956" s="1"/>
      <c r="O956" s="87"/>
      <c r="P956" s="87"/>
      <c r="Q956" s="87"/>
      <c r="R956" s="87"/>
      <c r="S956" s="4"/>
      <c r="T956" s="1"/>
      <c r="U956" s="5"/>
      <c r="V956" s="3"/>
      <c r="W956" s="3"/>
      <c r="X956" s="3"/>
      <c r="Y956" s="7"/>
      <c r="Z956" s="1"/>
    </row>
    <row r="957" spans="1:26" ht="27" customHeight="1">
      <c r="A957" s="1"/>
      <c r="B957" s="1"/>
      <c r="C957" s="2"/>
      <c r="D957" s="2"/>
      <c r="E957" s="2"/>
      <c r="F957" s="87"/>
      <c r="G957" s="87"/>
      <c r="H957" s="87"/>
      <c r="I957" s="87"/>
      <c r="J957" s="87"/>
      <c r="K957" s="1"/>
      <c r="L957" s="1"/>
      <c r="M957" s="1"/>
      <c r="N957" s="1"/>
      <c r="O957" s="87"/>
      <c r="P957" s="87"/>
      <c r="Q957" s="87"/>
      <c r="R957" s="87"/>
      <c r="S957" s="4"/>
      <c r="T957" s="1"/>
      <c r="U957" s="5"/>
      <c r="V957" s="3"/>
      <c r="W957" s="3"/>
      <c r="X957" s="3"/>
      <c r="Y957" s="7"/>
      <c r="Z957" s="1"/>
    </row>
    <row r="958" spans="1:26" ht="27" customHeight="1">
      <c r="A958" s="1"/>
      <c r="B958" s="1"/>
      <c r="C958" s="2"/>
      <c r="D958" s="2"/>
      <c r="E958" s="2"/>
      <c r="F958" s="87"/>
      <c r="G958" s="87"/>
      <c r="H958" s="87"/>
      <c r="I958" s="87"/>
      <c r="J958" s="87"/>
      <c r="K958" s="1"/>
      <c r="L958" s="1"/>
      <c r="M958" s="1"/>
      <c r="N958" s="1"/>
      <c r="O958" s="87"/>
      <c r="P958" s="87"/>
      <c r="Q958" s="87"/>
      <c r="R958" s="87"/>
      <c r="S958" s="4"/>
      <c r="T958" s="1"/>
      <c r="U958" s="5"/>
      <c r="V958" s="3"/>
      <c r="W958" s="3"/>
      <c r="X958" s="3"/>
      <c r="Y958" s="7"/>
      <c r="Z958" s="1"/>
    </row>
    <row r="959" spans="1:26" ht="27" customHeight="1">
      <c r="A959" s="1"/>
      <c r="B959" s="1"/>
      <c r="C959" s="2"/>
      <c r="D959" s="2"/>
      <c r="E959" s="2"/>
      <c r="F959" s="87"/>
      <c r="G959" s="87"/>
      <c r="H959" s="87"/>
      <c r="I959" s="87"/>
      <c r="J959" s="87"/>
      <c r="K959" s="1"/>
      <c r="L959" s="1"/>
      <c r="M959" s="1"/>
      <c r="N959" s="1"/>
      <c r="O959" s="87"/>
      <c r="P959" s="87"/>
      <c r="Q959" s="87"/>
      <c r="R959" s="87"/>
      <c r="S959" s="4"/>
      <c r="T959" s="1"/>
      <c r="U959" s="5"/>
      <c r="V959" s="3"/>
      <c r="W959" s="3"/>
      <c r="X959" s="3"/>
      <c r="Y959" s="7"/>
      <c r="Z959" s="1"/>
    </row>
    <row r="960" spans="1:26" ht="27" customHeight="1">
      <c r="A960" s="1"/>
      <c r="B960" s="1"/>
      <c r="C960" s="2"/>
      <c r="D960" s="2"/>
      <c r="E960" s="2"/>
      <c r="F960" s="87"/>
      <c r="G960" s="87"/>
      <c r="H960" s="87"/>
      <c r="I960" s="87"/>
      <c r="J960" s="87"/>
      <c r="K960" s="1"/>
      <c r="L960" s="1"/>
      <c r="M960" s="1"/>
      <c r="N960" s="1"/>
      <c r="O960" s="87"/>
      <c r="P960" s="87"/>
      <c r="Q960" s="87"/>
      <c r="R960" s="87"/>
      <c r="S960" s="4"/>
      <c r="T960" s="1"/>
      <c r="U960" s="5"/>
      <c r="V960" s="3"/>
      <c r="W960" s="3"/>
      <c r="X960" s="3"/>
      <c r="Y960" s="7"/>
      <c r="Z960" s="1"/>
    </row>
    <row r="961" spans="1:26" ht="27" customHeight="1">
      <c r="A961" s="1"/>
      <c r="B961" s="1"/>
      <c r="C961" s="2"/>
      <c r="D961" s="2"/>
      <c r="E961" s="2"/>
      <c r="F961" s="87"/>
      <c r="G961" s="87"/>
      <c r="H961" s="87"/>
      <c r="I961" s="87"/>
      <c r="J961" s="87"/>
      <c r="K961" s="1"/>
      <c r="L961" s="1"/>
      <c r="M961" s="1"/>
      <c r="N961" s="1"/>
      <c r="O961" s="87"/>
      <c r="P961" s="87"/>
      <c r="Q961" s="87"/>
      <c r="R961" s="87"/>
      <c r="S961" s="4"/>
      <c r="T961" s="1"/>
      <c r="U961" s="5"/>
      <c r="V961" s="3"/>
      <c r="W961" s="3"/>
      <c r="X961" s="3"/>
      <c r="Y961" s="7"/>
      <c r="Z961" s="1"/>
    </row>
    <row r="962" spans="1:26" ht="27" customHeight="1">
      <c r="A962" s="1"/>
      <c r="B962" s="1"/>
      <c r="C962" s="2"/>
      <c r="D962" s="2"/>
      <c r="E962" s="2"/>
      <c r="F962" s="87"/>
      <c r="G962" s="87"/>
      <c r="H962" s="87"/>
      <c r="I962" s="87"/>
      <c r="J962" s="87"/>
      <c r="K962" s="1"/>
      <c r="L962" s="1"/>
      <c r="M962" s="1"/>
      <c r="N962" s="1"/>
      <c r="O962" s="87"/>
      <c r="P962" s="87"/>
      <c r="Q962" s="87"/>
      <c r="R962" s="87"/>
      <c r="S962" s="4"/>
      <c r="T962" s="1"/>
      <c r="U962" s="5"/>
      <c r="V962" s="3"/>
      <c r="W962" s="3"/>
      <c r="X962" s="3"/>
      <c r="Y962" s="7"/>
      <c r="Z962" s="1"/>
    </row>
    <row r="963" spans="1:26" ht="27" customHeight="1">
      <c r="A963" s="1"/>
      <c r="B963" s="1"/>
      <c r="C963" s="2"/>
      <c r="D963" s="2"/>
      <c r="E963" s="2"/>
      <c r="F963" s="87"/>
      <c r="G963" s="87"/>
      <c r="H963" s="87"/>
      <c r="I963" s="87"/>
      <c r="J963" s="87"/>
      <c r="K963" s="1"/>
      <c r="L963" s="1"/>
      <c r="M963" s="1"/>
      <c r="N963" s="1"/>
      <c r="O963" s="87"/>
      <c r="P963" s="87"/>
      <c r="Q963" s="87"/>
      <c r="R963" s="87"/>
      <c r="S963" s="4"/>
      <c r="T963" s="1"/>
      <c r="U963" s="5"/>
      <c r="V963" s="3"/>
      <c r="W963" s="3"/>
      <c r="X963" s="3"/>
      <c r="Y963" s="7"/>
      <c r="Z963" s="1"/>
    </row>
    <row r="964" spans="1:26" ht="27" customHeight="1">
      <c r="A964" s="1"/>
      <c r="B964" s="1"/>
      <c r="C964" s="2"/>
      <c r="D964" s="2"/>
      <c r="E964" s="2"/>
      <c r="F964" s="87"/>
      <c r="G964" s="87"/>
      <c r="H964" s="87"/>
      <c r="I964" s="87"/>
      <c r="J964" s="87"/>
      <c r="K964" s="1"/>
      <c r="L964" s="1"/>
      <c r="M964" s="1"/>
      <c r="N964" s="1"/>
      <c r="O964" s="87"/>
      <c r="P964" s="87"/>
      <c r="Q964" s="87"/>
      <c r="R964" s="87"/>
      <c r="S964" s="4"/>
      <c r="T964" s="1"/>
      <c r="U964" s="5"/>
      <c r="V964" s="3"/>
      <c r="W964" s="3"/>
      <c r="X964" s="3"/>
      <c r="Y964" s="7"/>
      <c r="Z964" s="1"/>
    </row>
    <row r="965" spans="1:26" ht="27" customHeight="1">
      <c r="A965" s="1"/>
      <c r="B965" s="1"/>
      <c r="C965" s="2"/>
      <c r="D965" s="2"/>
      <c r="E965" s="2"/>
      <c r="F965" s="87"/>
      <c r="G965" s="87"/>
      <c r="H965" s="87"/>
      <c r="I965" s="87"/>
      <c r="J965" s="87"/>
      <c r="K965" s="1"/>
      <c r="L965" s="1"/>
      <c r="M965" s="1"/>
      <c r="N965" s="1"/>
      <c r="O965" s="87"/>
      <c r="P965" s="87"/>
      <c r="Q965" s="87"/>
      <c r="R965" s="87"/>
      <c r="S965" s="4"/>
      <c r="T965" s="1"/>
      <c r="U965" s="5"/>
      <c r="V965" s="3"/>
      <c r="W965" s="3"/>
      <c r="X965" s="3"/>
      <c r="Y965" s="7"/>
      <c r="Z965" s="1"/>
    </row>
    <row r="966" spans="1:26" ht="27" customHeight="1">
      <c r="A966" s="1"/>
      <c r="B966" s="1"/>
      <c r="C966" s="2"/>
      <c r="D966" s="2"/>
      <c r="E966" s="2"/>
      <c r="F966" s="87"/>
      <c r="G966" s="87"/>
      <c r="H966" s="87"/>
      <c r="I966" s="87"/>
      <c r="J966" s="87"/>
      <c r="K966" s="1"/>
      <c r="L966" s="1"/>
      <c r="M966" s="1"/>
      <c r="N966" s="1"/>
      <c r="O966" s="87"/>
      <c r="P966" s="87"/>
      <c r="Q966" s="87"/>
      <c r="R966" s="87"/>
      <c r="S966" s="4"/>
      <c r="T966" s="1"/>
      <c r="U966" s="5"/>
      <c r="V966" s="3"/>
      <c r="W966" s="3"/>
      <c r="X966" s="3"/>
      <c r="Y966" s="7"/>
      <c r="Z966" s="1"/>
    </row>
    <row r="967" spans="1:26" ht="27" customHeight="1">
      <c r="A967" s="1"/>
      <c r="B967" s="1"/>
      <c r="C967" s="2"/>
      <c r="D967" s="2"/>
      <c r="E967" s="2"/>
      <c r="F967" s="87"/>
      <c r="G967" s="87"/>
      <c r="H967" s="87"/>
      <c r="I967" s="87"/>
      <c r="J967" s="87"/>
      <c r="K967" s="1"/>
      <c r="L967" s="1"/>
      <c r="M967" s="1"/>
      <c r="N967" s="1"/>
      <c r="O967" s="87"/>
      <c r="P967" s="87"/>
      <c r="Q967" s="87"/>
      <c r="R967" s="87"/>
      <c r="S967" s="4"/>
      <c r="T967" s="1"/>
      <c r="U967" s="5"/>
      <c r="V967" s="3"/>
      <c r="W967" s="3"/>
      <c r="X967" s="3"/>
      <c r="Y967" s="7"/>
      <c r="Z967" s="1"/>
    </row>
    <row r="968" spans="1:26" ht="27" customHeight="1">
      <c r="A968" s="1"/>
      <c r="B968" s="1"/>
      <c r="C968" s="2"/>
      <c r="D968" s="2"/>
      <c r="E968" s="2"/>
      <c r="F968" s="87"/>
      <c r="G968" s="87"/>
      <c r="H968" s="87"/>
      <c r="I968" s="87"/>
      <c r="J968" s="87"/>
      <c r="K968" s="1"/>
      <c r="L968" s="1"/>
      <c r="M968" s="1"/>
      <c r="N968" s="1"/>
      <c r="O968" s="87"/>
      <c r="P968" s="87"/>
      <c r="Q968" s="87"/>
      <c r="R968" s="87"/>
      <c r="S968" s="4"/>
      <c r="T968" s="1"/>
      <c r="U968" s="5"/>
      <c r="V968" s="3"/>
      <c r="W968" s="3"/>
      <c r="X968" s="3"/>
      <c r="Y968" s="7"/>
      <c r="Z968" s="1"/>
    </row>
    <row r="969" spans="1:26" ht="27" customHeight="1">
      <c r="A969" s="1"/>
      <c r="B969" s="1"/>
      <c r="C969" s="2"/>
      <c r="D969" s="2"/>
      <c r="E969" s="2"/>
      <c r="F969" s="87"/>
      <c r="G969" s="87"/>
      <c r="H969" s="87"/>
      <c r="I969" s="87"/>
      <c r="J969" s="87"/>
      <c r="K969" s="1"/>
      <c r="L969" s="1"/>
      <c r="M969" s="1"/>
      <c r="N969" s="1"/>
      <c r="O969" s="87"/>
      <c r="P969" s="87"/>
      <c r="Q969" s="87"/>
      <c r="R969" s="87"/>
      <c r="S969" s="4"/>
      <c r="T969" s="1"/>
      <c r="U969" s="5"/>
      <c r="V969" s="3"/>
      <c r="W969" s="3"/>
      <c r="X969" s="3"/>
      <c r="Y969" s="7"/>
      <c r="Z969" s="1"/>
    </row>
    <row r="970" spans="1:26" ht="27" customHeight="1">
      <c r="A970" s="1"/>
      <c r="B970" s="1"/>
      <c r="C970" s="2"/>
      <c r="D970" s="2"/>
      <c r="E970" s="2"/>
      <c r="F970" s="87"/>
      <c r="G970" s="87"/>
      <c r="H970" s="87"/>
      <c r="I970" s="87"/>
      <c r="J970" s="87"/>
      <c r="K970" s="1"/>
      <c r="L970" s="1"/>
      <c r="M970" s="1"/>
      <c r="N970" s="1"/>
      <c r="O970" s="87"/>
      <c r="P970" s="87"/>
      <c r="Q970" s="87"/>
      <c r="R970" s="87"/>
      <c r="S970" s="4"/>
      <c r="T970" s="1"/>
      <c r="U970" s="5"/>
      <c r="V970" s="3"/>
      <c r="W970" s="3"/>
      <c r="X970" s="3"/>
      <c r="Y970" s="7"/>
      <c r="Z970" s="1"/>
    </row>
    <row r="971" spans="1:26" ht="27" customHeight="1">
      <c r="A971" s="1"/>
      <c r="B971" s="1"/>
      <c r="C971" s="2"/>
      <c r="D971" s="2"/>
      <c r="E971" s="2"/>
      <c r="F971" s="87"/>
      <c r="G971" s="87"/>
      <c r="H971" s="87"/>
      <c r="I971" s="87"/>
      <c r="J971" s="87"/>
      <c r="K971" s="1"/>
      <c r="L971" s="1"/>
      <c r="M971" s="1"/>
      <c r="N971" s="1"/>
      <c r="O971" s="87"/>
      <c r="P971" s="87"/>
      <c r="Q971" s="87"/>
      <c r="R971" s="87"/>
      <c r="S971" s="4"/>
      <c r="T971" s="1"/>
      <c r="U971" s="5"/>
      <c r="V971" s="3"/>
      <c r="W971" s="3"/>
      <c r="X971" s="3"/>
      <c r="Y971" s="7"/>
      <c r="Z971" s="1"/>
    </row>
    <row r="972" spans="1:26" ht="27" customHeight="1">
      <c r="A972" s="1"/>
      <c r="B972" s="1"/>
      <c r="C972" s="2"/>
      <c r="D972" s="2"/>
      <c r="E972" s="2"/>
      <c r="F972" s="87"/>
      <c r="G972" s="87"/>
      <c r="H972" s="87"/>
      <c r="I972" s="87"/>
      <c r="J972" s="87"/>
      <c r="K972" s="1"/>
      <c r="L972" s="1"/>
      <c r="M972" s="1"/>
      <c r="N972" s="1"/>
      <c r="O972" s="87"/>
      <c r="P972" s="87"/>
      <c r="Q972" s="87"/>
      <c r="R972" s="87"/>
      <c r="S972" s="4"/>
      <c r="T972" s="1"/>
      <c r="U972" s="5"/>
      <c r="V972" s="3"/>
      <c r="W972" s="3"/>
      <c r="X972" s="3"/>
      <c r="Y972" s="7"/>
      <c r="Z972" s="1"/>
    </row>
    <row r="973" spans="1:26" ht="27" customHeight="1">
      <c r="A973" s="1"/>
      <c r="B973" s="1"/>
      <c r="C973" s="2"/>
      <c r="D973" s="2"/>
      <c r="E973" s="2"/>
      <c r="F973" s="87"/>
      <c r="G973" s="87"/>
      <c r="H973" s="87"/>
      <c r="I973" s="87"/>
      <c r="J973" s="87"/>
      <c r="K973" s="1"/>
      <c r="L973" s="1"/>
      <c r="M973" s="1"/>
      <c r="N973" s="1"/>
      <c r="O973" s="87"/>
      <c r="P973" s="87"/>
      <c r="Q973" s="87"/>
      <c r="R973" s="87"/>
      <c r="S973" s="4"/>
      <c r="T973" s="1"/>
      <c r="U973" s="5"/>
      <c r="V973" s="3"/>
      <c r="W973" s="3"/>
      <c r="X973" s="3"/>
      <c r="Y973" s="7"/>
      <c r="Z973" s="1"/>
    </row>
    <row r="974" spans="1:26" ht="27" customHeight="1">
      <c r="A974" s="1"/>
      <c r="B974" s="1"/>
      <c r="C974" s="2"/>
      <c r="D974" s="2"/>
      <c r="E974" s="2"/>
      <c r="F974" s="87"/>
      <c r="G974" s="87"/>
      <c r="H974" s="87"/>
      <c r="I974" s="87"/>
      <c r="J974" s="87"/>
      <c r="K974" s="1"/>
      <c r="L974" s="1"/>
      <c r="M974" s="1"/>
      <c r="N974" s="1"/>
      <c r="O974" s="87"/>
      <c r="P974" s="87"/>
      <c r="Q974" s="87"/>
      <c r="R974" s="87"/>
      <c r="S974" s="4"/>
      <c r="T974" s="1"/>
      <c r="U974" s="5"/>
      <c r="V974" s="3"/>
      <c r="W974" s="3"/>
      <c r="X974" s="3"/>
      <c r="Y974" s="7"/>
      <c r="Z974" s="1"/>
    </row>
    <row r="975" spans="1:26" ht="27" customHeight="1">
      <c r="A975" s="1"/>
      <c r="B975" s="1"/>
      <c r="C975" s="2"/>
      <c r="D975" s="2"/>
      <c r="E975" s="2"/>
      <c r="F975" s="87"/>
      <c r="G975" s="87"/>
      <c r="H975" s="87"/>
      <c r="I975" s="87"/>
      <c r="J975" s="87"/>
      <c r="K975" s="1"/>
      <c r="L975" s="1"/>
      <c r="M975" s="1"/>
      <c r="N975" s="1"/>
      <c r="O975" s="87"/>
      <c r="P975" s="87"/>
      <c r="Q975" s="87"/>
      <c r="R975" s="87"/>
      <c r="S975" s="4"/>
      <c r="T975" s="1"/>
      <c r="U975" s="5"/>
      <c r="V975" s="3"/>
      <c r="W975" s="3"/>
      <c r="X975" s="3"/>
      <c r="Y975" s="7"/>
      <c r="Z975" s="1"/>
    </row>
    <row r="976" spans="1:26" ht="27" customHeight="1">
      <c r="A976" s="1"/>
      <c r="B976" s="1"/>
      <c r="C976" s="2"/>
      <c r="D976" s="2"/>
      <c r="E976" s="2"/>
      <c r="F976" s="87"/>
      <c r="G976" s="87"/>
      <c r="H976" s="87"/>
      <c r="I976" s="87"/>
      <c r="J976" s="87"/>
      <c r="K976" s="1"/>
      <c r="L976" s="1"/>
      <c r="M976" s="1"/>
      <c r="N976" s="1"/>
      <c r="O976" s="87"/>
      <c r="P976" s="87"/>
      <c r="Q976" s="87"/>
      <c r="R976" s="87"/>
      <c r="S976" s="4"/>
      <c r="T976" s="1"/>
      <c r="U976" s="5"/>
      <c r="V976" s="3"/>
      <c r="W976" s="3"/>
      <c r="X976" s="3"/>
      <c r="Y976" s="7"/>
      <c r="Z976" s="1"/>
    </row>
    <row r="977" spans="1:26" ht="27" customHeight="1">
      <c r="A977" s="1"/>
      <c r="B977" s="1"/>
      <c r="C977" s="2"/>
      <c r="D977" s="2"/>
      <c r="E977" s="2"/>
      <c r="F977" s="87"/>
      <c r="G977" s="87"/>
      <c r="H977" s="87"/>
      <c r="I977" s="87"/>
      <c r="J977" s="87"/>
      <c r="K977" s="1"/>
      <c r="L977" s="1"/>
      <c r="M977" s="1"/>
      <c r="N977" s="1"/>
      <c r="O977" s="87"/>
      <c r="P977" s="87"/>
      <c r="Q977" s="87"/>
      <c r="R977" s="87"/>
      <c r="S977" s="4"/>
      <c r="T977" s="1"/>
      <c r="U977" s="5"/>
      <c r="V977" s="3"/>
      <c r="W977" s="3"/>
      <c r="X977" s="3"/>
      <c r="Y977" s="7"/>
      <c r="Z977" s="1"/>
    </row>
    <row r="978" spans="1:26" ht="27" customHeight="1">
      <c r="A978" s="1"/>
      <c r="B978" s="1"/>
      <c r="C978" s="2"/>
      <c r="D978" s="2"/>
      <c r="E978" s="2"/>
      <c r="F978" s="87"/>
      <c r="G978" s="87"/>
      <c r="H978" s="87"/>
      <c r="I978" s="87"/>
      <c r="J978" s="87"/>
      <c r="K978" s="1"/>
      <c r="L978" s="1"/>
      <c r="M978" s="1"/>
      <c r="N978" s="1"/>
      <c r="O978" s="87"/>
      <c r="P978" s="87"/>
      <c r="Q978" s="87"/>
      <c r="R978" s="87"/>
      <c r="S978" s="4"/>
      <c r="T978" s="1"/>
      <c r="U978" s="5"/>
      <c r="V978" s="3"/>
      <c r="W978" s="3"/>
      <c r="X978" s="3"/>
      <c r="Y978" s="7"/>
      <c r="Z978" s="1"/>
    </row>
    <row r="979" spans="1:26" ht="27" customHeight="1">
      <c r="A979" s="1"/>
      <c r="B979" s="1"/>
      <c r="C979" s="2"/>
      <c r="D979" s="2"/>
      <c r="E979" s="2"/>
      <c r="F979" s="87"/>
      <c r="G979" s="87"/>
      <c r="H979" s="87"/>
      <c r="I979" s="87"/>
      <c r="J979" s="87"/>
      <c r="K979" s="1"/>
      <c r="L979" s="1"/>
      <c r="M979" s="1"/>
      <c r="N979" s="1"/>
      <c r="O979" s="87"/>
      <c r="P979" s="87"/>
      <c r="Q979" s="87"/>
      <c r="R979" s="87"/>
      <c r="S979" s="4"/>
      <c r="T979" s="1"/>
      <c r="U979" s="5"/>
      <c r="V979" s="3"/>
      <c r="W979" s="3"/>
      <c r="X979" s="3"/>
      <c r="Y979" s="7"/>
      <c r="Z979" s="1"/>
    </row>
    <row r="980" spans="1:26" ht="27" customHeight="1">
      <c r="A980" s="1"/>
      <c r="B980" s="1"/>
      <c r="C980" s="2"/>
      <c r="D980" s="2"/>
      <c r="E980" s="2"/>
      <c r="F980" s="87"/>
      <c r="G980" s="87"/>
      <c r="H980" s="87"/>
      <c r="I980" s="87"/>
      <c r="J980" s="87"/>
      <c r="K980" s="1"/>
      <c r="L980" s="1"/>
      <c r="M980" s="1"/>
      <c r="N980" s="1"/>
      <c r="O980" s="87"/>
      <c r="P980" s="87"/>
      <c r="Q980" s="87"/>
      <c r="R980" s="87"/>
      <c r="S980" s="4"/>
      <c r="T980" s="1"/>
      <c r="U980" s="5"/>
      <c r="V980" s="3"/>
      <c r="W980" s="3"/>
      <c r="X980" s="3"/>
      <c r="Y980" s="7"/>
      <c r="Z980" s="1"/>
    </row>
    <row r="981" spans="1:26" ht="27" customHeight="1">
      <c r="A981" s="1"/>
      <c r="B981" s="1"/>
      <c r="C981" s="2"/>
      <c r="D981" s="2"/>
      <c r="E981" s="2"/>
      <c r="F981" s="87"/>
      <c r="G981" s="87"/>
      <c r="H981" s="87"/>
      <c r="I981" s="87"/>
      <c r="J981" s="87"/>
      <c r="K981" s="1"/>
      <c r="L981" s="1"/>
      <c r="M981" s="1"/>
      <c r="N981" s="1"/>
      <c r="O981" s="87"/>
      <c r="P981" s="87"/>
      <c r="Q981" s="87"/>
      <c r="R981" s="87"/>
      <c r="S981" s="4"/>
      <c r="T981" s="1"/>
      <c r="U981" s="5"/>
      <c r="V981" s="3"/>
      <c r="W981" s="3"/>
      <c r="X981" s="3"/>
      <c r="Y981" s="7"/>
      <c r="Z981" s="1"/>
    </row>
    <row r="982" spans="1:26" ht="27" customHeight="1">
      <c r="A982" s="1"/>
      <c r="B982" s="1"/>
      <c r="C982" s="2"/>
      <c r="D982" s="2"/>
      <c r="E982" s="2"/>
      <c r="F982" s="87"/>
      <c r="G982" s="87"/>
      <c r="H982" s="87"/>
      <c r="I982" s="87"/>
      <c r="J982" s="87"/>
      <c r="K982" s="1"/>
      <c r="L982" s="1"/>
      <c r="M982" s="1"/>
      <c r="N982" s="1"/>
      <c r="O982" s="87"/>
      <c r="P982" s="87"/>
      <c r="Q982" s="87"/>
      <c r="R982" s="87"/>
      <c r="S982" s="4"/>
      <c r="T982" s="1"/>
      <c r="U982" s="5"/>
      <c r="V982" s="3"/>
      <c r="W982" s="3"/>
      <c r="X982" s="3"/>
      <c r="Y982" s="7"/>
      <c r="Z982" s="1"/>
    </row>
    <row r="983" spans="1:26" ht="27" customHeight="1">
      <c r="A983" s="1"/>
      <c r="B983" s="1"/>
      <c r="C983" s="2"/>
      <c r="D983" s="2"/>
      <c r="E983" s="2"/>
      <c r="F983" s="87"/>
      <c r="G983" s="87"/>
      <c r="H983" s="87"/>
      <c r="I983" s="87"/>
      <c r="J983" s="87"/>
      <c r="K983" s="1"/>
      <c r="L983" s="1"/>
      <c r="M983" s="1"/>
      <c r="N983" s="1"/>
      <c r="O983" s="87"/>
      <c r="P983" s="87"/>
      <c r="Q983" s="87"/>
      <c r="R983" s="87"/>
      <c r="S983" s="4"/>
      <c r="T983" s="1"/>
      <c r="U983" s="5"/>
      <c r="V983" s="3"/>
      <c r="W983" s="3"/>
      <c r="X983" s="3"/>
      <c r="Y983" s="7"/>
      <c r="Z983" s="1"/>
    </row>
    <row r="984" spans="1:26" ht="27" customHeight="1">
      <c r="A984" s="1"/>
      <c r="B984" s="1"/>
      <c r="C984" s="2"/>
      <c r="D984" s="2"/>
      <c r="E984" s="2"/>
      <c r="F984" s="87"/>
      <c r="G984" s="87"/>
      <c r="H984" s="87"/>
      <c r="I984" s="87"/>
      <c r="J984" s="87"/>
      <c r="K984" s="1"/>
      <c r="L984" s="1"/>
      <c r="M984" s="1"/>
      <c r="N984" s="1"/>
      <c r="O984" s="87"/>
      <c r="P984" s="87"/>
      <c r="Q984" s="87"/>
      <c r="R984" s="87"/>
      <c r="S984" s="4"/>
      <c r="T984" s="1"/>
      <c r="U984" s="5"/>
      <c r="V984" s="3"/>
      <c r="W984" s="3"/>
      <c r="X984" s="3"/>
      <c r="Y984" s="7"/>
      <c r="Z984" s="1"/>
    </row>
    <row r="985" spans="1:26" ht="27" customHeight="1">
      <c r="A985" s="1"/>
      <c r="B985" s="1"/>
      <c r="C985" s="2"/>
      <c r="D985" s="2"/>
      <c r="E985" s="2"/>
      <c r="F985" s="87"/>
      <c r="G985" s="87"/>
      <c r="H985" s="87"/>
      <c r="I985" s="87"/>
      <c r="J985" s="87"/>
      <c r="K985" s="1"/>
      <c r="L985" s="1"/>
      <c r="M985" s="1"/>
      <c r="N985" s="1"/>
      <c r="O985" s="87"/>
      <c r="P985" s="87"/>
      <c r="Q985" s="87"/>
      <c r="R985" s="87"/>
      <c r="S985" s="4"/>
      <c r="T985" s="1"/>
      <c r="U985" s="5"/>
      <c r="V985" s="3"/>
      <c r="W985" s="3"/>
      <c r="X985" s="3"/>
      <c r="Y985" s="7"/>
      <c r="Z985" s="1"/>
    </row>
    <row r="986" spans="1:26" ht="27" customHeight="1">
      <c r="A986" s="1"/>
      <c r="B986" s="1"/>
      <c r="C986" s="2"/>
      <c r="D986" s="2"/>
      <c r="E986" s="2"/>
      <c r="F986" s="87"/>
      <c r="G986" s="87"/>
      <c r="H986" s="87"/>
      <c r="I986" s="87"/>
      <c r="J986" s="87"/>
      <c r="K986" s="1"/>
      <c r="L986" s="1"/>
      <c r="M986" s="1"/>
      <c r="N986" s="1"/>
      <c r="O986" s="87"/>
      <c r="P986" s="87"/>
      <c r="Q986" s="87"/>
      <c r="R986" s="87"/>
      <c r="S986" s="4"/>
      <c r="T986" s="1"/>
      <c r="U986" s="5"/>
      <c r="V986" s="3"/>
      <c r="W986" s="3"/>
      <c r="X986" s="3"/>
      <c r="Y986" s="7"/>
      <c r="Z986" s="1"/>
    </row>
    <row r="987" spans="1:26" ht="27" customHeight="1">
      <c r="A987" s="1"/>
      <c r="B987" s="1"/>
      <c r="C987" s="2"/>
      <c r="D987" s="2"/>
      <c r="E987" s="2"/>
      <c r="F987" s="87"/>
      <c r="G987" s="87"/>
      <c r="H987" s="87"/>
      <c r="I987" s="87"/>
      <c r="J987" s="87"/>
      <c r="K987" s="1"/>
      <c r="L987" s="1"/>
      <c r="M987" s="1"/>
      <c r="N987" s="1"/>
      <c r="O987" s="87"/>
      <c r="P987" s="87"/>
      <c r="Q987" s="87"/>
      <c r="R987" s="87"/>
      <c r="S987" s="4"/>
      <c r="T987" s="1"/>
      <c r="U987" s="5"/>
      <c r="V987" s="3"/>
      <c r="W987" s="3"/>
      <c r="X987" s="3"/>
      <c r="Y987" s="7"/>
      <c r="Z987" s="1"/>
    </row>
    <row r="988" spans="1:26" ht="27" customHeight="1">
      <c r="A988" s="1"/>
      <c r="B988" s="1"/>
      <c r="C988" s="2"/>
      <c r="D988" s="2"/>
      <c r="E988" s="2"/>
      <c r="F988" s="87"/>
      <c r="G988" s="87"/>
      <c r="H988" s="87"/>
      <c r="I988" s="87"/>
      <c r="J988" s="87"/>
      <c r="K988" s="1"/>
      <c r="L988" s="1"/>
      <c r="M988" s="1"/>
      <c r="N988" s="1"/>
      <c r="O988" s="87"/>
      <c r="P988" s="87"/>
      <c r="Q988" s="87"/>
      <c r="R988" s="87"/>
      <c r="S988" s="4"/>
      <c r="T988" s="1"/>
      <c r="U988" s="5"/>
      <c r="V988" s="3"/>
      <c r="W988" s="3"/>
      <c r="X988" s="3"/>
      <c r="Y988" s="7"/>
      <c r="Z988" s="1"/>
    </row>
    <row r="989" spans="1:26" ht="27" customHeight="1">
      <c r="A989" s="1"/>
      <c r="B989" s="1"/>
      <c r="C989" s="2"/>
      <c r="D989" s="2"/>
      <c r="E989" s="2"/>
      <c r="F989" s="87"/>
      <c r="G989" s="87"/>
      <c r="H989" s="87"/>
      <c r="I989" s="87"/>
      <c r="J989" s="87"/>
      <c r="K989" s="1"/>
      <c r="L989" s="1"/>
      <c r="M989" s="1"/>
      <c r="N989" s="1"/>
      <c r="O989" s="87"/>
      <c r="P989" s="87"/>
      <c r="Q989" s="87"/>
      <c r="R989" s="87"/>
      <c r="S989" s="4"/>
      <c r="T989" s="1"/>
      <c r="U989" s="5"/>
      <c r="V989" s="3"/>
      <c r="W989" s="3"/>
      <c r="X989" s="3"/>
      <c r="Y989" s="7"/>
      <c r="Z989" s="1"/>
    </row>
    <row r="990" spans="1:26" ht="27" customHeight="1">
      <c r="A990" s="1"/>
      <c r="B990" s="1"/>
      <c r="C990" s="2"/>
      <c r="D990" s="2"/>
      <c r="E990" s="2"/>
      <c r="F990" s="87"/>
      <c r="G990" s="87"/>
      <c r="H990" s="87"/>
      <c r="I990" s="87"/>
      <c r="J990" s="87"/>
      <c r="K990" s="1"/>
      <c r="L990" s="1"/>
      <c r="M990" s="1"/>
      <c r="N990" s="1"/>
      <c r="O990" s="87"/>
      <c r="P990" s="87"/>
      <c r="Q990" s="87"/>
      <c r="R990" s="87"/>
      <c r="S990" s="4"/>
      <c r="T990" s="1"/>
      <c r="U990" s="5"/>
      <c r="V990" s="3"/>
      <c r="W990" s="3"/>
      <c r="X990" s="3"/>
      <c r="Y990" s="7"/>
      <c r="Z990" s="1"/>
    </row>
    <row r="991" spans="1:26" ht="27" customHeight="1">
      <c r="A991" s="1"/>
      <c r="B991" s="1"/>
      <c r="C991" s="2"/>
      <c r="D991" s="2"/>
      <c r="E991" s="2"/>
      <c r="F991" s="87"/>
      <c r="G991" s="87"/>
      <c r="H991" s="87"/>
      <c r="I991" s="87"/>
      <c r="J991" s="87"/>
      <c r="K991" s="1"/>
      <c r="L991" s="1"/>
      <c r="M991" s="1"/>
      <c r="N991" s="1"/>
      <c r="O991" s="87"/>
      <c r="P991" s="87"/>
      <c r="Q991" s="87"/>
      <c r="R991" s="87"/>
      <c r="S991" s="4"/>
      <c r="T991" s="1"/>
      <c r="U991" s="5"/>
      <c r="V991" s="3"/>
      <c r="W991" s="3"/>
      <c r="X991" s="3"/>
      <c r="Y991" s="7"/>
      <c r="Z991" s="1"/>
    </row>
    <row r="992" spans="1:26" ht="27" customHeight="1">
      <c r="A992" s="1"/>
      <c r="B992" s="1"/>
      <c r="C992" s="2"/>
      <c r="D992" s="2"/>
      <c r="E992" s="2"/>
      <c r="F992" s="87"/>
      <c r="G992" s="87"/>
      <c r="H992" s="87"/>
      <c r="I992" s="87"/>
      <c r="J992" s="87"/>
      <c r="K992" s="1"/>
      <c r="L992" s="1"/>
      <c r="M992" s="1"/>
      <c r="N992" s="1"/>
      <c r="O992" s="87"/>
      <c r="P992" s="87"/>
      <c r="Q992" s="87"/>
      <c r="R992" s="87"/>
      <c r="S992" s="4"/>
      <c r="T992" s="1"/>
      <c r="U992" s="5"/>
      <c r="V992" s="3"/>
      <c r="W992" s="3"/>
      <c r="X992" s="3"/>
      <c r="Y992" s="7"/>
      <c r="Z992" s="1"/>
    </row>
    <row r="993" spans="1:26" ht="27" customHeight="1">
      <c r="A993" s="1"/>
      <c r="B993" s="1"/>
      <c r="C993" s="2"/>
      <c r="D993" s="2"/>
      <c r="E993" s="2"/>
      <c r="F993" s="87"/>
      <c r="G993" s="87"/>
      <c r="H993" s="87"/>
      <c r="I993" s="87"/>
      <c r="J993" s="87"/>
      <c r="K993" s="1"/>
      <c r="L993" s="1"/>
      <c r="M993" s="1"/>
      <c r="N993" s="1"/>
      <c r="O993" s="87"/>
      <c r="P993" s="87"/>
      <c r="Q993" s="87"/>
      <c r="R993" s="87"/>
      <c r="S993" s="4"/>
      <c r="T993" s="1"/>
      <c r="U993" s="5"/>
      <c r="V993" s="3"/>
      <c r="W993" s="3"/>
      <c r="X993" s="3"/>
      <c r="Y993" s="7"/>
      <c r="Z993" s="1"/>
    </row>
    <row r="994" spans="1:26" ht="27" customHeight="1">
      <c r="A994" s="1"/>
      <c r="B994" s="1"/>
      <c r="C994" s="2"/>
      <c r="D994" s="2"/>
      <c r="E994" s="2"/>
      <c r="F994" s="87"/>
      <c r="G994" s="87"/>
      <c r="H994" s="87"/>
      <c r="I994" s="87"/>
      <c r="J994" s="87"/>
      <c r="K994" s="1"/>
      <c r="L994" s="1"/>
      <c r="M994" s="1"/>
      <c r="N994" s="1"/>
      <c r="O994" s="87"/>
      <c r="P994" s="87"/>
      <c r="Q994" s="87"/>
      <c r="R994" s="87"/>
      <c r="S994" s="4"/>
      <c r="T994" s="1"/>
      <c r="U994" s="5"/>
      <c r="V994" s="3"/>
      <c r="W994" s="3"/>
      <c r="X994" s="3"/>
      <c r="Y994" s="7"/>
      <c r="Z994" s="1"/>
    </row>
    <row r="995" spans="1:26" ht="27" customHeight="1">
      <c r="A995" s="1"/>
      <c r="B995" s="1"/>
      <c r="C995" s="2"/>
      <c r="D995" s="2"/>
      <c r="E995" s="2"/>
      <c r="F995" s="87"/>
      <c r="G995" s="87"/>
      <c r="H995" s="87"/>
      <c r="I995" s="87"/>
      <c r="J995" s="87"/>
      <c r="K995" s="1"/>
      <c r="L995" s="1"/>
      <c r="M995" s="1"/>
      <c r="N995" s="1"/>
      <c r="O995" s="87"/>
      <c r="P995" s="87"/>
      <c r="Q995" s="87"/>
      <c r="R995" s="87"/>
      <c r="S995" s="4"/>
      <c r="T995" s="1"/>
      <c r="U995" s="5"/>
      <c r="V995" s="3"/>
      <c r="W995" s="3"/>
      <c r="X995" s="3"/>
      <c r="Y995" s="7"/>
      <c r="Z995" s="1"/>
    </row>
    <row r="996" spans="1:26" ht="27" customHeight="1">
      <c r="A996" s="1"/>
      <c r="B996" s="1"/>
      <c r="C996" s="2"/>
      <c r="D996" s="2"/>
      <c r="E996" s="2"/>
      <c r="F996" s="87"/>
      <c r="G996" s="87"/>
      <c r="H996" s="87"/>
      <c r="I996" s="87"/>
      <c r="J996" s="87"/>
      <c r="K996" s="1"/>
      <c r="L996" s="1"/>
      <c r="M996" s="1"/>
      <c r="N996" s="1"/>
      <c r="O996" s="87"/>
      <c r="P996" s="87"/>
      <c r="Q996" s="87"/>
      <c r="R996" s="87"/>
      <c r="S996" s="4"/>
      <c r="T996" s="1"/>
      <c r="U996" s="5"/>
      <c r="V996" s="3"/>
      <c r="W996" s="3"/>
      <c r="X996" s="3"/>
      <c r="Y996" s="7"/>
      <c r="Z996" s="1"/>
    </row>
    <row r="997" spans="1:26" ht="27" customHeight="1">
      <c r="A997" s="1"/>
      <c r="B997" s="1"/>
      <c r="C997" s="2"/>
      <c r="D997" s="2"/>
      <c r="E997" s="2"/>
      <c r="F997" s="87"/>
      <c r="G997" s="87"/>
      <c r="H997" s="87"/>
      <c r="I997" s="87"/>
      <c r="J997" s="87"/>
      <c r="K997" s="1"/>
      <c r="L997" s="1"/>
      <c r="M997" s="1"/>
      <c r="N997" s="1"/>
      <c r="O997" s="87"/>
      <c r="P997" s="87"/>
      <c r="Q997" s="87"/>
      <c r="R997" s="87"/>
      <c r="S997" s="4"/>
      <c r="T997" s="1"/>
      <c r="U997" s="5"/>
      <c r="V997" s="3"/>
      <c r="W997" s="3"/>
      <c r="X997" s="3"/>
      <c r="Y997" s="7"/>
      <c r="Z997" s="1"/>
    </row>
    <row r="998" spans="1:26" ht="27" customHeight="1">
      <c r="A998" s="1"/>
      <c r="B998" s="1"/>
      <c r="C998" s="2"/>
      <c r="D998" s="2"/>
      <c r="E998" s="2"/>
      <c r="F998" s="87"/>
      <c r="G998" s="87"/>
      <c r="H998" s="87"/>
      <c r="I998" s="87"/>
      <c r="J998" s="87"/>
      <c r="K998" s="1"/>
      <c r="L998" s="1"/>
      <c r="M998" s="1"/>
      <c r="N998" s="1"/>
      <c r="O998" s="87"/>
      <c r="P998" s="87"/>
      <c r="Q998" s="87"/>
      <c r="R998" s="87"/>
      <c r="S998" s="4"/>
      <c r="T998" s="1"/>
      <c r="U998" s="5"/>
      <c r="V998" s="3"/>
      <c r="W998" s="3"/>
      <c r="X998" s="3"/>
      <c r="Y998" s="7"/>
      <c r="Z998" s="1"/>
    </row>
    <row r="999" spans="1:26" ht="27" customHeight="1">
      <c r="A999" s="1"/>
      <c r="B999" s="1"/>
      <c r="C999" s="2"/>
      <c r="D999" s="2"/>
      <c r="E999" s="2"/>
      <c r="F999" s="87"/>
      <c r="G999" s="87"/>
      <c r="H999" s="87"/>
      <c r="I999" s="87"/>
      <c r="J999" s="87"/>
      <c r="K999" s="1"/>
      <c r="L999" s="1"/>
      <c r="M999" s="1"/>
      <c r="N999" s="1"/>
      <c r="O999" s="87"/>
      <c r="P999" s="87"/>
      <c r="Q999" s="87"/>
      <c r="R999" s="87"/>
      <c r="S999" s="4"/>
      <c r="T999" s="1"/>
      <c r="U999" s="5"/>
      <c r="V999" s="3"/>
      <c r="W999" s="3"/>
      <c r="X999" s="3"/>
      <c r="Y999" s="7"/>
      <c r="Z999" s="1"/>
    </row>
    <row r="1000" spans="1:26" ht="27" customHeight="1">
      <c r="A1000" s="1"/>
      <c r="B1000" s="1"/>
      <c r="C1000" s="2"/>
      <c r="D1000" s="2"/>
      <c r="E1000" s="2"/>
      <c r="F1000" s="87"/>
      <c r="G1000" s="87"/>
      <c r="H1000" s="87"/>
      <c r="I1000" s="87"/>
      <c r="J1000" s="87"/>
      <c r="K1000" s="1"/>
      <c r="L1000" s="1"/>
      <c r="M1000" s="1"/>
      <c r="N1000" s="1"/>
      <c r="O1000" s="87"/>
      <c r="P1000" s="87"/>
      <c r="Q1000" s="87"/>
      <c r="R1000" s="87"/>
      <c r="S1000" s="4"/>
      <c r="T1000" s="1"/>
      <c r="U1000" s="5"/>
      <c r="V1000" s="3"/>
      <c r="W1000" s="3"/>
      <c r="X1000" s="3"/>
      <c r="Y1000" s="7"/>
      <c r="Z1000" s="1"/>
    </row>
  </sheetData>
  <autoFilter ref="B4:Y489" xr:uid="{00000000-0009-0000-0000-000002000000}">
    <sortState xmlns:xlrd2="http://schemas.microsoft.com/office/spreadsheetml/2017/richdata2" ref="B4:Y489">
      <sortCondition descending="1" sortBy="cellColor" ref="H4:H489" dxfId="5"/>
    </sortState>
  </autoFilter>
  <mergeCells count="3">
    <mergeCell ref="F2:H3"/>
    <mergeCell ref="M2:N3"/>
    <mergeCell ref="U2:Y3"/>
  </mergeCells>
  <printOptions gridLinesSet="0"/>
  <pageMargins left="0.511811024" right="0.511811024" top="0.78740157500000008" bottom="0.78740157500000008" header="0.5" footer="0.5"/>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N971"/>
  <sheetViews>
    <sheetView topLeftCell="A114" workbookViewId="0">
      <selection activeCell="F136" sqref="F136"/>
    </sheetView>
  </sheetViews>
  <sheetFormatPr defaultColWidth="14.44140625" defaultRowHeight="15" customHeight="1"/>
  <cols>
    <col min="1" max="1" width="2.88671875" customWidth="1"/>
    <col min="2" max="2" width="9.44140625" customWidth="1"/>
    <col min="3" max="3" width="50.6640625" bestFit="1" customWidth="1"/>
    <col min="4" max="4" width="21.5546875" bestFit="1" customWidth="1"/>
    <col min="5" max="5" width="21.21875" customWidth="1"/>
    <col min="6" max="6" width="13.88671875" bestFit="1" customWidth="1"/>
    <col min="7" max="7" width="15" bestFit="1" customWidth="1"/>
    <col min="8" max="8" width="8.33203125" bestFit="1" customWidth="1"/>
    <col min="9" max="9" width="6.33203125" bestFit="1" customWidth="1"/>
    <col min="10" max="10" width="6.33203125" customWidth="1"/>
    <col min="11" max="11" width="13.44140625" bestFit="1" customWidth="1"/>
    <col min="12" max="12" width="6.6640625" bestFit="1" customWidth="1"/>
    <col min="13" max="13" width="6.33203125" bestFit="1" customWidth="1"/>
    <col min="14" max="14" width="2" bestFit="1" customWidth="1"/>
    <col min="15" max="17" width="6.33203125" bestFit="1" customWidth="1"/>
    <col min="18" max="18" width="13.44140625" bestFit="1" customWidth="1"/>
    <col min="19" max="19" width="6.6640625" bestFit="1" customWidth="1"/>
    <col min="20" max="20" width="3" bestFit="1" customWidth="1"/>
    <col min="21" max="22" width="6.33203125" bestFit="1" customWidth="1"/>
    <col min="23" max="23" width="6.33203125" customWidth="1"/>
    <col min="24" max="24" width="17.33203125" customWidth="1"/>
    <col min="25" max="25" width="11.109375" customWidth="1"/>
    <col min="26" max="26" width="6.33203125" customWidth="1"/>
    <col min="27" max="27" width="6.33203125" bestFit="1" customWidth="1"/>
    <col min="28" max="28" width="3" bestFit="1" customWidth="1"/>
    <col min="29" max="33" width="6.33203125" bestFit="1" customWidth="1"/>
    <col min="34" max="35" width="3" bestFit="1" customWidth="1"/>
    <col min="36" max="37" width="6.33203125" bestFit="1" customWidth="1"/>
    <col min="38" max="38" width="3" bestFit="1" customWidth="1"/>
    <col min="39" max="39" width="6.33203125" bestFit="1" customWidth="1"/>
    <col min="40" max="40" width="3" bestFit="1" customWidth="1"/>
  </cols>
  <sheetData>
    <row r="1" spans="1:20" ht="14.25" customHeight="1"/>
    <row r="2" spans="1:20" ht="14.25" customHeight="1"/>
    <row r="3" spans="1:20" ht="14.25" customHeight="1"/>
    <row r="4" spans="1:20" ht="14.25" customHeight="1" thickBot="1">
      <c r="A4" s="125"/>
      <c r="B4" s="125"/>
      <c r="C4" s="125" t="s">
        <v>7785</v>
      </c>
      <c r="D4" s="125"/>
      <c r="E4" s="125"/>
      <c r="F4" s="125"/>
      <c r="G4" s="125"/>
      <c r="H4" s="125"/>
      <c r="I4" s="125"/>
      <c r="J4" s="332"/>
      <c r="K4" s="332"/>
      <c r="L4" s="332"/>
      <c r="M4" s="332"/>
      <c r="R4" s="126"/>
    </row>
    <row r="5" spans="1:20" ht="15" customHeight="1">
      <c r="B5" s="127" t="s">
        <v>6700</v>
      </c>
      <c r="C5" s="128" t="s">
        <v>6701</v>
      </c>
      <c r="D5" s="128"/>
      <c r="E5" s="128" t="s">
        <v>6702</v>
      </c>
      <c r="F5" s="128" t="s">
        <v>6703</v>
      </c>
      <c r="G5" s="129" t="s">
        <v>6704</v>
      </c>
      <c r="J5" s="332"/>
      <c r="K5" s="528"/>
      <c r="L5" s="528"/>
      <c r="M5" s="528"/>
      <c r="N5" s="130"/>
      <c r="R5" s="131"/>
    </row>
    <row r="6" spans="1:20" ht="15" customHeight="1">
      <c r="B6" s="327"/>
      <c r="C6" s="387" t="s">
        <v>94</v>
      </c>
      <c r="D6" s="387"/>
      <c r="E6" s="387"/>
      <c r="F6" s="328"/>
      <c r="G6" s="329"/>
      <c r="J6" s="332"/>
      <c r="K6" s="528"/>
      <c r="L6" s="528"/>
      <c r="M6" s="528"/>
      <c r="N6" s="130"/>
      <c r="R6" s="131"/>
    </row>
    <row r="7" spans="1:20" ht="15" customHeight="1">
      <c r="B7" s="526"/>
      <c r="C7" s="387" t="s">
        <v>109</v>
      </c>
      <c r="D7" s="387"/>
      <c r="E7" s="387" t="s">
        <v>8093</v>
      </c>
      <c r="F7" s="527"/>
      <c r="G7" s="527"/>
      <c r="J7" s="332"/>
      <c r="K7" s="528"/>
      <c r="L7" s="528"/>
      <c r="M7" s="528"/>
      <c r="N7" s="130"/>
      <c r="R7" s="131"/>
    </row>
    <row r="8" spans="1:20" ht="15" customHeight="1">
      <c r="B8" s="135"/>
      <c r="C8" s="135"/>
      <c r="D8" s="135"/>
      <c r="E8" s="135"/>
      <c r="F8" s="137"/>
      <c r="G8" s="137"/>
      <c r="J8" s="529"/>
      <c r="K8" s="408"/>
      <c r="L8" s="408"/>
      <c r="M8" s="529"/>
      <c r="N8" s="288"/>
      <c r="R8" s="134"/>
      <c r="S8" s="2"/>
      <c r="T8" s="291"/>
    </row>
    <row r="9" spans="1:20" ht="14.25" customHeight="1" thickBot="1">
      <c r="A9" s="125"/>
      <c r="B9" s="125"/>
      <c r="C9" s="125" t="s">
        <v>6705</v>
      </c>
      <c r="D9" s="125"/>
      <c r="E9" s="125"/>
      <c r="F9" s="125"/>
      <c r="G9" s="125"/>
      <c r="H9" s="125"/>
      <c r="I9" s="125"/>
      <c r="J9" s="530"/>
      <c r="K9" s="531"/>
      <c r="L9" s="531"/>
      <c r="M9" s="530"/>
      <c r="N9" s="278"/>
      <c r="R9" s="134"/>
      <c r="S9" s="2"/>
      <c r="T9" s="291"/>
    </row>
    <row r="10" spans="1:20" ht="14.25" customHeight="1">
      <c r="B10" s="127" t="s">
        <v>6700</v>
      </c>
      <c r="C10" s="128" t="s">
        <v>6701</v>
      </c>
      <c r="D10" s="128"/>
      <c r="E10" s="128" t="s">
        <v>6702</v>
      </c>
      <c r="F10" s="128" t="s">
        <v>8107</v>
      </c>
      <c r="G10" s="129" t="s">
        <v>6704</v>
      </c>
      <c r="J10" s="387"/>
      <c r="K10" s="531"/>
      <c r="L10" s="531"/>
      <c r="M10" s="532"/>
      <c r="N10" s="279"/>
      <c r="R10" s="134"/>
      <c r="S10" s="2"/>
      <c r="T10" s="291"/>
    </row>
    <row r="11" spans="1:20" ht="15" customHeight="1">
      <c r="B11" s="132"/>
      <c r="C11" s="132" t="s">
        <v>624</v>
      </c>
      <c r="D11" s="132"/>
      <c r="E11" s="387" t="s">
        <v>8108</v>
      </c>
      <c r="F11" s="133"/>
      <c r="G11" s="133"/>
      <c r="J11" s="387"/>
      <c r="K11" s="531"/>
      <c r="L11" s="531"/>
      <c r="M11" s="532"/>
      <c r="N11" s="279"/>
      <c r="R11" s="134"/>
      <c r="S11" s="2"/>
      <c r="T11" s="291"/>
    </row>
    <row r="12" spans="1:20" ht="15" customHeight="1">
      <c r="B12" s="132"/>
      <c r="C12" s="132" t="s">
        <v>94</v>
      </c>
      <c r="D12" s="132"/>
      <c r="E12" s="387" t="s">
        <v>8109</v>
      </c>
      <c r="F12" s="133"/>
      <c r="G12" s="133"/>
      <c r="J12" s="387"/>
      <c r="K12" s="531"/>
      <c r="L12" s="531"/>
      <c r="M12" s="532"/>
      <c r="N12" s="279"/>
      <c r="R12" s="134"/>
      <c r="S12" s="2"/>
      <c r="T12" s="291"/>
    </row>
    <row r="13" spans="1:20" ht="15" customHeight="1">
      <c r="B13" s="132"/>
      <c r="C13" s="132" t="s">
        <v>62</v>
      </c>
      <c r="D13" s="132"/>
      <c r="E13" s="387" t="s">
        <v>8110</v>
      </c>
      <c r="F13" s="133"/>
      <c r="G13" s="133"/>
      <c r="J13" s="387"/>
      <c r="K13" s="531"/>
      <c r="L13" s="531"/>
      <c r="M13" s="532"/>
      <c r="N13" s="279"/>
      <c r="R13" s="134"/>
      <c r="S13" s="2"/>
      <c r="T13" s="291"/>
    </row>
    <row r="14" spans="1:20" ht="15" customHeight="1">
      <c r="B14" s="135"/>
      <c r="C14" s="135"/>
      <c r="D14" s="135"/>
      <c r="E14" s="138"/>
      <c r="F14" s="137"/>
      <c r="G14" s="137"/>
      <c r="J14" s="332"/>
      <c r="K14" s="531"/>
      <c r="L14" s="531"/>
      <c r="M14" s="332"/>
      <c r="R14" s="134"/>
      <c r="S14" s="2"/>
      <c r="T14" s="291"/>
    </row>
    <row r="15" spans="1:20" ht="15" customHeight="1">
      <c r="B15" s="756"/>
      <c r="C15" s="724"/>
      <c r="J15" s="332"/>
      <c r="K15" s="531"/>
      <c r="L15" s="531"/>
      <c r="M15" s="332"/>
      <c r="R15" s="134"/>
      <c r="S15" s="2"/>
      <c r="T15" s="291"/>
    </row>
    <row r="16" spans="1:20" ht="15" customHeight="1" thickBot="1">
      <c r="B16" s="135"/>
      <c r="C16" s="125"/>
      <c r="D16" s="125"/>
      <c r="J16" s="332"/>
      <c r="K16" s="531"/>
      <c r="L16" s="531"/>
      <c r="M16" s="332"/>
      <c r="R16" s="134"/>
      <c r="S16" s="293"/>
      <c r="T16" s="292"/>
    </row>
    <row r="17" spans="1:28" ht="14.25" customHeight="1" thickBot="1">
      <c r="A17" s="137"/>
      <c r="B17" s="127" t="s">
        <v>6700</v>
      </c>
      <c r="C17" s="128" t="s">
        <v>6700</v>
      </c>
      <c r="D17" s="128"/>
      <c r="E17" s="128" t="s">
        <v>6706</v>
      </c>
      <c r="F17" s="128" t="s">
        <v>6703</v>
      </c>
      <c r="G17" s="129" t="s">
        <v>6704</v>
      </c>
      <c r="H17" s="137"/>
      <c r="I17" s="137"/>
      <c r="J17" s="133"/>
      <c r="K17" s="531"/>
      <c r="L17" s="531"/>
      <c r="M17" s="133"/>
      <c r="N17" s="137"/>
      <c r="O17" s="137"/>
      <c r="P17" s="137"/>
      <c r="Q17" s="137"/>
      <c r="R17" s="292"/>
      <c r="S17" s="2"/>
      <c r="T17" s="291"/>
      <c r="U17" s="137"/>
      <c r="V17" s="137"/>
      <c r="W17" s="137"/>
      <c r="X17" s="137"/>
      <c r="Y17" s="137"/>
      <c r="Z17" s="137"/>
      <c r="AA17" s="137"/>
      <c r="AB17" s="137"/>
    </row>
    <row r="18" spans="1:28" ht="14.4">
      <c r="B18" s="139">
        <v>1</v>
      </c>
      <c r="C18" s="140" t="s">
        <v>6867</v>
      </c>
      <c r="D18" s="591"/>
      <c r="E18" s="141" t="s">
        <v>8113</v>
      </c>
      <c r="F18" s="142"/>
      <c r="G18" s="143"/>
      <c r="J18" s="332"/>
      <c r="K18" s="531"/>
      <c r="L18" s="531"/>
      <c r="M18" s="332"/>
      <c r="R18" s="292"/>
      <c r="S18" s="2"/>
      <c r="T18" s="291"/>
    </row>
    <row r="19" spans="1:28" ht="14.25" hidden="1" customHeight="1">
      <c r="B19" s="144">
        <v>2</v>
      </c>
      <c r="C19" s="132" t="s">
        <v>6708</v>
      </c>
      <c r="D19" s="132"/>
      <c r="E19" s="141"/>
      <c r="F19" s="142"/>
      <c r="G19" s="143"/>
      <c r="K19" s="290"/>
      <c r="L19" s="290"/>
      <c r="S19" s="2"/>
      <c r="T19" s="291"/>
    </row>
    <row r="20" spans="1:28" ht="14.25" hidden="1" customHeight="1">
      <c r="B20" s="144">
        <v>3</v>
      </c>
      <c r="C20" s="132" t="s">
        <v>6709</v>
      </c>
      <c r="D20" s="132"/>
      <c r="E20" s="145"/>
      <c r="F20" s="133"/>
      <c r="G20" s="146"/>
      <c r="K20" s="289"/>
      <c r="L20" s="289"/>
      <c r="S20" s="2"/>
      <c r="T20" s="291"/>
    </row>
    <row r="21" spans="1:28" ht="14.25" hidden="1" customHeight="1">
      <c r="B21" s="144">
        <v>4</v>
      </c>
      <c r="C21" s="132" t="s">
        <v>6710</v>
      </c>
      <c r="D21" s="132"/>
      <c r="E21" s="145"/>
      <c r="F21" s="133"/>
      <c r="G21" s="146"/>
      <c r="K21" s="289"/>
      <c r="L21" s="289"/>
      <c r="S21" s="2"/>
      <c r="T21" s="291"/>
    </row>
    <row r="22" spans="1:28" ht="14.25" hidden="1" customHeight="1">
      <c r="B22" s="144">
        <v>3</v>
      </c>
      <c r="C22" s="132" t="s">
        <v>6711</v>
      </c>
      <c r="D22" s="132"/>
      <c r="E22" s="141"/>
      <c r="F22" s="133"/>
      <c r="G22" s="146"/>
      <c r="K22" s="289"/>
      <c r="L22" s="289"/>
      <c r="S22" s="2"/>
      <c r="T22" s="291"/>
    </row>
    <row r="23" spans="1:28" ht="14.25" hidden="1" customHeight="1">
      <c r="B23" s="144">
        <v>6</v>
      </c>
      <c r="C23" s="132" t="s">
        <v>6712</v>
      </c>
      <c r="D23" s="132"/>
      <c r="E23" s="145"/>
      <c r="F23" s="133"/>
      <c r="G23" s="146"/>
      <c r="S23" s="2"/>
      <c r="T23" s="291"/>
    </row>
    <row r="24" spans="1:28" ht="18" hidden="1" customHeight="1">
      <c r="B24" s="144">
        <v>7</v>
      </c>
      <c r="C24" s="132" t="s">
        <v>6713</v>
      </c>
      <c r="D24" s="132"/>
      <c r="E24" s="145"/>
      <c r="F24" s="133"/>
      <c r="G24" s="146"/>
      <c r="S24" s="2"/>
      <c r="T24" s="291"/>
    </row>
    <row r="25" spans="1:28" ht="18" hidden="1" customHeight="1">
      <c r="B25" s="144">
        <v>5</v>
      </c>
      <c r="C25" s="132" t="s">
        <v>6711</v>
      </c>
      <c r="D25" s="135"/>
      <c r="E25" s="344"/>
      <c r="F25" s="133"/>
      <c r="G25" s="146"/>
      <c r="S25" s="2"/>
      <c r="T25" s="291"/>
    </row>
    <row r="26" spans="1:28" ht="18" hidden="1" customHeight="1">
      <c r="B26" s="144"/>
      <c r="C26" s="132" t="s">
        <v>7069</v>
      </c>
      <c r="D26" s="135"/>
      <c r="E26" s="325"/>
      <c r="F26" s="133"/>
      <c r="G26" s="146"/>
      <c r="S26" s="2"/>
      <c r="T26" s="291"/>
    </row>
    <row r="27" spans="1:28" ht="18" hidden="1" customHeight="1">
      <c r="B27" s="144"/>
      <c r="C27" s="132" t="s">
        <v>6707</v>
      </c>
      <c r="D27" s="135"/>
      <c r="E27" s="344"/>
      <c r="F27" s="133"/>
      <c r="G27" s="146"/>
      <c r="S27" s="2"/>
      <c r="T27" s="291"/>
    </row>
    <row r="28" spans="1:28" ht="18" hidden="1" customHeight="1">
      <c r="B28" s="144">
        <v>8</v>
      </c>
      <c r="C28" s="132" t="s">
        <v>6712</v>
      </c>
      <c r="D28" s="135"/>
      <c r="E28" s="147"/>
      <c r="F28" s="133"/>
      <c r="G28" s="146"/>
      <c r="S28" s="2"/>
      <c r="T28" s="291"/>
    </row>
    <row r="29" spans="1:28" ht="18" hidden="1" customHeight="1">
      <c r="B29" s="144">
        <v>4</v>
      </c>
      <c r="C29" s="132" t="s">
        <v>6714</v>
      </c>
      <c r="D29" s="132"/>
      <c r="E29" s="141"/>
      <c r="F29" s="133"/>
      <c r="G29" s="146"/>
      <c r="S29" s="2"/>
      <c r="T29" s="291"/>
    </row>
    <row r="30" spans="1:28" ht="14.4">
      <c r="B30" s="144">
        <v>6</v>
      </c>
      <c r="C30" s="132" t="s">
        <v>6714</v>
      </c>
      <c r="D30" s="132"/>
      <c r="E30" s="145" t="s">
        <v>8114</v>
      </c>
      <c r="F30" s="133"/>
      <c r="G30" s="146"/>
      <c r="J30" s="332"/>
      <c r="K30" s="332"/>
      <c r="L30" s="332"/>
      <c r="M30" s="332"/>
      <c r="S30" s="2"/>
      <c r="T30" s="291"/>
    </row>
    <row r="31" spans="1:28" ht="14.4" hidden="1">
      <c r="B31" s="144"/>
      <c r="C31" s="132" t="s">
        <v>6711</v>
      </c>
      <c r="D31" s="132"/>
      <c r="E31" s="145"/>
      <c r="F31" s="133"/>
      <c r="G31" s="146"/>
      <c r="S31" s="2"/>
      <c r="T31" s="291"/>
    </row>
    <row r="32" spans="1:28" ht="14.4" hidden="1">
      <c r="B32" s="144"/>
      <c r="C32" s="132" t="s">
        <v>6707</v>
      </c>
      <c r="D32" s="132"/>
      <c r="E32" s="145"/>
      <c r="F32" s="133"/>
      <c r="G32" s="146"/>
      <c r="S32" s="2"/>
      <c r="T32" s="291"/>
    </row>
    <row r="33" spans="2:20" ht="17.25" hidden="1" customHeight="1">
      <c r="B33" s="144">
        <v>5</v>
      </c>
      <c r="C33" s="132" t="s">
        <v>6715</v>
      </c>
      <c r="D33" s="132"/>
      <c r="E33" s="141" t="s">
        <v>8116</v>
      </c>
      <c r="F33" s="133"/>
      <c r="G33" s="146"/>
      <c r="O33" s="125"/>
      <c r="P33" s="125"/>
      <c r="Q33" s="125"/>
      <c r="R33" s="125"/>
      <c r="S33" s="2"/>
      <c r="T33" s="291"/>
    </row>
    <row r="34" spans="2:20" ht="16.5" customHeight="1">
      <c r="B34" s="144">
        <v>6</v>
      </c>
      <c r="C34" s="132" t="s">
        <v>6716</v>
      </c>
      <c r="D34" s="132"/>
      <c r="E34" s="141" t="s">
        <v>8115</v>
      </c>
      <c r="F34" s="148"/>
      <c r="G34" s="146"/>
      <c r="J34" s="332"/>
      <c r="K34" s="332"/>
      <c r="L34" s="332"/>
      <c r="M34" s="332"/>
      <c r="P34" s="135"/>
      <c r="Q34" s="135"/>
      <c r="R34" s="2"/>
      <c r="S34" s="2"/>
      <c r="T34" s="291"/>
    </row>
    <row r="35" spans="2:20" ht="16.5" hidden="1" customHeight="1">
      <c r="B35" s="144">
        <v>7</v>
      </c>
      <c r="C35" s="132" t="s">
        <v>6717</v>
      </c>
      <c r="D35" s="132"/>
      <c r="E35" s="141"/>
      <c r="F35" s="148"/>
      <c r="G35" s="146"/>
      <c r="P35" s="135"/>
      <c r="Q35" s="135"/>
      <c r="R35" s="2"/>
      <c r="S35" s="2"/>
      <c r="T35" s="291"/>
    </row>
    <row r="36" spans="2:20" ht="16.5" hidden="1" customHeight="1">
      <c r="B36" s="144">
        <v>8</v>
      </c>
      <c r="C36" s="132" t="s">
        <v>6709</v>
      </c>
      <c r="D36" s="132"/>
      <c r="E36" s="141"/>
      <c r="F36" s="148"/>
      <c r="G36" s="146"/>
      <c r="P36" s="135"/>
      <c r="Q36" s="135"/>
      <c r="R36" s="2"/>
      <c r="S36" s="2"/>
      <c r="T36" s="291"/>
    </row>
    <row r="37" spans="2:20" ht="16.5" hidden="1" customHeight="1">
      <c r="B37" s="144"/>
      <c r="C37" s="132" t="s">
        <v>6710</v>
      </c>
      <c r="D37" s="132"/>
      <c r="E37" s="145"/>
      <c r="F37" s="148"/>
      <c r="G37" s="146"/>
      <c r="P37" s="135"/>
      <c r="Q37" s="135"/>
      <c r="R37" s="2"/>
      <c r="S37" s="2"/>
      <c r="T37" s="291"/>
    </row>
    <row r="38" spans="2:20" ht="16.5" hidden="1" customHeight="1">
      <c r="B38" s="144"/>
      <c r="C38" s="132" t="s">
        <v>6717</v>
      </c>
      <c r="D38" s="132"/>
      <c r="E38" s="247"/>
      <c r="F38" s="148"/>
      <c r="G38" s="146"/>
      <c r="P38" s="135"/>
      <c r="Q38" s="135"/>
      <c r="R38" s="2"/>
      <c r="S38" s="2"/>
      <c r="T38" s="136"/>
    </row>
    <row r="39" spans="2:20" ht="16.5" hidden="1" customHeight="1">
      <c r="B39" s="144">
        <v>9</v>
      </c>
      <c r="C39" s="132" t="s">
        <v>6712</v>
      </c>
      <c r="D39" s="132"/>
      <c r="E39" s="141"/>
      <c r="F39" s="148"/>
      <c r="G39" s="146"/>
      <c r="P39" s="135"/>
      <c r="Q39" s="135"/>
      <c r="R39" s="2"/>
      <c r="S39" s="2"/>
      <c r="T39" s="136"/>
    </row>
    <row r="40" spans="2:20" ht="16.5" hidden="1" customHeight="1">
      <c r="B40" s="144">
        <v>10</v>
      </c>
      <c r="C40" s="132" t="s">
        <v>6718</v>
      </c>
      <c r="D40" s="132"/>
      <c r="E40" s="141"/>
      <c r="F40" s="148"/>
      <c r="G40" s="146"/>
      <c r="P40" s="135"/>
      <c r="Q40" s="135"/>
      <c r="R40" s="2"/>
      <c r="S40" s="2"/>
      <c r="T40" s="136"/>
    </row>
    <row r="41" spans="2:20" ht="15" hidden="1" customHeight="1" thickBot="1">
      <c r="B41" s="144">
        <v>11</v>
      </c>
      <c r="C41" s="132" t="s">
        <v>6714</v>
      </c>
      <c r="D41" s="135"/>
      <c r="E41" s="149"/>
      <c r="F41" s="150"/>
      <c r="G41" s="146"/>
      <c r="P41" s="135"/>
      <c r="Q41" s="135"/>
      <c r="R41" s="2"/>
      <c r="S41" s="2"/>
      <c r="T41" s="1"/>
    </row>
    <row r="42" spans="2:20" ht="14.25" customHeight="1" thickBot="1">
      <c r="P42" s="135"/>
      <c r="Q42" s="135"/>
      <c r="R42" s="2"/>
      <c r="S42" s="2"/>
      <c r="T42" s="136"/>
    </row>
    <row r="43" spans="2:20" ht="14.25" customHeight="1" thickBot="1">
      <c r="C43" s="757" t="s">
        <v>7073</v>
      </c>
      <c r="D43" s="758"/>
      <c r="E43" s="758"/>
      <c r="F43" s="759"/>
      <c r="P43" s="135"/>
      <c r="Q43" s="135"/>
      <c r="R43" s="2"/>
      <c r="S43" s="2"/>
      <c r="T43" s="136"/>
    </row>
    <row r="44" spans="2:20" ht="14.25" customHeight="1" thickBot="1">
      <c r="B44" s="282" t="s">
        <v>6700</v>
      </c>
      <c r="C44" s="283" t="s">
        <v>6701</v>
      </c>
      <c r="D44" s="283"/>
      <c r="E44" s="262" t="s">
        <v>6866</v>
      </c>
      <c r="F44" s="262" t="s">
        <v>6974</v>
      </c>
      <c r="G44" s="259" t="s">
        <v>6704</v>
      </c>
      <c r="P44" s="135"/>
      <c r="Q44" s="135"/>
      <c r="R44" s="2"/>
      <c r="S44" s="2"/>
      <c r="T44" s="136"/>
    </row>
    <row r="45" spans="2:20" ht="14.25" customHeight="1" thickBot="1">
      <c r="B45" s="248">
        <v>1</v>
      </c>
      <c r="C45" s="284" t="s">
        <v>7069</v>
      </c>
      <c r="D45" s="284"/>
      <c r="E45" s="280">
        <v>46083</v>
      </c>
      <c r="F45" s="250" t="s">
        <v>7072</v>
      </c>
      <c r="G45" s="250"/>
      <c r="P45" s="135"/>
      <c r="Q45" s="135"/>
      <c r="R45" s="2"/>
      <c r="S45" s="2"/>
      <c r="T45" s="136"/>
    </row>
    <row r="46" spans="2:20" ht="14.25" customHeight="1" thickBot="1">
      <c r="B46" s="248">
        <v>6</v>
      </c>
      <c r="C46" s="251" t="s">
        <v>6708</v>
      </c>
      <c r="D46" s="251"/>
      <c r="E46" s="263">
        <v>46030</v>
      </c>
      <c r="F46" s="249"/>
      <c r="G46" s="260"/>
      <c r="P46" s="135"/>
      <c r="Q46" s="135"/>
      <c r="R46" s="2"/>
      <c r="S46" s="2"/>
      <c r="T46" s="136"/>
    </row>
    <row r="47" spans="2:20" ht="14.25" customHeight="1" thickBot="1">
      <c r="B47" s="248">
        <v>5</v>
      </c>
      <c r="C47" s="251" t="s">
        <v>6717</v>
      </c>
      <c r="D47" s="251"/>
      <c r="E47" s="264">
        <v>46086</v>
      </c>
      <c r="F47" s="281" t="s">
        <v>7066</v>
      </c>
      <c r="G47" s="260"/>
      <c r="P47" s="135"/>
      <c r="Q47" s="135"/>
      <c r="R47" s="2"/>
      <c r="S47" s="2"/>
      <c r="T47" s="136"/>
    </row>
    <row r="48" spans="2:20" ht="14.25" customHeight="1" thickBot="1">
      <c r="B48" s="248">
        <v>10</v>
      </c>
      <c r="C48" s="251" t="s">
        <v>6869</v>
      </c>
      <c r="D48" s="251"/>
      <c r="E48" s="263" t="s">
        <v>6923</v>
      </c>
      <c r="F48" s="249"/>
      <c r="G48" s="249"/>
      <c r="P48" s="135"/>
      <c r="Q48" s="135"/>
      <c r="R48" s="2"/>
      <c r="S48" s="2"/>
      <c r="T48" s="136"/>
    </row>
    <row r="49" spans="2:20" ht="14.25" customHeight="1" thickBot="1">
      <c r="B49" s="248">
        <v>12</v>
      </c>
      <c r="C49" s="251" t="s">
        <v>6714</v>
      </c>
      <c r="D49" s="251"/>
      <c r="E49" s="264">
        <v>46092</v>
      </c>
      <c r="F49" s="249" t="s">
        <v>6975</v>
      </c>
      <c r="G49" s="261"/>
      <c r="P49" s="135"/>
      <c r="Q49" s="135"/>
      <c r="R49" s="2"/>
      <c r="S49" s="2"/>
      <c r="T49" s="136"/>
    </row>
    <row r="50" spans="2:20" ht="14.25" customHeight="1" thickBot="1">
      <c r="B50" s="248">
        <v>4</v>
      </c>
      <c r="C50" s="251" t="s">
        <v>6867</v>
      </c>
      <c r="D50" s="251"/>
      <c r="E50" s="264">
        <v>46095</v>
      </c>
      <c r="F50" s="281" t="s">
        <v>7067</v>
      </c>
      <c r="P50" s="135"/>
      <c r="Q50" s="135"/>
      <c r="R50" s="2"/>
      <c r="S50" s="2"/>
      <c r="T50" s="136"/>
    </row>
    <row r="51" spans="2:20" ht="14.25" customHeight="1" thickBot="1">
      <c r="B51" s="248">
        <v>11</v>
      </c>
      <c r="C51" s="251" t="s">
        <v>6870</v>
      </c>
      <c r="D51" s="251"/>
      <c r="E51" s="263">
        <v>46051</v>
      </c>
      <c r="F51" s="249" t="s">
        <v>6979</v>
      </c>
      <c r="P51" s="135"/>
      <c r="Q51" s="135"/>
      <c r="R51" s="2"/>
      <c r="S51" s="2"/>
      <c r="T51" s="136"/>
    </row>
    <row r="52" spans="2:20" ht="14.25" customHeight="1" thickBot="1">
      <c r="B52" s="248">
        <v>2</v>
      </c>
      <c r="C52" s="251" t="s">
        <v>6718</v>
      </c>
      <c r="D52" s="251"/>
      <c r="E52" s="251"/>
      <c r="F52" s="249" t="s">
        <v>6980</v>
      </c>
      <c r="P52" s="135"/>
      <c r="Q52" s="135"/>
      <c r="R52" s="2"/>
      <c r="S52" s="2"/>
      <c r="T52" s="136"/>
    </row>
    <row r="53" spans="2:20" ht="14.25" customHeight="1" thickBot="1">
      <c r="B53" s="248">
        <v>9</v>
      </c>
      <c r="C53" s="251" t="s">
        <v>7070</v>
      </c>
      <c r="D53" s="251"/>
      <c r="E53" s="264">
        <v>46096</v>
      </c>
      <c r="F53" s="249" t="s">
        <v>7071</v>
      </c>
      <c r="P53" s="135"/>
      <c r="Q53" s="135"/>
      <c r="R53" s="2"/>
      <c r="S53" s="2"/>
      <c r="T53" s="136"/>
    </row>
    <row r="54" spans="2:20" ht="14.25" customHeight="1" thickBot="1">
      <c r="B54" s="248">
        <v>3</v>
      </c>
      <c r="C54" s="251" t="s">
        <v>6707</v>
      </c>
      <c r="D54" s="251"/>
      <c r="E54" s="264">
        <v>46100</v>
      </c>
      <c r="F54" s="281" t="s">
        <v>6982</v>
      </c>
      <c r="P54" s="135"/>
      <c r="Q54" s="135"/>
      <c r="R54" s="2"/>
      <c r="S54" s="2"/>
      <c r="T54" s="136"/>
    </row>
    <row r="55" spans="2:20" ht="14.25" customHeight="1" thickBot="1">
      <c r="B55" s="248">
        <v>7</v>
      </c>
      <c r="C55" s="251" t="s">
        <v>6868</v>
      </c>
      <c r="D55" s="251"/>
      <c r="E55" s="264">
        <v>46101</v>
      </c>
      <c r="F55" s="249" t="s">
        <v>6977</v>
      </c>
      <c r="P55" s="135"/>
      <c r="Q55" s="135"/>
      <c r="R55" s="2"/>
      <c r="S55" s="2"/>
      <c r="T55" s="136"/>
    </row>
    <row r="56" spans="2:20" ht="14.25" customHeight="1" thickBot="1">
      <c r="B56" s="248">
        <v>8</v>
      </c>
      <c r="C56" s="251" t="s">
        <v>6869</v>
      </c>
      <c r="D56" s="251"/>
      <c r="E56" s="264">
        <v>46105</v>
      </c>
      <c r="F56" s="249" t="s">
        <v>6978</v>
      </c>
      <c r="P56" s="135"/>
      <c r="Q56" s="135"/>
      <c r="R56" s="2"/>
      <c r="S56" s="2"/>
      <c r="T56" s="136"/>
    </row>
    <row r="57" spans="2:20" ht="14.25" customHeight="1" thickBot="1">
      <c r="B57" s="248">
        <v>13</v>
      </c>
      <c r="C57" s="251" t="s">
        <v>6712</v>
      </c>
      <c r="D57" s="251"/>
      <c r="E57" s="264">
        <v>46107</v>
      </c>
      <c r="F57" s="249" t="s">
        <v>6981</v>
      </c>
      <c r="P57" s="135"/>
      <c r="Q57" s="135"/>
      <c r="R57" s="2"/>
      <c r="S57" s="2"/>
      <c r="T57" s="136"/>
    </row>
    <row r="58" spans="2:20" ht="14.25" customHeight="1" thickBot="1">
      <c r="B58" s="248"/>
      <c r="C58" s="251" t="s">
        <v>6709</v>
      </c>
      <c r="D58" s="251"/>
      <c r="E58" s="264">
        <v>46108</v>
      </c>
      <c r="F58" s="249" t="s">
        <v>6982</v>
      </c>
      <c r="P58" s="135"/>
      <c r="Q58" s="135"/>
      <c r="R58" s="2"/>
      <c r="S58" s="2"/>
      <c r="T58" s="136"/>
    </row>
    <row r="59" spans="2:20" ht="14.25" customHeight="1">
      <c r="B59" s="248">
        <v>14</v>
      </c>
      <c r="C59" s="251" t="s">
        <v>6711</v>
      </c>
      <c r="D59" s="251"/>
      <c r="E59" s="264">
        <v>46112</v>
      </c>
      <c r="F59" s="249" t="s">
        <v>6976</v>
      </c>
      <c r="S59" s="2"/>
      <c r="T59" s="136"/>
    </row>
    <row r="60" spans="2:20" ht="14.25" customHeight="1">
      <c r="C60" s="251" t="s">
        <v>6716</v>
      </c>
      <c r="D60" s="251"/>
      <c r="E60" s="264"/>
      <c r="F60" s="249" t="s">
        <v>6983</v>
      </c>
    </row>
    <row r="61" spans="2:20" ht="14.25" customHeight="1" thickBot="1">
      <c r="C61" s="252" t="s">
        <v>6715</v>
      </c>
      <c r="D61" s="252"/>
      <c r="E61" s="265"/>
      <c r="F61" s="285" t="s">
        <v>7068</v>
      </c>
    </row>
    <row r="62" spans="2:20" ht="14.25" customHeight="1"/>
    <row r="63" spans="2:20" ht="14.25" customHeight="1"/>
    <row r="64" spans="2:20" ht="14.25" customHeight="1"/>
    <row r="65" spans="3:5" ht="14.25" customHeight="1"/>
    <row r="66" spans="3:5" ht="14.25" customHeight="1"/>
    <row r="67" spans="3:5" ht="14.25" customHeight="1"/>
    <row r="68" spans="3:5" ht="14.25" customHeight="1"/>
    <row r="69" spans="3:5" ht="14.25" customHeight="1">
      <c r="C69" s="257" t="s">
        <v>6919</v>
      </c>
      <c r="D69" s="257"/>
      <c r="E69" s="257" t="s">
        <v>6920</v>
      </c>
    </row>
    <row r="70" spans="3:5" ht="14.25" customHeight="1">
      <c r="C70" t="s">
        <v>6962</v>
      </c>
      <c r="E70" s="253" t="s">
        <v>6958</v>
      </c>
    </row>
    <row r="71" spans="3:5" ht="14.25" hidden="1" customHeight="1">
      <c r="C71" t="s">
        <v>6921</v>
      </c>
      <c r="E71" s="253" t="s">
        <v>6922</v>
      </c>
    </row>
    <row r="72" spans="3:5" ht="14.25" hidden="1" customHeight="1">
      <c r="C72" t="s">
        <v>6963</v>
      </c>
      <c r="E72" s="253" t="s">
        <v>6959</v>
      </c>
    </row>
    <row r="73" spans="3:5" ht="14.25" hidden="1" customHeight="1">
      <c r="C73" t="s">
        <v>6964</v>
      </c>
      <c r="E73" s="253" t="s">
        <v>6960</v>
      </c>
    </row>
    <row r="74" spans="3:5" ht="14.25" hidden="1" customHeight="1">
      <c r="C74" t="s">
        <v>6965</v>
      </c>
      <c r="E74" s="253" t="s">
        <v>6961</v>
      </c>
    </row>
    <row r="75" spans="3:5" ht="14.25" customHeight="1">
      <c r="C75" t="s">
        <v>7142</v>
      </c>
      <c r="E75" s="253" t="s">
        <v>7143</v>
      </c>
    </row>
    <row r="76" spans="3:5" ht="14.25" customHeight="1">
      <c r="C76" t="s">
        <v>7140</v>
      </c>
      <c r="E76" s="253" t="s">
        <v>7141</v>
      </c>
    </row>
    <row r="77" spans="3:5" ht="14.25" customHeight="1"/>
    <row r="78" spans="3:5" ht="14.25" customHeight="1"/>
    <row r="79" spans="3:5" ht="14.25" customHeight="1"/>
    <row r="80" spans="3:5" ht="14.25" customHeight="1"/>
    <row r="81" spans="3:26" ht="14.25" customHeight="1"/>
    <row r="82" spans="3:26" ht="14.25" customHeight="1"/>
    <row r="83" spans="3:26" ht="14.25" customHeight="1" thickBot="1"/>
    <row r="84" spans="3:26" ht="14.25" customHeight="1" thickBot="1">
      <c r="C84" s="314" t="s">
        <v>7350</v>
      </c>
      <c r="D84" s="592"/>
    </row>
    <row r="85" spans="3:26" ht="14.25" customHeight="1">
      <c r="C85" s="318" t="s">
        <v>7365</v>
      </c>
      <c r="D85" s="593"/>
    </row>
    <row r="86" spans="3:26" ht="14.25" customHeight="1" thickBot="1">
      <c r="C86" s="316" t="s">
        <v>7332</v>
      </c>
      <c r="D86" s="593"/>
      <c r="Z86" s="363"/>
    </row>
    <row r="87" spans="3:26" ht="14.25" customHeight="1">
      <c r="C87" s="316" t="s">
        <v>7364</v>
      </c>
      <c r="D87" s="593"/>
      <c r="F87" s="748" t="s">
        <v>8161</v>
      </c>
      <c r="G87" s="747"/>
      <c r="H87" s="747"/>
      <c r="J87" s="748" t="s">
        <v>7495</v>
      </c>
      <c r="K87" s="747"/>
      <c r="L87" s="747"/>
      <c r="Q87" s="748" t="s">
        <v>7525</v>
      </c>
      <c r="R87" s="747"/>
      <c r="S87" s="747"/>
      <c r="W87" s="750" t="s">
        <v>7731</v>
      </c>
      <c r="X87" s="751"/>
      <c r="Y87" s="752"/>
      <c r="Z87" s="364"/>
    </row>
    <row r="88" spans="3:26" ht="14.25" customHeight="1" thickBot="1">
      <c r="C88" s="316" t="s">
        <v>7333</v>
      </c>
      <c r="D88" s="593"/>
      <c r="F88" s="748"/>
      <c r="G88" s="747"/>
      <c r="H88" s="747"/>
      <c r="J88" s="748"/>
      <c r="K88" s="747"/>
      <c r="L88" s="747"/>
      <c r="Q88" s="748"/>
      <c r="R88" s="747"/>
      <c r="S88" s="747"/>
      <c r="W88" s="753"/>
      <c r="X88" s="754"/>
      <c r="Y88" s="755"/>
      <c r="Z88" s="364"/>
    </row>
    <row r="89" spans="3:26" ht="14.25" customHeight="1" thickBot="1">
      <c r="C89" s="316" t="s">
        <v>7334</v>
      </c>
      <c r="D89" s="593"/>
      <c r="F89" s="322">
        <v>13</v>
      </c>
      <c r="G89" s="319" t="s">
        <v>8158</v>
      </c>
      <c r="H89" s="319" t="s">
        <v>590</v>
      </c>
      <c r="J89" s="322">
        <v>25</v>
      </c>
      <c r="K89" s="319" t="s">
        <v>7466</v>
      </c>
      <c r="L89" s="335" t="s">
        <v>293</v>
      </c>
      <c r="Q89" s="322">
        <v>19</v>
      </c>
      <c r="R89" s="319" t="s">
        <v>7497</v>
      </c>
      <c r="S89" s="335" t="s">
        <v>7498</v>
      </c>
      <c r="W89" s="322">
        <v>13</v>
      </c>
      <c r="X89" s="365" t="s">
        <v>7683</v>
      </c>
      <c r="Y89" s="366" t="s">
        <v>6893</v>
      </c>
    </row>
    <row r="90" spans="3:26" ht="14.25" customHeight="1" thickBot="1">
      <c r="C90" s="320" t="s">
        <v>7363</v>
      </c>
      <c r="D90" s="594"/>
      <c r="F90" s="311">
        <v>14</v>
      </c>
      <c r="G90" s="309" t="s">
        <v>8159</v>
      </c>
      <c r="H90" s="319" t="s">
        <v>590</v>
      </c>
      <c r="J90" s="311">
        <v>26</v>
      </c>
      <c r="K90" s="309" t="s">
        <v>7467</v>
      </c>
      <c r="L90" s="333" t="s">
        <v>293</v>
      </c>
      <c r="Q90" s="311">
        <v>20</v>
      </c>
      <c r="R90" s="309" t="s">
        <v>7500</v>
      </c>
      <c r="S90" s="333" t="s">
        <v>7499</v>
      </c>
      <c r="W90" s="311">
        <v>14</v>
      </c>
      <c r="X90" s="367" t="s">
        <v>7684</v>
      </c>
      <c r="Y90" s="368" t="s">
        <v>6893</v>
      </c>
    </row>
    <row r="91" spans="3:26" ht="14.25" customHeight="1">
      <c r="C91" s="320" t="s">
        <v>7335</v>
      </c>
      <c r="D91" s="594"/>
      <c r="F91" s="311">
        <v>15</v>
      </c>
      <c r="G91" s="309" t="s">
        <v>8160</v>
      </c>
      <c r="H91" s="319" t="s">
        <v>590</v>
      </c>
      <c r="J91" s="311">
        <v>27</v>
      </c>
      <c r="K91" s="309" t="s">
        <v>7468</v>
      </c>
      <c r="L91" s="333" t="s">
        <v>293</v>
      </c>
      <c r="Q91" s="311">
        <v>21</v>
      </c>
      <c r="R91" s="309" t="s">
        <v>7501</v>
      </c>
      <c r="S91" s="333" t="s">
        <v>7499</v>
      </c>
      <c r="W91" s="311">
        <v>15</v>
      </c>
      <c r="X91" s="367" t="s">
        <v>7685</v>
      </c>
      <c r="Y91" s="368" t="s">
        <v>6893</v>
      </c>
    </row>
    <row r="92" spans="3:26" ht="14.25" customHeight="1">
      <c r="C92" s="315" t="s">
        <v>7336</v>
      </c>
      <c r="F92" s="311">
        <v>4</v>
      </c>
      <c r="G92" s="309" t="s">
        <v>7452</v>
      </c>
      <c r="H92" s="309" t="s">
        <v>2331</v>
      </c>
      <c r="J92" s="311">
        <v>28</v>
      </c>
      <c r="K92" s="309" t="s">
        <v>7469</v>
      </c>
      <c r="L92" s="333" t="s">
        <v>293</v>
      </c>
      <c r="Q92" s="311">
        <v>22</v>
      </c>
      <c r="R92" s="309" t="s">
        <v>7502</v>
      </c>
      <c r="S92" s="333" t="s">
        <v>7499</v>
      </c>
      <c r="W92" s="311">
        <v>16</v>
      </c>
      <c r="X92" s="367" t="s">
        <v>7686</v>
      </c>
      <c r="Y92" s="368" t="s">
        <v>6893</v>
      </c>
    </row>
    <row r="93" spans="3:26" ht="14.25" customHeight="1">
      <c r="C93" s="315" t="s">
        <v>7353</v>
      </c>
      <c r="F93" s="311">
        <v>5</v>
      </c>
      <c r="G93" s="309" t="s">
        <v>7453</v>
      </c>
      <c r="H93" s="309" t="s">
        <v>2331</v>
      </c>
      <c r="J93" s="311">
        <v>29</v>
      </c>
      <c r="K93" s="309" t="s">
        <v>7471</v>
      </c>
      <c r="L93" s="333" t="s">
        <v>293</v>
      </c>
      <c r="Q93" s="311">
        <v>23</v>
      </c>
      <c r="R93" s="309" t="s">
        <v>7503</v>
      </c>
      <c r="S93" s="333" t="s">
        <v>7499</v>
      </c>
      <c r="W93" s="311">
        <v>17</v>
      </c>
      <c r="X93" s="367" t="s">
        <v>7687</v>
      </c>
      <c r="Y93" s="368" t="s">
        <v>6893</v>
      </c>
    </row>
    <row r="94" spans="3:26" ht="14.25" customHeight="1">
      <c r="C94" s="315" t="s">
        <v>7337</v>
      </c>
      <c r="F94" s="311">
        <v>6</v>
      </c>
      <c r="G94" s="309" t="s">
        <v>7454</v>
      </c>
      <c r="H94" s="309" t="s">
        <v>2331</v>
      </c>
      <c r="J94" s="311">
        <v>30</v>
      </c>
      <c r="K94" s="309" t="s">
        <v>7472</v>
      </c>
      <c r="L94" s="333" t="s">
        <v>293</v>
      </c>
      <c r="Q94" s="311">
        <v>24</v>
      </c>
      <c r="R94" s="309" t="s">
        <v>7504</v>
      </c>
      <c r="S94" s="333" t="s">
        <v>7499</v>
      </c>
      <c r="W94" s="311">
        <v>18</v>
      </c>
      <c r="X94" s="367" t="s">
        <v>7688</v>
      </c>
      <c r="Y94" s="368" t="s">
        <v>6893</v>
      </c>
    </row>
    <row r="95" spans="3:26" ht="14.25" customHeight="1">
      <c r="C95" s="315" t="s">
        <v>7338</v>
      </c>
      <c r="F95" s="311">
        <v>7</v>
      </c>
      <c r="G95" s="309" t="s">
        <v>7455</v>
      </c>
      <c r="H95" s="309" t="s">
        <v>2331</v>
      </c>
      <c r="J95" s="311">
        <v>31</v>
      </c>
      <c r="K95" s="309" t="s">
        <v>7473</v>
      </c>
      <c r="L95" s="333" t="s">
        <v>293</v>
      </c>
      <c r="Q95" s="311">
        <v>25</v>
      </c>
      <c r="R95" s="309" t="s">
        <v>7505</v>
      </c>
      <c r="S95" s="333" t="s">
        <v>7499</v>
      </c>
      <c r="W95" s="311">
        <v>19</v>
      </c>
      <c r="X95" s="367" t="s">
        <v>7689</v>
      </c>
      <c r="Y95" s="368" t="s">
        <v>6893</v>
      </c>
    </row>
    <row r="96" spans="3:26" ht="14.25" customHeight="1">
      <c r="C96" s="321" t="s">
        <v>7339</v>
      </c>
      <c r="D96" s="595"/>
      <c r="F96" s="311">
        <v>8</v>
      </c>
      <c r="G96" s="309" t="s">
        <v>7459</v>
      </c>
      <c r="H96" s="309" t="s">
        <v>385</v>
      </c>
      <c r="J96" s="311">
        <v>32</v>
      </c>
      <c r="K96" s="309" t="s">
        <v>7470</v>
      </c>
      <c r="L96" s="333" t="s">
        <v>293</v>
      </c>
      <c r="Q96" s="311">
        <v>26</v>
      </c>
      <c r="R96" s="309" t="s">
        <v>7506</v>
      </c>
      <c r="S96" s="333" t="s">
        <v>7499</v>
      </c>
      <c r="W96" s="311">
        <v>20</v>
      </c>
      <c r="X96" s="367" t="s">
        <v>7690</v>
      </c>
      <c r="Y96" s="368" t="s">
        <v>6893</v>
      </c>
    </row>
    <row r="97" spans="3:25" ht="14.25" customHeight="1">
      <c r="C97" s="315" t="s">
        <v>7340</v>
      </c>
      <c r="F97" s="311">
        <v>9</v>
      </c>
      <c r="G97" s="309" t="s">
        <v>7460</v>
      </c>
      <c r="H97" s="309" t="s">
        <v>385</v>
      </c>
      <c r="J97" s="311">
        <v>33</v>
      </c>
      <c r="K97" s="309" t="s">
        <v>7474</v>
      </c>
      <c r="L97" s="333" t="s">
        <v>293</v>
      </c>
      <c r="Q97" s="311">
        <v>12</v>
      </c>
      <c r="R97" s="309" t="s">
        <v>7507</v>
      </c>
      <c r="S97" s="333" t="s">
        <v>7499</v>
      </c>
      <c r="W97" s="311">
        <v>21</v>
      </c>
      <c r="X97" s="367" t="s">
        <v>7691</v>
      </c>
      <c r="Y97" s="368" t="s">
        <v>6893</v>
      </c>
    </row>
    <row r="98" spans="3:25" ht="14.25" customHeight="1">
      <c r="C98" s="315" t="s">
        <v>7352</v>
      </c>
      <c r="F98" s="311">
        <v>10</v>
      </c>
      <c r="G98" s="309" t="s">
        <v>7461</v>
      </c>
      <c r="H98" s="309" t="s">
        <v>385</v>
      </c>
      <c r="J98" s="311">
        <v>34</v>
      </c>
      <c r="K98" s="309" t="s">
        <v>7475</v>
      </c>
      <c r="L98" s="333" t="s">
        <v>293</v>
      </c>
      <c r="Q98" s="311">
        <v>13</v>
      </c>
      <c r="R98" s="309" t="s">
        <v>7508</v>
      </c>
      <c r="S98" s="333" t="s">
        <v>7499</v>
      </c>
      <c r="W98" s="311">
        <v>22</v>
      </c>
      <c r="X98" s="367" t="s">
        <v>7692</v>
      </c>
      <c r="Y98" s="368" t="s">
        <v>6893</v>
      </c>
    </row>
    <row r="99" spans="3:25" ht="14.25" customHeight="1" thickBot="1">
      <c r="C99" s="315" t="s">
        <v>7341</v>
      </c>
      <c r="F99" s="311">
        <v>11</v>
      </c>
      <c r="G99" s="309" t="s">
        <v>7462</v>
      </c>
      <c r="H99" s="309" t="s">
        <v>387</v>
      </c>
      <c r="J99" s="311">
        <v>35</v>
      </c>
      <c r="K99" s="309" t="s">
        <v>7476</v>
      </c>
      <c r="L99" s="333" t="s">
        <v>293</v>
      </c>
      <c r="Q99" s="311">
        <v>14</v>
      </c>
      <c r="R99" s="309" t="s">
        <v>7509</v>
      </c>
      <c r="S99" s="333" t="s">
        <v>7499</v>
      </c>
      <c r="W99" s="312">
        <v>23</v>
      </c>
      <c r="X99" s="369" t="s">
        <v>7693</v>
      </c>
      <c r="Y99" s="370" t="s">
        <v>6893</v>
      </c>
    </row>
    <row r="100" spans="3:25" ht="14.25" customHeight="1">
      <c r="C100" s="315" t="s">
        <v>7342</v>
      </c>
      <c r="F100" s="311">
        <v>12</v>
      </c>
      <c r="G100" s="309" t="s">
        <v>7463</v>
      </c>
      <c r="H100" s="309" t="s">
        <v>387</v>
      </c>
      <c r="J100" s="311">
        <v>36</v>
      </c>
      <c r="K100" s="309" t="s">
        <v>7477</v>
      </c>
      <c r="L100" s="333" t="s">
        <v>293</v>
      </c>
      <c r="Q100" s="311">
        <v>30</v>
      </c>
      <c r="R100" s="309" t="s">
        <v>7510</v>
      </c>
      <c r="S100" s="333" t="s">
        <v>7499</v>
      </c>
      <c r="W100" s="750" t="s">
        <v>7694</v>
      </c>
      <c r="X100" s="751"/>
      <c r="Y100" s="752"/>
    </row>
    <row r="101" spans="3:25" ht="14.25" customHeight="1" thickBot="1">
      <c r="C101" s="321" t="s">
        <v>7343</v>
      </c>
      <c r="D101" s="595"/>
      <c r="F101" s="311">
        <v>13</v>
      </c>
      <c r="G101" s="309" t="s">
        <v>7464</v>
      </c>
      <c r="H101" s="309" t="s">
        <v>387</v>
      </c>
      <c r="J101" s="311">
        <v>37</v>
      </c>
      <c r="K101" s="309" t="s">
        <v>7478</v>
      </c>
      <c r="L101" s="333" t="s">
        <v>293</v>
      </c>
      <c r="Q101" s="311">
        <v>31</v>
      </c>
      <c r="R101" s="309" t="s">
        <v>7511</v>
      </c>
      <c r="S101" s="333" t="s">
        <v>7499</v>
      </c>
      <c r="W101" s="753"/>
      <c r="X101" s="754"/>
      <c r="Y101" s="755"/>
    </row>
    <row r="102" spans="3:25" ht="14.25" customHeight="1" thickBot="1">
      <c r="C102" s="321" t="s">
        <v>7344</v>
      </c>
      <c r="D102" s="595"/>
      <c r="F102" s="311">
        <v>14</v>
      </c>
      <c r="G102" s="309" t="s">
        <v>7465</v>
      </c>
      <c r="H102" s="309" t="s">
        <v>387</v>
      </c>
      <c r="J102" s="311">
        <v>38</v>
      </c>
      <c r="K102" s="309" t="s">
        <v>7479</v>
      </c>
      <c r="L102" s="333" t="s">
        <v>293</v>
      </c>
      <c r="Q102" s="311">
        <v>32</v>
      </c>
      <c r="R102" s="309" t="s">
        <v>7518</v>
      </c>
      <c r="S102" s="333" t="s">
        <v>7499</v>
      </c>
      <c r="W102" s="322">
        <v>1</v>
      </c>
      <c r="X102" s="371" t="s">
        <v>7693</v>
      </c>
      <c r="Y102" s="366" t="s">
        <v>590</v>
      </c>
    </row>
    <row r="103" spans="3:25" ht="14.25" customHeight="1" thickBot="1">
      <c r="C103" s="316" t="s">
        <v>7351</v>
      </c>
      <c r="D103" s="593"/>
      <c r="F103" s="311">
        <v>15</v>
      </c>
      <c r="G103" s="309"/>
      <c r="H103" s="309"/>
      <c r="J103" s="311">
        <v>39</v>
      </c>
      <c r="K103" s="309" t="s">
        <v>7480</v>
      </c>
      <c r="L103" s="333" t="s">
        <v>293</v>
      </c>
      <c r="Q103" s="311">
        <v>33</v>
      </c>
      <c r="R103" s="309" t="s">
        <v>7519</v>
      </c>
      <c r="S103" s="333" t="s">
        <v>7499</v>
      </c>
      <c r="W103" s="311">
        <v>2</v>
      </c>
      <c r="X103" s="369" t="s">
        <v>7693</v>
      </c>
      <c r="Y103" s="368" t="s">
        <v>590</v>
      </c>
    </row>
    <row r="104" spans="3:25" ht="14.25" customHeight="1" thickBot="1">
      <c r="C104" s="315" t="s">
        <v>7345</v>
      </c>
      <c r="F104" s="311">
        <v>16</v>
      </c>
      <c r="G104" s="309"/>
      <c r="H104" s="309"/>
      <c r="J104" s="311">
        <v>40</v>
      </c>
      <c r="K104" s="309" t="s">
        <v>7481</v>
      </c>
      <c r="L104" s="333" t="s">
        <v>293</v>
      </c>
      <c r="Q104" s="311">
        <v>34</v>
      </c>
      <c r="R104" s="309" t="s">
        <v>7520</v>
      </c>
      <c r="S104" s="333" t="s">
        <v>7499</v>
      </c>
      <c r="W104" s="312">
        <v>3</v>
      </c>
      <c r="X104" s="369" t="s">
        <v>7693</v>
      </c>
      <c r="Y104" s="370" t="s">
        <v>590</v>
      </c>
    </row>
    <row r="105" spans="3:25" ht="14.25" customHeight="1" thickBot="1">
      <c r="C105" s="315" t="s">
        <v>7346</v>
      </c>
      <c r="F105" s="312">
        <v>17</v>
      </c>
      <c r="G105" s="310"/>
      <c r="H105" s="310"/>
      <c r="J105" s="311">
        <v>41</v>
      </c>
      <c r="K105" s="309" t="s">
        <v>7484</v>
      </c>
      <c r="L105" s="333" t="s">
        <v>293</v>
      </c>
      <c r="Q105" s="311">
        <v>35</v>
      </c>
      <c r="R105" s="309" t="s">
        <v>7521</v>
      </c>
      <c r="S105" s="333" t="s">
        <v>7499</v>
      </c>
      <c r="W105">
        <v>41</v>
      </c>
      <c r="X105" t="s">
        <v>7484</v>
      </c>
      <c r="Y105" s="362" t="s">
        <v>6893</v>
      </c>
    </row>
    <row r="106" spans="3:25" ht="14.25" customHeight="1">
      <c r="C106" s="315" t="s">
        <v>7347</v>
      </c>
      <c r="F106" s="750" t="s">
        <v>7538</v>
      </c>
      <c r="G106" s="751"/>
      <c r="H106" s="752"/>
      <c r="J106" s="311">
        <v>42</v>
      </c>
      <c r="K106" s="309" t="s">
        <v>7485</v>
      </c>
      <c r="L106" s="333" t="s">
        <v>293</v>
      </c>
      <c r="Q106" s="311">
        <v>36</v>
      </c>
      <c r="R106" s="309" t="s">
        <v>7522</v>
      </c>
      <c r="S106" s="333" t="s">
        <v>7499</v>
      </c>
      <c r="W106">
        <v>42</v>
      </c>
      <c r="X106" t="s">
        <v>7485</v>
      </c>
      <c r="Y106" s="362" t="s">
        <v>6893</v>
      </c>
    </row>
    <row r="107" spans="3:25" ht="14.25" customHeight="1">
      <c r="C107" s="315" t="s">
        <v>7348</v>
      </c>
      <c r="F107" s="748"/>
      <c r="G107" s="747"/>
      <c r="H107" s="749"/>
      <c r="J107" s="311">
        <v>43</v>
      </c>
      <c r="K107" s="309" t="s">
        <v>7486</v>
      </c>
      <c r="L107" s="333" t="s">
        <v>293</v>
      </c>
      <c r="Q107" s="311">
        <v>37</v>
      </c>
      <c r="R107" s="309" t="s">
        <v>7523</v>
      </c>
      <c r="S107" s="333" t="s">
        <v>7499</v>
      </c>
      <c r="W107">
        <v>43</v>
      </c>
      <c r="X107" t="s">
        <v>7486</v>
      </c>
      <c r="Y107" s="362" t="s">
        <v>6893</v>
      </c>
    </row>
    <row r="108" spans="3:25" ht="14.25" customHeight="1" thickBot="1">
      <c r="C108" s="317" t="s">
        <v>7349</v>
      </c>
      <c r="F108" s="311">
        <v>40</v>
      </c>
      <c r="G108" s="309" t="s">
        <v>7539</v>
      </c>
      <c r="H108" s="309" t="s">
        <v>2388</v>
      </c>
      <c r="J108" s="311">
        <v>44</v>
      </c>
      <c r="K108" s="309" t="s">
        <v>7482</v>
      </c>
      <c r="L108" s="333" t="s">
        <v>293</v>
      </c>
      <c r="Q108" s="311">
        <v>38</v>
      </c>
      <c r="R108" s="309" t="s">
        <v>7524</v>
      </c>
      <c r="S108" s="333" t="s">
        <v>7499</v>
      </c>
      <c r="W108">
        <v>44</v>
      </c>
      <c r="X108" t="s">
        <v>7482</v>
      </c>
      <c r="Y108" s="362" t="s">
        <v>6893</v>
      </c>
    </row>
    <row r="109" spans="3:25" ht="14.25" customHeight="1">
      <c r="C109" s="321" t="s">
        <v>7394</v>
      </c>
      <c r="D109" s="595"/>
      <c r="F109" s="311">
        <v>41</v>
      </c>
      <c r="G109" s="309" t="s">
        <v>7540</v>
      </c>
      <c r="H109" s="309" t="s">
        <v>2388</v>
      </c>
      <c r="J109" s="311">
        <v>45</v>
      </c>
      <c r="K109" s="309" t="s">
        <v>7483</v>
      </c>
      <c r="L109" s="333" t="s">
        <v>293</v>
      </c>
      <c r="Q109" s="311">
        <v>39</v>
      </c>
      <c r="R109" s="309" t="s">
        <v>7517</v>
      </c>
      <c r="S109" s="333" t="s">
        <v>7499</v>
      </c>
      <c r="W109">
        <v>45</v>
      </c>
      <c r="X109" t="s">
        <v>7483</v>
      </c>
      <c r="Y109" s="362" t="s">
        <v>6893</v>
      </c>
    </row>
    <row r="110" spans="3:25" ht="14.25" customHeight="1">
      <c r="F110" s="311">
        <v>42</v>
      </c>
      <c r="G110" s="309" t="s">
        <v>7540</v>
      </c>
      <c r="H110" s="309" t="s">
        <v>2388</v>
      </c>
      <c r="J110" s="311">
        <v>46</v>
      </c>
      <c r="K110" s="309" t="s">
        <v>7487</v>
      </c>
      <c r="L110" s="333" t="s">
        <v>293</v>
      </c>
      <c r="Q110" s="311">
        <v>40</v>
      </c>
      <c r="R110" s="309" t="s">
        <v>7516</v>
      </c>
      <c r="S110" s="333" t="s">
        <v>7499</v>
      </c>
      <c r="W110">
        <v>46</v>
      </c>
      <c r="X110" t="s">
        <v>7487</v>
      </c>
      <c r="Y110" s="362" t="s">
        <v>6893</v>
      </c>
    </row>
    <row r="111" spans="3:25" ht="14.25" customHeight="1">
      <c r="F111" s="748" t="s">
        <v>7676</v>
      </c>
      <c r="G111" s="747"/>
      <c r="H111" s="749"/>
      <c r="J111" s="311">
        <v>47</v>
      </c>
      <c r="K111" s="309" t="s">
        <v>7488</v>
      </c>
      <c r="L111" s="333" t="s">
        <v>293</v>
      </c>
      <c r="Q111" s="311">
        <v>41</v>
      </c>
      <c r="R111" s="309" t="s">
        <v>7515</v>
      </c>
      <c r="S111" s="333" t="s">
        <v>7499</v>
      </c>
      <c r="W111">
        <v>47</v>
      </c>
      <c r="X111" t="s">
        <v>7488</v>
      </c>
      <c r="Y111" s="362" t="s">
        <v>6893</v>
      </c>
    </row>
    <row r="112" spans="3:25" ht="14.25" customHeight="1">
      <c r="F112" s="748"/>
      <c r="G112" s="747"/>
      <c r="H112" s="749"/>
      <c r="J112" s="311">
        <v>48</v>
      </c>
      <c r="K112" s="309" t="s">
        <v>7489</v>
      </c>
      <c r="L112" s="333" t="s">
        <v>293</v>
      </c>
      <c r="Q112" s="311">
        <v>42</v>
      </c>
      <c r="R112" s="309" t="s">
        <v>7514</v>
      </c>
      <c r="S112" s="333" t="s">
        <v>7499</v>
      </c>
      <c r="W112">
        <v>48</v>
      </c>
      <c r="X112" t="s">
        <v>7489</v>
      </c>
      <c r="Y112" s="362" t="s">
        <v>6893</v>
      </c>
    </row>
    <row r="113" spans="3:40" ht="14.25" customHeight="1">
      <c r="F113" s="311">
        <v>2</v>
      </c>
      <c r="G113" s="309" t="s">
        <v>7677</v>
      </c>
      <c r="H113" s="351" t="s">
        <v>7227</v>
      </c>
      <c r="J113" s="311">
        <v>49</v>
      </c>
      <c r="K113" s="309" t="s">
        <v>7490</v>
      </c>
      <c r="L113" s="333" t="s">
        <v>293</v>
      </c>
      <c r="Q113" s="311">
        <v>43</v>
      </c>
      <c r="R113" s="309" t="s">
        <v>7513</v>
      </c>
      <c r="S113" s="333" t="s">
        <v>7499</v>
      </c>
      <c r="W113">
        <v>49</v>
      </c>
      <c r="X113" t="s">
        <v>7490</v>
      </c>
      <c r="Y113" s="362" t="s">
        <v>6893</v>
      </c>
    </row>
    <row r="114" spans="3:40" ht="14.25" customHeight="1">
      <c r="E114" s="332"/>
      <c r="F114" s="330">
        <v>3</v>
      </c>
      <c r="G114" s="309" t="s">
        <v>7678</v>
      </c>
      <c r="H114" s="351" t="s">
        <v>7227</v>
      </c>
      <c r="J114" s="311">
        <v>50</v>
      </c>
      <c r="K114" s="309" t="s">
        <v>7491</v>
      </c>
      <c r="L114" s="333" t="s">
        <v>293</v>
      </c>
      <c r="Q114" s="311">
        <v>44</v>
      </c>
      <c r="R114" s="309" t="s">
        <v>7512</v>
      </c>
      <c r="S114" s="333" t="s">
        <v>7499</v>
      </c>
      <c r="W114">
        <v>50</v>
      </c>
      <c r="X114" t="s">
        <v>7491</v>
      </c>
      <c r="Y114" s="362" t="s">
        <v>6893</v>
      </c>
    </row>
    <row r="115" spans="3:40" ht="14.25" customHeight="1">
      <c r="F115" s="311">
        <v>4</v>
      </c>
      <c r="G115" s="309" t="s">
        <v>7679</v>
      </c>
      <c r="H115" s="351" t="s">
        <v>7227</v>
      </c>
      <c r="J115" s="311">
        <v>51</v>
      </c>
      <c r="K115" s="309" t="s">
        <v>7492</v>
      </c>
      <c r="L115" s="333" t="s">
        <v>293</v>
      </c>
      <c r="Q115" s="311">
        <v>0</v>
      </c>
      <c r="R115" s="309"/>
      <c r="S115" s="333"/>
      <c r="W115">
        <v>51</v>
      </c>
      <c r="X115" t="s">
        <v>7492</v>
      </c>
      <c r="Y115" s="362" t="s">
        <v>6893</v>
      </c>
    </row>
    <row r="116" spans="3:40" ht="14.25" customHeight="1">
      <c r="F116" s="311">
        <v>5</v>
      </c>
      <c r="G116" s="309" t="s">
        <v>7680</v>
      </c>
      <c r="H116" s="351" t="s">
        <v>7227</v>
      </c>
      <c r="J116" s="311">
        <v>52</v>
      </c>
      <c r="K116" s="309" t="s">
        <v>7493</v>
      </c>
      <c r="L116" s="333" t="s">
        <v>293</v>
      </c>
      <c r="Q116" s="311">
        <v>0</v>
      </c>
      <c r="R116" s="309"/>
      <c r="S116" s="333"/>
      <c r="W116">
        <v>52</v>
      </c>
      <c r="X116" t="s">
        <v>7493</v>
      </c>
      <c r="Y116" s="362" t="s">
        <v>6893</v>
      </c>
    </row>
    <row r="117" spans="3:40" ht="14.25" customHeight="1">
      <c r="F117" s="311"/>
      <c r="G117" s="309"/>
      <c r="H117" s="315"/>
      <c r="J117" s="311">
        <v>53</v>
      </c>
      <c r="K117" s="309" t="s">
        <v>7494</v>
      </c>
      <c r="L117" s="333" t="s">
        <v>293</v>
      </c>
      <c r="Q117" s="311">
        <v>0</v>
      </c>
      <c r="R117" s="309"/>
      <c r="S117" s="333"/>
      <c r="W117">
        <v>53</v>
      </c>
      <c r="X117" t="s">
        <v>7494</v>
      </c>
      <c r="Y117" s="362" t="s">
        <v>6893</v>
      </c>
    </row>
    <row r="118" spans="3:40" ht="14.25" customHeight="1">
      <c r="F118" s="748" t="s">
        <v>7712</v>
      </c>
      <c r="G118" s="747"/>
      <c r="H118" s="749"/>
      <c r="J118" s="311">
        <v>54</v>
      </c>
      <c r="K118" s="309"/>
      <c r="L118" s="333"/>
      <c r="Q118" s="311">
        <v>0</v>
      </c>
      <c r="R118" s="309"/>
      <c r="S118" s="333"/>
      <c r="W118">
        <v>54</v>
      </c>
      <c r="Y118" s="362" t="s">
        <v>6893</v>
      </c>
    </row>
    <row r="119" spans="3:40" ht="14.25" customHeight="1" thickBot="1">
      <c r="C119" s="586" t="s">
        <v>8379</v>
      </c>
      <c r="D119" s="586" t="s">
        <v>8380</v>
      </c>
      <c r="E119" s="586" t="s">
        <v>8381</v>
      </c>
      <c r="F119" s="748"/>
      <c r="G119" s="747"/>
      <c r="H119" s="749"/>
      <c r="J119" s="312">
        <v>55</v>
      </c>
      <c r="K119" s="310"/>
      <c r="L119" s="334"/>
      <c r="Q119" s="312">
        <v>0</v>
      </c>
      <c r="R119" s="310"/>
      <c r="S119" s="334"/>
      <c r="W119">
        <v>55</v>
      </c>
    </row>
    <row r="120" spans="3:40" ht="14.25" customHeight="1">
      <c r="C120" s="590" t="s">
        <v>8301</v>
      </c>
      <c r="D120" s="587">
        <v>46242</v>
      </c>
      <c r="E120" s="587">
        <v>46248</v>
      </c>
      <c r="F120" s="330">
        <v>60</v>
      </c>
      <c r="H120" s="379" t="s">
        <v>7111</v>
      </c>
      <c r="K120" s="331"/>
      <c r="L120" s="331"/>
    </row>
    <row r="121" spans="3:40" ht="14.25" customHeight="1">
      <c r="C121" s="315" t="s">
        <v>8304</v>
      </c>
      <c r="D121" s="588">
        <v>46242</v>
      </c>
      <c r="E121" s="597" t="s">
        <v>5895</v>
      </c>
      <c r="F121" s="330">
        <v>61</v>
      </c>
      <c r="H121" s="379" t="s">
        <v>7111</v>
      </c>
    </row>
    <row r="122" spans="3:40" ht="14.25" customHeight="1">
      <c r="C122" s="315" t="s">
        <v>8346</v>
      </c>
      <c r="D122" s="588">
        <v>46246</v>
      </c>
      <c r="E122" s="588">
        <v>46248</v>
      </c>
      <c r="F122" s="330">
        <v>62</v>
      </c>
      <c r="H122" s="379" t="s">
        <v>7111</v>
      </c>
    </row>
    <row r="123" spans="3:40" ht="14.25" customHeight="1">
      <c r="C123" s="315" t="s">
        <v>8348</v>
      </c>
      <c r="D123" s="588">
        <v>46246</v>
      </c>
      <c r="E123" s="588">
        <v>46248</v>
      </c>
      <c r="F123" s="330">
        <v>63</v>
      </c>
      <c r="H123" s="379" t="s">
        <v>7111</v>
      </c>
    </row>
    <row r="124" spans="3:40" ht="14.25" customHeight="1">
      <c r="C124" s="315" t="s">
        <v>8350</v>
      </c>
      <c r="D124" s="588">
        <v>46246</v>
      </c>
      <c r="E124" s="588">
        <v>46248</v>
      </c>
      <c r="F124" s="330">
        <v>64</v>
      </c>
      <c r="H124" s="379" t="s">
        <v>7111</v>
      </c>
    </row>
    <row r="125" spans="3:40" ht="14.25" customHeight="1">
      <c r="C125" s="315" t="s">
        <v>8352</v>
      </c>
      <c r="D125" s="588">
        <v>46245</v>
      </c>
      <c r="E125" s="588">
        <v>46249</v>
      </c>
      <c r="F125" s="330">
        <v>65</v>
      </c>
      <c r="H125" s="379" t="s">
        <v>7111</v>
      </c>
    </row>
    <row r="126" spans="3:40" ht="14.25" customHeight="1">
      <c r="C126" s="315" t="s">
        <v>8356</v>
      </c>
      <c r="D126" s="588">
        <v>46244</v>
      </c>
      <c r="E126" s="588">
        <v>46248</v>
      </c>
      <c r="F126" s="330">
        <v>66</v>
      </c>
      <c r="H126" s="379" t="s">
        <v>7111</v>
      </c>
    </row>
    <row r="127" spans="3:40" ht="14.25" customHeight="1">
      <c r="C127" s="315" t="s">
        <v>8372</v>
      </c>
      <c r="D127" s="588">
        <v>46247</v>
      </c>
      <c r="E127" s="588">
        <v>46249</v>
      </c>
      <c r="F127" s="330">
        <v>67</v>
      </c>
      <c r="H127" s="379" t="s">
        <v>7111</v>
      </c>
    </row>
    <row r="128" spans="3:40" ht="14.25" customHeight="1">
      <c r="C128" s="315" t="s">
        <v>8374</v>
      </c>
      <c r="D128" s="588">
        <v>46247</v>
      </c>
      <c r="E128" s="588">
        <v>46249</v>
      </c>
      <c r="F128" s="747" t="s">
        <v>7496</v>
      </c>
      <c r="G128" s="747"/>
      <c r="H128" s="747"/>
      <c r="I128" s="341"/>
      <c r="J128" s="341"/>
      <c r="K128" s="341"/>
      <c r="L128" s="341"/>
      <c r="M128" s="341"/>
      <c r="N128" s="341"/>
      <c r="O128" s="341"/>
      <c r="P128" s="341"/>
      <c r="Q128" s="341"/>
      <c r="R128" s="341"/>
      <c r="S128" s="341"/>
      <c r="T128" s="341"/>
      <c r="U128" s="341"/>
      <c r="V128" s="341"/>
      <c r="W128" s="341"/>
      <c r="X128" s="341"/>
      <c r="Y128" s="341"/>
      <c r="Z128" s="341"/>
      <c r="AA128" s="341"/>
      <c r="AB128" s="341"/>
      <c r="AC128" s="341"/>
      <c r="AD128" s="341"/>
      <c r="AE128" s="341"/>
      <c r="AF128" s="341"/>
      <c r="AG128" s="341"/>
      <c r="AH128" s="341"/>
      <c r="AI128" s="341"/>
      <c r="AJ128" s="341"/>
      <c r="AK128" s="341"/>
      <c r="AL128" s="341"/>
      <c r="AM128" s="341"/>
      <c r="AN128" s="341"/>
    </row>
    <row r="129" spans="3:40" ht="14.25" customHeight="1">
      <c r="C129" s="315" t="s">
        <v>8376</v>
      </c>
      <c r="D129" s="588">
        <v>46248</v>
      </c>
      <c r="E129" s="588">
        <v>46249</v>
      </c>
      <c r="F129" s="747"/>
      <c r="G129" s="747"/>
      <c r="H129" s="747"/>
      <c r="I129" s="342"/>
      <c r="J129" s="342"/>
      <c r="K129" s="342"/>
      <c r="L129" s="342"/>
      <c r="M129" s="342"/>
      <c r="N129" s="342"/>
      <c r="O129" s="342"/>
      <c r="P129" s="342"/>
      <c r="Q129" s="342"/>
      <c r="R129" s="342"/>
      <c r="S129" s="342"/>
      <c r="T129" s="342"/>
      <c r="U129" s="342"/>
      <c r="V129" s="342"/>
      <c r="W129" s="342"/>
      <c r="X129" s="342"/>
      <c r="Y129" s="342"/>
      <c r="Z129" s="342"/>
      <c r="AA129" s="342"/>
      <c r="AB129" s="342"/>
      <c r="AC129" s="342"/>
      <c r="AD129" s="342"/>
      <c r="AE129" s="342"/>
      <c r="AF129" s="342"/>
      <c r="AG129" s="342"/>
      <c r="AH129" s="342"/>
      <c r="AI129" s="342"/>
      <c r="AJ129" s="342"/>
      <c r="AK129" s="342"/>
      <c r="AL129" s="342"/>
      <c r="AM129" s="342"/>
      <c r="AN129" s="342"/>
    </row>
    <row r="130" spans="3:40" ht="14.25" customHeight="1" thickBot="1">
      <c r="C130" s="317"/>
      <c r="D130" s="596"/>
      <c r="E130" s="589"/>
      <c r="F130" s="330">
        <v>15</v>
      </c>
      <c r="H130" s="343" t="s">
        <v>7713</v>
      </c>
      <c r="I130" s="343"/>
      <c r="J130" s="343"/>
      <c r="K130" s="343"/>
      <c r="L130" s="343"/>
      <c r="M130" s="343"/>
      <c r="N130" s="343"/>
      <c r="O130" s="343"/>
      <c r="P130" s="343"/>
      <c r="Q130" s="343"/>
      <c r="R130" s="343"/>
      <c r="S130" s="343"/>
      <c r="T130" s="343"/>
      <c r="U130" s="343"/>
      <c r="V130" s="343"/>
      <c r="W130" s="343"/>
      <c r="X130" s="343"/>
      <c r="Y130" s="343"/>
      <c r="Z130" s="343"/>
      <c r="AA130" s="343"/>
      <c r="AB130" s="343"/>
      <c r="AC130" s="343"/>
      <c r="AD130" s="343"/>
      <c r="AE130" s="343"/>
      <c r="AF130" s="343"/>
      <c r="AG130" s="343"/>
      <c r="AH130" s="343"/>
      <c r="AI130" s="343"/>
      <c r="AJ130" s="343"/>
      <c r="AK130" s="343"/>
      <c r="AL130" s="343"/>
      <c r="AM130" s="343"/>
      <c r="AN130" s="343"/>
    </row>
    <row r="131" spans="3:40" ht="14.25" customHeight="1">
      <c r="H131" s="343"/>
      <c r="I131" s="343"/>
      <c r="J131" s="343"/>
      <c r="K131" s="343"/>
      <c r="L131" s="343"/>
      <c r="M131" s="343"/>
      <c r="N131" s="343"/>
      <c r="O131" s="343"/>
      <c r="P131" s="343"/>
      <c r="Q131" s="343"/>
      <c r="R131" s="343"/>
      <c r="S131" s="343"/>
      <c r="T131" s="343"/>
      <c r="U131" s="343"/>
      <c r="V131" s="343"/>
      <c r="W131" s="343"/>
      <c r="X131" s="343"/>
      <c r="Y131" s="343"/>
      <c r="Z131" s="343"/>
      <c r="AA131" s="343"/>
      <c r="AB131" s="343"/>
      <c r="AC131" s="343"/>
      <c r="AD131" s="343"/>
      <c r="AE131" s="343"/>
      <c r="AF131" s="343"/>
      <c r="AG131" s="343"/>
      <c r="AH131" s="343"/>
      <c r="AI131" s="343"/>
      <c r="AJ131" s="343"/>
      <c r="AK131" s="343"/>
      <c r="AL131" s="343"/>
      <c r="AM131" s="343"/>
      <c r="AN131" s="343"/>
    </row>
    <row r="132" spans="3:40" ht="14.25" customHeight="1"/>
    <row r="133" spans="3:40" ht="14.25" customHeight="1"/>
    <row r="134" spans="3:40" ht="14.25" customHeight="1"/>
    <row r="135" spans="3:40" ht="14.25" customHeight="1"/>
    <row r="136" spans="3:40" ht="14.25" customHeight="1"/>
    <row r="137" spans="3:40" ht="14.25" customHeight="1">
      <c r="D137" s="413"/>
      <c r="E137" s="413"/>
    </row>
    <row r="138" spans="3:40" ht="14.25" customHeight="1">
      <c r="D138" s="413"/>
      <c r="E138" s="413"/>
    </row>
    <row r="139" spans="3:40" ht="14.25" customHeight="1" thickBot="1">
      <c r="D139" s="413"/>
      <c r="E139" s="413"/>
    </row>
    <row r="140" spans="3:40" ht="14.25" customHeight="1" thickBot="1">
      <c r="C140" s="745" t="s">
        <v>8423</v>
      </c>
      <c r="D140" s="746"/>
      <c r="E140" s="413"/>
    </row>
    <row r="141" spans="3:40" ht="14.25" customHeight="1" thickBot="1">
      <c r="C141" s="314" t="s">
        <v>1</v>
      </c>
      <c r="D141" s="609" t="s">
        <v>8422</v>
      </c>
      <c r="E141" s="413"/>
    </row>
    <row r="142" spans="3:40" ht="14.25" customHeight="1">
      <c r="C142" s="606" t="s">
        <v>8421</v>
      </c>
      <c r="D142" s="610">
        <v>149</v>
      </c>
    </row>
    <row r="143" spans="3:40" ht="14.25" customHeight="1">
      <c r="C143" s="607" t="s">
        <v>8419</v>
      </c>
      <c r="D143" s="611">
        <v>119</v>
      </c>
    </row>
    <row r="144" spans="3:40" ht="14.25" customHeight="1">
      <c r="C144" s="607" t="s">
        <v>8424</v>
      </c>
      <c r="D144" s="611">
        <v>30</v>
      </c>
    </row>
    <row r="145" spans="3:4" ht="14.25" customHeight="1" thickBot="1">
      <c r="C145" s="608" t="s">
        <v>8420</v>
      </c>
      <c r="D145" s="612">
        <v>46</v>
      </c>
    </row>
    <row r="146" spans="3:4" ht="14.25" customHeight="1"/>
    <row r="147" spans="3:4" ht="14.25" customHeight="1"/>
    <row r="148" spans="3:4" ht="14.25" customHeight="1"/>
    <row r="149" spans="3:4" ht="14.25" customHeight="1"/>
    <row r="150" spans="3:4" ht="14.25" customHeight="1"/>
    <row r="151" spans="3:4" ht="14.25" customHeight="1"/>
    <row r="152" spans="3:4" ht="14.25" customHeight="1"/>
    <row r="153" spans="3:4" ht="14.25" customHeight="1"/>
    <row r="154" spans="3:4" ht="14.25" customHeight="1"/>
    <row r="155" spans="3:4" ht="14.25" customHeight="1"/>
    <row r="156" spans="3:4" ht="14.25" customHeight="1"/>
    <row r="157" spans="3:4" ht="14.25" customHeight="1"/>
    <row r="158" spans="3:4" ht="14.25" customHeight="1"/>
    <row r="159" spans="3:4" ht="14.25" customHeight="1"/>
    <row r="160" spans="3:4"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sheetData>
  <autoFilter ref="B17:G41" xr:uid="{00000000-0001-0000-0400-000000000000}">
    <filterColumn colId="3">
      <customFilters>
        <customFilter operator="notEqual" val=" "/>
      </customFilters>
    </filterColumn>
  </autoFilter>
  <mergeCells count="12">
    <mergeCell ref="Q87:S88"/>
    <mergeCell ref="W87:Y88"/>
    <mergeCell ref="W100:Y101"/>
    <mergeCell ref="B15:C15"/>
    <mergeCell ref="C43:F43"/>
    <mergeCell ref="C140:D140"/>
    <mergeCell ref="F128:H129"/>
    <mergeCell ref="F111:H112"/>
    <mergeCell ref="F106:H107"/>
    <mergeCell ref="J87:L88"/>
    <mergeCell ref="F87:H88"/>
    <mergeCell ref="F118:H119"/>
  </mergeCells>
  <phoneticPr fontId="57" type="noConversion"/>
  <printOptions gridLines="1"/>
  <pageMargins left="1" right="1" top="1" bottom="1" header="0.5" footer="0.5"/>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51F2-9202-4A81-9DE4-16DE88BB3CDE}">
  <dimension ref="B2:AW32"/>
  <sheetViews>
    <sheetView workbookViewId="0">
      <selection activeCell="AC33" sqref="AC33"/>
    </sheetView>
  </sheetViews>
  <sheetFormatPr defaultRowHeight="14.4"/>
  <cols>
    <col min="3" max="5" width="3.44140625" bestFit="1" customWidth="1"/>
    <col min="6" max="7" width="2" bestFit="1" customWidth="1"/>
    <col min="8" max="9" width="3.44140625" bestFit="1" customWidth="1"/>
    <col min="10" max="10" width="2" bestFit="1" customWidth="1"/>
    <col min="11" max="13" width="3.44140625" bestFit="1" customWidth="1"/>
    <col min="14" max="14" width="3.5546875" bestFit="1" customWidth="1"/>
    <col min="15" max="15" width="3" bestFit="1" customWidth="1"/>
    <col min="16" max="16" width="3.44140625" bestFit="1" customWidth="1"/>
    <col min="17" max="17" width="4.33203125" customWidth="1"/>
    <col min="18" max="18" width="3.5546875" bestFit="1" customWidth="1"/>
    <col min="19" max="19" width="3.44140625" bestFit="1" customWidth="1"/>
    <col min="20" max="21" width="3" bestFit="1" customWidth="1"/>
    <col min="22" max="23" width="3.5546875" bestFit="1" customWidth="1"/>
    <col min="24" max="24" width="3.44140625" bestFit="1" customWidth="1"/>
    <col min="25" max="25" width="3.5546875" bestFit="1" customWidth="1"/>
    <col min="26" max="26" width="3" bestFit="1" customWidth="1"/>
    <col min="27" max="30" width="3.44140625" bestFit="1" customWidth="1"/>
    <col min="31" max="31" width="3.5546875" bestFit="1" customWidth="1"/>
    <col min="32" max="32" width="3" bestFit="1" customWidth="1"/>
    <col min="33" max="33" width="3.44140625" bestFit="1" customWidth="1"/>
    <col min="34" max="34" width="8.6640625" bestFit="1" customWidth="1"/>
    <col min="35" max="35" width="9.109375" customWidth="1"/>
    <col min="36" max="36" width="6.88671875" customWidth="1"/>
    <col min="37" max="37" width="8.21875" customWidth="1"/>
    <col min="38" max="38" width="5.21875" customWidth="1"/>
    <col min="39" max="39" width="7" customWidth="1"/>
    <col min="40" max="40" width="5.21875" customWidth="1"/>
    <col min="41" max="48" width="5.21875" bestFit="1" customWidth="1"/>
    <col min="49" max="49" width="10.6640625" bestFit="1" customWidth="1"/>
  </cols>
  <sheetData>
    <row r="2" spans="2:33">
      <c r="B2" s="409" t="s">
        <v>8003</v>
      </c>
      <c r="C2" s="410"/>
      <c r="D2" s="410"/>
      <c r="E2" s="410"/>
      <c r="F2" s="410"/>
      <c r="G2" s="410"/>
      <c r="H2" s="410"/>
      <c r="I2" s="410"/>
      <c r="J2" s="410"/>
      <c r="K2" s="410"/>
      <c r="L2" s="410"/>
      <c r="M2" s="410"/>
      <c r="N2" s="410"/>
      <c r="O2" s="410"/>
      <c r="P2" s="410"/>
      <c r="Q2" s="410"/>
      <c r="R2" s="410"/>
      <c r="S2" s="410"/>
      <c r="T2" s="410"/>
      <c r="U2" s="410"/>
      <c r="V2" s="410"/>
      <c r="W2" s="410"/>
      <c r="X2" s="410"/>
      <c r="Y2" s="410"/>
      <c r="Z2" s="410"/>
      <c r="AA2" s="410"/>
      <c r="AB2" s="410"/>
      <c r="AC2" s="410"/>
      <c r="AD2" s="410"/>
      <c r="AE2" s="410"/>
      <c r="AF2" s="410"/>
      <c r="AG2" s="410"/>
    </row>
    <row r="3" spans="2:33">
      <c r="B3" s="338" t="s">
        <v>7628</v>
      </c>
      <c r="C3" s="338">
        <v>1</v>
      </c>
      <c r="D3" s="338">
        <v>2</v>
      </c>
      <c r="E3" s="338">
        <v>3</v>
      </c>
      <c r="F3" s="338">
        <v>4</v>
      </c>
      <c r="G3" s="338">
        <v>5</v>
      </c>
      <c r="H3" s="338">
        <v>6</v>
      </c>
      <c r="I3" s="338">
        <v>7</v>
      </c>
      <c r="J3" s="338">
        <v>8</v>
      </c>
      <c r="K3" s="338">
        <v>9</v>
      </c>
      <c r="L3" s="338">
        <v>10</v>
      </c>
      <c r="M3" s="338">
        <v>11</v>
      </c>
      <c r="N3" s="338">
        <v>12</v>
      </c>
      <c r="O3" s="338">
        <v>13</v>
      </c>
      <c r="P3" s="338">
        <v>14</v>
      </c>
      <c r="Q3" s="338">
        <v>15</v>
      </c>
      <c r="R3" s="338">
        <v>16</v>
      </c>
      <c r="S3" s="338">
        <v>17</v>
      </c>
      <c r="T3" s="338">
        <v>18</v>
      </c>
      <c r="U3" s="338">
        <v>19</v>
      </c>
      <c r="V3" s="338">
        <v>20</v>
      </c>
      <c r="W3" s="338">
        <v>21</v>
      </c>
      <c r="X3" s="338">
        <v>22</v>
      </c>
      <c r="Y3" s="338">
        <v>23</v>
      </c>
      <c r="Z3" s="338">
        <v>24</v>
      </c>
      <c r="AA3" s="338">
        <v>25</v>
      </c>
      <c r="AB3" s="338">
        <v>26</v>
      </c>
      <c r="AC3" s="338">
        <v>27</v>
      </c>
      <c r="AD3" s="338">
        <v>28</v>
      </c>
      <c r="AE3" s="338">
        <v>29</v>
      </c>
      <c r="AF3" s="338">
        <v>30</v>
      </c>
      <c r="AG3" s="338">
        <v>31</v>
      </c>
    </row>
    <row r="4" spans="2:33">
      <c r="B4" s="338" t="s">
        <v>7662</v>
      </c>
      <c r="C4" s="340" t="s">
        <v>8000</v>
      </c>
      <c r="D4" s="347" t="s">
        <v>8000</v>
      </c>
      <c r="E4" s="340" t="s">
        <v>8000</v>
      </c>
      <c r="F4" s="406" t="s">
        <v>8001</v>
      </c>
      <c r="G4" s="339" t="s">
        <v>8001</v>
      </c>
      <c r="H4" s="407" t="s">
        <v>8000</v>
      </c>
      <c r="I4" s="407" t="s">
        <v>8000</v>
      </c>
      <c r="J4" s="406" t="s">
        <v>8001</v>
      </c>
      <c r="K4" s="340" t="s">
        <v>8000</v>
      </c>
      <c r="L4" s="340" t="s">
        <v>8000</v>
      </c>
      <c r="M4" s="340" t="s">
        <v>8000</v>
      </c>
      <c r="N4" s="408" t="s">
        <v>8000</v>
      </c>
      <c r="O4" s="406" t="s">
        <v>8001</v>
      </c>
      <c r="P4" s="340" t="s">
        <v>8000</v>
      </c>
      <c r="Q4" s="340" t="s">
        <v>8000</v>
      </c>
      <c r="R4" s="408" t="s">
        <v>8000</v>
      </c>
      <c r="S4" s="340" t="s">
        <v>8000</v>
      </c>
      <c r="T4" s="406" t="s">
        <v>8001</v>
      </c>
      <c r="U4" s="406" t="s">
        <v>8001</v>
      </c>
      <c r="V4" s="408" t="s">
        <v>8000</v>
      </c>
      <c r="W4" s="408" t="s">
        <v>8000</v>
      </c>
      <c r="X4" s="340" t="s">
        <v>8000</v>
      </c>
      <c r="Y4" s="340" t="s">
        <v>8002</v>
      </c>
      <c r="Z4" s="339" t="s">
        <v>8001</v>
      </c>
      <c r="AA4" s="340" t="s">
        <v>8000</v>
      </c>
      <c r="AB4" s="340" t="s">
        <v>8000</v>
      </c>
      <c r="AC4" s="340" t="s">
        <v>8000</v>
      </c>
      <c r="AD4" s="340" t="s">
        <v>8000</v>
      </c>
      <c r="AE4" s="340" t="s">
        <v>8002</v>
      </c>
      <c r="AF4" s="339" t="s">
        <v>8001</v>
      </c>
      <c r="AG4" s="411" t="s">
        <v>8000</v>
      </c>
    </row>
    <row r="7" spans="2:33">
      <c r="G7" s="560" t="s">
        <v>7979</v>
      </c>
      <c r="H7" s="560"/>
      <c r="I7" s="560"/>
      <c r="J7" s="560"/>
      <c r="K7" s="560"/>
      <c r="L7" s="560"/>
      <c r="M7" s="560"/>
      <c r="N7" s="560"/>
      <c r="O7" s="560"/>
      <c r="P7" s="560"/>
      <c r="Q7" s="560"/>
      <c r="R7" s="560"/>
      <c r="S7" s="560"/>
      <c r="T7" s="560"/>
      <c r="U7" s="560"/>
      <c r="V7" s="560"/>
      <c r="W7" s="560"/>
      <c r="X7" s="560"/>
      <c r="Y7" s="560"/>
      <c r="Z7" s="560"/>
      <c r="AA7" s="560"/>
      <c r="AB7" s="560"/>
    </row>
    <row r="8" spans="2:33">
      <c r="G8" s="560"/>
      <c r="H8" s="560"/>
      <c r="I8" s="560"/>
      <c r="J8" s="560"/>
      <c r="K8" s="560"/>
      <c r="L8" s="560"/>
      <c r="M8" s="560"/>
      <c r="N8" s="560"/>
      <c r="O8" s="560"/>
      <c r="P8" s="560"/>
      <c r="Q8" s="560"/>
      <c r="R8" s="560"/>
      <c r="S8" s="560"/>
      <c r="T8" s="560"/>
      <c r="U8" s="560"/>
      <c r="V8" s="560"/>
      <c r="W8" s="560"/>
      <c r="X8" s="560"/>
      <c r="Y8" s="560"/>
      <c r="Z8" s="560"/>
      <c r="AA8" s="560"/>
      <c r="AB8" s="560"/>
    </row>
    <row r="9" spans="2:33">
      <c r="G9" s="560"/>
      <c r="H9" s="560"/>
      <c r="I9" s="560"/>
      <c r="J9" s="560"/>
      <c r="K9" s="560"/>
      <c r="L9" s="560"/>
      <c r="M9" s="560"/>
      <c r="N9" s="560"/>
      <c r="O9" s="560"/>
      <c r="P9" s="560"/>
      <c r="Q9" s="560"/>
      <c r="R9" s="560"/>
      <c r="S9" s="560"/>
      <c r="T9" s="560"/>
      <c r="U9" s="560"/>
      <c r="V9" s="560"/>
      <c r="W9" s="560"/>
      <c r="X9" s="560"/>
      <c r="Y9" s="560"/>
      <c r="Z9" s="560"/>
      <c r="AA9" s="560"/>
      <c r="AB9" s="560"/>
    </row>
    <row r="10" spans="2:33">
      <c r="G10" s="560"/>
      <c r="H10" s="560"/>
      <c r="I10" s="560"/>
      <c r="J10" s="560"/>
      <c r="K10" s="560"/>
      <c r="L10" s="560"/>
      <c r="M10" s="560"/>
      <c r="N10" s="560"/>
      <c r="O10" s="560"/>
      <c r="P10" s="560"/>
      <c r="Q10" s="560"/>
      <c r="R10" s="560"/>
      <c r="S10" s="560"/>
      <c r="T10" s="560"/>
      <c r="U10" s="560"/>
      <c r="V10" s="560"/>
      <c r="W10" s="560"/>
      <c r="X10" s="560"/>
      <c r="Y10" s="560"/>
      <c r="Z10" s="560"/>
      <c r="AA10" s="560"/>
      <c r="AB10" s="560"/>
      <c r="AC10" s="560"/>
    </row>
    <row r="11" spans="2:33">
      <c r="E11" s="558"/>
      <c r="F11" s="412"/>
      <c r="G11" s="560"/>
      <c r="H11" s="560"/>
      <c r="I11" s="560"/>
      <c r="J11" s="560"/>
      <c r="K11" s="560"/>
      <c r="L11" s="560"/>
      <c r="M11" s="560"/>
      <c r="N11" s="560"/>
      <c r="O11" s="560"/>
      <c r="P11" s="560"/>
      <c r="Q11" s="560"/>
      <c r="R11" s="560"/>
      <c r="S11" s="560"/>
      <c r="T11" s="560"/>
      <c r="U11" s="560"/>
      <c r="V11" s="560"/>
      <c r="W11" s="560"/>
      <c r="X11" s="560"/>
      <c r="Y11" s="560"/>
      <c r="Z11" s="560"/>
      <c r="AA11" s="560"/>
      <c r="AB11" s="560"/>
      <c r="AC11" s="560"/>
    </row>
    <row r="12" spans="2:33">
      <c r="E12" s="559"/>
      <c r="F12" s="413"/>
      <c r="G12" s="560"/>
      <c r="H12" s="560"/>
      <c r="I12" s="560"/>
      <c r="J12" s="560"/>
      <c r="K12" s="560"/>
      <c r="L12" s="560"/>
      <c r="M12" s="560"/>
      <c r="N12" s="560"/>
      <c r="O12" s="560"/>
      <c r="P12" s="560"/>
      <c r="Q12" s="560"/>
      <c r="R12" s="560"/>
      <c r="S12" s="560"/>
      <c r="T12" s="560"/>
      <c r="U12" s="560"/>
      <c r="V12" s="560"/>
      <c r="W12" s="560"/>
      <c r="X12" s="560"/>
      <c r="Y12" s="560"/>
      <c r="Z12" s="560"/>
      <c r="AA12" s="560"/>
      <c r="AB12" s="560"/>
      <c r="AC12" s="560"/>
    </row>
    <row r="13" spans="2:33">
      <c r="E13" s="558"/>
      <c r="G13" s="560"/>
      <c r="H13" s="560"/>
      <c r="I13" s="560"/>
      <c r="J13" s="560"/>
      <c r="K13" s="560"/>
      <c r="L13" s="560"/>
      <c r="M13" s="560"/>
      <c r="N13" s="560"/>
      <c r="O13" s="560"/>
      <c r="P13" s="560"/>
      <c r="Q13" s="560"/>
      <c r="R13" s="560"/>
      <c r="S13" s="560"/>
      <c r="T13" s="560"/>
      <c r="U13" s="560"/>
      <c r="V13" s="560"/>
      <c r="W13" s="560"/>
      <c r="X13" s="560"/>
      <c r="Y13" s="560"/>
      <c r="Z13" s="560"/>
      <c r="AA13" s="560"/>
      <c r="AB13" s="560"/>
      <c r="AC13" s="560"/>
    </row>
    <row r="14" spans="2:33">
      <c r="E14" s="559"/>
      <c r="G14" s="560"/>
      <c r="H14" s="560"/>
      <c r="I14" s="560"/>
      <c r="J14" s="560"/>
      <c r="K14" s="560"/>
      <c r="L14" s="560"/>
      <c r="M14" s="560"/>
      <c r="N14" s="560"/>
      <c r="O14" s="560"/>
      <c r="P14" s="560"/>
      <c r="Q14" s="560"/>
      <c r="R14" s="560"/>
      <c r="S14" s="560"/>
      <c r="T14" s="560"/>
      <c r="U14" s="560"/>
      <c r="V14" s="560"/>
      <c r="W14" s="560"/>
      <c r="X14" s="560"/>
      <c r="Y14" s="560"/>
      <c r="Z14" s="560"/>
      <c r="AA14" s="560"/>
      <c r="AB14" s="560"/>
      <c r="AC14" s="560"/>
    </row>
    <row r="15" spans="2:33">
      <c r="E15" s="558"/>
      <c r="G15" s="560"/>
      <c r="H15" s="560"/>
      <c r="I15" s="560"/>
      <c r="J15" s="560"/>
      <c r="K15" s="560"/>
      <c r="L15" s="560"/>
      <c r="M15" s="560"/>
      <c r="N15" s="560"/>
      <c r="O15" s="560"/>
      <c r="P15" s="560"/>
      <c r="Q15" s="560"/>
      <c r="R15" s="560"/>
      <c r="S15" s="560"/>
      <c r="T15" s="560"/>
      <c r="U15" s="560"/>
      <c r="V15" s="560"/>
      <c r="W15" s="560"/>
      <c r="X15" s="560"/>
      <c r="Y15" s="560"/>
      <c r="Z15" s="560"/>
      <c r="AA15" s="560"/>
      <c r="AB15" s="560"/>
      <c r="AC15" s="560"/>
    </row>
    <row r="16" spans="2:33">
      <c r="E16" s="412"/>
      <c r="G16" s="560"/>
      <c r="H16" s="560"/>
      <c r="I16" s="560"/>
      <c r="J16" s="560"/>
      <c r="K16" s="560"/>
      <c r="L16" s="560"/>
      <c r="M16" s="560"/>
      <c r="N16" s="560"/>
      <c r="O16" s="560"/>
      <c r="P16" s="560"/>
      <c r="Q16" s="560"/>
      <c r="R16" s="560"/>
      <c r="S16" s="560"/>
      <c r="T16" s="560"/>
      <c r="U16" s="560"/>
      <c r="V16" s="560"/>
      <c r="W16" s="560"/>
      <c r="X16" s="560"/>
      <c r="Y16" s="560"/>
      <c r="Z16" s="560"/>
      <c r="AA16" s="560"/>
      <c r="AB16" s="560"/>
      <c r="AC16" s="560"/>
    </row>
    <row r="17" spans="5:49" ht="15" thickBot="1">
      <c r="E17" s="558"/>
      <c r="G17" s="560"/>
      <c r="H17" s="560"/>
      <c r="I17" s="560"/>
      <c r="J17" s="560"/>
      <c r="K17" s="560"/>
      <c r="L17" s="560"/>
      <c r="M17" s="560"/>
      <c r="N17" s="560"/>
      <c r="O17" s="560"/>
      <c r="P17" s="560"/>
      <c r="Q17" s="560"/>
      <c r="R17" s="560"/>
      <c r="S17" s="560"/>
      <c r="T17" s="560"/>
      <c r="U17" s="560"/>
      <c r="V17" s="560"/>
      <c r="W17" s="560"/>
      <c r="X17" s="560"/>
      <c r="Y17" s="560"/>
      <c r="Z17" s="560"/>
      <c r="AA17" s="560"/>
      <c r="AB17" s="560"/>
      <c r="AC17" s="560"/>
    </row>
    <row r="18" spans="5:49" ht="15" thickBot="1">
      <c r="E18" s="412"/>
      <c r="G18" s="560"/>
      <c r="H18" s="560"/>
      <c r="I18" s="560"/>
      <c r="J18" s="560"/>
      <c r="K18" s="560"/>
      <c r="L18" s="560"/>
      <c r="M18" s="560"/>
      <c r="N18" s="560"/>
      <c r="O18" s="560"/>
      <c r="P18" s="560"/>
      <c r="Q18" s="560"/>
      <c r="R18" s="560"/>
      <c r="S18" s="560"/>
      <c r="T18" s="560"/>
      <c r="U18" s="560"/>
      <c r="V18" s="560"/>
      <c r="W18" s="560"/>
      <c r="X18" s="560"/>
      <c r="Y18" s="560"/>
      <c r="Z18" s="560"/>
      <c r="AA18" s="560"/>
      <c r="AB18" s="560"/>
      <c r="AC18" s="560"/>
      <c r="AH18" s="764" t="s">
        <v>8537</v>
      </c>
      <c r="AI18" s="765"/>
      <c r="AJ18" s="764" t="s">
        <v>8515</v>
      </c>
      <c r="AK18" s="765"/>
      <c r="AL18" s="764" t="s">
        <v>8463</v>
      </c>
      <c r="AM18" s="765"/>
      <c r="AN18" s="764" t="s">
        <v>8462</v>
      </c>
      <c r="AO18" s="765"/>
      <c r="AP18" s="760" t="s">
        <v>8312</v>
      </c>
      <c r="AQ18" s="761"/>
      <c r="AR18" s="760" t="s">
        <v>8313</v>
      </c>
      <c r="AS18" s="761"/>
      <c r="AT18" s="762" t="s">
        <v>8316</v>
      </c>
      <c r="AU18" s="763"/>
      <c r="AV18" s="762" t="s">
        <v>8317</v>
      </c>
      <c r="AW18" s="763"/>
    </row>
    <row r="19" spans="5:49" ht="15" thickBot="1">
      <c r="E19" s="558"/>
      <c r="G19" s="560"/>
      <c r="H19" s="560"/>
      <c r="I19" s="560"/>
      <c r="J19" s="560"/>
      <c r="K19" s="560"/>
      <c r="L19" s="560"/>
      <c r="M19" s="560"/>
      <c r="N19" s="560"/>
      <c r="O19" s="560"/>
      <c r="P19" s="560"/>
      <c r="Q19" s="560"/>
      <c r="R19" s="560"/>
      <c r="S19" s="560"/>
      <c r="T19" s="560"/>
      <c r="U19" s="560"/>
      <c r="V19" s="560"/>
      <c r="W19" s="560"/>
      <c r="X19" s="560"/>
      <c r="Y19" s="560"/>
      <c r="Z19" s="560"/>
      <c r="AA19" s="560"/>
      <c r="AB19" s="560"/>
      <c r="AC19" s="560"/>
      <c r="AH19" s="581" t="s">
        <v>8315</v>
      </c>
      <c r="AI19" s="582" t="s">
        <v>8389</v>
      </c>
      <c r="AJ19" s="581" t="s">
        <v>8315</v>
      </c>
      <c r="AK19" s="582" t="s">
        <v>8194</v>
      </c>
      <c r="AL19" s="581" t="s">
        <v>8315</v>
      </c>
      <c r="AM19" s="582" t="s">
        <v>8194</v>
      </c>
      <c r="AN19" s="582" t="s">
        <v>8194</v>
      </c>
      <c r="AO19" s="584" t="s">
        <v>8389</v>
      </c>
      <c r="AP19" s="583" t="s">
        <v>8314</v>
      </c>
      <c r="AQ19" s="584" t="s">
        <v>8314</v>
      </c>
      <c r="AR19" s="583" t="s">
        <v>8314</v>
      </c>
      <c r="AS19" s="584" t="s">
        <v>8315</v>
      </c>
      <c r="AT19" s="583" t="s">
        <v>8315</v>
      </c>
      <c r="AU19" s="584" t="s">
        <v>8194</v>
      </c>
      <c r="AV19" s="583" t="s">
        <v>8194</v>
      </c>
      <c r="AW19" s="584" t="s">
        <v>8318</v>
      </c>
    </row>
    <row r="20" spans="5:49" ht="15" thickBot="1">
      <c r="E20" s="412"/>
      <c r="K20" s="560"/>
      <c r="L20" s="560"/>
      <c r="M20" s="560"/>
      <c r="N20" s="560"/>
      <c r="O20" s="560"/>
      <c r="P20" s="560"/>
      <c r="Q20" s="560"/>
      <c r="R20" s="560"/>
      <c r="S20" s="560"/>
      <c r="T20" s="560"/>
      <c r="U20" s="560"/>
      <c r="V20" s="560"/>
      <c r="W20" s="560"/>
      <c r="X20" s="560"/>
      <c r="Y20" s="560"/>
      <c r="Z20" s="560"/>
      <c r="AA20" s="560"/>
      <c r="AB20" s="560"/>
      <c r="AC20" s="560"/>
      <c r="AH20" s="634">
        <v>19</v>
      </c>
      <c r="AI20" s="632">
        <v>27</v>
      </c>
      <c r="AJ20" s="578">
        <v>22</v>
      </c>
      <c r="AK20" s="603">
        <v>2</v>
      </c>
      <c r="AL20" s="578">
        <v>12</v>
      </c>
      <c r="AM20" s="579">
        <v>8</v>
      </c>
      <c r="AN20" s="578">
        <v>8</v>
      </c>
      <c r="AO20" s="579">
        <v>25</v>
      </c>
      <c r="AP20" s="578">
        <v>41</v>
      </c>
      <c r="AQ20" s="579">
        <v>41</v>
      </c>
      <c r="AR20" s="578">
        <v>41</v>
      </c>
      <c r="AS20" s="579">
        <v>15</v>
      </c>
      <c r="AT20" s="578">
        <v>15</v>
      </c>
      <c r="AU20" s="579">
        <v>10</v>
      </c>
      <c r="AV20" s="578">
        <v>9</v>
      </c>
      <c r="AW20" s="580" t="s">
        <v>8319</v>
      </c>
    </row>
    <row r="21" spans="5:49" ht="15" thickBot="1">
      <c r="E21" s="558"/>
      <c r="K21" s="560"/>
      <c r="L21" s="560"/>
      <c r="M21" s="560"/>
      <c r="N21" s="560"/>
      <c r="O21" s="560"/>
      <c r="P21" s="560"/>
      <c r="Q21" s="560"/>
      <c r="R21" s="560"/>
      <c r="S21" s="560"/>
      <c r="T21" s="560"/>
      <c r="U21" s="560"/>
      <c r="V21" s="560"/>
      <c r="W21" s="560"/>
      <c r="X21" s="560"/>
      <c r="Y21" s="560"/>
      <c r="Z21" s="560"/>
      <c r="AA21" s="560"/>
      <c r="AB21" s="560"/>
      <c r="AC21" s="560"/>
      <c r="AH21" s="634">
        <v>21</v>
      </c>
      <c r="AI21" s="573">
        <v>28</v>
      </c>
      <c r="AJ21" s="572"/>
      <c r="AK21" s="573"/>
      <c r="AL21" s="572"/>
      <c r="AM21" s="573"/>
      <c r="AN21" s="572"/>
      <c r="AO21" s="573"/>
      <c r="AP21" s="572">
        <v>42</v>
      </c>
      <c r="AQ21" s="573">
        <v>42</v>
      </c>
      <c r="AR21" s="572">
        <v>42</v>
      </c>
      <c r="AS21" s="573">
        <v>16</v>
      </c>
      <c r="AT21" s="572">
        <v>16</v>
      </c>
      <c r="AU21" s="573">
        <v>11</v>
      </c>
      <c r="AV21" s="572">
        <v>11</v>
      </c>
      <c r="AW21" s="576" t="s">
        <v>8320</v>
      </c>
    </row>
    <row r="22" spans="5:49" ht="15" thickBot="1">
      <c r="E22" s="412"/>
      <c r="AH22" s="634"/>
      <c r="AI22" s="575"/>
      <c r="AJ22" s="574"/>
      <c r="AK22" s="575"/>
      <c r="AL22" s="574"/>
      <c r="AM22" s="575"/>
      <c r="AN22" s="574"/>
      <c r="AO22" s="575"/>
      <c r="AP22" s="574">
        <v>43</v>
      </c>
      <c r="AQ22" s="575">
        <v>43</v>
      </c>
      <c r="AR22" s="574">
        <v>43</v>
      </c>
      <c r="AS22" s="575">
        <v>17</v>
      </c>
      <c r="AT22" s="574">
        <v>17</v>
      </c>
      <c r="AU22" s="575">
        <v>12</v>
      </c>
      <c r="AV22" s="574">
        <v>12</v>
      </c>
      <c r="AW22" s="577" t="s">
        <v>8321</v>
      </c>
    </row>
    <row r="23" spans="5:49" ht="15" thickBot="1">
      <c r="E23" s="558"/>
      <c r="AH23" s="574"/>
      <c r="AI23" s="575"/>
      <c r="AJ23" s="413"/>
      <c r="AK23" s="413"/>
      <c r="AL23" s="413"/>
      <c r="AM23" s="413"/>
      <c r="AN23" s="413"/>
      <c r="AO23" s="413"/>
    </row>
    <row r="24" spans="5:49">
      <c r="E24" s="412"/>
      <c r="AH24" s="413"/>
      <c r="AI24" s="413"/>
      <c r="AJ24" s="413"/>
      <c r="AK24" s="413"/>
      <c r="AL24" s="413"/>
      <c r="AM24" s="413"/>
      <c r="AN24" s="413"/>
      <c r="AO24" s="413"/>
    </row>
    <row r="32" spans="5:49">
      <c r="H32" s="557"/>
    </row>
  </sheetData>
  <mergeCells count="8">
    <mergeCell ref="AR18:AS18"/>
    <mergeCell ref="AT18:AU18"/>
    <mergeCell ref="AV18:AW18"/>
    <mergeCell ref="AH18:AI18"/>
    <mergeCell ref="AJ18:AK18"/>
    <mergeCell ref="AL18:AM18"/>
    <mergeCell ref="AN18:AO18"/>
    <mergeCell ref="AP18:AQ18"/>
  </mergeCells>
  <phoneticPr fontId="57" type="noConversion"/>
  <pageMargins left="0.511811024" right="0.511811024" top="0.78740157499999996" bottom="0.78740157499999996" header="0.31496062000000002" footer="0.31496062000000002"/>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986E-FC1A-4E8B-9158-712DD16F221F}">
  <dimension ref="B1:H56"/>
  <sheetViews>
    <sheetView tabSelected="1" workbookViewId="0">
      <selection activeCell="L8" sqref="L8"/>
    </sheetView>
  </sheetViews>
  <sheetFormatPr defaultRowHeight="14.4"/>
  <cols>
    <col min="2" max="2" width="42.109375" bestFit="1" customWidth="1"/>
    <col min="3" max="3" width="42.44140625" bestFit="1" customWidth="1"/>
    <col min="7" max="7" width="15.109375" bestFit="1" customWidth="1"/>
    <col min="8" max="8" width="15.6640625" bestFit="1" customWidth="1"/>
  </cols>
  <sheetData>
    <row r="1" spans="2:8" ht="15" thickBot="1">
      <c r="B1" s="745" t="s">
        <v>7713</v>
      </c>
      <c r="C1" s="746"/>
    </row>
    <row r="2" spans="2:8" ht="15" thickBot="1">
      <c r="B2" s="714" t="s">
        <v>8572</v>
      </c>
      <c r="C2" s="718" t="s">
        <v>8379</v>
      </c>
      <c r="G2" s="331" t="s">
        <v>648</v>
      </c>
      <c r="H2" s="330" t="s">
        <v>2223</v>
      </c>
    </row>
    <row r="3" spans="2:8">
      <c r="B3" s="722" t="s">
        <v>8552</v>
      </c>
      <c r="C3" s="590" t="s">
        <v>8550</v>
      </c>
      <c r="G3" s="766" t="s">
        <v>8609</v>
      </c>
      <c r="H3" t="s">
        <v>8625</v>
      </c>
    </row>
    <row r="4" spans="2:8">
      <c r="B4" s="715" t="s">
        <v>8553</v>
      </c>
      <c r="C4" s="315" t="s">
        <v>8024</v>
      </c>
      <c r="G4" t="s">
        <v>8613</v>
      </c>
      <c r="H4" t="s">
        <v>8630</v>
      </c>
    </row>
    <row r="5" spans="2:8">
      <c r="B5" s="715" t="s">
        <v>8554</v>
      </c>
      <c r="C5" s="315" t="s">
        <v>8255</v>
      </c>
      <c r="G5" t="s">
        <v>8614</v>
      </c>
      <c r="H5" t="s">
        <v>8631</v>
      </c>
    </row>
    <row r="6" spans="2:8">
      <c r="B6" s="715" t="s">
        <v>8555</v>
      </c>
      <c r="C6" s="315" t="s">
        <v>8551</v>
      </c>
      <c r="G6" t="s">
        <v>8615</v>
      </c>
      <c r="H6" t="s">
        <v>8632</v>
      </c>
    </row>
    <row r="7" spans="2:8">
      <c r="B7" s="715" t="s">
        <v>8556</v>
      </c>
      <c r="C7" s="315" t="s">
        <v>8267</v>
      </c>
      <c r="G7" t="s">
        <v>8616</v>
      </c>
      <c r="H7" t="s">
        <v>8633</v>
      </c>
    </row>
    <row r="8" spans="2:8">
      <c r="B8" s="715" t="s">
        <v>8557</v>
      </c>
      <c r="C8" s="315" t="s">
        <v>8225</v>
      </c>
      <c r="G8" t="s">
        <v>8617</v>
      </c>
      <c r="H8" t="s">
        <v>8634</v>
      </c>
    </row>
    <row r="9" spans="2:8">
      <c r="B9" s="715" t="s">
        <v>8558</v>
      </c>
      <c r="C9" s="315" t="s">
        <v>8486</v>
      </c>
      <c r="G9" t="s">
        <v>8618</v>
      </c>
      <c r="H9" t="s">
        <v>8635</v>
      </c>
    </row>
    <row r="10" spans="2:8">
      <c r="B10" s="715" t="s">
        <v>8559</v>
      </c>
      <c r="C10" s="315" t="s">
        <v>8259</v>
      </c>
      <c r="G10" t="s">
        <v>8610</v>
      </c>
      <c r="H10" t="s">
        <v>8626</v>
      </c>
    </row>
    <row r="11" spans="2:8">
      <c r="B11" s="715" t="s">
        <v>8560</v>
      </c>
      <c r="C11" s="315" t="s">
        <v>7852</v>
      </c>
      <c r="G11" t="s">
        <v>8611</v>
      </c>
      <c r="H11" t="s">
        <v>8627</v>
      </c>
    </row>
    <row r="12" spans="2:8">
      <c r="B12" s="715" t="s">
        <v>8561</v>
      </c>
      <c r="C12" s="315" t="s">
        <v>8414</v>
      </c>
      <c r="G12" t="s">
        <v>8612</v>
      </c>
      <c r="H12" t="s">
        <v>8628</v>
      </c>
    </row>
    <row r="13" spans="2:8">
      <c r="B13" s="715" t="s">
        <v>8562</v>
      </c>
      <c r="C13" s="315" t="s">
        <v>8074</v>
      </c>
      <c r="G13" t="s">
        <v>8619</v>
      </c>
      <c r="H13" t="s">
        <v>8629</v>
      </c>
    </row>
    <row r="14" spans="2:8">
      <c r="B14" s="715" t="s">
        <v>8563</v>
      </c>
      <c r="C14" s="315" t="s">
        <v>8418</v>
      </c>
      <c r="G14" t="s">
        <v>8608</v>
      </c>
      <c r="H14" t="s">
        <v>8624</v>
      </c>
    </row>
    <row r="15" spans="2:8">
      <c r="B15" s="716" t="s">
        <v>8549</v>
      </c>
      <c r="C15" s="315" t="s">
        <v>7863</v>
      </c>
      <c r="G15" t="s">
        <v>8607</v>
      </c>
      <c r="H15" t="s">
        <v>8623</v>
      </c>
    </row>
    <row r="16" spans="2:8">
      <c r="B16" s="715" t="s">
        <v>8564</v>
      </c>
      <c r="C16" s="719" t="s">
        <v>8411</v>
      </c>
      <c r="G16" t="s">
        <v>8606</v>
      </c>
      <c r="H16" t="s">
        <v>8622</v>
      </c>
    </row>
    <row r="17" spans="2:8">
      <c r="B17" s="715" t="s">
        <v>8565</v>
      </c>
      <c r="C17" s="315" t="s">
        <v>8293</v>
      </c>
      <c r="G17" t="s">
        <v>8605</v>
      </c>
      <c r="H17" t="s">
        <v>8621</v>
      </c>
    </row>
    <row r="18" spans="2:8">
      <c r="B18" s="715" t="s">
        <v>8566</v>
      </c>
      <c r="C18" s="315" t="s">
        <v>8376</v>
      </c>
      <c r="G18" t="s">
        <v>8604</v>
      </c>
      <c r="H18" t="s">
        <v>8620</v>
      </c>
    </row>
    <row r="19" spans="2:8">
      <c r="B19" s="715" t="s">
        <v>8567</v>
      </c>
      <c r="C19" s="315" t="s">
        <v>8077</v>
      </c>
      <c r="H19" t="s">
        <v>8641</v>
      </c>
    </row>
    <row r="20" spans="2:8">
      <c r="B20" s="715" t="s">
        <v>8568</v>
      </c>
      <c r="C20" s="315" t="s">
        <v>8382</v>
      </c>
      <c r="H20" t="s">
        <v>8640</v>
      </c>
    </row>
    <row r="21" spans="2:8">
      <c r="B21" s="715" t="s">
        <v>8569</v>
      </c>
      <c r="C21" s="315" t="s">
        <v>8285</v>
      </c>
      <c r="H21" t="s">
        <v>8639</v>
      </c>
    </row>
    <row r="22" spans="2:8">
      <c r="B22" s="715" t="s">
        <v>8570</v>
      </c>
      <c r="C22" s="720" t="s">
        <v>8571</v>
      </c>
      <c r="H22" t="s">
        <v>8638</v>
      </c>
    </row>
    <row r="23" spans="2:8">
      <c r="B23" s="715" t="s">
        <v>8573</v>
      </c>
      <c r="C23" s="315" t="s">
        <v>8301</v>
      </c>
      <c r="H23" t="s">
        <v>8637</v>
      </c>
    </row>
    <row r="24" spans="2:8">
      <c r="B24" s="715" t="s">
        <v>8575</v>
      </c>
      <c r="C24" s="315" t="s">
        <v>8574</v>
      </c>
      <c r="H24" t="s">
        <v>8636</v>
      </c>
    </row>
    <row r="25" spans="2:8">
      <c r="B25" s="715" t="s">
        <v>8577</v>
      </c>
      <c r="C25" s="315" t="s">
        <v>8576</v>
      </c>
      <c r="H25" t="s">
        <v>8642</v>
      </c>
    </row>
    <row r="26" spans="2:8">
      <c r="B26" s="715" t="s">
        <v>8579</v>
      </c>
      <c r="C26" s="315" t="s">
        <v>8578</v>
      </c>
      <c r="H26" t="s">
        <v>8648</v>
      </c>
    </row>
    <row r="27" spans="2:8">
      <c r="B27" s="715" t="s">
        <v>8585</v>
      </c>
      <c r="C27" s="315" t="s">
        <v>8580</v>
      </c>
      <c r="H27" t="s">
        <v>8649</v>
      </c>
    </row>
    <row r="28" spans="2:8">
      <c r="B28" s="715" t="s">
        <v>8586</v>
      </c>
      <c r="C28" s="315" t="s">
        <v>8581</v>
      </c>
      <c r="H28" t="s">
        <v>8650</v>
      </c>
    </row>
    <row r="29" spans="2:8">
      <c r="B29" s="715" t="s">
        <v>8587</v>
      </c>
      <c r="C29" s="315" t="s">
        <v>8582</v>
      </c>
      <c r="H29" t="s">
        <v>8651</v>
      </c>
    </row>
    <row r="30" spans="2:8">
      <c r="B30" s="715" t="s">
        <v>8588</v>
      </c>
      <c r="C30" s="315" t="s">
        <v>8583</v>
      </c>
      <c r="H30" t="s">
        <v>8647</v>
      </c>
    </row>
    <row r="31" spans="2:8">
      <c r="B31" s="715" t="s">
        <v>8589</v>
      </c>
      <c r="C31" s="315" t="s">
        <v>8584</v>
      </c>
      <c r="H31" t="s">
        <v>8646</v>
      </c>
    </row>
    <row r="32" spans="2:8">
      <c r="B32" s="715" t="s">
        <v>8591</v>
      </c>
      <c r="C32" s="315" t="s">
        <v>8262</v>
      </c>
      <c r="H32" t="s">
        <v>8673</v>
      </c>
    </row>
    <row r="33" spans="2:8">
      <c r="B33" s="715" t="s">
        <v>8592</v>
      </c>
      <c r="C33" s="315" t="s">
        <v>8306</v>
      </c>
      <c r="H33" t="s">
        <v>8645</v>
      </c>
    </row>
    <row r="34" spans="2:8">
      <c r="B34" s="715" t="s">
        <v>8593</v>
      </c>
      <c r="C34" s="315" t="s">
        <v>8310</v>
      </c>
      <c r="H34" t="s">
        <v>8644</v>
      </c>
    </row>
    <row r="35" spans="2:8">
      <c r="B35" s="716" t="s">
        <v>8590</v>
      </c>
      <c r="C35" s="315" t="s">
        <v>8356</v>
      </c>
      <c r="H35" t="s">
        <v>8643</v>
      </c>
    </row>
    <row r="36" spans="2:8">
      <c r="B36" s="715" t="s">
        <v>8590</v>
      </c>
      <c r="C36" s="315" t="s">
        <v>8374</v>
      </c>
      <c r="H36" t="s">
        <v>8669</v>
      </c>
    </row>
    <row r="37" spans="2:8">
      <c r="B37" s="715" t="s">
        <v>8594</v>
      </c>
      <c r="C37" s="315" t="s">
        <v>8350</v>
      </c>
      <c r="H37" t="s">
        <v>8670</v>
      </c>
    </row>
    <row r="38" spans="2:8">
      <c r="B38" s="715" t="s">
        <v>8595</v>
      </c>
      <c r="C38" s="315" t="s">
        <v>8348</v>
      </c>
      <c r="H38" t="s">
        <v>8671</v>
      </c>
    </row>
    <row r="39" spans="2:8">
      <c r="B39" s="715" t="s">
        <v>8596</v>
      </c>
      <c r="C39" s="315" t="s">
        <v>8346</v>
      </c>
      <c r="H39" t="s">
        <v>8672</v>
      </c>
    </row>
    <row r="40" spans="2:8">
      <c r="B40" s="715" t="s">
        <v>8597</v>
      </c>
      <c r="C40" s="315" t="s">
        <v>8372</v>
      </c>
      <c r="H40" t="s">
        <v>8668</v>
      </c>
    </row>
    <row r="41" spans="2:8">
      <c r="B41" s="715" t="s">
        <v>8598</v>
      </c>
      <c r="C41" s="315" t="s">
        <v>8385</v>
      </c>
      <c r="H41" t="s">
        <v>8667</v>
      </c>
    </row>
    <row r="42" spans="2:8">
      <c r="B42" s="715" t="s">
        <v>8599</v>
      </c>
      <c r="C42" s="315" t="s">
        <v>8394</v>
      </c>
      <c r="H42" t="s">
        <v>8666</v>
      </c>
    </row>
    <row r="43" spans="2:8">
      <c r="B43" s="715" t="s">
        <v>8600</v>
      </c>
      <c r="C43" s="315" t="s">
        <v>8431</v>
      </c>
      <c r="H43" t="s">
        <v>8665</v>
      </c>
    </row>
    <row r="44" spans="2:8">
      <c r="B44" s="715" t="s">
        <v>8603</v>
      </c>
      <c r="C44" s="315" t="s">
        <v>8601</v>
      </c>
      <c r="H44" t="s">
        <v>8652</v>
      </c>
    </row>
    <row r="45" spans="2:8" ht="15" thickBot="1">
      <c r="B45" s="717" t="s">
        <v>8592</v>
      </c>
      <c r="C45" s="721" t="s">
        <v>8602</v>
      </c>
      <c r="H45" t="s">
        <v>8653</v>
      </c>
    </row>
    <row r="46" spans="2:8">
      <c r="H46" t="s">
        <v>8654</v>
      </c>
    </row>
    <row r="47" spans="2:8">
      <c r="H47" t="s">
        <v>8655</v>
      </c>
    </row>
    <row r="48" spans="2:8">
      <c r="H48" t="s">
        <v>8656</v>
      </c>
    </row>
    <row r="49" spans="8:8">
      <c r="H49" t="s">
        <v>8657</v>
      </c>
    </row>
    <row r="50" spans="8:8">
      <c r="H50" t="s">
        <v>8658</v>
      </c>
    </row>
    <row r="51" spans="8:8">
      <c r="H51" t="s">
        <v>8659</v>
      </c>
    </row>
    <row r="52" spans="8:8">
      <c r="H52" t="s">
        <v>8660</v>
      </c>
    </row>
    <row r="53" spans="8:8">
      <c r="H53" t="s">
        <v>8661</v>
      </c>
    </row>
    <row r="54" spans="8:8">
      <c r="H54" t="s">
        <v>8662</v>
      </c>
    </row>
    <row r="55" spans="8:8">
      <c r="H55" t="s">
        <v>8663</v>
      </c>
    </row>
    <row r="56" spans="8:8">
      <c r="H56" t="s">
        <v>8664</v>
      </c>
    </row>
  </sheetData>
  <autoFilter ref="G2:H2" xr:uid="{8855986E-FC1A-4E8B-9158-712DD16F221F}">
    <sortState xmlns:xlrd2="http://schemas.microsoft.com/office/spreadsheetml/2017/richdata2" ref="G3:H56">
      <sortCondition ref="G2"/>
    </sortState>
  </autoFilter>
  <mergeCells count="1">
    <mergeCell ref="B1:C1"/>
  </mergeCells>
  <phoneticPr fontId="57" type="noConversion"/>
  <conditionalFormatting sqref="C1:C1048576">
    <cfRule type="duplicateValues" dxfId="0" priority="1"/>
  </conditionalFormatting>
  <pageMargins left="0.511811024" right="0.511811024" top="0.78740157499999996" bottom="0.78740157499999996" header="0.31496062000000002" footer="0.31496062000000002"/>
  <pageSetup paperSize="146"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NODES</vt:lpstr>
      <vt:lpstr>Ext. MDU</vt:lpstr>
      <vt:lpstr>ANALISE</vt:lpstr>
      <vt:lpstr>CORREIOS</vt:lpstr>
      <vt:lpstr>GPON PRÉ-VIAVEL</vt:lpstr>
      <vt:lpstr>Localização</vt:lpstr>
      <vt:lpstr>Planilha1</vt: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Franciele rejane souza</cp:lastModifiedBy>
  <cp:revision>85</cp:revision>
  <cp:lastPrinted>2026-08-14T12:39:56Z</cp:lastPrinted>
  <dcterms:created xsi:type="dcterms:W3CDTF">2026-01-20T13:25:30Z</dcterms:created>
  <dcterms:modified xsi:type="dcterms:W3CDTF">2026-09-16T16:37:21Z</dcterms:modified>
</cp:coreProperties>
</file>