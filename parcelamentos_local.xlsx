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1B86B63A-7FD0-4B44-96DC-720567504730}" xr6:coauthVersionLast="47" xr6:coauthVersionMax="47" xr10:uidLastSave="{00000000-0000-0000-0000-000000000000}"/>
  <bookViews>
    <workbookView xWindow="28680" yWindow="-120" windowWidth="29040" windowHeight="15720" tabRatio="804" firstSheet="3" activeTab="8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11" l="1"/>
  <c r="Q5" i="11"/>
  <c r="Q9" i="11"/>
  <c r="E20" i="14"/>
  <c r="E19" i="14"/>
  <c r="E18" i="14"/>
  <c r="E17" i="14"/>
  <c r="E16" i="14"/>
  <c r="E15" i="14"/>
  <c r="E14" i="14"/>
  <c r="E13" i="14"/>
  <c r="E12" i="14"/>
  <c r="E11" i="14"/>
  <c r="C15" i="1"/>
  <c r="E14" i="1"/>
  <c r="E13" i="1"/>
  <c r="E12" i="1"/>
  <c r="E11" i="1"/>
  <c r="P4" i="12"/>
  <c r="P9" i="11"/>
  <c r="R4" i="13"/>
  <c r="R4" i="10"/>
  <c r="R4" i="2"/>
  <c r="R4" i="4"/>
  <c r="P4" i="13"/>
  <c r="P4" i="10"/>
  <c r="P4" i="2"/>
  <c r="P4" i="4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J6" i="12" l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I37" i="12"/>
  <c r="O4" i="12" s="1"/>
  <c r="Q4" i="12" s="1"/>
  <c r="Q6" i="12" s="1"/>
  <c r="J7" i="12"/>
  <c r="R4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<sst xmlns="http://schemas.openxmlformats.org/spreadsheetml/2006/main" count="269" uniqueCount="111">
  <si>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</si>
  <si>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</si>
  <si>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</si>
  <si>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</si>
  <si>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</si>
  <si>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</si>
  <si>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</si>
  <si>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</si>
  <si>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</si>
  <si>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</si>
  <si>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</si>
  <si>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</si>
  <si>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</si>
  <si>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</si>
  <si>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</si>
  <si>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</si>
  <si>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</si>
  <si>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</si>
  <si>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</si>
  <si>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</si>
  <si>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</si>
  <si>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</si>
  <si>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</si>
  <si>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</si>
  <si>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</si>
  <si>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</si>
  <si>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</si>
  <si>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</si>
  <si>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</si>
  <si>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</si>
  <si>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</si>
  <si>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</si>
  <si>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</si>
  <si>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</si>
  <si>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</si>
  <si>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</si>
  <si>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</si>
  <si>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</si>
  <si>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</si>
  <si>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</si>
  <si>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</si>
  <si>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</si>
  <si>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</si>
  <si>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</si>
  <si>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</si>
  <si>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</si>
  <si>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</si>
  <si>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</si>
  <si>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</si>
  <si>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</si>
  <si>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</si>
  <si>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</si>
  <si>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</si>
  <si>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</si>
  <si>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</si>
  <si>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</si>
  <si>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</si>
  <si>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</si>
  <si>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</si>
  <si>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</si>
  <si>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</si>
  <si>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</si>
  <si>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</si>
  <si>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</si>
  <si>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</si>
  <si>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</si>
  <si>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</si>
  <si>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</si>
  <si>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</si>
  <si>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</si>
  <si>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</si>
  <si>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</si>
  <si>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</si>
  <si>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</si>
  <si>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</si>
  <si>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</si>
  <si>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</si>
  <si>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</si>
  <si>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</si>
  <si>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</si>
  <si>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</si>
  <si>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</si>
  <si>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</si>
  <si>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</si>
  <si>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</si>
  <si>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</si>
  <si>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</si>
  <si>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</si>
  <si>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</si>
  <si>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</si>
  <si>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</si>
  <si>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</si>
  <si>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</si>
  <si>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</si>
  <si>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</si>
  <si>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</si>
  <si>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</si>
  <si>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</si>
  <si>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</si>
  <si>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</si>
  <si>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</si>
  <si>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TOTAL MÊS</t>
  </si>
  <si>
    <t>60/25</t>
  </si>
  <si>
    <t>60/20</t>
  </si>
  <si>
    <t>60/9</t>
  </si>
  <si>
    <t>Parcelamento 25/11/2025</t>
  </si>
  <si>
    <t>SALDO CREDOR INSS - JLE</t>
  </si>
  <si>
    <t>COMPETÊNCIA</t>
  </si>
  <si>
    <t>RETENÇÃO NF</t>
  </si>
  <si>
    <t>UTILIZADO FOLHA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</si>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</sst>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MENSAL'!$C$3:$Q$3</c:f>
              <c:numCache>
                <c:formatCode>_(* #,##0.00_);_(* \(#,##0.00\);_(* "-"??_);_(@_)</c:formatCode>
                <c:ptCount val="15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MENSAL'!$C$9:$P$9</c:f>
              <c:numCache>
                <c:formatCode>_(* #,##0.00_);_(* \(#,##0.00\);_(* "-"??_);_(@_)</c:formatCode>
                <c:ptCount val="14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1" sqref="G21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2" t="s">
        <v>106</v>
      </c>
      <c r="C8" s="122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107</v>
      </c>
      <c r="C10" s="113" t="s">
        <v>108</v>
      </c>
      <c r="D10" s="113" t="s">
        <v>109</v>
      </c>
      <c r="E10" s="113" t="s">
        <v>110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/>
      <c r="D16" s="119"/>
      <c r="E16" s="117">
        <f t="shared" si="0"/>
        <v>0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152368.94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C16" sqref="C16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3" t="s">
        <v>0</v>
      </c>
      <c r="B1" s="124"/>
      <c r="C1" s="124"/>
      <c r="D1" s="124"/>
      <c r="E1" s="124"/>
      <c r="F1" s="124"/>
      <c r="G1" s="125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6" t="s">
        <v>78</v>
      </c>
      <c r="B8" s="127"/>
      <c r="C8" s="128"/>
      <c r="D8" s="12"/>
      <c r="E8" s="12"/>
      <c r="F8" s="12"/>
      <c r="G8" s="12"/>
    </row>
    <row r="9" spans="1:7" ht="15" thickBot="1" x14ac:dyDescent="0.35">
      <c r="A9" s="126" t="s">
        <v>97</v>
      </c>
      <c r="B9" s="127"/>
      <c r="C9" s="128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102</v>
      </c>
      <c r="E11" s="19">
        <f>60-25</f>
        <v>35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103</v>
      </c>
      <c r="E12" s="19">
        <f>60-20</f>
        <v>40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104</v>
      </c>
      <c r="E13" s="19">
        <f>60-9</f>
        <v>51</v>
      </c>
      <c r="F13" s="24"/>
    </row>
    <row r="14" spans="1:7" ht="15" thickBot="1" x14ac:dyDescent="0.35">
      <c r="A14" s="15" t="s">
        <v>105</v>
      </c>
      <c r="B14" s="16">
        <v>45986</v>
      </c>
      <c r="C14" s="17">
        <v>91297.69</v>
      </c>
      <c r="D14" s="18" t="s">
        <v>98</v>
      </c>
      <c r="E14" s="19">
        <f>60-7</f>
        <v>53</v>
      </c>
      <c r="F14" s="24"/>
    </row>
    <row r="15" spans="1:7" ht="15" thickBot="1" x14ac:dyDescent="0.35">
      <c r="A15" s="21"/>
      <c r="B15" s="20"/>
      <c r="C15" s="89">
        <f>SUM(C11:C14)</f>
        <v>2500998.8499999996</v>
      </c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K30" sqref="K30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9" t="s">
        <v>89</v>
      </c>
      <c r="P6" s="129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2" t="s">
        <v>90</v>
      </c>
      <c r="P11" s="132"/>
      <c r="Q11" s="132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L4" sqref="L4:L23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9" t="s">
        <v>89</v>
      </c>
      <c r="P6" s="129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3" t="s">
        <v>86</v>
      </c>
      <c r="P9" s="133"/>
      <c r="Q9" s="133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0" t="s">
        <v>87</v>
      </c>
      <c r="P10" s="130"/>
      <c r="Q10" s="130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1" t="s">
        <v>88</v>
      </c>
      <c r="P11" s="131"/>
      <c r="Q11" s="131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9" t="s">
        <v>89</v>
      </c>
      <c r="P6" s="129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2" t="s">
        <v>90</v>
      </c>
      <c r="P11" s="132"/>
      <c r="Q11" s="132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topLeftCell="A2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9" t="s">
        <v>89</v>
      </c>
      <c r="P6" s="129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0" t="s">
        <v>87</v>
      </c>
      <c r="P9" s="130"/>
      <c r="Q9" s="130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1" t="s">
        <v>88</v>
      </c>
      <c r="P10" s="131"/>
      <c r="Q10" s="131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2" t="s">
        <v>90</v>
      </c>
      <c r="P11" s="132"/>
      <c r="Q11" s="132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Q4" sqref="Q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K5+K6+K7+K8+K9+K10+K11+K12+K13+K14+K15</f>
        <v>2785.48</v>
      </c>
      <c r="Q4" s="34">
        <f>O4-P4</f>
        <v>5500.0999999999967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129" t="s">
        <v>89</v>
      </c>
      <c r="P6" s="129"/>
      <c r="Q6" s="82">
        <f>(Q4/O4)-1</f>
        <v>-0.33618406919008692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134"/>
      <c r="P9" s="134"/>
      <c r="Q9" s="134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134"/>
      <c r="P10" s="134"/>
      <c r="Q10" s="134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134"/>
      <c r="P11" s="134"/>
      <c r="Q11" s="134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Q9"/>
  <sheetViews>
    <sheetView showGridLines="0" tabSelected="1" workbookViewId="0">
      <selection activeCell="Q15" sqref="Q15"/>
    </sheetView>
  </sheetViews>
  <sheetFormatPr defaultRowHeight="14.4" x14ac:dyDescent="0.3"/>
  <cols>
    <col min="2" max="2" width="14.6640625" bestFit="1" customWidth="1"/>
    <col min="3" max="17" width="13.33203125" customWidth="1"/>
  </cols>
  <sheetData>
    <row r="2" spans="2:17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</row>
    <row r="3" spans="2:17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</row>
    <row r="4" spans="2:17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</row>
    <row r="5" spans="2:17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</row>
    <row r="6" spans="2:17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</row>
    <row r="7" spans="2:17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</row>
    <row r="8" spans="2:17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</row>
    <row r="9" spans="2:17" x14ac:dyDescent="0.3">
      <c r="B9" s="84" t="s">
        <v>101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2026-09-18T17:59:28Z</dcterms:modified>
</cp:coreProperties>
</file>