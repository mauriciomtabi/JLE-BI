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9FE07963-056A-44A7-9EF9-B187CA0DB9F5}" xr6:coauthVersionLast="47" xr6:coauthVersionMax="47" xr10:uidLastSave="{00000000-0000-0000-0000-000000000000}"/>
  <bookViews>
    <workbookView xWindow="-28920" yWindow="-120" windowWidth="29040" windowHeight="15720" tabRatio="804" firstSheet="2" activeTab="2" xr2:uid="{00000000-000D-0000-FFFF-FFFF00000000}"/>
  </bookViews>
  <sheets>
    <sheet name="SALDO CREDOR INSS" sheetId="14" r:id="rId1"/>
    <sheet name="PARCELAMENTOS" sheetId="1" r:id="rId2"/>
    <sheet name="PARCELAMENTO 06062024" sheetId="4" r:id="rId3"/>
    <sheet name="PARCELAMENTO 05122024" sheetId="2" r:id="rId4"/>
    <sheet name="PARCELAMENTO 06062025" sheetId="10" r:id="rId5"/>
    <sheet name="PARCELAMENTO 25112025 " sheetId="13" r:id="rId6"/>
    <sheet name="PARCELAMENTO SC" sheetId="12" r:id="rId7"/>
    <sheet name="IMPOSTOS NÃO PARCELADOS" sheetId="9" state="hidden" r:id="rId8"/>
    <sheet name="ACOMPANHAMENTO MENSAL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" i="12" l="1"/>
  <c r="Q4" i="12"/>
  <c r="P4" i="12"/>
  <c r="O4" i="12"/>
  <c r="M37" i="12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I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R4" i="10"/>
  <c r="P4" i="10"/>
  <c r="R4" i="2"/>
  <c r="P4" i="2"/>
  <c r="R4" i="4"/>
  <c r="P4" i="4"/>
  <c r="J13" i="13"/>
  <c r="J30" i="4"/>
  <c r="J24" i="2"/>
  <c r="J18" i="10"/>
  <c r="J19" i="10"/>
  <c r="J25" i="2"/>
  <c r="J31" i="4"/>
  <c r="E14" i="1"/>
  <c r="E13" i="1"/>
  <c r="E12" i="1"/>
  <c r="E11" i="1"/>
  <c r="Q6" i="11"/>
  <c r="Q5" i="11"/>
  <c r="Q9" i="11"/>
  <c r="E20" i="14"/>
  <c r="E19" i="14"/>
  <c r="E18" i="14"/>
  <c r="E17" i="14"/>
  <c r="E16" i="14"/>
  <c r="E15" i="14"/>
  <c r="E14" i="14"/>
  <c r="E13" i="14"/>
  <c r="E12" i="14"/>
  <c r="E11" i="14"/>
  <c r="P9" i="11"/>
  <c r="R4" i="13"/>
  <c r="P4" i="13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J3" i="11"/>
  <c r="J10" i="10" l="1"/>
  <c r="J16" i="2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M5" i="12"/>
  <c r="M6" i="12" s="1"/>
  <c r="J12" i="2"/>
  <c r="J6" i="10"/>
  <c r="J18" i="4"/>
  <c r="M7" i="12" l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Q6" i="12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C15" i="1" s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J64" i="4" l="1"/>
  <c r="K64" i="4"/>
  <c r="M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tc={79A807FC-C033-4AD6-B2F3-3D2118AA2844}</author>
    <author>tc={2820BD41-D688-4477-BDC3-A2CC3F279BE1}</author>
    <author>tc={69B0B8BE-7EBE-4A56-BED3-52263843B1C3}</author>
    <author>tc={704F14D4-648A-4488-8D55-88B91691F4FE}</author>
    <author>tc={4C44609A-B8C3-4280-ABA6-12D52E40642B}</author>
    <author>tc={EA2F0DAC-E08D-4AB3-95AC-6E387F78470E}</author>
  </authors>
  <commentList>
    <comment ref="J5" authorId="0" shapeId="0" xr:uid="{79A807FC-C033-4AD6-B2F3-3D2118AA28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5" authorId="1" shapeId="0" xr:uid="{2820BD41-D688-4477-BDC3-A2CC3F279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5" authorId="2" shapeId="0" xr:uid="{69B0B8BE-7EBE-4A56-BED3-52263843B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J6" authorId="3" shapeId="0" xr:uid="{704F14D4-648A-4488-8D55-88B91691F4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6" authorId="4" shapeId="0" xr:uid="{4C44609A-B8C3-4280-ABA6-12D52E40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6" authorId="5" shapeId="0" xr:uid="{EA2F0DAC-E08D-4AB3-95AC-6E387F7847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</commentList>
</comments>
</file>

<file path=xl/sharedStrings.xml><?xml version="1.0" encoding="utf-8"?>
<sst xmlns="http://schemas.openxmlformats.org/spreadsheetml/2006/main" count="269" uniqueCount="111">
  <si>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</si>
  <si>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</si>
  <si>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</si>
  <si>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</si>
  <si>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</si>
  <si>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</si>
  <si>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</si>
  <si>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</si>
  <si>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</si>
  <si>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</si>
  <si>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</si>
  <si>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</si>
  <si>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</si>
  <si>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</si>
  <si>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</si>
  <si>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</si>
  <si>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</si>
  <si>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</si>
  <si>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</si>
  <si>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</si>
  <si>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</si>
  <si>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</si>
  <si>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</si>
  <si>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</si>
  <si>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</si>
  <si>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</si>
  <si>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</si>
  <si>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</si>
  <si>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</si>
  <si>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</si>
  <si>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</si>
  <si>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</si>
  <si>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</si>
  <si>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</si>
  <si>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</si>
  <si>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</si>
  <si>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</si>
  <si>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</si>
  <si>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</si>
  <si>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</si>
  <si>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</si>
  <si>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</si>
  <si>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</si>
  <si>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</si>
  <si>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</si>
  <si>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</si>
  <si>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</si>
  <si>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</si>
  <si>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</si>
  <si>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</si>
  <si>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</si>
  <si>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</si>
  <si>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</si>
  <si>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</si>
  <si>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</si>
  <si>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</si>
  <si>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</si>
  <si>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</si>
  <si>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</si>
  <si>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</si>
  <si>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</si>
  <si>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</si>
  <si>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</si>
  <si>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</si>
  <si>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</si>
  <si>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</si>
  <si>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</si>
  <si>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</si>
  <si>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</si>
  <si>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</si>
  <si>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</si>
  <si>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</si>
  <si>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</si>
  <si>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</si>
  <si>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</si>
  <si>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</si>
  <si>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</si>
  <si>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</si>
  <si>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</si>
  <si>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</si>
  <si>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</si>
  <si>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</si>
  <si>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</si>
  <si>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</si>
  <si>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</si>
  <si>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</si>
  <si>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</si>
  <si>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</si>
  <si>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</si>
  <si>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</si>
  <si>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</si>
  <si>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</si>
  <si>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</si>
  <si>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</si>
  <si>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</si>
  <si>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</si>
  <si>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</si>
  <si>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Saldo Devedor Impostos Parcelados - Atualizado em 06.06.2025</t>
  </si>
  <si>
    <t>IR</t>
  </si>
  <si>
    <t>ICMS-NOTIFICAÇÃO FISCAL FORA DO PRAZO</t>
  </si>
  <si>
    <t>TOTAL MÊS</t>
  </si>
  <si>
    <t>Parcelamento 25/11/2025</t>
  </si>
  <si>
    <t>SALDO CREDOR INSS - JLE</t>
  </si>
  <si>
    <t>COMPETÊNCIA</t>
  </si>
  <si>
    <t>RETENÇÃO NF</t>
  </si>
  <si>
    <t>UTILIZADO FOLHA</t>
  </si>
  <si>
    <t>SALDO</t>
  </si>
  <si>
    <t>60/26</t>
  </si>
  <si>
    <t>60/21</t>
  </si>
  <si>
    <t>60/10</t>
  </si>
  <si>
    <t>60/8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</si>
</sst>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0" fontId="18" fillId="5" borderId="0" xfId="0" applyFont="1" applyFill="1"/>
    <xf numFmtId="0" fontId="4" fillId="5" borderId="0" xfId="0" applyFont="1" applyFill="1"/>
    <xf numFmtId="0" fontId="4" fillId="5" borderId="0" xfId="0" applyFont="1" applyFill="1" applyAlignment="1">
      <alignment horizontal="center"/>
    </xf>
    <xf numFmtId="17" fontId="4" fillId="5" borderId="0" xfId="0" applyNumberFormat="1" applyFont="1" applyFill="1" applyAlignment="1">
      <alignment horizontal="center"/>
    </xf>
    <xf numFmtId="44" fontId="4" fillId="5" borderId="0" xfId="2" applyFont="1" applyFill="1" applyBorder="1"/>
    <xf numFmtId="164" fontId="18" fillId="5" borderId="0" xfId="0" applyNumberFormat="1" applyFont="1" applyFill="1"/>
    <xf numFmtId="164" fontId="4" fillId="5" borderId="0" xfId="0" applyNumberFormat="1" applyFont="1" applyFill="1"/>
    <xf numFmtId="0" fontId="19" fillId="5" borderId="0" xfId="0" applyFont="1" applyFill="1"/>
    <xf numFmtId="0" fontId="18" fillId="5" borderId="0" xfId="0" applyFont="1" applyFill="1" applyAlignment="1">
      <alignment horizontal="center" vertical="center"/>
    </xf>
    <xf numFmtId="0" fontId="18" fillId="5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/>
    </xf>
    <xf numFmtId="9" fontId="4" fillId="5" borderId="0" xfId="3" applyFont="1" applyFill="1" applyBorder="1" applyAlignment="1">
      <alignment horizontal="center"/>
    </xf>
    <xf numFmtId="10" fontId="4" fillId="5" borderId="0" xfId="3" applyNumberFormat="1" applyFont="1" applyFill="1" applyBorder="1" applyAlignment="1">
      <alignment horizontal="center"/>
    </xf>
    <xf numFmtId="49" fontId="4" fillId="5" borderId="0" xfId="0" applyNumberFormat="1" applyFont="1" applyFill="1"/>
    <xf numFmtId="39" fontId="4" fillId="5" borderId="0" xfId="0" applyNumberFormat="1" applyFont="1" applyFill="1"/>
    <xf numFmtId="49" fontId="20" fillId="5" borderId="0" xfId="0" applyNumberFormat="1" applyFont="1" applyFill="1"/>
    <xf numFmtId="0" fontId="21" fillId="5" borderId="11" xfId="0" applyFont="1" applyFill="1" applyBorder="1" applyAlignment="1">
      <alignment horizontal="center" vertical="center" wrapText="1"/>
    </xf>
    <xf numFmtId="17" fontId="21" fillId="5" borderId="11" xfId="0" applyNumberFormat="1" applyFont="1" applyFill="1" applyBorder="1" applyAlignment="1">
      <alignment horizontal="center" vertical="center" wrapText="1"/>
    </xf>
    <xf numFmtId="43" fontId="19" fillId="5" borderId="11" xfId="1" applyFont="1" applyFill="1" applyBorder="1" applyAlignment="1">
      <alignment wrapText="1"/>
    </xf>
    <xf numFmtId="43" fontId="19" fillId="5" borderId="11" xfId="1" quotePrefix="1" applyFont="1" applyFill="1" applyBorder="1" applyAlignment="1">
      <alignment horizontal="center"/>
    </xf>
    <xf numFmtId="43" fontId="19" fillId="5" borderId="11" xfId="1" applyFont="1" applyFill="1" applyBorder="1" applyAlignment="1">
      <alignment horizontal="center"/>
    </xf>
    <xf numFmtId="43" fontId="19" fillId="5" borderId="11" xfId="1" applyFont="1" applyFill="1" applyBorder="1"/>
    <xf numFmtId="39" fontId="19" fillId="5" borderId="11" xfId="0" applyNumberFormat="1" applyFont="1" applyFill="1" applyBorder="1"/>
    <xf numFmtId="39" fontId="19" fillId="5" borderId="0" xfId="0" applyNumberFormat="1" applyFont="1" applyFill="1"/>
    <xf numFmtId="43" fontId="21" fillId="8" borderId="11" xfId="1" applyFont="1" applyFill="1" applyBorder="1" applyAlignment="1">
      <alignment horizontal="center"/>
    </xf>
    <xf numFmtId="0" fontId="18" fillId="5" borderId="1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6">
    <cellStyle name="Moeda" xfId="2" builtinId="4"/>
    <cellStyle name="Moeda 2" xfId="5" xr:uid="{239B096F-C6C3-43AA-9629-E08B06BF09A1}"/>
    <cellStyle name="Normal" xfId="0" builtinId="0"/>
    <cellStyle name="Porcentagem" xfId="3" builtinId="5"/>
    <cellStyle name="Vírgula" xfId="1" builtinId="3"/>
    <cellStyle name="Vírgula 2" xfId="4" xr:uid="{44236E6F-F78E-409C-B867-8BADB28E2B91}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MENSAL'!$C$3:$Q$3</c:f>
              <c:numCache>
                <c:formatCode>_(* #,##0.00_);_(* \(#,##0.00\);_(* "-"??_);_(@_)</c:formatCode>
                <c:ptCount val="15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  <c:pt idx="12">
                  <c:v>5882097.6399999997</c:v>
                </c:pt>
                <c:pt idx="13">
                  <c:v>3196894.17</c:v>
                </c:pt>
                <c:pt idx="14">
                  <c:v>3796974.4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MENSAL'!$C$4:$P$4</c:f>
              <c:numCache>
                <c:formatCode>_(* #,##0.00_);_(* \(#,##0.00\);_(* "-"??_);_(@_)</c:formatCode>
                <c:ptCount val="14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MENSAL'!$C$5:$Q$5</c:f>
              <c:numCache>
                <c:formatCode>_(* #,##0.00_);_(* \(#,##0.00\);_(* "-"??_);_(@_)</c:formatCode>
                <c:ptCount val="15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36214.15</c:v>
                </c:pt>
                <c:pt idx="11">
                  <c:v>53315.91</c:v>
                </c:pt>
                <c:pt idx="13">
                  <c:v>53315.91</c:v>
                </c:pt>
                <c:pt idx="14">
                  <c:v>16179.2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MENSAL'!$C$6:$Q$6</c:f>
              <c:numCache>
                <c:formatCode>_(* #,##0.00_);_(* \(#,##0.00\);_(* "-"??_);_(@_)</c:formatCode>
                <c:ptCount val="15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100959.81</c:v>
                </c:pt>
                <c:pt idx="11">
                  <c:v>0</c:v>
                </c:pt>
                <c:pt idx="12">
                  <c:v>99037.19</c:v>
                </c:pt>
                <c:pt idx="13">
                  <c:v>245472</c:v>
                </c:pt>
                <c:pt idx="14">
                  <c:v>74452.63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MENSAL'!$C$7:$P$7</c:f>
              <c:numCache>
                <c:formatCode>_(* #,##0.00_);_(* \(#,##0.00\);_(* "-"??_);_(@_)</c:formatCode>
                <c:ptCount val="14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MENSAL'!$C$8:$P$8</c:f>
              <c:numCache>
                <c:formatCode>_(* #,##0.00_);_(* \(#,##0.00\);_(* "-"??_);_(@_)</c:formatCode>
                <c:ptCount val="14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MENSAL'!$C$9:$Q$9</c:f>
              <c:numCache>
                <c:formatCode>_(* #,##0.00_);_(* \(#,##0.00\);_(* "-"??_);_(@_)</c:formatCode>
                <c:ptCount val="15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137173.96</c:v>
                </c:pt>
                <c:pt idx="11">
                  <c:v>53366.93</c:v>
                </c:pt>
                <c:pt idx="12">
                  <c:v>99156.49</c:v>
                </c:pt>
                <c:pt idx="13">
                  <c:v>298787.91000000003</c:v>
                </c:pt>
                <c:pt idx="14">
                  <c:v>90631.83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Cruz" id="{595D0C01-13C6-47BC-9C7D-36DE33B86AC0}" userId="Vitor Cru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09T20:56:00.78" personId="{595D0C01-13C6-47BC-9C7D-36DE33B86AC0}" id="{79A807FC-C033-4AD6-B2F3-3D2118AA2844}">
    <text>Feito Perd/Comp com Advogado</text>
  </threadedComment>
  <threadedComment ref="K5" dT="2026-09-09T20:56:00.78" personId="{595D0C01-13C6-47BC-9C7D-36DE33B86AC0}" id="{2820BD41-D688-4477-BDC3-A2CC3F279BE1}">
    <text>Feito Perd/Comp com Advogado</text>
  </threadedComment>
  <threadedComment ref="L5" dT="2026-09-09T20:56:00.78" personId="{595D0C01-13C6-47BC-9C7D-36DE33B86AC0}" id="{69B0B8BE-7EBE-4A56-BED3-52263843B1C3}">
    <text>Feito Perd/Comp com Advogado</text>
  </threadedComment>
  <threadedComment ref="J6" dT="2026-09-09T20:56:00.78" personId="{595D0C01-13C6-47BC-9C7D-36DE33B86AC0}" id="{704F14D4-648A-4488-8D55-88B91691F4FE}">
    <text>Feito Perd/Comp com Advogado</text>
  </threadedComment>
  <threadedComment ref="K6" dT="2026-09-09T20:56:00.78" personId="{595D0C01-13C6-47BC-9C7D-36DE33B86AC0}" id="{4C44609A-B8C3-4280-ABA6-12D52E40642B}">
    <text>Feito Perd/Comp com Advogado</text>
  </threadedComment>
  <threadedComment ref="L6" dT="2026-09-09T20:56:00.78" personId="{595D0C01-13C6-47BC-9C7D-36DE33B86AC0}" id="{EA2F0DAC-E08D-4AB3-95AC-6E387F78470E}">
    <text>Feito Perd/Comp com Advogado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7B4A5-C227-4B65-8FEE-4CA1A32A001E}">
  <dimension ref="A1:G61"/>
  <sheetViews>
    <sheetView showGridLines="0" topLeftCell="A7" workbookViewId="0">
      <selection activeCell="G21" sqref="G21"/>
    </sheetView>
  </sheetViews>
  <sheetFormatPr defaultRowHeight="14.4" x14ac:dyDescent="0.3"/>
  <cols>
    <col min="1" max="1" width="5.33203125" style="98" customWidth="1"/>
    <col min="2" max="2" width="11.77734375" style="98" customWidth="1"/>
    <col min="3" max="3" width="18" style="98" bestFit="1" customWidth="1"/>
    <col min="4" max="4" width="14.77734375" style="98" customWidth="1"/>
    <col min="5" max="5" width="13.6640625" style="98" bestFit="1" customWidth="1"/>
    <col min="6" max="6" width="3.6640625" style="98" customWidth="1"/>
    <col min="7" max="7" width="15.88671875" style="98" bestFit="1" customWidth="1"/>
    <col min="8" max="8" width="3.88671875" style="98" customWidth="1"/>
    <col min="9" max="9" width="12.6640625" style="98" bestFit="1" customWidth="1"/>
    <col min="10" max="10" width="13.88671875" style="98" customWidth="1"/>
    <col min="11" max="11" width="2.5546875" style="98" customWidth="1"/>
    <col min="12" max="13" width="15.44140625" style="98" bestFit="1" customWidth="1"/>
    <col min="14" max="15" width="13.88671875" style="98" bestFit="1" customWidth="1"/>
    <col min="16" max="16" width="13.88671875" style="98" customWidth="1"/>
    <col min="17" max="17" width="15.44140625" style="98" bestFit="1" customWidth="1"/>
    <col min="18" max="18" width="11.6640625" style="98" bestFit="1" customWidth="1"/>
    <col min="19" max="16384" width="8.88671875" style="98"/>
  </cols>
  <sheetData>
    <row r="1" spans="1:7" ht="18.75" hidden="1" customHeight="1" thickBot="1" x14ac:dyDescent="0.35">
      <c r="A1" s="97"/>
      <c r="B1" s="97"/>
      <c r="C1" s="97"/>
      <c r="D1" s="97"/>
      <c r="E1" s="97"/>
      <c r="F1" s="97"/>
      <c r="G1" s="97"/>
    </row>
    <row r="2" spans="1:7" s="99" customFormat="1" ht="14.4" hidden="1" customHeight="1" x14ac:dyDescent="0.3">
      <c r="B2" s="100"/>
      <c r="C2" s="100"/>
      <c r="D2" s="100"/>
      <c r="E2" s="100"/>
      <c r="F2" s="100"/>
      <c r="G2" s="100"/>
    </row>
    <row r="3" spans="1:7" ht="14.4" hidden="1" customHeight="1" x14ac:dyDescent="0.3">
      <c r="B3" s="101"/>
      <c r="C3" s="101"/>
      <c r="D3" s="101"/>
      <c r="E3" s="101"/>
      <c r="F3" s="101"/>
      <c r="G3" s="101"/>
    </row>
    <row r="4" spans="1:7" ht="14.4" hidden="1" customHeight="1" x14ac:dyDescent="0.3">
      <c r="B4" s="101"/>
      <c r="C4" s="101"/>
      <c r="D4" s="101"/>
      <c r="E4" s="101"/>
      <c r="F4" s="101"/>
      <c r="G4" s="101"/>
    </row>
    <row r="5" spans="1:7" ht="14.4" hidden="1" customHeight="1" x14ac:dyDescent="0.3">
      <c r="B5" s="101"/>
      <c r="C5" s="101"/>
      <c r="D5" s="101"/>
      <c r="E5" s="101"/>
      <c r="F5" s="101"/>
      <c r="G5" s="101"/>
    </row>
    <row r="6" spans="1:7" ht="14.4" hidden="1" customHeight="1" x14ac:dyDescent="0.3">
      <c r="A6" s="97"/>
      <c r="B6" s="102"/>
      <c r="C6" s="102"/>
      <c r="D6" s="102"/>
      <c r="E6" s="102"/>
      <c r="F6" s="102"/>
      <c r="G6" s="102"/>
    </row>
    <row r="8" spans="1:7" x14ac:dyDescent="0.3">
      <c r="A8" s="97"/>
      <c r="B8" s="122" t="s">
        <v>102</v>
      </c>
      <c r="C8" s="122"/>
      <c r="D8" s="103"/>
      <c r="E8" s="103"/>
      <c r="F8" s="103"/>
      <c r="G8" s="103"/>
    </row>
    <row r="9" spans="1:7" x14ac:dyDescent="0.3">
      <c r="A9" s="97"/>
      <c r="B9" s="97"/>
      <c r="C9" s="97"/>
      <c r="D9" s="104"/>
      <c r="E9" s="104"/>
    </row>
    <row r="10" spans="1:7" ht="27.6" x14ac:dyDescent="0.3">
      <c r="A10" s="105"/>
      <c r="B10" s="113" t="s">
        <v>103</v>
      </c>
      <c r="C10" s="113" t="s">
        <v>104</v>
      </c>
      <c r="D10" s="113" t="s">
        <v>105</v>
      </c>
      <c r="E10" s="113" t="s">
        <v>106</v>
      </c>
      <c r="F10" s="106"/>
    </row>
    <row r="11" spans="1:7" x14ac:dyDescent="0.3">
      <c r="A11" s="107"/>
      <c r="B11" s="114">
        <v>46113</v>
      </c>
      <c r="C11" s="115">
        <v>120627.34</v>
      </c>
      <c r="D11" s="116">
        <v>102779.58</v>
      </c>
      <c r="E11" s="117">
        <f>C11-D11</f>
        <v>17847.759999999995</v>
      </c>
      <c r="F11" s="108"/>
    </row>
    <row r="12" spans="1:7" x14ac:dyDescent="0.3">
      <c r="A12" s="107"/>
      <c r="B12" s="114">
        <v>46143</v>
      </c>
      <c r="C12" s="115">
        <v>126667.52</v>
      </c>
      <c r="D12" s="116">
        <v>103847.05</v>
      </c>
      <c r="E12" s="117">
        <f t="shared" ref="E12:E19" si="0">C12-D12</f>
        <v>22820.47</v>
      </c>
      <c r="F12" s="109"/>
    </row>
    <row r="13" spans="1:7" x14ac:dyDescent="0.3">
      <c r="A13" s="107"/>
      <c r="B13" s="114">
        <v>46174</v>
      </c>
      <c r="C13" s="115">
        <v>152096.76</v>
      </c>
      <c r="D13" s="116">
        <v>95919.98</v>
      </c>
      <c r="E13" s="117">
        <f t="shared" si="0"/>
        <v>56176.780000000013</v>
      </c>
      <c r="F13" s="109"/>
    </row>
    <row r="14" spans="1:7" x14ac:dyDescent="0.3">
      <c r="A14" s="107"/>
      <c r="B14" s="114">
        <v>46204</v>
      </c>
      <c r="C14" s="115">
        <v>135916.62</v>
      </c>
      <c r="D14" s="116">
        <v>97086.87</v>
      </c>
      <c r="E14" s="117">
        <f t="shared" si="0"/>
        <v>38829.75</v>
      </c>
      <c r="F14" s="109"/>
    </row>
    <row r="15" spans="1:7" x14ac:dyDescent="0.3">
      <c r="A15" s="110"/>
      <c r="B15" s="114">
        <v>46235</v>
      </c>
      <c r="C15" s="118">
        <v>124463.52</v>
      </c>
      <c r="D15" s="118">
        <v>107769.34</v>
      </c>
      <c r="E15" s="117">
        <f t="shared" si="0"/>
        <v>16694.180000000008</v>
      </c>
    </row>
    <row r="16" spans="1:7" x14ac:dyDescent="0.3">
      <c r="A16" s="110"/>
      <c r="B16" s="114">
        <v>46266</v>
      </c>
      <c r="C16" s="119"/>
      <c r="D16" s="119"/>
      <c r="E16" s="117">
        <f t="shared" si="0"/>
        <v>0</v>
      </c>
    </row>
    <row r="17" spans="1:5" x14ac:dyDescent="0.3">
      <c r="A17" s="112"/>
      <c r="B17" s="114">
        <v>46296</v>
      </c>
      <c r="C17" s="119"/>
      <c r="D17" s="119"/>
      <c r="E17" s="117">
        <f t="shared" si="0"/>
        <v>0</v>
      </c>
    </row>
    <row r="18" spans="1:5" x14ac:dyDescent="0.3">
      <c r="A18" s="110"/>
      <c r="B18" s="114">
        <v>46327</v>
      </c>
      <c r="C18" s="119"/>
      <c r="D18" s="119"/>
      <c r="E18" s="117">
        <f t="shared" si="0"/>
        <v>0</v>
      </c>
    </row>
    <row r="19" spans="1:5" x14ac:dyDescent="0.3">
      <c r="A19" s="110"/>
      <c r="B19" s="114">
        <v>46357</v>
      </c>
      <c r="C19" s="119"/>
      <c r="D19" s="119"/>
      <c r="E19" s="117">
        <f t="shared" si="0"/>
        <v>0</v>
      </c>
    </row>
    <row r="20" spans="1:5" x14ac:dyDescent="0.3">
      <c r="A20" s="110"/>
      <c r="B20" s="120"/>
      <c r="C20" s="120"/>
      <c r="D20" s="120"/>
      <c r="E20" s="121">
        <f>SUM(E11:E19)</f>
        <v>152368.94</v>
      </c>
    </row>
    <row r="21" spans="1:5" x14ac:dyDescent="0.3">
      <c r="A21" s="110"/>
      <c r="B21" s="111"/>
      <c r="C21" s="111"/>
      <c r="D21" s="111"/>
      <c r="E21" s="111"/>
    </row>
    <row r="22" spans="1:5" x14ac:dyDescent="0.3">
      <c r="A22" s="110"/>
      <c r="B22" s="111"/>
      <c r="C22" s="111"/>
      <c r="D22" s="111"/>
      <c r="E22" s="111"/>
    </row>
    <row r="23" spans="1:5" x14ac:dyDescent="0.3">
      <c r="A23" s="110"/>
      <c r="B23" s="111"/>
      <c r="C23" s="111"/>
      <c r="D23" s="111"/>
      <c r="E23" s="111"/>
    </row>
    <row r="24" spans="1:5" x14ac:dyDescent="0.3">
      <c r="A24" s="110"/>
      <c r="B24" s="111"/>
      <c r="C24" s="111"/>
      <c r="D24" s="111"/>
      <c r="E24" s="111"/>
    </row>
    <row r="25" spans="1:5" x14ac:dyDescent="0.3">
      <c r="A25" s="110"/>
      <c r="B25" s="111"/>
      <c r="C25" s="111"/>
      <c r="D25" s="111"/>
      <c r="E25" s="111"/>
    </row>
    <row r="26" spans="1:5" x14ac:dyDescent="0.3">
      <c r="A26" s="110"/>
      <c r="B26" s="111"/>
      <c r="C26" s="111"/>
      <c r="D26" s="111"/>
      <c r="E26" s="111"/>
    </row>
    <row r="27" spans="1:5" x14ac:dyDescent="0.3">
      <c r="A27" s="110"/>
      <c r="B27" s="111"/>
      <c r="C27" s="111"/>
      <c r="D27" s="111"/>
      <c r="E27" s="111"/>
    </row>
    <row r="28" spans="1:5" x14ac:dyDescent="0.3">
      <c r="A28" s="110"/>
      <c r="B28" s="111"/>
      <c r="C28" s="111"/>
      <c r="D28" s="111"/>
      <c r="E28" s="111"/>
    </row>
    <row r="29" spans="1:5" x14ac:dyDescent="0.3">
      <c r="A29" s="110"/>
      <c r="B29" s="111"/>
      <c r="C29" s="111"/>
      <c r="D29" s="111"/>
      <c r="E29" s="111"/>
    </row>
    <row r="30" spans="1:5" x14ac:dyDescent="0.3">
      <c r="A30" s="110"/>
      <c r="B30" s="111"/>
      <c r="C30" s="111"/>
      <c r="D30" s="111"/>
      <c r="E30" s="111"/>
    </row>
    <row r="31" spans="1:5" x14ac:dyDescent="0.3">
      <c r="A31" s="110"/>
      <c r="B31" s="111"/>
      <c r="C31" s="111"/>
      <c r="D31" s="111"/>
      <c r="E31" s="111"/>
    </row>
    <row r="32" spans="1:5" x14ac:dyDescent="0.3">
      <c r="A32" s="110"/>
      <c r="B32" s="111"/>
      <c r="C32" s="111"/>
      <c r="D32" s="111"/>
      <c r="E32" s="111"/>
    </row>
    <row r="33" spans="1:5" x14ac:dyDescent="0.3">
      <c r="A33" s="110"/>
      <c r="B33" s="111"/>
      <c r="C33" s="111"/>
      <c r="D33" s="111"/>
      <c r="E33" s="111"/>
    </row>
    <row r="34" spans="1:5" x14ac:dyDescent="0.3">
      <c r="A34" s="110"/>
      <c r="B34" s="111"/>
      <c r="C34" s="111"/>
      <c r="D34" s="111"/>
      <c r="E34" s="111"/>
    </row>
    <row r="35" spans="1:5" x14ac:dyDescent="0.3">
      <c r="A35" s="110"/>
      <c r="B35" s="111"/>
      <c r="C35" s="111"/>
      <c r="D35" s="111"/>
      <c r="E35" s="111"/>
    </row>
    <row r="36" spans="1:5" x14ac:dyDescent="0.3">
      <c r="A36" s="110"/>
      <c r="B36" s="111"/>
      <c r="C36" s="111"/>
      <c r="D36" s="111"/>
      <c r="E36" s="111"/>
    </row>
    <row r="37" spans="1:5" x14ac:dyDescent="0.3">
      <c r="A37" s="110"/>
      <c r="B37" s="111"/>
      <c r="C37" s="111"/>
      <c r="D37" s="111"/>
      <c r="E37" s="111"/>
    </row>
    <row r="38" spans="1:5" x14ac:dyDescent="0.3">
      <c r="A38" s="110"/>
      <c r="B38" s="111"/>
      <c r="C38" s="111"/>
      <c r="D38" s="111"/>
      <c r="E38" s="111"/>
    </row>
    <row r="39" spans="1:5" x14ac:dyDescent="0.3">
      <c r="A39" s="110"/>
      <c r="B39" s="111"/>
      <c r="C39" s="111"/>
      <c r="D39" s="111"/>
      <c r="E39" s="111"/>
    </row>
    <row r="40" spans="1:5" x14ac:dyDescent="0.3">
      <c r="A40" s="110"/>
      <c r="B40" s="111"/>
      <c r="C40" s="111"/>
      <c r="D40" s="111"/>
      <c r="E40" s="111"/>
    </row>
    <row r="41" spans="1:5" x14ac:dyDescent="0.3">
      <c r="A41" s="110"/>
      <c r="B41" s="111"/>
      <c r="C41" s="111"/>
      <c r="D41" s="111"/>
      <c r="E41" s="111"/>
    </row>
    <row r="42" spans="1:5" x14ac:dyDescent="0.3">
      <c r="A42" s="110"/>
      <c r="B42" s="111"/>
      <c r="C42" s="111"/>
      <c r="D42" s="111"/>
      <c r="E42" s="111"/>
    </row>
    <row r="43" spans="1:5" x14ac:dyDescent="0.3">
      <c r="A43" s="110"/>
      <c r="B43" s="111"/>
      <c r="C43" s="111"/>
      <c r="D43" s="111"/>
      <c r="E43" s="111"/>
    </row>
    <row r="44" spans="1:5" x14ac:dyDescent="0.3">
      <c r="A44" s="110"/>
      <c r="B44" s="111"/>
      <c r="C44" s="111"/>
      <c r="D44" s="111"/>
      <c r="E44" s="111"/>
    </row>
    <row r="45" spans="1:5" x14ac:dyDescent="0.3">
      <c r="A45" s="110"/>
      <c r="B45" s="111"/>
      <c r="C45" s="111"/>
      <c r="D45" s="111"/>
      <c r="E45" s="111"/>
    </row>
    <row r="46" spans="1:5" x14ac:dyDescent="0.3">
      <c r="A46" s="110"/>
      <c r="B46" s="111"/>
      <c r="C46" s="111"/>
      <c r="D46" s="111"/>
      <c r="E46" s="111"/>
    </row>
    <row r="47" spans="1:5" x14ac:dyDescent="0.3">
      <c r="A47" s="110"/>
      <c r="B47" s="111"/>
      <c r="C47" s="111"/>
      <c r="D47" s="111"/>
      <c r="E47" s="111"/>
    </row>
    <row r="48" spans="1:5" x14ac:dyDescent="0.3">
      <c r="A48" s="110"/>
      <c r="B48" s="111"/>
      <c r="C48" s="111"/>
      <c r="D48" s="111"/>
      <c r="E48" s="111"/>
    </row>
    <row r="49" spans="1:5" x14ac:dyDescent="0.3">
      <c r="A49" s="110"/>
      <c r="B49" s="111"/>
      <c r="C49" s="111"/>
      <c r="D49" s="111"/>
      <c r="E49" s="111"/>
    </row>
    <row r="50" spans="1:5" x14ac:dyDescent="0.3">
      <c r="A50" s="110"/>
      <c r="B50" s="111"/>
      <c r="C50" s="111"/>
      <c r="D50" s="111"/>
      <c r="E50" s="111"/>
    </row>
    <row r="51" spans="1:5" x14ac:dyDescent="0.3">
      <c r="A51" s="110"/>
      <c r="B51" s="111"/>
      <c r="C51" s="111"/>
      <c r="D51" s="111"/>
      <c r="E51" s="111"/>
    </row>
    <row r="52" spans="1:5" x14ac:dyDescent="0.3">
      <c r="A52" s="110"/>
      <c r="B52" s="111"/>
      <c r="C52" s="111"/>
      <c r="D52" s="111"/>
      <c r="E52" s="111"/>
    </row>
    <row r="53" spans="1:5" x14ac:dyDescent="0.3">
      <c r="A53" s="110"/>
      <c r="B53" s="111"/>
      <c r="C53" s="111"/>
      <c r="D53" s="111"/>
      <c r="E53" s="111"/>
    </row>
    <row r="54" spans="1:5" x14ac:dyDescent="0.3">
      <c r="A54" s="110"/>
      <c r="B54" s="111"/>
      <c r="C54" s="111"/>
      <c r="D54" s="111"/>
      <c r="E54" s="111"/>
    </row>
    <row r="55" spans="1:5" x14ac:dyDescent="0.3">
      <c r="A55" s="110"/>
      <c r="B55" s="111"/>
      <c r="C55" s="111"/>
      <c r="D55" s="111"/>
      <c r="E55" s="111"/>
    </row>
    <row r="56" spans="1:5" x14ac:dyDescent="0.3">
      <c r="A56" s="110"/>
      <c r="B56" s="111"/>
      <c r="C56" s="111"/>
      <c r="D56" s="111"/>
      <c r="E56" s="111"/>
    </row>
    <row r="57" spans="1:5" x14ac:dyDescent="0.3">
      <c r="A57" s="110"/>
      <c r="B57" s="111"/>
      <c r="C57" s="111"/>
      <c r="D57" s="111"/>
      <c r="E57" s="111"/>
    </row>
    <row r="58" spans="1:5" x14ac:dyDescent="0.3">
      <c r="A58" s="110"/>
      <c r="E58" s="111"/>
    </row>
    <row r="59" spans="1:5" x14ac:dyDescent="0.3">
      <c r="A59" s="110"/>
      <c r="E59" s="111"/>
    </row>
    <row r="60" spans="1:5" x14ac:dyDescent="0.3">
      <c r="A60" s="110"/>
    </row>
    <row r="61" spans="1:5" x14ac:dyDescent="0.3">
      <c r="A61" s="110"/>
    </row>
  </sheetData>
  <mergeCells count="1">
    <mergeCell ref="B8:C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opLeftCell="A7" workbookViewId="0">
      <selection activeCell="D15" sqref="D15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123" t="s">
        <v>0</v>
      </c>
      <c r="B1" s="124"/>
      <c r="C1" s="124"/>
      <c r="D1" s="124"/>
      <c r="E1" s="124"/>
      <c r="F1" s="124"/>
      <c r="G1" s="125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26" t="s">
        <v>78</v>
      </c>
      <c r="B8" s="127"/>
      <c r="C8" s="128"/>
      <c r="D8" s="12"/>
      <c r="E8" s="12"/>
      <c r="F8" s="12"/>
      <c r="G8" s="12"/>
    </row>
    <row r="9" spans="1:7" ht="15" thickBot="1" x14ac:dyDescent="0.35">
      <c r="A9" s="126" t="s">
        <v>97</v>
      </c>
      <c r="B9" s="127"/>
      <c r="C9" s="128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282040.54999999987</v>
      </c>
      <c r="D11" s="18" t="s">
        <v>107</v>
      </c>
      <c r="E11" s="19">
        <f>60-26</f>
        <v>34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703166.67999999993</v>
      </c>
      <c r="D12" s="18" t="s">
        <v>108</v>
      </c>
      <c r="E12" s="19">
        <f>60-21</f>
        <v>39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1310298.6299999999</v>
      </c>
      <c r="D13" s="18" t="s">
        <v>109</v>
      </c>
      <c r="E13" s="19">
        <f>60-10</f>
        <v>50</v>
      </c>
      <c r="F13" s="24"/>
    </row>
    <row r="14" spans="1:7" ht="15" thickBot="1" x14ac:dyDescent="0.35">
      <c r="A14" s="15" t="s">
        <v>101</v>
      </c>
      <c r="B14" s="16">
        <v>45986</v>
      </c>
      <c r="C14" s="17">
        <v>91297.69</v>
      </c>
      <c r="D14" s="18" t="s">
        <v>110</v>
      </c>
      <c r="E14" s="19">
        <f>60-8</f>
        <v>52</v>
      </c>
      <c r="F14" s="24"/>
    </row>
    <row r="15" spans="1:7" ht="15" thickBot="1" x14ac:dyDescent="0.35">
      <c r="A15" s="21"/>
      <c r="B15" s="20"/>
      <c r="C15" s="89">
        <f>SUM(C11:C14)</f>
        <v>2386803.5499999993</v>
      </c>
      <c r="D15" s="20"/>
      <c r="E15" s="20"/>
    </row>
    <row r="16" spans="1:7" x14ac:dyDescent="0.3">
      <c r="A16" s="21"/>
      <c r="B16" s="20"/>
      <c r="C16" s="20"/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tabSelected="1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I4+I5+I6+I7+I8+I9+I10+I11+I12+I13+I14+I15+I16+I17+I18+I19+I20+I21+I22+I23+I24+I25+I26+I27+I28+I29+I30+I31</f>
        <v>246785.28000000009</v>
      </c>
      <c r="Q4" s="34">
        <f>O4-P4</f>
        <v>282040.54999999987</v>
      </c>
      <c r="R4" s="34">
        <f>J5+J6+J7+J8+J9+J10+J11+J12+J13+J14+J15+J16+J17+J18+J19+J20+J21+J22+J23+J24+J25+J26+J27+J28+J29+J30+J31</f>
        <v>33892.76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129" t="s">
        <v>89</v>
      </c>
      <c r="P6" s="129"/>
      <c r="Q6" s="82">
        <f>(Q4/O4)-1</f>
        <v>-0.46666646370129106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30" t="s">
        <v>87</v>
      </c>
      <c r="P9" s="130"/>
      <c r="Q9" s="130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31" t="s">
        <v>88</v>
      </c>
      <c r="P10" s="131"/>
      <c r="Q10" s="131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32" t="s">
        <v>90</v>
      </c>
      <c r="P11" s="132"/>
      <c r="Q11" s="132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31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>
        <f t="shared" si="3"/>
        <v>2433.4699999999993</v>
      </c>
      <c r="K30" s="28">
        <v>11247.23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>
        <f t="shared" si="3"/>
        <v>2529.5399999999991</v>
      </c>
      <c r="K31" s="28">
        <v>11343.3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33892.76</v>
      </c>
      <c r="K64" s="87">
        <f>SUM(K4:K63)</f>
        <v>562718.5900000002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I4+I5+I6+I7+I8+I9+I10+I11+I12+I13+I14+I15+I16+I17+I18+I19+I20+I21+I22+I23+I24+I25</f>
        <v>407096.36000000004</v>
      </c>
      <c r="Q4" s="34">
        <f>O4-P4</f>
        <v>703166.67999999993</v>
      </c>
      <c r="R4" s="34">
        <f>J5+J6+J7+J8+J9+J10+J11+J12+J13+J14+J15+J16+J17+J18+J19+J20+J21+J22+J23+J24+J25</f>
        <v>46880.719999999979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129" t="s">
        <v>89</v>
      </c>
      <c r="P6" s="129"/>
      <c r="Q6" s="82">
        <f>Q4/O4-1</f>
        <v>-0.36666658740617009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5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33" t="s">
        <v>86</v>
      </c>
      <c r="P9" s="133"/>
      <c r="Q9" s="133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30" t="s">
        <v>87</v>
      </c>
      <c r="P10" s="130"/>
      <c r="Q10" s="130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31" t="s">
        <v>88</v>
      </c>
      <c r="P11" s="131"/>
      <c r="Q11" s="131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>
        <f t="shared" si="3"/>
        <v>4133.869999999999</v>
      </c>
      <c r="K24" s="28">
        <v>22638.25</v>
      </c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>
        <f t="shared" si="3"/>
        <v>4335.57</v>
      </c>
      <c r="K25" s="28">
        <v>22839.95</v>
      </c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46880.719999999979</v>
      </c>
      <c r="K64" s="78">
        <f>SUM(K4:K63)</f>
        <v>435472.7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I4+I5+I6+I7+I8+I9+I10+I11+I12+I13+I14+I15+I16+I17+I18+I19</f>
        <v>476472.16000000009</v>
      </c>
      <c r="Q4" s="34">
        <f>O4-P4</f>
        <v>1310298.6299999999</v>
      </c>
      <c r="R4" s="34">
        <f>J5+J6+J7+J8+J9+J10+J11+J12+J13+J14+J15+J16+J17+J18+J19</f>
        <v>41566.170000000027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9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129" t="s">
        <v>89</v>
      </c>
      <c r="P6" s="129"/>
      <c r="Q6" s="82">
        <f>(Q4/O4)-1</f>
        <v>-0.26666663831011039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30" t="s">
        <v>87</v>
      </c>
      <c r="P9" s="130"/>
      <c r="Q9" s="130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31" t="s">
        <v>88</v>
      </c>
      <c r="P10" s="131"/>
      <c r="Q10" s="131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32" t="s">
        <v>90</v>
      </c>
      <c r="P11" s="132"/>
      <c r="Q11" s="132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>
        <f t="shared" si="1"/>
        <v>4788.5400000000045</v>
      </c>
      <c r="K18" s="28">
        <v>34568.050000000003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>
        <f t="shared" si="1"/>
        <v>5113.1400000000031</v>
      </c>
      <c r="K19" s="28">
        <v>34892.65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ref="K18:K63" si="3">I20+J20</f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41566.170000000027</v>
      </c>
      <c r="K64" s="78">
        <f>SUM(K4:K63)</f>
        <v>1828336.9600000002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workbookViewId="0">
      <selection activeCell="P4" sqref="P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</f>
        <v>13694.579999999998</v>
      </c>
      <c r="Q4" s="34">
        <f>O4-P4</f>
        <v>77603.11</v>
      </c>
      <c r="R4" s="34">
        <f>J5+J6+J7+J8+J9+J10+J11+J12+J13+J14+J15+J16+J17+J18+J19+J20+J21+J22+J23+J24+J25+J26+J27+J28+J29</f>
        <v>744.94000000000096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3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129" t="s">
        <v>89</v>
      </c>
      <c r="P6" s="129"/>
      <c r="Q6" s="82">
        <f>(Q4/O4)-1</f>
        <v>-0.14999919494129588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30" t="s">
        <v>87</v>
      </c>
      <c r="P9" s="130"/>
      <c r="Q9" s="130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31" t="s">
        <v>88</v>
      </c>
      <c r="P10" s="131"/>
      <c r="Q10" s="131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32" t="s">
        <v>90</v>
      </c>
      <c r="P11" s="132"/>
      <c r="Q11" s="132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>
        <f t="shared" si="1"/>
        <v>153.5300000000002</v>
      </c>
      <c r="K13" s="28">
        <v>1675.15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R58"/>
  <sheetViews>
    <sheetView showGridLines="0" workbookViewId="0">
      <selection activeCell="K53" sqref="K53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99</v>
      </c>
      <c r="C4" s="45"/>
      <c r="D4" s="46"/>
      <c r="E4" s="27"/>
      <c r="F4" s="27"/>
      <c r="G4" s="27"/>
      <c r="H4" s="93"/>
      <c r="I4" s="27">
        <v>210.53</v>
      </c>
      <c r="J4" s="77">
        <v>12.67</v>
      </c>
      <c r="K4" s="28">
        <f>I4+J4</f>
        <v>223.2</v>
      </c>
      <c r="L4" s="29">
        <v>45534</v>
      </c>
      <c r="M4" s="31"/>
      <c r="O4" s="32">
        <f>I52</f>
        <v>10105.300000000005</v>
      </c>
      <c r="P4" s="33">
        <f>K5+K6+K7+K8+K9+K10+K11+K12+K13+K14+K15+K16+K17+K18+K19+K20+K21+K22+K23+K24+K25+K26+K27+K28+K29+K30+K31+K32</f>
        <v>6249.5999999999967</v>
      </c>
      <c r="Q4" s="34">
        <f>O4-P4</f>
        <v>3855.700000000008</v>
      </c>
      <c r="R4" s="34">
        <f>J5+J6+J7+J8+J9+J10+J11+J12+J13+J14+J15+J16+J17+J18+J19+J20+J21+J22+J23+J24+J25+J26+J27+J28+J29+J30+J31+J32+J33+J34+J35+J36+J37+J38+J39+J40+J41+J42+J43+J44+J45+J46+J47+J48+J49+J50+J51-354.74</f>
        <v>1312.349999999999</v>
      </c>
    </row>
    <row r="5" spans="2:18" customFormat="1" x14ac:dyDescent="0.3">
      <c r="B5" s="39"/>
      <c r="C5" s="90"/>
      <c r="D5" s="91"/>
      <c r="E5" s="42"/>
      <c r="F5" s="42"/>
      <c r="G5" s="42"/>
      <c r="H5" s="42"/>
      <c r="I5" s="27">
        <v>210.53</v>
      </c>
      <c r="J5" s="77">
        <v>12.67</v>
      </c>
      <c r="K5" s="28">
        <f t="shared" ref="K5:K51" si="0">I5+J5</f>
        <v>223.2</v>
      </c>
      <c r="L5" s="29">
        <v>45565</v>
      </c>
      <c r="M5" s="31">
        <f>H17-I4</f>
        <v>-210.53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210.53</v>
      </c>
      <c r="J6" s="77">
        <v>12.67</v>
      </c>
      <c r="K6" s="28">
        <f t="shared" si="0"/>
        <v>223.2</v>
      </c>
      <c r="L6" s="29">
        <v>45595</v>
      </c>
      <c r="M6" s="31">
        <f>M5-I6</f>
        <v>-421.06</v>
      </c>
      <c r="O6" s="129" t="s">
        <v>89</v>
      </c>
      <c r="P6" s="129"/>
      <c r="Q6" s="82">
        <f>(Q4/O4)-1</f>
        <v>-0.61844774524259494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210.53</v>
      </c>
      <c r="J7" s="77">
        <v>12.67</v>
      </c>
      <c r="K7" s="28">
        <f t="shared" si="0"/>
        <v>223.2</v>
      </c>
      <c r="L7" s="29">
        <v>45626</v>
      </c>
      <c r="M7" s="31">
        <f>M6-I7</f>
        <v>-631.59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210.53</v>
      </c>
      <c r="J8" s="77">
        <v>12.67</v>
      </c>
      <c r="K8" s="28">
        <f t="shared" si="0"/>
        <v>223.2</v>
      </c>
      <c r="L8" s="29">
        <v>45656</v>
      </c>
      <c r="M8" s="31">
        <f>M7-I8</f>
        <v>-842.12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210.53</v>
      </c>
      <c r="J9" s="77">
        <v>12.67</v>
      </c>
      <c r="K9" s="28">
        <f t="shared" si="0"/>
        <v>223.2</v>
      </c>
      <c r="L9" s="29">
        <v>45687</v>
      </c>
      <c r="M9" s="31">
        <f t="shared" ref="M9:M51" si="1">M8-I9</f>
        <v>-1052.6500000000001</v>
      </c>
      <c r="O9" s="134"/>
      <c r="P9" s="134"/>
      <c r="Q9" s="134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210.53</v>
      </c>
      <c r="J10" s="77">
        <v>12.67</v>
      </c>
      <c r="K10" s="28">
        <f t="shared" si="0"/>
        <v>223.2</v>
      </c>
      <c r="L10" s="29">
        <v>45716</v>
      </c>
      <c r="M10" s="31">
        <f t="shared" si="1"/>
        <v>-1263.18</v>
      </c>
      <c r="O10" s="134"/>
      <c r="P10" s="134"/>
      <c r="Q10" s="134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210.53</v>
      </c>
      <c r="J11" s="77">
        <v>12.67</v>
      </c>
      <c r="K11" s="28">
        <f t="shared" si="0"/>
        <v>223.2</v>
      </c>
      <c r="L11" s="29">
        <v>45746</v>
      </c>
      <c r="M11" s="31">
        <f t="shared" si="1"/>
        <v>-1473.71</v>
      </c>
      <c r="O11" s="134"/>
      <c r="P11" s="134"/>
      <c r="Q11" s="134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210.53</v>
      </c>
      <c r="J12" s="77">
        <v>12.67</v>
      </c>
      <c r="K12" s="28">
        <f t="shared" si="0"/>
        <v>223.2</v>
      </c>
      <c r="L12" s="29">
        <v>45777</v>
      </c>
      <c r="M12" s="31">
        <f t="shared" si="1"/>
        <v>-1684.24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210.53</v>
      </c>
      <c r="J13" s="77">
        <v>12.67</v>
      </c>
      <c r="K13" s="28">
        <f t="shared" si="0"/>
        <v>223.2</v>
      </c>
      <c r="L13" s="29">
        <v>45807</v>
      </c>
      <c r="M13" s="31">
        <f t="shared" si="1"/>
        <v>-1894.77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210.53</v>
      </c>
      <c r="J14" s="77">
        <v>12.67</v>
      </c>
      <c r="K14" s="28">
        <f t="shared" si="0"/>
        <v>223.2</v>
      </c>
      <c r="L14" s="29">
        <v>45838</v>
      </c>
      <c r="M14" s="31">
        <f t="shared" si="1"/>
        <v>-2105.3000000000002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210.53</v>
      </c>
      <c r="J15" s="77">
        <v>12.67</v>
      </c>
      <c r="K15" s="28">
        <f t="shared" si="0"/>
        <v>223.2</v>
      </c>
      <c r="L15" s="29">
        <v>45868</v>
      </c>
      <c r="M15" s="31">
        <f t="shared" si="1"/>
        <v>-2315.8300000000004</v>
      </c>
    </row>
    <row r="16" spans="2:18" x14ac:dyDescent="0.3">
      <c r="C16" s="90"/>
      <c r="D16" s="91"/>
      <c r="E16" s="42"/>
      <c r="F16" s="42"/>
      <c r="G16" s="42"/>
      <c r="H16" s="42"/>
      <c r="I16" s="27">
        <v>210.53</v>
      </c>
      <c r="J16" s="77">
        <v>12.67</v>
      </c>
      <c r="K16" s="28">
        <f t="shared" si="0"/>
        <v>223.2</v>
      </c>
      <c r="L16" s="29">
        <v>45899</v>
      </c>
      <c r="M16" s="31">
        <f t="shared" si="1"/>
        <v>-2526.3600000000006</v>
      </c>
    </row>
    <row r="17" spans="3:13" x14ac:dyDescent="0.3">
      <c r="C17" s="40"/>
      <c r="D17" s="41"/>
      <c r="E17" s="42"/>
      <c r="F17" s="42"/>
      <c r="G17" s="42"/>
      <c r="H17" s="92"/>
      <c r="I17" s="27">
        <v>210.53</v>
      </c>
      <c r="J17" s="77">
        <v>12.67</v>
      </c>
      <c r="K17" s="28">
        <f t="shared" si="0"/>
        <v>223.2</v>
      </c>
      <c r="L17" s="29">
        <v>45930</v>
      </c>
      <c r="M17" s="31">
        <f t="shared" si="1"/>
        <v>-2736.8900000000008</v>
      </c>
    </row>
    <row r="18" spans="3:13" x14ac:dyDescent="0.3">
      <c r="C18" s="40"/>
      <c r="D18" s="41"/>
      <c r="E18" s="42"/>
      <c r="F18" s="42"/>
      <c r="G18" s="42"/>
      <c r="H18" s="42"/>
      <c r="I18" s="27">
        <v>210.53</v>
      </c>
      <c r="J18" s="77">
        <v>12.67</v>
      </c>
      <c r="K18" s="28">
        <f t="shared" si="0"/>
        <v>223.2</v>
      </c>
      <c r="L18" s="29">
        <v>45960</v>
      </c>
      <c r="M18" s="31">
        <f t="shared" si="1"/>
        <v>-2947.420000000001</v>
      </c>
    </row>
    <row r="19" spans="3:13" x14ac:dyDescent="0.3">
      <c r="C19" s="40"/>
      <c r="D19" s="41"/>
      <c r="E19" s="42"/>
      <c r="F19" s="42"/>
      <c r="G19" s="42"/>
      <c r="H19" s="42"/>
      <c r="I19" s="27">
        <v>210.53</v>
      </c>
      <c r="J19" s="77">
        <v>12.67</v>
      </c>
      <c r="K19" s="28">
        <f t="shared" si="0"/>
        <v>223.2</v>
      </c>
      <c r="L19" s="29">
        <v>45991</v>
      </c>
      <c r="M19" s="31">
        <f t="shared" si="1"/>
        <v>-3157.9500000000012</v>
      </c>
    </row>
    <row r="20" spans="3:13" x14ac:dyDescent="0.3">
      <c r="C20" s="40"/>
      <c r="D20" s="41"/>
      <c r="E20" s="42"/>
      <c r="F20" s="42"/>
      <c r="G20" s="42"/>
      <c r="H20" s="42"/>
      <c r="I20" s="27">
        <v>210.53</v>
      </c>
      <c r="J20" s="77">
        <v>12.67</v>
      </c>
      <c r="K20" s="28">
        <f t="shared" si="0"/>
        <v>223.2</v>
      </c>
      <c r="L20" s="29">
        <v>46021</v>
      </c>
      <c r="M20" s="31">
        <f t="shared" si="1"/>
        <v>-3368.4800000000014</v>
      </c>
    </row>
    <row r="21" spans="3:13" x14ac:dyDescent="0.3">
      <c r="C21" s="40"/>
      <c r="D21" s="41"/>
      <c r="E21" s="42"/>
      <c r="F21" s="42"/>
      <c r="G21" s="42"/>
      <c r="H21" s="42"/>
      <c r="I21" s="27">
        <v>210.53</v>
      </c>
      <c r="J21" s="77">
        <v>12.67</v>
      </c>
      <c r="K21" s="28">
        <f t="shared" si="0"/>
        <v>223.2</v>
      </c>
      <c r="L21" s="29">
        <v>46052</v>
      </c>
      <c r="M21" s="31">
        <f t="shared" si="1"/>
        <v>-3579.0100000000016</v>
      </c>
    </row>
    <row r="22" spans="3:13" x14ac:dyDescent="0.3">
      <c r="C22" s="40"/>
      <c r="D22" s="41"/>
      <c r="E22" s="42"/>
      <c r="F22" s="42"/>
      <c r="G22" s="42"/>
      <c r="H22" s="42"/>
      <c r="I22" s="27">
        <v>210.53</v>
      </c>
      <c r="J22" s="77">
        <v>12.67</v>
      </c>
      <c r="K22" s="28">
        <f t="shared" si="0"/>
        <v>223.2</v>
      </c>
      <c r="L22" s="29">
        <v>46081</v>
      </c>
      <c r="M22" s="31">
        <f t="shared" si="1"/>
        <v>-3789.5400000000018</v>
      </c>
    </row>
    <row r="23" spans="3:13" x14ac:dyDescent="0.3">
      <c r="C23" s="40"/>
      <c r="D23" s="41"/>
      <c r="E23" s="42"/>
      <c r="F23" s="42"/>
      <c r="G23" s="42"/>
      <c r="H23" s="42"/>
      <c r="I23" s="27">
        <v>210.53</v>
      </c>
      <c r="J23" s="77">
        <v>12.67</v>
      </c>
      <c r="K23" s="28">
        <f t="shared" si="0"/>
        <v>223.2</v>
      </c>
      <c r="L23" s="29">
        <v>46111</v>
      </c>
      <c r="M23" s="31">
        <f t="shared" si="1"/>
        <v>-4000.070000000002</v>
      </c>
    </row>
    <row r="24" spans="3:13" x14ac:dyDescent="0.3">
      <c r="C24" s="40"/>
      <c r="D24" s="41"/>
      <c r="E24" s="42"/>
      <c r="F24" s="42"/>
      <c r="G24" s="42"/>
      <c r="H24" s="42"/>
      <c r="I24" s="27">
        <v>210.53</v>
      </c>
      <c r="J24" s="77">
        <v>12.67</v>
      </c>
      <c r="K24" s="28">
        <f t="shared" si="0"/>
        <v>223.2</v>
      </c>
      <c r="L24" s="29">
        <v>46142</v>
      </c>
      <c r="M24" s="31">
        <f t="shared" si="1"/>
        <v>-4210.6000000000022</v>
      </c>
    </row>
    <row r="25" spans="3:13" x14ac:dyDescent="0.3">
      <c r="C25" s="40"/>
      <c r="D25" s="41"/>
      <c r="E25" s="42"/>
      <c r="F25" s="42"/>
      <c r="G25" s="42"/>
      <c r="H25" s="42"/>
      <c r="I25" s="27">
        <v>210.53</v>
      </c>
      <c r="J25" s="77">
        <v>12.67</v>
      </c>
      <c r="K25" s="28">
        <f t="shared" si="0"/>
        <v>223.2</v>
      </c>
      <c r="L25" s="29">
        <v>46172</v>
      </c>
      <c r="M25" s="31">
        <f t="shared" si="1"/>
        <v>-4421.1300000000019</v>
      </c>
    </row>
    <row r="26" spans="3:13" x14ac:dyDescent="0.3">
      <c r="C26" s="40"/>
      <c r="D26" s="41"/>
      <c r="E26" s="42"/>
      <c r="F26" s="42"/>
      <c r="G26" s="42"/>
      <c r="H26" s="42"/>
      <c r="I26" s="27">
        <v>210.53</v>
      </c>
      <c r="J26" s="77">
        <v>12.67</v>
      </c>
      <c r="K26" s="28">
        <f t="shared" si="0"/>
        <v>223.2</v>
      </c>
      <c r="L26" s="29">
        <v>46203</v>
      </c>
      <c r="M26" s="31">
        <f t="shared" si="1"/>
        <v>-4631.6600000000017</v>
      </c>
    </row>
    <row r="27" spans="3:13" x14ac:dyDescent="0.3">
      <c r="C27" s="40"/>
      <c r="D27" s="41"/>
      <c r="E27" s="42"/>
      <c r="F27" s="42"/>
      <c r="G27" s="42"/>
      <c r="H27" s="42"/>
      <c r="I27" s="27">
        <v>210.53</v>
      </c>
      <c r="J27" s="77">
        <v>12.67</v>
      </c>
      <c r="K27" s="28">
        <f t="shared" si="0"/>
        <v>223.2</v>
      </c>
      <c r="L27" s="29">
        <v>46233</v>
      </c>
      <c r="M27" s="31">
        <f t="shared" si="1"/>
        <v>-4842.1900000000014</v>
      </c>
    </row>
    <row r="28" spans="3:13" x14ac:dyDescent="0.3">
      <c r="C28" s="40"/>
      <c r="D28" s="41"/>
      <c r="E28" s="42"/>
      <c r="F28" s="42"/>
      <c r="G28" s="42"/>
      <c r="H28" s="42"/>
      <c r="I28" s="27">
        <v>210.53</v>
      </c>
      <c r="J28" s="77">
        <v>12.67</v>
      </c>
      <c r="K28" s="28">
        <f t="shared" si="0"/>
        <v>223.2</v>
      </c>
      <c r="L28" s="29">
        <v>46264</v>
      </c>
      <c r="M28" s="31">
        <f t="shared" si="1"/>
        <v>-5052.7200000000012</v>
      </c>
    </row>
    <row r="29" spans="3:13" x14ac:dyDescent="0.3">
      <c r="C29" s="40"/>
      <c r="D29" s="41"/>
      <c r="E29" s="42"/>
      <c r="F29" s="42"/>
      <c r="G29" s="42"/>
      <c r="H29" s="42"/>
      <c r="I29" s="27">
        <v>210.53</v>
      </c>
      <c r="J29" s="77">
        <v>12.67</v>
      </c>
      <c r="K29" s="28">
        <f t="shared" si="0"/>
        <v>223.2</v>
      </c>
      <c r="L29" s="29">
        <v>46295</v>
      </c>
      <c r="M29" s="31">
        <f t="shared" si="1"/>
        <v>-5263.2500000000009</v>
      </c>
    </row>
    <row r="30" spans="3:13" x14ac:dyDescent="0.3">
      <c r="C30" s="40"/>
      <c r="D30" s="41"/>
      <c r="E30" s="42"/>
      <c r="F30" s="42"/>
      <c r="G30" s="42"/>
      <c r="H30" s="42"/>
      <c r="I30" s="27">
        <v>210.53</v>
      </c>
      <c r="J30" s="77">
        <v>12.67</v>
      </c>
      <c r="K30" s="28">
        <f t="shared" si="0"/>
        <v>223.2</v>
      </c>
      <c r="L30" s="29">
        <v>46325</v>
      </c>
      <c r="M30" s="31">
        <f t="shared" si="1"/>
        <v>-5473.7800000000007</v>
      </c>
    </row>
    <row r="31" spans="3:13" x14ac:dyDescent="0.3">
      <c r="C31" s="40"/>
      <c r="D31" s="41"/>
      <c r="E31" s="42"/>
      <c r="F31" s="42"/>
      <c r="G31" s="42"/>
      <c r="H31" s="42"/>
      <c r="I31" s="27">
        <v>210.53</v>
      </c>
      <c r="J31" s="77">
        <v>12.67</v>
      </c>
      <c r="K31" s="28">
        <f t="shared" si="0"/>
        <v>223.2</v>
      </c>
      <c r="L31" s="29">
        <v>46356</v>
      </c>
      <c r="M31" s="31">
        <f t="shared" si="1"/>
        <v>-5684.31</v>
      </c>
    </row>
    <row r="32" spans="3:13" x14ac:dyDescent="0.3">
      <c r="C32" s="40"/>
      <c r="D32" s="41"/>
      <c r="E32" s="42"/>
      <c r="F32" s="42"/>
      <c r="G32" s="42"/>
      <c r="H32" s="42"/>
      <c r="I32" s="27">
        <v>210.53</v>
      </c>
      <c r="J32" s="77">
        <v>12.67</v>
      </c>
      <c r="K32" s="28">
        <f t="shared" si="0"/>
        <v>223.2</v>
      </c>
      <c r="L32" s="29">
        <v>46386</v>
      </c>
      <c r="M32" s="31">
        <f t="shared" si="1"/>
        <v>-5894.84</v>
      </c>
    </row>
    <row r="33" spans="3:13" x14ac:dyDescent="0.3">
      <c r="C33" s="40"/>
      <c r="D33" s="41"/>
      <c r="E33" s="42"/>
      <c r="F33" s="42"/>
      <c r="G33" s="42"/>
      <c r="H33" s="42"/>
      <c r="I33" s="27">
        <v>210.53</v>
      </c>
      <c r="J33" s="77">
        <v>69.069999999999993</v>
      </c>
      <c r="K33" s="28">
        <f t="shared" si="0"/>
        <v>279.60000000000002</v>
      </c>
      <c r="L33" s="29">
        <v>46417</v>
      </c>
      <c r="M33" s="31">
        <f t="shared" si="1"/>
        <v>-6105.37</v>
      </c>
    </row>
    <row r="34" spans="3:13" x14ac:dyDescent="0.3">
      <c r="C34" s="40"/>
      <c r="D34" s="41"/>
      <c r="E34" s="42"/>
      <c r="F34" s="42"/>
      <c r="G34" s="42"/>
      <c r="H34" s="42"/>
      <c r="I34" s="27">
        <v>210.53</v>
      </c>
      <c r="J34" s="77">
        <v>69.069999999999993</v>
      </c>
      <c r="K34" s="28">
        <f t="shared" si="0"/>
        <v>279.60000000000002</v>
      </c>
      <c r="L34" s="29">
        <v>46446</v>
      </c>
      <c r="M34" s="31">
        <f t="shared" si="1"/>
        <v>-6315.9</v>
      </c>
    </row>
    <row r="35" spans="3:13" x14ac:dyDescent="0.3">
      <c r="C35" s="40"/>
      <c r="D35" s="41"/>
      <c r="E35" s="42"/>
      <c r="F35" s="42"/>
      <c r="G35" s="42"/>
      <c r="H35" s="42"/>
      <c r="I35" s="27">
        <v>210.53</v>
      </c>
      <c r="J35" s="77">
        <v>69.069999999999993</v>
      </c>
      <c r="K35" s="28">
        <f t="shared" si="0"/>
        <v>279.60000000000002</v>
      </c>
      <c r="L35" s="29">
        <v>46476</v>
      </c>
      <c r="M35" s="31">
        <f t="shared" si="1"/>
        <v>-6526.4299999999994</v>
      </c>
    </row>
    <row r="36" spans="3:13" x14ac:dyDescent="0.3">
      <c r="C36" s="40"/>
      <c r="D36" s="41"/>
      <c r="E36" s="42"/>
      <c r="F36" s="42"/>
      <c r="G36" s="42"/>
      <c r="H36" s="42"/>
      <c r="I36" s="27">
        <v>210.53</v>
      </c>
      <c r="J36" s="77">
        <v>69.069999999999993</v>
      </c>
      <c r="K36" s="28">
        <f t="shared" si="0"/>
        <v>279.60000000000002</v>
      </c>
      <c r="L36" s="29">
        <v>46507</v>
      </c>
      <c r="M36" s="31">
        <f t="shared" si="1"/>
        <v>-6736.9599999999991</v>
      </c>
    </row>
    <row r="37" spans="3:13" x14ac:dyDescent="0.3">
      <c r="C37" s="40"/>
      <c r="D37" s="41"/>
      <c r="E37" s="42"/>
      <c r="F37" s="42"/>
      <c r="G37" s="42"/>
      <c r="H37" s="42"/>
      <c r="I37" s="27">
        <v>210.53</v>
      </c>
      <c r="J37" s="77">
        <v>69.069999999999993</v>
      </c>
      <c r="K37" s="28">
        <f t="shared" si="0"/>
        <v>279.60000000000002</v>
      </c>
      <c r="L37" s="29">
        <v>46537</v>
      </c>
      <c r="M37" s="31">
        <f t="shared" si="1"/>
        <v>-6947.4899999999989</v>
      </c>
    </row>
    <row r="38" spans="3:13" x14ac:dyDescent="0.3">
      <c r="C38" s="40"/>
      <c r="D38" s="41"/>
      <c r="E38" s="42"/>
      <c r="F38" s="42"/>
      <c r="G38" s="42"/>
      <c r="H38" s="42"/>
      <c r="I38" s="27">
        <v>210.53</v>
      </c>
      <c r="J38" s="77">
        <v>69.069999999999993</v>
      </c>
      <c r="K38" s="28">
        <f t="shared" si="0"/>
        <v>279.60000000000002</v>
      </c>
      <c r="L38" s="29">
        <v>46568</v>
      </c>
      <c r="M38" s="31">
        <f t="shared" si="1"/>
        <v>-7158.0199999999986</v>
      </c>
    </row>
    <row r="39" spans="3:13" x14ac:dyDescent="0.3">
      <c r="C39" s="40"/>
      <c r="D39" s="41"/>
      <c r="E39" s="42"/>
      <c r="F39" s="42"/>
      <c r="G39" s="42"/>
      <c r="H39" s="42"/>
      <c r="I39" s="27">
        <v>210.53</v>
      </c>
      <c r="J39" s="77">
        <v>69.069999999999993</v>
      </c>
      <c r="K39" s="28">
        <f t="shared" si="0"/>
        <v>279.60000000000002</v>
      </c>
      <c r="L39" s="29">
        <v>46598</v>
      </c>
      <c r="M39" s="31">
        <f t="shared" si="1"/>
        <v>-7368.5499999999984</v>
      </c>
    </row>
    <row r="40" spans="3:13" x14ac:dyDescent="0.3">
      <c r="C40" s="40"/>
      <c r="D40" s="41"/>
      <c r="E40" s="42"/>
      <c r="F40" s="42"/>
      <c r="G40" s="42"/>
      <c r="H40" s="42"/>
      <c r="I40" s="27">
        <v>210.53</v>
      </c>
      <c r="J40" s="77">
        <v>69.069999999999993</v>
      </c>
      <c r="K40" s="28">
        <f t="shared" si="0"/>
        <v>279.60000000000002</v>
      </c>
      <c r="L40" s="29">
        <v>46629</v>
      </c>
      <c r="M40" s="31">
        <f t="shared" si="1"/>
        <v>-7579.0799999999981</v>
      </c>
    </row>
    <row r="41" spans="3:13" x14ac:dyDescent="0.3">
      <c r="C41" s="40"/>
      <c r="D41" s="41"/>
      <c r="E41" s="42"/>
      <c r="F41" s="42"/>
      <c r="G41" s="42"/>
      <c r="H41" s="42"/>
      <c r="I41" s="27">
        <v>210.53</v>
      </c>
      <c r="J41" s="77">
        <v>69.069999999999993</v>
      </c>
      <c r="K41" s="28">
        <f t="shared" si="0"/>
        <v>279.60000000000002</v>
      </c>
      <c r="L41" s="29">
        <v>46660</v>
      </c>
      <c r="M41" s="31">
        <f t="shared" si="1"/>
        <v>-7789.6099999999979</v>
      </c>
    </row>
    <row r="42" spans="3:13" x14ac:dyDescent="0.3">
      <c r="C42" s="40"/>
      <c r="D42" s="41"/>
      <c r="E42" s="42"/>
      <c r="F42" s="42"/>
      <c r="G42" s="42"/>
      <c r="H42" s="42"/>
      <c r="I42" s="27">
        <v>210.53</v>
      </c>
      <c r="J42" s="77">
        <v>69.069999999999993</v>
      </c>
      <c r="K42" s="28">
        <f t="shared" si="0"/>
        <v>279.60000000000002</v>
      </c>
      <c r="L42" s="29">
        <v>46690</v>
      </c>
      <c r="M42" s="31">
        <f t="shared" si="1"/>
        <v>-8000.1399999999976</v>
      </c>
    </row>
    <row r="43" spans="3:13" x14ac:dyDescent="0.3">
      <c r="C43" s="40"/>
      <c r="D43" s="41"/>
      <c r="E43" s="42"/>
      <c r="F43" s="42"/>
      <c r="G43" s="42"/>
      <c r="H43" s="42"/>
      <c r="I43" s="27">
        <v>210.53</v>
      </c>
      <c r="J43" s="77">
        <v>69.069999999999993</v>
      </c>
      <c r="K43" s="28">
        <f t="shared" si="0"/>
        <v>279.60000000000002</v>
      </c>
      <c r="L43" s="29">
        <v>46721</v>
      </c>
      <c r="M43" s="31">
        <f t="shared" si="1"/>
        <v>-8210.6699999999983</v>
      </c>
    </row>
    <row r="44" spans="3:13" x14ac:dyDescent="0.3">
      <c r="C44" s="40"/>
      <c r="D44" s="41"/>
      <c r="E44" s="42"/>
      <c r="F44" s="42"/>
      <c r="G44" s="42"/>
      <c r="H44" s="42"/>
      <c r="I44" s="27">
        <v>210.53</v>
      </c>
      <c r="J44" s="77">
        <v>69.069999999999993</v>
      </c>
      <c r="K44" s="28">
        <f t="shared" si="0"/>
        <v>279.60000000000002</v>
      </c>
      <c r="L44" s="29">
        <v>46751</v>
      </c>
      <c r="M44" s="31">
        <f t="shared" si="1"/>
        <v>-8421.1999999999989</v>
      </c>
    </row>
    <row r="45" spans="3:13" x14ac:dyDescent="0.3">
      <c r="C45" s="40"/>
      <c r="D45" s="41"/>
      <c r="E45" s="42"/>
      <c r="F45" s="42"/>
      <c r="G45" s="42"/>
      <c r="H45" s="42"/>
      <c r="I45" s="27">
        <v>210.53</v>
      </c>
      <c r="J45" s="77">
        <v>69.069999999999993</v>
      </c>
      <c r="K45" s="28">
        <f t="shared" si="0"/>
        <v>279.60000000000002</v>
      </c>
      <c r="L45" s="29">
        <v>46782</v>
      </c>
      <c r="M45" s="31">
        <f t="shared" si="1"/>
        <v>-8631.73</v>
      </c>
    </row>
    <row r="46" spans="3:13" x14ac:dyDescent="0.3">
      <c r="C46" s="40"/>
      <c r="D46" s="41"/>
      <c r="E46" s="42"/>
      <c r="F46" s="42"/>
      <c r="G46" s="42"/>
      <c r="H46" s="42"/>
      <c r="I46" s="27">
        <v>210.53</v>
      </c>
      <c r="J46" s="77">
        <v>69.069999999999993</v>
      </c>
      <c r="K46" s="28">
        <f t="shared" si="0"/>
        <v>279.60000000000002</v>
      </c>
      <c r="L46" s="29">
        <v>46812</v>
      </c>
      <c r="M46" s="31">
        <f t="shared" si="1"/>
        <v>-8842.26</v>
      </c>
    </row>
    <row r="47" spans="3:13" x14ac:dyDescent="0.3">
      <c r="C47" s="40"/>
      <c r="D47" s="41"/>
      <c r="E47" s="42"/>
      <c r="F47" s="42"/>
      <c r="G47" s="42"/>
      <c r="H47" s="42"/>
      <c r="I47" s="27">
        <v>210.53</v>
      </c>
      <c r="J47" s="77">
        <v>69.069999999999993</v>
      </c>
      <c r="K47" s="28">
        <f t="shared" si="0"/>
        <v>279.60000000000002</v>
      </c>
      <c r="L47" s="29">
        <v>46842</v>
      </c>
      <c r="M47" s="31">
        <f t="shared" si="1"/>
        <v>-9052.7900000000009</v>
      </c>
    </row>
    <row r="48" spans="3:13" x14ac:dyDescent="0.3">
      <c r="C48" s="40"/>
      <c r="D48" s="41"/>
      <c r="E48" s="42"/>
      <c r="F48" s="42"/>
      <c r="G48" s="42"/>
      <c r="H48" s="42"/>
      <c r="I48" s="27">
        <v>210.53</v>
      </c>
      <c r="J48" s="77">
        <v>69.069999999999993</v>
      </c>
      <c r="K48" s="28">
        <f t="shared" si="0"/>
        <v>279.60000000000002</v>
      </c>
      <c r="L48" s="29">
        <v>46873</v>
      </c>
      <c r="M48" s="31">
        <f t="shared" si="1"/>
        <v>-9263.3200000000015</v>
      </c>
    </row>
    <row r="49" spans="3:13" x14ac:dyDescent="0.3">
      <c r="C49" s="40"/>
      <c r="D49" s="41"/>
      <c r="E49" s="42"/>
      <c r="F49" s="42"/>
      <c r="G49" s="42"/>
      <c r="H49" s="42"/>
      <c r="I49" s="27">
        <v>210.53</v>
      </c>
      <c r="J49" s="77">
        <v>69.069999999999993</v>
      </c>
      <c r="K49" s="28">
        <f t="shared" si="0"/>
        <v>279.60000000000002</v>
      </c>
      <c r="L49" s="29">
        <v>46903</v>
      </c>
      <c r="M49" s="31">
        <f t="shared" si="1"/>
        <v>-9473.8500000000022</v>
      </c>
    </row>
    <row r="50" spans="3:13" x14ac:dyDescent="0.3">
      <c r="C50" s="40"/>
      <c r="D50" s="41"/>
      <c r="E50" s="42"/>
      <c r="F50" s="42"/>
      <c r="G50" s="42"/>
      <c r="H50" s="42"/>
      <c r="I50" s="27">
        <v>210.53</v>
      </c>
      <c r="J50" s="77">
        <v>69.069999999999993</v>
      </c>
      <c r="K50" s="28">
        <f t="shared" si="0"/>
        <v>279.60000000000002</v>
      </c>
      <c r="L50" s="29">
        <v>46934</v>
      </c>
      <c r="M50" s="31">
        <f t="shared" si="1"/>
        <v>-9684.3800000000028</v>
      </c>
    </row>
    <row r="51" spans="3:13" x14ac:dyDescent="0.3">
      <c r="C51" s="40"/>
      <c r="D51" s="41"/>
      <c r="E51" s="42"/>
      <c r="F51" s="42"/>
      <c r="G51" s="42"/>
      <c r="H51" s="42"/>
      <c r="I51" s="27">
        <v>210.53</v>
      </c>
      <c r="J51" s="77">
        <v>69.069999999999993</v>
      </c>
      <c r="K51" s="28">
        <f t="shared" si="0"/>
        <v>279.60000000000002</v>
      </c>
      <c r="L51" s="29">
        <v>46964</v>
      </c>
      <c r="M51" s="31">
        <f t="shared" si="1"/>
        <v>-9894.9100000000035</v>
      </c>
    </row>
    <row r="52" spans="3:13" x14ac:dyDescent="0.3">
      <c r="C52" s="40"/>
      <c r="D52" s="41"/>
      <c r="E52" s="42"/>
      <c r="F52" s="42"/>
      <c r="G52" s="42"/>
      <c r="H52" s="42"/>
      <c r="I52" s="42">
        <f>SUM(I4:I51)-0.14</f>
        <v>10105.300000000005</v>
      </c>
      <c r="J52" s="42"/>
      <c r="K52" s="42"/>
      <c r="L52" s="43"/>
      <c r="M52" s="44"/>
    </row>
    <row r="53" spans="3:13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3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3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3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3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3" x14ac:dyDescent="0.3">
      <c r="H58" s="44"/>
      <c r="K58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36" t="s">
        <v>52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8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35"/>
      <c r="Q24" s="135"/>
      <c r="R24" s="73"/>
      <c r="S24" s="73"/>
      <c r="T24" s="73"/>
      <c r="U24" s="73"/>
      <c r="V24" s="73"/>
      <c r="W24" s="74"/>
    </row>
    <row r="25" spans="2:26" x14ac:dyDescent="0.3">
      <c r="P25" s="135"/>
      <c r="Q25" s="135"/>
      <c r="R25" s="73"/>
      <c r="S25" s="73"/>
      <c r="T25" s="73"/>
      <c r="U25" s="73"/>
      <c r="V25" s="73"/>
      <c r="W25" s="74"/>
    </row>
    <row r="26" spans="2:26" x14ac:dyDescent="0.3">
      <c r="P26" s="135"/>
      <c r="Q26" s="135"/>
      <c r="R26" s="73"/>
      <c r="S26" s="73"/>
      <c r="T26" s="73"/>
      <c r="U26" s="73"/>
      <c r="V26" s="73"/>
      <c r="W26" s="74"/>
    </row>
    <row r="27" spans="2:26" x14ac:dyDescent="0.3">
      <c r="P27" s="135"/>
      <c r="Q27" s="135"/>
      <c r="R27" s="73"/>
      <c r="S27" s="73"/>
      <c r="T27" s="73"/>
      <c r="U27" s="73"/>
      <c r="V27" s="73"/>
      <c r="W27" s="75"/>
    </row>
    <row r="28" spans="2:26" x14ac:dyDescent="0.3">
      <c r="P28" s="135"/>
      <c r="Q28" s="135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Q9"/>
  <sheetViews>
    <sheetView showGridLines="0" workbookViewId="0">
      <selection activeCell="R22" sqref="R22"/>
    </sheetView>
  </sheetViews>
  <sheetFormatPr defaultRowHeight="14.4" x14ac:dyDescent="0.3"/>
  <cols>
    <col min="2" max="2" width="14.6640625" bestFit="1" customWidth="1"/>
    <col min="3" max="17" width="13.33203125" customWidth="1"/>
  </cols>
  <sheetData>
    <row r="2" spans="2:17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  <c r="P2" s="85">
        <v>46235</v>
      </c>
      <c r="Q2" s="85">
        <v>46266</v>
      </c>
    </row>
    <row r="3" spans="2:17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>
        <v>5882097.6399999997</v>
      </c>
      <c r="P3" s="27">
        <v>3196894.17</v>
      </c>
      <c r="Q3" s="27">
        <v>3796974.4</v>
      </c>
    </row>
    <row r="4" spans="2:17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  <c r="P4" s="27">
        <v>0</v>
      </c>
      <c r="Q4" s="27">
        <v>0</v>
      </c>
    </row>
    <row r="5" spans="2:17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0</v>
      </c>
      <c r="K5" s="27">
        <v>0</v>
      </c>
      <c r="L5" s="27">
        <v>0</v>
      </c>
      <c r="M5" s="27">
        <v>36214.15</v>
      </c>
      <c r="N5" s="27">
        <v>53315.91</v>
      </c>
      <c r="O5" s="27"/>
      <c r="P5" s="27">
        <v>53315.91</v>
      </c>
      <c r="Q5" s="27">
        <f>16179.2</f>
        <v>16179.2</v>
      </c>
    </row>
    <row r="6" spans="2:17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0</v>
      </c>
      <c r="K6" s="27">
        <v>0</v>
      </c>
      <c r="L6" s="27">
        <v>0</v>
      </c>
      <c r="M6" s="27">
        <v>100959.81</v>
      </c>
      <c r="N6" s="27">
        <v>0</v>
      </c>
      <c r="O6" s="27">
        <v>99037.19</v>
      </c>
      <c r="P6" s="27">
        <v>245472</v>
      </c>
      <c r="Q6" s="27">
        <f>74452.63</f>
        <v>74452.63</v>
      </c>
    </row>
    <row r="7" spans="2:17" x14ac:dyDescent="0.3">
      <c r="B7" s="84" t="s">
        <v>98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  <c r="P7" s="27"/>
      <c r="Q7" s="27"/>
    </row>
    <row r="8" spans="2:17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  <c r="P8" s="27"/>
      <c r="Q8" s="27"/>
    </row>
    <row r="9" spans="2:17" x14ac:dyDescent="0.3">
      <c r="B9" s="84" t="s">
        <v>100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0</v>
      </c>
      <c r="K9" s="96">
        <f t="shared" si="0"/>
        <v>0</v>
      </c>
      <c r="L9" s="96">
        <f t="shared" si="0"/>
        <v>121.28</v>
      </c>
      <c r="M9" s="96">
        <f t="shared" si="0"/>
        <v>137173.96</v>
      </c>
      <c r="N9" s="96">
        <f t="shared" ref="N9:O9" si="1">SUM(N4:N8)</f>
        <v>53366.93</v>
      </c>
      <c r="O9" s="96">
        <f t="shared" si="1"/>
        <v>99156.49</v>
      </c>
      <c r="P9" s="96">
        <f t="shared" ref="P9:Q9" si="2">SUM(P4:P8)</f>
        <v>298787.91000000003</v>
      </c>
      <c r="Q9" s="96">
        <f t="shared" si="2"/>
        <v>90631.83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SALDO CREDOR INSS</vt:lpstr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2026-09-30T14:44:34Z</dcterms:modified>
</cp:coreProperties>
</file>