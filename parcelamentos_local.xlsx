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8F9FC915-AF91-43AE-8822-E03B7C4443C1}" xr6:coauthVersionLast="47" xr6:coauthVersionMax="47" xr10:uidLastSave="{00000000-0000-0000-0000-000000000000}"/>
  <bookViews>
    <workbookView xWindow="28680" yWindow="-120" windowWidth="29040" windowHeight="15720" tabRatio="804" activeTab="7" xr2:uid="{00000000-000D-0000-FFFF-FFFF00000000}"/>
  </bookViews>
  <sheets>
    <sheet name="PARCELAMENTOS" sheetId="1" r:id="rId1"/>
    <sheet name="PARCELAMENTO 06062024" sheetId="4" r:id="rId2"/>
    <sheet name="PARCELAMENTO 05122024" sheetId="2" r:id="rId3"/>
    <sheet name="PARCELAMENTO 06062025" sheetId="10" r:id="rId4"/>
    <sheet name="PARCELAMENTO 25112025 " sheetId="13" r:id="rId5"/>
    <sheet name="PARCELAMENTO SC" sheetId="12" r:id="rId6"/>
    <sheet name="IMPOSTOS NÃO PARCELADOS" sheetId="9" r:id="rId7"/>
    <sheet name="ACOMPANHAMENTO MENSAL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13" l="1"/>
  <c r="J13" i="13"/>
  <c r="R4" i="13" s="1"/>
  <c r="P4" i="10"/>
  <c r="J18" i="10"/>
  <c r="R4" i="10" s="1"/>
  <c r="P4" i="2"/>
  <c r="J24" i="2"/>
  <c r="R4" i="2" s="1"/>
  <c r="R4" i="4"/>
  <c r="P4" i="4"/>
  <c r="J30" i="4"/>
  <c r="R4" i="12"/>
  <c r="J7" i="12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P4" i="12" l="1"/>
  <c r="J6" i="12"/>
  <c r="E13" i="1"/>
  <c r="J10" i="10"/>
  <c r="E12" i="1"/>
  <c r="J16" i="2"/>
  <c r="E11" i="1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I37" i="12"/>
  <c r="O4" i="12" s="1"/>
  <c r="Q4" i="12" s="1"/>
  <c r="Q6" i="12" s="1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J12" i="2"/>
  <c r="J6" i="10"/>
  <c r="J18" i="4"/>
  <c r="M32" i="12" l="1"/>
  <c r="M33" i="12" s="1"/>
  <c r="M34" i="12" s="1"/>
  <c r="M35" i="12" s="1"/>
  <c r="M36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C14" i="1" s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tc={345ACDEE-3A93-4078-BBD5-E741B4EF8544}</author>
    <author>tc={10D9275D-CEDF-4210-A17E-2431D2A46406}</author>
    <author>tc={0843B983-A678-4FAC-B87C-05A03C5E6241}</author>
    <author>tc={DE329B3F-77CB-4B0B-B38B-625328D1F520}</author>
    <author>tc={F61F0100-07F4-4C2B-8C44-45ED91440663}</author>
    <author>tc={E3620BFF-2E3F-4954-ABDE-5B5AC2E23EBD}</author>
  </authors>
  <commentList>
    <comment ref="J5" authorId="0" shapeId="0" xr:uid="{345ACDEE-3A93-4078-BBD5-E741B4EF85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10D9275D-CEDF-4210-A17E-2431D2A464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0843B983-A678-4FAC-B87C-05A03C5E62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DE329B3F-77CB-4B0B-B38B-625328D1F5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F61F0100-07F4-4C2B-8C44-45ED914406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3620BFF-2E3F-4954-ABDE-5B5AC2E23E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<sst xmlns="http://schemas.openxmlformats.org/spreadsheetml/2006/main" count="262" uniqueCount="104">
  <si>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</si>
  <si>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</si>
  <si>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</si>
  <si>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</si>
  <si>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</si>
  <si>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</si>
  <si>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</si>
  <si>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</si>
  <si>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</si>
  <si>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</si>
  <si>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</si>
  <si>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</si>
  <si>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</si>
  <si>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</si>
  <si>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</si>
  <si>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</si>
  <si>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</si>
  <si>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</si>
  <si>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</si>
  <si>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</si>
  <si>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</si>
  <si>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</si>
  <si>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</si>
  <si>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</si>
  <si>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</si>
  <si>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</si>
  <si>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</si>
  <si>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</si>
  <si>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</si>
  <si>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</si>
  <si>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</si>
  <si>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</si>
  <si>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</si>
  <si>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</si>
  <si>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</si>
  <si>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</si>
  <si>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</si>
  <si>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</si>
  <si>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</si>
  <si>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</si>
  <si>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</si>
  <si>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</si>
  <si>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</si>
  <si>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</si>
  <si>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</si>
  <si>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</si>
  <si>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</si>
  <si>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</si>
  <si>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</si>
  <si>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</si>
  <si>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</si>
  <si>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</si>
  <si>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</si>
  <si>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</si>
  <si>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</si>
  <si>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</si>
  <si>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</si>
  <si>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</si>
  <si>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</si>
  <si>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</si>
  <si>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</si>
  <si>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</si>
  <si>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</si>
  <si>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</si>
  <si>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</si>
  <si>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</si>
  <si>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</si>
  <si>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</si>
  <si>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</si>
  <si>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</si>
  <si>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</si>
  <si>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</si>
  <si>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</si>
  <si>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</si>
  <si>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</si>
  <si>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</si>
  <si>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</si>
  <si>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</si>
  <si>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</si>
  <si>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</si>
  <si>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</si>
  <si>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</si>
  <si>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</si>
  <si>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</si>
  <si>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</si>
  <si>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</si>
  <si>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</si>
  <si>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</si>
  <si>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</si>
  <si>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</si>
  <si>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</si>
  <si>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</si>
  <si>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</si>
  <si>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</si>
  <si>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</si>
  <si>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</si>
  <si>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</si>
  <si>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</si>
  <si>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</si>
  <si>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</si>
  <si>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</si>
  <si>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60/19</t>
  </si>
  <si>
    <t>60/12</t>
  </si>
  <si>
    <t>TOTAL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</si>
</sst>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indexed="81"/>
      <name val="Segoe UI"/>
      <charset val="1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4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10" fontId="0" fillId="0" borderId="0" xfId="0" applyNumberFormat="1"/>
    <xf numFmtId="0" fontId="5" fillId="0" borderId="11" xfId="0" applyFont="1" applyBorder="1" applyAlignment="1">
      <alignment horizontal="center"/>
    </xf>
    <xf numFmtId="0" fontId="0" fillId="5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MENSAL'!$C$3:$O$3</c:f>
              <c:numCache>
                <c:formatCode>_(* #,##0.00_);_(* \(#,##0.00\);_(* "-"??_);_(@_)</c:formatCode>
                <c:ptCount val="13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MENSAL'!$C$4:$O$4</c:f>
              <c:numCache>
                <c:formatCode>_(* #,##0.00_);_(* \(#,##0.00\);_(* "-"??_);_(@_)</c:formatCode>
                <c:ptCount val="13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MENSAL'!$C$5:$O$5</c:f>
              <c:numCache>
                <c:formatCode>_(* #,##0.00_);_(* \(#,##0.00\);_(* "-"??_);_(@_)</c:formatCode>
                <c:ptCount val="13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MENSAL'!$C$6:$O$6</c:f>
              <c:numCache>
                <c:formatCode>_(* #,##0.00_);_(* \(#,##0.00\);_(* "-"??_);_(@_)</c:formatCode>
                <c:ptCount val="13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8">
                  <c:v>0</c:v>
                </c:pt>
                <c:pt idx="9">
                  <c:v>0</c:v>
                </c:pt>
                <c:pt idx="10">
                  <c:v>166736.70000000001</c:v>
                </c:pt>
                <c:pt idx="11">
                  <c:v>0</c:v>
                </c:pt>
                <c:pt idx="12">
                  <c:v>99037.19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MENSAL'!$C$7:$O$7</c:f>
              <c:numCache>
                <c:formatCode>_(* #,##0.00_);_(* \(#,##0.00\);_(* "-"??_);_(@_)</c:formatCode>
                <c:ptCount val="13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MENSAL'!$C$8:$O$8</c:f>
              <c:numCache>
                <c:formatCode>_(* #,##0.00_);_(* \(#,##0.00\);_(* "-"??_);_(@_)</c:formatCode>
                <c:ptCount val="13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MENSAL'!$C$9:$O$9</c:f>
              <c:numCache>
                <c:formatCode>_(* #,##0.00_);_(* \(#,##0.00\);_(* "-"??_);_(@_)</c:formatCode>
                <c:ptCount val="13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202950.85</c:v>
                </c:pt>
                <c:pt idx="11">
                  <c:v>51.02</c:v>
                </c:pt>
                <c:pt idx="12">
                  <c:v>99156.49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860D5EA-0478-41C9-BF5A-4C074234F96B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860D5EA-0478-41C9-BF5A-4C074234F96B}" id="{345ACDEE-3A93-4078-BBD5-E741B4EF8544}">
    <text>Feito Perd/Comp com Advogado</text>
  </threadedComment>
  <threadedComment ref="K5" dT="2026-09-09T20:56:00.78" personId="{5860D5EA-0478-41C9-BF5A-4C074234F96B}" id="{10D9275D-CEDF-4210-A17E-2431D2A46406}">
    <text>Feito Perd/Comp com Advogado</text>
  </threadedComment>
  <threadedComment ref="L5" dT="2026-09-09T20:56:00.78" personId="{5860D5EA-0478-41C9-BF5A-4C074234F96B}" id="{0843B983-A678-4FAC-B87C-05A03C5E6241}">
    <text>Feito Perd/Comp com Advogado</text>
  </threadedComment>
  <threadedComment ref="J6" dT="2026-09-09T20:56:13.78" personId="{5860D5EA-0478-41C9-BF5A-4C074234F96B}" id="{DE329B3F-77CB-4B0B-B38B-625328D1F520}">
    <text>Feito Perd/Comp com Advogado</text>
  </threadedComment>
  <threadedComment ref="K6" dT="2026-09-09T20:56:00.78" personId="{5860D5EA-0478-41C9-BF5A-4C074234F96B}" id="{F61F0100-07F4-4C2B-8C44-45ED91440663}">
    <text>Feito Perd/Comp com Advogado</text>
  </threadedComment>
  <threadedComment ref="L6" dT="2026-09-09T20:56:00.78" personId="{5860D5EA-0478-41C9-BF5A-4C074234F96B}" id="{E3620BFF-2E3F-4954-ABDE-5B5AC2E23EBD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D18" sqref="D18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00" t="s">
        <v>0</v>
      </c>
      <c r="B1" s="101"/>
      <c r="C1" s="101"/>
      <c r="D1" s="101"/>
      <c r="E1" s="101"/>
      <c r="F1" s="101"/>
      <c r="G1" s="102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03" t="s">
        <v>78</v>
      </c>
      <c r="B8" s="104"/>
      <c r="C8" s="105"/>
      <c r="D8" s="12"/>
      <c r="E8" s="12"/>
      <c r="F8" s="12"/>
      <c r="G8" s="12"/>
    </row>
    <row r="9" spans="1:7" ht="15" thickBot="1" x14ac:dyDescent="0.35">
      <c r="A9" s="103" t="s">
        <v>97</v>
      </c>
      <c r="B9" s="104"/>
      <c r="C9" s="105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290854.30999999988</v>
      </c>
      <c r="D11" s="18" t="s">
        <v>101</v>
      </c>
      <c r="E11" s="19">
        <f>60-19</f>
        <v>41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721671.06</v>
      </c>
      <c r="D12" s="18" t="s">
        <v>102</v>
      </c>
      <c r="E12" s="19">
        <f>60-12</f>
        <v>48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1340078.1399999999</v>
      </c>
      <c r="D13" s="18" t="s">
        <v>98</v>
      </c>
      <c r="E13" s="19">
        <f>60-7</f>
        <v>53</v>
      </c>
      <c r="F13" s="24"/>
    </row>
    <row r="14" spans="1:7" ht="15" thickBot="1" x14ac:dyDescent="0.35">
      <c r="B14" s="20"/>
      <c r="C14" s="89">
        <f>SUM(C11:C13)</f>
        <v>2352603.5099999998</v>
      </c>
      <c r="D14" s="20"/>
      <c r="E14" s="20"/>
    </row>
    <row r="15" spans="1:7" x14ac:dyDescent="0.3">
      <c r="A15" s="21"/>
      <c r="B15" s="20"/>
      <c r="C15" s="20"/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R5" sqref="R5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I4+I5+I6+I7+I8+I9+I10+I11+I12+I13+I14+I15+I16+I17+I18+I19+I20+I21+I22+I23+I24+I25+I26+I27+I28+I29+I30</f>
        <v>237971.52000000008</v>
      </c>
      <c r="Q4" s="34">
        <f>O4-P4</f>
        <v>290854.30999999988</v>
      </c>
      <c r="R4" s="34">
        <f>J5+J6+J7+J8+J9+J10+J11+J12+J13+J14+J15+J16+J17+J18+J19+J20+J21+J22+J23+J24+J25+J26+J27+J28+J29+J30</f>
        <v>31363.22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98" t="s">
        <v>89</v>
      </c>
      <c r="P6" s="98"/>
      <c r="Q6" s="82">
        <f>(Q4/O4)-1</f>
        <v>-0.44999980428338782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06" t="s">
        <v>87</v>
      </c>
      <c r="P9" s="106"/>
      <c r="Q9" s="106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07" t="s">
        <v>88</v>
      </c>
      <c r="P10" s="107"/>
      <c r="Q10" s="107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08" t="s">
        <v>90</v>
      </c>
      <c r="P11" s="108"/>
      <c r="Q11" s="108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30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>
        <f t="shared" si="3"/>
        <v>2433.4699999999993</v>
      </c>
      <c r="K30" s="28">
        <v>11247.23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31363.22</v>
      </c>
      <c r="K64" s="87">
        <f>SUM(K4:K63)</f>
        <v>560189.05000000028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I4+I5+I6+I7+I8+I9+I10+I11+I12+I13+I14+I15+I16+I17+I18+I19+I20+I21+I22+I23+I24</f>
        <v>388591.98000000004</v>
      </c>
      <c r="Q4" s="34">
        <f>O4-P4</f>
        <v>721671.06</v>
      </c>
      <c r="R4" s="34">
        <f>J5+J6+J7+J8+J9+J10+J11+J12+J13+J14+J15+J16+J17+J18+J19+J20+J21+J22+J23+J24+J25+J26+J27+J28+J29</f>
        <v>42545.14999999998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98" t="s">
        <v>89</v>
      </c>
      <c r="P6" s="98"/>
      <c r="Q6" s="82">
        <f>Q4/O4-1</f>
        <v>-0.34999992434225313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4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09" t="s">
        <v>86</v>
      </c>
      <c r="P9" s="109"/>
      <c r="Q9" s="109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06" t="s">
        <v>87</v>
      </c>
      <c r="P10" s="106"/>
      <c r="Q10" s="106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07" t="s">
        <v>88</v>
      </c>
      <c r="P11" s="107"/>
      <c r="Q11" s="107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>
        <f t="shared" si="3"/>
        <v>4133.869999999999</v>
      </c>
      <c r="K24" s="28">
        <v>22638.25</v>
      </c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42545.14999999998</v>
      </c>
      <c r="K64" s="78">
        <f>SUM(K4:K63)</f>
        <v>412632.75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I4+I5+I6+I7+I8+I9+I10+I11+I12+I13+I14+I15+I16+I17+I18</f>
        <v>446692.65000000008</v>
      </c>
      <c r="Q4" s="34">
        <f>O4-P4</f>
        <v>1340078.1399999999</v>
      </c>
      <c r="R4" s="34">
        <f>J5+J6+J7+J8+J9+J10+J11+J12+J13+J14+J15+J16+J17+J18+J19+J20+J21+J22+J23+J24+J25+J26+J27+J28+J29</f>
        <v>36453.030000000021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8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98" t="s">
        <v>89</v>
      </c>
      <c r="P6" s="98"/>
      <c r="Q6" s="82">
        <f>(Q4/O4)-1</f>
        <v>-0.24999997341572844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06" t="s">
        <v>87</v>
      </c>
      <c r="P9" s="106"/>
      <c r="Q9" s="106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07" t="s">
        <v>88</v>
      </c>
      <c r="P10" s="107"/>
      <c r="Q10" s="107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08" t="s">
        <v>90</v>
      </c>
      <c r="P11" s="108"/>
      <c r="Q11" s="108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>
        <f t="shared" si="1"/>
        <v>4788.5400000000045</v>
      </c>
      <c r="K18" s="28">
        <v>34568.050000000003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ref="K19:K63" si="3">I19+J19</f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36453.030000000021</v>
      </c>
      <c r="K64" s="78">
        <f>SUM(K4:K63)</f>
        <v>1823223.8200000003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P18" sqref="P18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I4+I5+I6+I7+I8+I9+I10+I11+I12+I13</f>
        <v>15216.199999999997</v>
      </c>
      <c r="Q4" s="34">
        <f>O4-P4</f>
        <v>76081.490000000005</v>
      </c>
      <c r="R4" s="34">
        <f>J5+J6+J7+J8+J9+J10+J11+J12+J13+J14+J15+J16+J17+J18+J19+J20+J21+J22+J23+J24+J25+J26+J27+J28+J29</f>
        <v>744.94000000000096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3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98" t="s">
        <v>89</v>
      </c>
      <c r="P6" s="98"/>
      <c r="Q6" s="82">
        <f>(Q4/O4)-1</f>
        <v>-0.16666577215699541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06" t="s">
        <v>87</v>
      </c>
      <c r="P9" s="106"/>
      <c r="Q9" s="106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07" t="s">
        <v>88</v>
      </c>
      <c r="P10" s="107"/>
      <c r="Q10" s="107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08" t="s">
        <v>90</v>
      </c>
      <c r="P11" s="108"/>
      <c r="Q11" s="108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>
        <f t="shared" si="1"/>
        <v>153.5300000000002</v>
      </c>
      <c r="K13" s="28">
        <v>1675.15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workbookViewId="0">
      <selection activeCell="J7" sqref="J7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</f>
        <v>516.70000000000005</v>
      </c>
      <c r="Q4" s="34">
        <f>O4-P4</f>
        <v>7768.8799999999965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98" t="s">
        <v>89</v>
      </c>
      <c r="P6" s="98"/>
      <c r="Q6" s="82">
        <f>(Q4/O4)-1</f>
        <v>-6.2361355511623806E-2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99"/>
      <c r="P9" s="99"/>
      <c r="Q9" s="99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99"/>
      <c r="P10" s="99"/>
      <c r="Q10" s="99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99"/>
      <c r="P11" s="99"/>
      <c r="Q11" s="99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11" t="s">
        <v>52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3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10"/>
      <c r="Q24" s="110"/>
      <c r="R24" s="73"/>
      <c r="S24" s="73"/>
      <c r="T24" s="73"/>
      <c r="U24" s="73"/>
      <c r="V24" s="73"/>
      <c r="W24" s="74"/>
    </row>
    <row r="25" spans="2:26" x14ac:dyDescent="0.3">
      <c r="P25" s="110"/>
      <c r="Q25" s="110"/>
      <c r="R25" s="73"/>
      <c r="S25" s="73"/>
      <c r="T25" s="73"/>
      <c r="U25" s="73"/>
      <c r="V25" s="73"/>
      <c r="W25" s="74"/>
    </row>
    <row r="26" spans="2:26" x14ac:dyDescent="0.3">
      <c r="P26" s="110"/>
      <c r="Q26" s="110"/>
      <c r="R26" s="73"/>
      <c r="S26" s="73"/>
      <c r="T26" s="73"/>
      <c r="U26" s="73"/>
      <c r="V26" s="73"/>
      <c r="W26" s="74"/>
    </row>
    <row r="27" spans="2:26" x14ac:dyDescent="0.3">
      <c r="P27" s="110"/>
      <c r="Q27" s="110"/>
      <c r="R27" s="73"/>
      <c r="S27" s="73"/>
      <c r="T27" s="73"/>
      <c r="U27" s="73"/>
      <c r="V27" s="73"/>
      <c r="W27" s="75"/>
    </row>
    <row r="28" spans="2:26" x14ac:dyDescent="0.3">
      <c r="P28" s="110"/>
      <c r="Q28" s="110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P10"/>
  <sheetViews>
    <sheetView showGridLines="0" tabSelected="1" workbookViewId="0">
      <selection activeCell="Q15" sqref="Q15"/>
    </sheetView>
  </sheetViews>
  <sheetFormatPr defaultRowHeight="14.4" x14ac:dyDescent="0.3"/>
  <cols>
    <col min="2" max="2" width="14.6640625" bestFit="1" customWidth="1"/>
    <col min="3" max="15" width="13.33203125" customWidth="1"/>
    <col min="16" max="16" width="10.109375" bestFit="1" customWidth="1"/>
  </cols>
  <sheetData>
    <row r="2" spans="2:16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</row>
    <row r="3" spans="2:16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/>
    </row>
    <row r="4" spans="2:16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</row>
    <row r="5" spans="2:16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/>
      <c r="O5" s="27"/>
    </row>
    <row r="6" spans="2:16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/>
      <c r="K6" s="27">
        <v>0</v>
      </c>
      <c r="L6" s="27">
        <v>0</v>
      </c>
      <c r="M6" s="27">
        <v>166736.70000000001</v>
      </c>
      <c r="N6" s="27">
        <v>0</v>
      </c>
      <c r="O6" s="27">
        <v>99037.19</v>
      </c>
    </row>
    <row r="7" spans="2:16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</row>
    <row r="8" spans="2:16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</row>
    <row r="9" spans="2:16" x14ac:dyDescent="0.3">
      <c r="B9" s="84" t="s">
        <v>103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202950.85</v>
      </c>
      <c r="N9" s="96">
        <f t="shared" ref="N9:O9" si="1">SUM(N4:N8)</f>
        <v>51.02</v>
      </c>
      <c r="O9" s="96">
        <f t="shared" si="1"/>
        <v>99156.49</v>
      </c>
    </row>
    <row r="10" spans="2:16" x14ac:dyDescent="0.3">
      <c r="P10" s="97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2026-09-09T21:00:10Z</dcterms:modified>
</cp:coreProperties>
</file>