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F9CD5974-6A16-438D-A85E-745CA3BB4B95}" xr6:coauthVersionLast="47" xr6:coauthVersionMax="47" xr10:uidLastSave="{00000000-0000-0000-0000-000000000000}"/>
  <bookViews>
    <workbookView xWindow="-28920" yWindow="-120" windowWidth="29040" windowHeight="15720" tabRatio="804" activeTab="5" xr2:uid="{00000000-000D-0000-FFFF-FFFF00000000}"/>
  </bookViews>
  <sheets>
    <sheet name="PARCELAMENTOS" sheetId="1" r:id="rId1"/>
    <sheet name="PARCELAMENTO 06062024" sheetId="4" r:id="rId2"/>
    <sheet name="PARCELAMENTO 05122024" sheetId="2" r:id="rId3"/>
    <sheet name="PARCELAMENTO 06062025" sheetId="10" r:id="rId4"/>
    <sheet name="PARCELAMENTO 25112025 " sheetId="13" r:id="rId5"/>
    <sheet name="PARCELAMENTO SC" sheetId="12" r:id="rId6"/>
    <sheet name="IMPOSTOS NÃO PARCELADOS" sheetId="9" r:id="rId7"/>
    <sheet name="ACOMPANHAMENTO MENSA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2" l="1"/>
  <c r="P9" i="11"/>
  <c r="R4" i="13"/>
  <c r="R4" i="10"/>
  <c r="R4" i="2"/>
  <c r="R4" i="4"/>
  <c r="P4" i="13"/>
  <c r="P4" i="10"/>
  <c r="P4" i="2"/>
  <c r="P4" i="4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L5" i="11"/>
  <c r="L6" i="11"/>
  <c r="J3" i="11"/>
  <c r="J6" i="12" l="1"/>
  <c r="E13" i="1"/>
  <c r="J10" i="10"/>
  <c r="E12" i="1"/>
  <c r="J16" i="2"/>
  <c r="E11" i="1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I37" i="12"/>
  <c r="O4" i="12" s="1"/>
  <c r="Q4" i="12" s="1"/>
  <c r="Q6" i="12" s="1"/>
  <c r="J7" i="12"/>
  <c r="R4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4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sharedStrings.xml><?xml version="1.0" encoding="utf-8"?>
<sst xmlns="http://schemas.openxmlformats.org/spreadsheetml/2006/main" count="262" uniqueCount="104">
  <si>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</si>
  <si>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</si>
  <si>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</si>
  <si>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</si>
  <si>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</si>
  <si>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</si>
  <si>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</si>
  <si>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</si>
  <si>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</si>
  <si>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</si>
  <si>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</si>
  <si>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</si>
  <si>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</si>
  <si>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</si>
  <si>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</si>
  <si>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</si>
  <si>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</si>
  <si>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</si>
  <si>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</si>
  <si>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</si>
  <si>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</si>
  <si>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</si>
  <si>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</si>
  <si>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</si>
  <si>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</si>
  <si>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</si>
  <si>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</si>
  <si>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</si>
  <si>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</si>
  <si>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</si>
  <si>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</si>
  <si>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</si>
  <si>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</si>
  <si>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</si>
  <si>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</si>
  <si>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</si>
  <si>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</si>
  <si>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</si>
  <si>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</si>
  <si>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</si>
  <si>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</si>
  <si>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</si>
  <si>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</si>
  <si>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</si>
  <si>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</si>
  <si>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</si>
  <si>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</si>
  <si>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</si>
  <si>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</si>
  <si>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</si>
  <si>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</si>
  <si>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</si>
  <si>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</si>
  <si>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</si>
  <si>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</si>
  <si>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</si>
  <si>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</si>
  <si>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</si>
  <si>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</si>
  <si>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</si>
  <si>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</si>
  <si>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</si>
  <si>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</si>
  <si>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</si>
  <si>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</si>
  <si>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</si>
  <si>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</si>
  <si>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</si>
  <si>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</si>
  <si>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</si>
  <si>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</si>
  <si>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</si>
  <si>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</si>
  <si>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</si>
  <si>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</si>
  <si>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</si>
  <si>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</si>
  <si>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</si>
  <si>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</si>
  <si>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</si>
  <si>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</si>
  <si>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</si>
  <si>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</si>
  <si>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</si>
  <si>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</si>
  <si>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</si>
  <si>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</si>
  <si>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</si>
  <si>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</si>
  <si>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</si>
  <si>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</si>
  <si>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</si>
  <si>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</si>
  <si>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</si>
  <si>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</si>
  <si>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</si>
  <si>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</si>
  <si>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</si>
  <si>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</si>
  <si>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</si>
  <si>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</si>
  <si>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60/19</t>
  </si>
  <si>
    <t>60/12</t>
  </si>
  <si>
    <t>TOTAL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</si>
</sst>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5" fillId="0" borderId="11" xfId="0" applyFont="1" applyBorder="1" applyAlignment="1">
      <alignment horizontal="center"/>
    </xf>
    <xf numFmtId="0" fontId="0" fillId="5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MENSAL'!$C$3:$P$3</c:f>
              <c:numCache>
                <c:formatCode>_(* #,##0.00_);_(* \(#,##0.00\);_(* "-"??_);_(@_)</c:formatCode>
                <c:ptCount val="14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MENSAL'!$C$5:$P$5</c:f>
              <c:numCache>
                <c:formatCode>_(* #,##0.00_);_(* \(#,##0.00\);_(* "-"??_);_(@_)</c:formatCode>
                <c:ptCount val="14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105581.84</c:v>
                </c:pt>
                <c:pt idx="8">
                  <c:v>40560.85</c:v>
                </c:pt>
                <c:pt idx="9">
                  <c:v>24262.02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MENSAL'!$C$6:$P$6</c:f>
              <c:numCache>
                <c:formatCode>_(* #,##0.00_);_(* \(#,##0.00\);_(* "-"??_);_(@_)</c:formatCode>
                <c:ptCount val="14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486224.38</c:v>
                </c:pt>
                <c:pt idx="8">
                  <c:v>186781.2</c:v>
                </c:pt>
                <c:pt idx="9">
                  <c:v>111684.99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MENSAL'!$C$9:$P$9</c:f>
              <c:numCache>
                <c:formatCode>_(* #,##0.00_);_(* \(#,##0.00\);_(* "-"??_);_(@_)</c:formatCode>
                <c:ptCount val="14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591806.22</c:v>
                </c:pt>
                <c:pt idx="8">
                  <c:v>227342.05000000002</c:v>
                </c:pt>
                <c:pt idx="9">
                  <c:v>136068.29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D18" sqref="D18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99" t="s">
        <v>0</v>
      </c>
      <c r="B1" s="100"/>
      <c r="C1" s="100"/>
      <c r="D1" s="100"/>
      <c r="E1" s="100"/>
      <c r="F1" s="100"/>
      <c r="G1" s="101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2" t="s">
        <v>78</v>
      </c>
      <c r="B8" s="103"/>
      <c r="C8" s="104"/>
      <c r="D8" s="12"/>
      <c r="E8" s="12"/>
      <c r="F8" s="12"/>
      <c r="G8" s="12"/>
    </row>
    <row r="9" spans="1:7" ht="15" thickBot="1" x14ac:dyDescent="0.35">
      <c r="A9" s="102" t="s">
        <v>97</v>
      </c>
      <c r="B9" s="103"/>
      <c r="C9" s="104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101</v>
      </c>
      <c r="E11" s="19">
        <f>60-19</f>
        <v>41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102</v>
      </c>
      <c r="E12" s="19">
        <f>60-12</f>
        <v>48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98</v>
      </c>
      <c r="E13" s="19">
        <f>60-7</f>
        <v>53</v>
      </c>
      <c r="F13" s="24"/>
    </row>
    <row r="14" spans="1:7" ht="15" thickBot="1" x14ac:dyDescent="0.35">
      <c r="B14" s="20"/>
      <c r="C14" s="89">
        <f>SUM(C11:C13)</f>
        <v>2409701.1599999997</v>
      </c>
      <c r="D14" s="20"/>
      <c r="E14" s="20"/>
    </row>
    <row r="15" spans="1:7" x14ac:dyDescent="0.3">
      <c r="A15" s="21"/>
      <c r="B15" s="20"/>
      <c r="C15" s="20"/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P21" sqref="P21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97" t="s">
        <v>89</v>
      </c>
      <c r="P6" s="97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05" t="s">
        <v>87</v>
      </c>
      <c r="P9" s="105"/>
      <c r="Q9" s="105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06" t="s">
        <v>88</v>
      </c>
      <c r="P10" s="106"/>
      <c r="Q10" s="106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7" t="s">
        <v>90</v>
      </c>
      <c r="P11" s="107"/>
      <c r="Q11" s="107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97" t="s">
        <v>89</v>
      </c>
      <c r="P6" s="97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8" t="s">
        <v>86</v>
      </c>
      <c r="P9" s="108"/>
      <c r="Q9" s="108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05" t="s">
        <v>87</v>
      </c>
      <c r="P10" s="105"/>
      <c r="Q10" s="105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06" t="s">
        <v>88</v>
      </c>
      <c r="P11" s="106"/>
      <c r="Q11" s="106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97" t="s">
        <v>89</v>
      </c>
      <c r="P6" s="97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05" t="s">
        <v>87</v>
      </c>
      <c r="P9" s="105"/>
      <c r="Q9" s="105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06" t="s">
        <v>88</v>
      </c>
      <c r="P10" s="106"/>
      <c r="Q10" s="106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7" t="s">
        <v>90</v>
      </c>
      <c r="P11" s="107"/>
      <c r="Q11" s="107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97" t="s">
        <v>89</v>
      </c>
      <c r="P6" s="97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05" t="s">
        <v>87</v>
      </c>
      <c r="P9" s="105"/>
      <c r="Q9" s="105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06" t="s">
        <v>88</v>
      </c>
      <c r="P10" s="106"/>
      <c r="Q10" s="106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7" t="s">
        <v>90</v>
      </c>
      <c r="P11" s="107"/>
      <c r="Q11" s="107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tabSelected="1" workbookViewId="0">
      <selection activeCell="Q4" sqref="Q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K5+K6+K7+K8+K9+K10+K11+K12+K13+K14+K15</f>
        <v>2785.48</v>
      </c>
      <c r="Q4" s="34">
        <f>O4-P4</f>
        <v>5500.0999999999967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97" t="s">
        <v>89</v>
      </c>
      <c r="P6" s="97"/>
      <c r="Q6" s="82">
        <f>(Q4/O4)-1</f>
        <v>-0.33618406919008692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98"/>
      <c r="P9" s="98"/>
      <c r="Q9" s="98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98"/>
      <c r="P10" s="98"/>
      <c r="Q10" s="98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98"/>
      <c r="P11" s="98"/>
      <c r="Q11" s="9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0" t="s">
        <v>52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2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09"/>
      <c r="Q24" s="109"/>
      <c r="R24" s="73"/>
      <c r="S24" s="73"/>
      <c r="T24" s="73"/>
      <c r="U24" s="73"/>
      <c r="V24" s="73"/>
      <c r="W24" s="74"/>
    </row>
    <row r="25" spans="2:26" x14ac:dyDescent="0.3">
      <c r="P25" s="109"/>
      <c r="Q25" s="109"/>
      <c r="R25" s="73"/>
      <c r="S25" s="73"/>
      <c r="T25" s="73"/>
      <c r="U25" s="73"/>
      <c r="V25" s="73"/>
      <c r="W25" s="74"/>
    </row>
    <row r="26" spans="2:26" x14ac:dyDescent="0.3">
      <c r="P26" s="109"/>
      <c r="Q26" s="109"/>
      <c r="R26" s="73"/>
      <c r="S26" s="73"/>
      <c r="T26" s="73"/>
      <c r="U26" s="73"/>
      <c r="V26" s="73"/>
      <c r="W26" s="74"/>
    </row>
    <row r="27" spans="2:26" x14ac:dyDescent="0.3">
      <c r="P27" s="109"/>
      <c r="Q27" s="109"/>
      <c r="R27" s="73"/>
      <c r="S27" s="73"/>
      <c r="T27" s="73"/>
      <c r="U27" s="73"/>
      <c r="V27" s="73"/>
      <c r="W27" s="75"/>
    </row>
    <row r="28" spans="2:26" x14ac:dyDescent="0.3">
      <c r="P28" s="109"/>
      <c r="Q28" s="109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9"/>
  <sheetViews>
    <sheetView showGridLines="0" workbookViewId="0">
      <selection activeCell="M5" sqref="M5"/>
    </sheetView>
  </sheetViews>
  <sheetFormatPr defaultRowHeight="14.4" x14ac:dyDescent="0.3"/>
  <cols>
    <col min="2" max="2" width="14.6640625" bestFit="1" customWidth="1"/>
    <col min="3" max="16" width="13.33203125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105581.84</v>
      </c>
      <c r="K5" s="27">
        <v>40560.85</v>
      </c>
      <c r="L5" s="27">
        <f>24262.02</f>
        <v>24262.02</v>
      </c>
      <c r="M5" s="27">
        <v>36214.15</v>
      </c>
      <c r="N5" s="27">
        <v>53315.91</v>
      </c>
      <c r="O5" s="27"/>
      <c r="P5" s="27">
        <v>53315.91</v>
      </c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486224.38</v>
      </c>
      <c r="K6" s="27">
        <v>186781.2</v>
      </c>
      <c r="L6" s="27">
        <f>111684.99</f>
        <v>111684.99</v>
      </c>
      <c r="M6" s="27">
        <v>100959.81</v>
      </c>
      <c r="N6" s="27">
        <v>0</v>
      </c>
      <c r="O6" s="27">
        <v>99037.19</v>
      </c>
      <c r="P6" s="27">
        <v>245472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</row>
    <row r="9" spans="2:16" x14ac:dyDescent="0.3">
      <c r="B9" s="84" t="s">
        <v>103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591806.22</v>
      </c>
      <c r="K9" s="96">
        <f t="shared" si="0"/>
        <v>227342.05000000002</v>
      </c>
      <c r="L9" s="96">
        <f t="shared" si="0"/>
        <v>136068.29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" si="2">SUM(P4:P8)</f>
        <v>298787.91000000003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2026-08-31T21:39:25Z</dcterms:modified>
</cp:coreProperties>
</file>