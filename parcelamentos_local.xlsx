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21.21.252\controladoria\Vitor\TRIBUTARIO\"/>
    </mc:Choice>
  </mc:AlternateContent>
  <xr:revisionPtr revIDLastSave="0" documentId="13_ncr:1_{469E9222-E42F-478F-B55E-489D032C95AC}" xr6:coauthVersionLast="47" xr6:coauthVersionMax="47" xr10:uidLastSave="{00000000-0000-0000-0000-000000000000}"/>
  <bookViews>
    <workbookView xWindow="-28920" yWindow="-120" windowWidth="29040" windowHeight="15720" tabRatio="804" xr2:uid="{00000000-000D-0000-FFFF-FFFF00000000}"/>
  </bookViews>
  <sheets>
    <sheet name="SALDO CREDOR INSS" sheetId="14" r:id="rId1"/>
    <sheet name="PARCELAMENTOS" sheetId="1" r:id="rId2"/>
    <sheet name="PARCELAMENTO 06062024" sheetId="4" r:id="rId3"/>
    <sheet name="PARCELAMENTO 05122024" sheetId="2" r:id="rId4"/>
    <sheet name="PARCELAMENTO 06062025" sheetId="10" r:id="rId5"/>
    <sheet name="PARCELAMENTO 25112025 " sheetId="13" r:id="rId6"/>
    <sheet name="PARCELAMENTO SC" sheetId="12" r:id="rId7"/>
    <sheet name="IMPOSTOS NÃO PARCELADOS" sheetId="9" state="hidden" r:id="rId8"/>
    <sheet name="ACOMPANHAMENTO MENSAL" sheetId="1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" i="14" l="1"/>
  <c r="C16" i="14"/>
  <c r="C15" i="1"/>
  <c r="C14" i="1"/>
  <c r="Q4" i="12"/>
  <c r="E15" i="1"/>
  <c r="S4" i="12"/>
  <c r="I52" i="12"/>
  <c r="P4" i="12" s="1"/>
  <c r="K51" i="12"/>
  <c r="K50" i="12"/>
  <c r="K49" i="12"/>
  <c r="K48" i="12"/>
  <c r="K47" i="12"/>
  <c r="K46" i="12"/>
  <c r="K45" i="12"/>
  <c r="K44" i="12"/>
  <c r="K43" i="12"/>
  <c r="K42" i="12"/>
  <c r="K41" i="12"/>
  <c r="K40" i="12"/>
  <c r="K39" i="12"/>
  <c r="K38" i="12"/>
  <c r="K37" i="12"/>
  <c r="K36" i="12"/>
  <c r="K35" i="12"/>
  <c r="K34" i="12"/>
  <c r="K33" i="12"/>
  <c r="K32" i="12"/>
  <c r="K31" i="12"/>
  <c r="K30" i="12"/>
  <c r="K29" i="12"/>
  <c r="K28" i="12"/>
  <c r="K27" i="12"/>
  <c r="K26" i="12"/>
  <c r="K25" i="12"/>
  <c r="K24" i="12"/>
  <c r="K23" i="12"/>
  <c r="K22" i="12"/>
  <c r="K21" i="12"/>
  <c r="K20" i="12"/>
  <c r="K19" i="12"/>
  <c r="K18" i="12"/>
  <c r="K17" i="12"/>
  <c r="K16" i="12"/>
  <c r="K15" i="12"/>
  <c r="K14" i="12"/>
  <c r="K13" i="12"/>
  <c r="K12" i="12"/>
  <c r="K11" i="12"/>
  <c r="K10" i="12"/>
  <c r="K9" i="12"/>
  <c r="K8" i="12"/>
  <c r="K7" i="12"/>
  <c r="K6" i="12"/>
  <c r="K5" i="12"/>
  <c r="K4" i="12"/>
  <c r="R4" i="10"/>
  <c r="P4" i="10"/>
  <c r="R4" i="2"/>
  <c r="P4" i="2"/>
  <c r="R4" i="4"/>
  <c r="P4" i="4"/>
  <c r="J13" i="13"/>
  <c r="J30" i="4"/>
  <c r="J24" i="2"/>
  <c r="J18" i="10"/>
  <c r="J19" i="10"/>
  <c r="J25" i="2"/>
  <c r="J31" i="4"/>
  <c r="E14" i="1"/>
  <c r="E13" i="1"/>
  <c r="E12" i="1"/>
  <c r="E11" i="1"/>
  <c r="Q6" i="11"/>
  <c r="Q5" i="11"/>
  <c r="Q9" i="11"/>
  <c r="E19" i="14"/>
  <c r="E18" i="14"/>
  <c r="E17" i="14"/>
  <c r="E15" i="14"/>
  <c r="E14" i="14"/>
  <c r="E13" i="14"/>
  <c r="E12" i="14"/>
  <c r="E11" i="14"/>
  <c r="P9" i="11"/>
  <c r="R4" i="13"/>
  <c r="P4" i="13"/>
  <c r="J17" i="10"/>
  <c r="J29" i="4"/>
  <c r="J23" i="2"/>
  <c r="J12" i="13"/>
  <c r="J16" i="10"/>
  <c r="J28" i="4"/>
  <c r="J22" i="2"/>
  <c r="J11" i="13"/>
  <c r="J15" i="10"/>
  <c r="J27" i="4"/>
  <c r="J21" i="2"/>
  <c r="J10" i="13"/>
  <c r="J14" i="10"/>
  <c r="J26" i="4"/>
  <c r="J20" i="2"/>
  <c r="J9" i="13"/>
  <c r="J25" i="4"/>
  <c r="J19" i="2"/>
  <c r="J13" i="10"/>
  <c r="J8" i="13"/>
  <c r="J12" i="10"/>
  <c r="J24" i="4"/>
  <c r="J18" i="2"/>
  <c r="J7" i="13"/>
  <c r="J6" i="13"/>
  <c r="J11" i="10"/>
  <c r="J17" i="2"/>
  <c r="J23" i="4"/>
  <c r="O9" i="11"/>
  <c r="N9" i="11"/>
  <c r="M9" i="11"/>
  <c r="L9" i="11"/>
  <c r="K9" i="11"/>
  <c r="J9" i="11"/>
  <c r="J3" i="11"/>
  <c r="E16" i="14" l="1"/>
  <c r="E20" i="14" s="1"/>
  <c r="R4" i="12"/>
  <c r="C16" i="1"/>
  <c r="M5" i="12"/>
  <c r="M6" i="12" s="1"/>
  <c r="M7" i="12" s="1"/>
  <c r="M8" i="12" s="1"/>
  <c r="M9" i="12" s="1"/>
  <c r="M10" i="12" s="1"/>
  <c r="M11" i="12" s="1"/>
  <c r="M12" i="12" s="1"/>
  <c r="M13" i="12" s="1"/>
  <c r="M14" i="12" s="1"/>
  <c r="M15" i="12" s="1"/>
  <c r="M16" i="12" s="1"/>
  <c r="M17" i="12" s="1"/>
  <c r="M18" i="12" s="1"/>
  <c r="M19" i="12" s="1"/>
  <c r="M20" i="12" s="1"/>
  <c r="M21" i="12" s="1"/>
  <c r="M22" i="12" s="1"/>
  <c r="M23" i="12" s="1"/>
  <c r="M24" i="12" s="1"/>
  <c r="M25" i="12" s="1"/>
  <c r="M26" i="12" s="1"/>
  <c r="M27" i="12" s="1"/>
  <c r="M28" i="12" s="1"/>
  <c r="M29" i="12" s="1"/>
  <c r="M30" i="12" s="1"/>
  <c r="M31" i="12" s="1"/>
  <c r="M32" i="12" s="1"/>
  <c r="M33" i="12" s="1"/>
  <c r="M34" i="12" s="1"/>
  <c r="M35" i="12" s="1"/>
  <c r="M36" i="12" s="1"/>
  <c r="M37" i="12" s="1"/>
  <c r="M38" i="12" s="1"/>
  <c r="M39" i="12" s="1"/>
  <c r="M40" i="12" s="1"/>
  <c r="M41" i="12" s="1"/>
  <c r="M42" i="12" s="1"/>
  <c r="M43" i="12" s="1"/>
  <c r="M44" i="12" s="1"/>
  <c r="M45" i="12" s="1"/>
  <c r="M46" i="12" s="1"/>
  <c r="M47" i="12" s="1"/>
  <c r="M48" i="12" s="1"/>
  <c r="M49" i="12" s="1"/>
  <c r="M50" i="12" s="1"/>
  <c r="M51" i="12" s="1"/>
  <c r="J10" i="10"/>
  <c r="J16" i="2"/>
  <c r="J22" i="4"/>
  <c r="H9" i="11"/>
  <c r="F9" i="11"/>
  <c r="E9" i="11"/>
  <c r="D9" i="11"/>
  <c r="C9" i="11"/>
  <c r="I6" i="11"/>
  <c r="I5" i="11"/>
  <c r="I8" i="11"/>
  <c r="I7" i="11"/>
  <c r="H3" i="11"/>
  <c r="G3" i="11"/>
  <c r="F3" i="11"/>
  <c r="I64" i="10"/>
  <c r="J9" i="10"/>
  <c r="J15" i="2"/>
  <c r="J21" i="4"/>
  <c r="K63" i="13"/>
  <c r="K62" i="13"/>
  <c r="K61" i="13"/>
  <c r="K60" i="13"/>
  <c r="K59" i="13"/>
  <c r="K58" i="13"/>
  <c r="K57" i="13"/>
  <c r="K56" i="13"/>
  <c r="K55" i="13"/>
  <c r="K54" i="13"/>
  <c r="K53" i="13"/>
  <c r="K52" i="13"/>
  <c r="K51" i="13"/>
  <c r="K50" i="13"/>
  <c r="K49" i="13"/>
  <c r="K48" i="13"/>
  <c r="K47" i="13"/>
  <c r="K46" i="13"/>
  <c r="K45" i="13"/>
  <c r="K44" i="13"/>
  <c r="K43" i="13"/>
  <c r="K42" i="13"/>
  <c r="K41" i="13"/>
  <c r="K40" i="13"/>
  <c r="K39" i="13"/>
  <c r="K38" i="13"/>
  <c r="K37" i="13"/>
  <c r="K36" i="13"/>
  <c r="K35" i="13"/>
  <c r="K34" i="13"/>
  <c r="K33" i="13"/>
  <c r="K32" i="13"/>
  <c r="K31" i="13"/>
  <c r="K30" i="13"/>
  <c r="K29" i="13"/>
  <c r="K28" i="13"/>
  <c r="K27" i="13"/>
  <c r="K26" i="13"/>
  <c r="K25" i="13"/>
  <c r="K24" i="13"/>
  <c r="K23" i="13"/>
  <c r="K22" i="13"/>
  <c r="K21" i="13"/>
  <c r="K20" i="13"/>
  <c r="K19" i="13"/>
  <c r="K18" i="13"/>
  <c r="K17" i="13"/>
  <c r="K16" i="13"/>
  <c r="K15" i="13"/>
  <c r="K14" i="13"/>
  <c r="K5" i="13"/>
  <c r="H4" i="13"/>
  <c r="H5" i="13" s="1"/>
  <c r="O4" i="13" s="1"/>
  <c r="Q4" i="13" s="1"/>
  <c r="Q6" i="13" s="1"/>
  <c r="I64" i="13"/>
  <c r="K4" i="13"/>
  <c r="G7" i="11"/>
  <c r="G9" i="11" s="1"/>
  <c r="J8" i="10"/>
  <c r="J20" i="4"/>
  <c r="J14" i="2"/>
  <c r="J7" i="10"/>
  <c r="J13" i="2"/>
  <c r="J19" i="4"/>
  <c r="J12" i="2"/>
  <c r="J6" i="10"/>
  <c r="J18" i="4"/>
  <c r="R6" i="12" l="1"/>
  <c r="I9" i="11"/>
  <c r="J5" i="10"/>
  <c r="J64" i="10" s="1"/>
  <c r="J11" i="2"/>
  <c r="J17" i="4"/>
  <c r="J19" i="9"/>
  <c r="J15" i="9"/>
  <c r="J16" i="4" l="1"/>
  <c r="J10" i="2"/>
  <c r="W16" i="9" l="1"/>
  <c r="W12" i="9"/>
  <c r="J64" i="2"/>
  <c r="H16" i="10"/>
  <c r="K63" i="10"/>
  <c r="K62" i="10"/>
  <c r="K61" i="10"/>
  <c r="K60" i="10"/>
  <c r="K59" i="10"/>
  <c r="K58" i="10"/>
  <c r="K57" i="10"/>
  <c r="K56" i="10"/>
  <c r="K55" i="10"/>
  <c r="K54" i="10"/>
  <c r="K53" i="10"/>
  <c r="K52" i="10"/>
  <c r="K51" i="10"/>
  <c r="K50" i="10"/>
  <c r="K49" i="10"/>
  <c r="K48" i="10"/>
  <c r="K47" i="10"/>
  <c r="K46" i="10"/>
  <c r="K45" i="10"/>
  <c r="K44" i="10"/>
  <c r="K43" i="10"/>
  <c r="K42" i="10"/>
  <c r="K41" i="10"/>
  <c r="K40" i="10"/>
  <c r="K39" i="10"/>
  <c r="K38" i="10"/>
  <c r="K37" i="10"/>
  <c r="K36" i="10"/>
  <c r="K35" i="10"/>
  <c r="K34" i="10"/>
  <c r="K33" i="10"/>
  <c r="K32" i="10"/>
  <c r="K31" i="10"/>
  <c r="K30" i="10"/>
  <c r="K29" i="10"/>
  <c r="K28" i="10"/>
  <c r="K27" i="10"/>
  <c r="K26" i="10"/>
  <c r="K25" i="10"/>
  <c r="K24" i="10"/>
  <c r="K23" i="10"/>
  <c r="K22" i="10"/>
  <c r="K21" i="10"/>
  <c r="K20" i="10"/>
  <c r="H15" i="10"/>
  <c r="H14" i="10"/>
  <c r="H13" i="10"/>
  <c r="H12" i="10"/>
  <c r="H11" i="10"/>
  <c r="H10" i="10"/>
  <c r="H9" i="10"/>
  <c r="H8" i="10"/>
  <c r="H7" i="10"/>
  <c r="H6" i="10"/>
  <c r="H5" i="10"/>
  <c r="Q4" i="10"/>
  <c r="K4" i="10"/>
  <c r="K64" i="10" s="1"/>
  <c r="H4" i="10"/>
  <c r="H17" i="10" s="1"/>
  <c r="M5" i="10" s="1"/>
  <c r="I19" i="9"/>
  <c r="I20" i="9" s="1"/>
  <c r="I15" i="9"/>
  <c r="J15" i="4"/>
  <c r="J9" i="2"/>
  <c r="O4" i="4"/>
  <c r="I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14" i="4"/>
  <c r="K13" i="4"/>
  <c r="K12" i="4"/>
  <c r="K11" i="4"/>
  <c r="K10" i="4"/>
  <c r="K9" i="4"/>
  <c r="K8" i="4"/>
  <c r="K7" i="4"/>
  <c r="K6" i="4"/>
  <c r="K5" i="4"/>
  <c r="K4" i="4"/>
  <c r="K7" i="2"/>
  <c r="K6" i="2"/>
  <c r="K5" i="2"/>
  <c r="K64" i="2" s="1"/>
  <c r="K8" i="2"/>
  <c r="O4" i="2"/>
  <c r="I64" i="2"/>
  <c r="M5" i="2" s="1"/>
  <c r="M6" i="2" s="1"/>
  <c r="M7" i="2" s="1"/>
  <c r="M8" i="2" s="1"/>
  <c r="M9" i="2" s="1"/>
  <c r="M10" i="2" s="1"/>
  <c r="M11" i="2" s="1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M35" i="2" s="1"/>
  <c r="M36" i="2" s="1"/>
  <c r="M37" i="2" s="1"/>
  <c r="M38" i="2" s="1"/>
  <c r="M39" i="2" s="1"/>
  <c r="M40" i="2" s="1"/>
  <c r="M41" i="2" s="1"/>
  <c r="M42" i="2" s="1"/>
  <c r="M43" i="2" s="1"/>
  <c r="M44" i="2" s="1"/>
  <c r="M45" i="2" s="1"/>
  <c r="M46" i="2" s="1"/>
  <c r="M47" i="2" s="1"/>
  <c r="M48" i="2" s="1"/>
  <c r="M49" i="2" s="1"/>
  <c r="M50" i="2" s="1"/>
  <c r="M51" i="2" s="1"/>
  <c r="M52" i="2" s="1"/>
  <c r="M53" i="2" s="1"/>
  <c r="M54" i="2" s="1"/>
  <c r="M55" i="2" s="1"/>
  <c r="M56" i="2" s="1"/>
  <c r="M57" i="2" s="1"/>
  <c r="M58" i="2" s="1"/>
  <c r="M59" i="2" s="1"/>
  <c r="M60" i="2" s="1"/>
  <c r="M61" i="2" s="1"/>
  <c r="M62" i="2" s="1"/>
  <c r="M63" i="2" s="1"/>
  <c r="T20" i="9"/>
  <c r="S20" i="9"/>
  <c r="R20" i="9"/>
  <c r="Q20" i="9"/>
  <c r="P20" i="9"/>
  <c r="O20" i="9"/>
  <c r="N20" i="9"/>
  <c r="M20" i="9"/>
  <c r="L20" i="9"/>
  <c r="K20" i="9"/>
  <c r="J20" i="9"/>
  <c r="E18" i="9"/>
  <c r="W18" i="9"/>
  <c r="G19" i="9"/>
  <c r="F17" i="9"/>
  <c r="F19" i="9" s="1"/>
  <c r="E17" i="9"/>
  <c r="E19" i="9" s="1"/>
  <c r="D17" i="9"/>
  <c r="D19" i="9" s="1"/>
  <c r="D15" i="9"/>
  <c r="E15" i="9"/>
  <c r="W14" i="9"/>
  <c r="G15" i="9"/>
  <c r="F13" i="9"/>
  <c r="F15" i="9" s="1"/>
  <c r="E13" i="9"/>
  <c r="D13" i="9"/>
  <c r="W10" i="9"/>
  <c r="H11" i="9"/>
  <c r="C9" i="9"/>
  <c r="W8" i="9"/>
  <c r="W6" i="9"/>
  <c r="C5" i="9"/>
  <c r="W4" i="9"/>
  <c r="E20" i="9" l="1"/>
  <c r="C11" i="9"/>
  <c r="W9" i="9"/>
  <c r="W11" i="9" s="1"/>
  <c r="C7" i="9"/>
  <c r="W5" i="9"/>
  <c r="W7" i="9" s="1"/>
  <c r="Q6" i="10"/>
  <c r="C13" i="1"/>
  <c r="M6" i="10"/>
  <c r="M7" i="10" s="1"/>
  <c r="M8" i="10" s="1"/>
  <c r="M9" i="10" s="1"/>
  <c r="M10" i="10" s="1"/>
  <c r="M11" i="10" s="1"/>
  <c r="M12" i="10" s="1"/>
  <c r="M13" i="10" s="1"/>
  <c r="M14" i="10" s="1"/>
  <c r="M15" i="10" s="1"/>
  <c r="M16" i="10" s="1"/>
  <c r="M17" i="10" s="1"/>
  <c r="M18" i="10" s="1"/>
  <c r="M19" i="10" s="1"/>
  <c r="M20" i="10" s="1"/>
  <c r="M21" i="10" s="1"/>
  <c r="M22" i="10" s="1"/>
  <c r="M23" i="10" s="1"/>
  <c r="M24" i="10" s="1"/>
  <c r="M25" i="10" s="1"/>
  <c r="M26" i="10" s="1"/>
  <c r="M27" i="10" s="1"/>
  <c r="M28" i="10" s="1"/>
  <c r="M29" i="10" s="1"/>
  <c r="M30" i="10" s="1"/>
  <c r="M31" i="10" s="1"/>
  <c r="M32" i="10" s="1"/>
  <c r="M33" i="10" s="1"/>
  <c r="M34" i="10" s="1"/>
  <c r="M35" i="10" s="1"/>
  <c r="M36" i="10" s="1"/>
  <c r="M37" i="10" s="1"/>
  <c r="M38" i="10" s="1"/>
  <c r="M39" i="10" s="1"/>
  <c r="M40" i="10" s="1"/>
  <c r="M41" i="10" s="1"/>
  <c r="M42" i="10" s="1"/>
  <c r="M43" i="10" s="1"/>
  <c r="M44" i="10" s="1"/>
  <c r="M45" i="10" s="1"/>
  <c r="M46" i="10" s="1"/>
  <c r="M47" i="10" s="1"/>
  <c r="M48" i="10" s="1"/>
  <c r="M49" i="10" s="1"/>
  <c r="M50" i="10" s="1"/>
  <c r="M51" i="10" s="1"/>
  <c r="M52" i="10" s="1"/>
  <c r="M53" i="10" s="1"/>
  <c r="M54" i="10" s="1"/>
  <c r="M55" i="10" s="1"/>
  <c r="M56" i="10" s="1"/>
  <c r="M57" i="10" s="1"/>
  <c r="M58" i="10" s="1"/>
  <c r="M59" i="10" s="1"/>
  <c r="M60" i="10" s="1"/>
  <c r="M61" i="10" s="1"/>
  <c r="M62" i="10" s="1"/>
  <c r="M63" i="10" s="1"/>
  <c r="C20" i="9"/>
  <c r="F20" i="9"/>
  <c r="D20" i="9"/>
  <c r="W13" i="9"/>
  <c r="W15" i="9" s="1"/>
  <c r="G20" i="9"/>
  <c r="W17" i="9"/>
  <c r="W19" i="9" s="1"/>
  <c r="H7" i="9"/>
  <c r="H20" i="9" s="1"/>
  <c r="W20" i="9" l="1"/>
  <c r="H15" i="4"/>
  <c r="H14" i="4"/>
  <c r="H13" i="4"/>
  <c r="H12" i="4"/>
  <c r="H11" i="4"/>
  <c r="H10" i="4"/>
  <c r="H9" i="4"/>
  <c r="H8" i="4"/>
  <c r="H7" i="4"/>
  <c r="H6" i="4"/>
  <c r="H5" i="4"/>
  <c r="H4" i="4"/>
  <c r="H16" i="4" s="1"/>
  <c r="M5" i="4" s="1"/>
  <c r="M6" i="4" s="1"/>
  <c r="M7" i="4" s="1"/>
  <c r="M8" i="4" s="1"/>
  <c r="M9" i="4" s="1"/>
  <c r="M10" i="4" s="1"/>
  <c r="M11" i="4" s="1"/>
  <c r="M12" i="4" s="1"/>
  <c r="M13" i="4" s="1"/>
  <c r="M14" i="4" s="1"/>
  <c r="M15" i="4" s="1"/>
  <c r="M16" i="4" s="1"/>
  <c r="M17" i="4" s="1"/>
  <c r="M18" i="4" s="1"/>
  <c r="M19" i="4" s="1"/>
  <c r="M20" i="4" s="1"/>
  <c r="M21" i="4" s="1"/>
  <c r="M22" i="4" s="1"/>
  <c r="M23" i="4" s="1"/>
  <c r="M24" i="4" s="1"/>
  <c r="M25" i="4" s="1"/>
  <c r="M26" i="4" s="1"/>
  <c r="M27" i="4" s="1"/>
  <c r="M28" i="4" s="1"/>
  <c r="M29" i="4" s="1"/>
  <c r="M30" i="4" s="1"/>
  <c r="M31" i="4" s="1"/>
  <c r="M32" i="4" s="1"/>
  <c r="M33" i="4" s="1"/>
  <c r="M34" i="4" s="1"/>
  <c r="M35" i="4" s="1"/>
  <c r="M36" i="4" s="1"/>
  <c r="M37" i="4" s="1"/>
  <c r="M38" i="4" s="1"/>
  <c r="M39" i="4" s="1"/>
  <c r="M40" i="4" s="1"/>
  <c r="M41" i="4" s="1"/>
  <c r="M42" i="4" s="1"/>
  <c r="M43" i="4" s="1"/>
  <c r="M44" i="4" s="1"/>
  <c r="M45" i="4" s="1"/>
  <c r="M46" i="4" s="1"/>
  <c r="M47" i="4" s="1"/>
  <c r="M48" i="4" s="1"/>
  <c r="M49" i="4" s="1"/>
  <c r="M50" i="4" s="1"/>
  <c r="M51" i="4" s="1"/>
  <c r="M52" i="4" s="1"/>
  <c r="M53" i="4" s="1"/>
  <c r="M54" i="4" s="1"/>
  <c r="M55" i="4" s="1"/>
  <c r="M56" i="4" s="1"/>
  <c r="M57" i="4" s="1"/>
  <c r="M58" i="4" s="1"/>
  <c r="M59" i="4" s="1"/>
  <c r="M60" i="4" s="1"/>
  <c r="M61" i="4" s="1"/>
  <c r="M62" i="4" s="1"/>
  <c r="M63" i="4" s="1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56" i="2" s="1"/>
  <c r="Q4" i="4" l="1"/>
  <c r="Q6" i="4" l="1"/>
  <c r="C11" i="1"/>
  <c r="E6" i="1"/>
  <c r="D6" i="1"/>
  <c r="C6" i="1"/>
  <c r="B6" i="1"/>
  <c r="G5" i="1"/>
  <c r="G4" i="1"/>
  <c r="G3" i="1"/>
  <c r="G6" i="1" l="1"/>
  <c r="Q4" i="2" l="1"/>
  <c r="Q6" i="2" l="1"/>
  <c r="C12" i="1"/>
  <c r="M5" i="13" l="1"/>
  <c r="M6" i="13" s="1"/>
  <c r="M7" i="13" s="1"/>
  <c r="M8" i="13" s="1"/>
  <c r="M9" i="13" s="1"/>
  <c r="M10" i="13" s="1"/>
  <c r="M11" i="13" s="1"/>
  <c r="M12" i="13" s="1"/>
  <c r="M13" i="13" s="1"/>
  <c r="M14" i="13" s="1"/>
  <c r="M15" i="13" s="1"/>
  <c r="M16" i="13" s="1"/>
  <c r="M17" i="13" s="1"/>
  <c r="M18" i="13" s="1"/>
  <c r="M19" i="13" s="1"/>
  <c r="M20" i="13" s="1"/>
  <c r="M21" i="13" s="1"/>
  <c r="M22" i="13" s="1"/>
  <c r="M23" i="13" s="1"/>
  <c r="M24" i="13" s="1"/>
  <c r="M25" i="13" s="1"/>
  <c r="M26" i="13" s="1"/>
  <c r="M27" i="13" s="1"/>
  <c r="M28" i="13" s="1"/>
  <c r="M29" i="13" s="1"/>
  <c r="M30" i="13" s="1"/>
  <c r="M31" i="13" s="1"/>
  <c r="M32" i="13" s="1"/>
  <c r="M33" i="13" s="1"/>
  <c r="M34" i="13" s="1"/>
  <c r="M35" i="13" s="1"/>
  <c r="M36" i="13" s="1"/>
  <c r="M37" i="13" s="1"/>
  <c r="M38" i="13" s="1"/>
  <c r="M39" i="13" s="1"/>
  <c r="M40" i="13" s="1"/>
  <c r="M41" i="13" s="1"/>
  <c r="M42" i="13" s="1"/>
  <c r="M43" i="13" s="1"/>
  <c r="M44" i="13" s="1"/>
  <c r="M45" i="13" s="1"/>
  <c r="M46" i="13" s="1"/>
  <c r="M47" i="13" s="1"/>
  <c r="M48" i="13" s="1"/>
  <c r="M49" i="13" s="1"/>
  <c r="M50" i="13" s="1"/>
  <c r="M51" i="13" s="1"/>
  <c r="M52" i="13" s="1"/>
  <c r="M53" i="13" s="1"/>
  <c r="M54" i="13" s="1"/>
  <c r="M55" i="13" s="1"/>
  <c r="M56" i="13" s="1"/>
  <c r="M57" i="13" s="1"/>
  <c r="M58" i="13" s="1"/>
  <c r="M59" i="13" s="1"/>
  <c r="M60" i="13" s="1"/>
  <c r="M61" i="13" s="1"/>
  <c r="M62" i="13" s="1"/>
  <c r="M63" i="13" s="1"/>
  <c r="J64" i="4" l="1"/>
  <c r="K64" i="4"/>
  <c r="M4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tc={79A807FC-C033-4AD6-B2F3-3D2118AA2844}</author>
    <author>tc={2820BD41-D688-4477-BDC3-A2CC3F279BE1}</author>
    <author>tc={69B0B8BE-7EBE-4A56-BED3-52263843B1C3}</author>
    <author>tc={704F14D4-648A-4488-8D55-88B91691F4FE}</author>
    <author>tc={4C44609A-B8C3-4280-ABA6-12D52E40642B}</author>
    <author>tc={EA2F0DAC-E08D-4AB3-95AC-6E387F78470E}</author>
  </authors>
  <commentList>
    <comment ref="J5" authorId="0" shapeId="0" xr:uid="{79A807FC-C033-4AD6-B2F3-3D2118AA284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Feito Perd/Comp com Advogado</t>
      </text>
    </comment>
    <comment ref="K5" authorId="1" shapeId="0" xr:uid="{2820BD41-D688-4477-BDC3-A2CC3F279BE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Feito Perd/Comp com Advogado</t>
      </text>
    </comment>
    <comment ref="L5" authorId="2" shapeId="0" xr:uid="{69B0B8BE-7EBE-4A56-BED3-52263843B1C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Feito Perd/Comp com Advogado</t>
      </text>
    </comment>
    <comment ref="J6" authorId="3" shapeId="0" xr:uid="{704F14D4-648A-4488-8D55-88B91691F4F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Feito Perd/Comp com Advogado</t>
      </text>
    </comment>
    <comment ref="K6" authorId="4" shapeId="0" xr:uid="{4C44609A-B8C3-4280-ABA6-12D52E40642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Feito Perd/Comp com Advogado</t>
      </text>
    </comment>
    <comment ref="L6" authorId="5" shapeId="0" xr:uid="{EA2F0DAC-E08D-4AB3-95AC-6E387F78470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Feito Perd/Comp com Advogado</t>
      </text>
    </comment>
  </commentList>
</comments>
</file>

<file path=xl/sharedStrings.xml><?xml version="1.0" encoding="utf-8"?>
<sst xmlns="http://schemas.openxmlformats.org/spreadsheetml/2006/main" count="320" uniqueCount="115">
  <si>
    <t>TAURA AGRONEGOCIOS - IMPOSTOS EM ABERTO - NÃO PARCELADOS NA RECEITA FEDERAL</t>
  </si>
  <si>
    <t>Imposto</t>
  </si>
  <si>
    <t>dez/21</t>
  </si>
  <si>
    <t>jan/22</t>
  </si>
  <si>
    <t>fev/22</t>
  </si>
  <si>
    <t>mar/22</t>
  </si>
  <si>
    <t>Total</t>
  </si>
  <si>
    <t>IRPJ</t>
  </si>
  <si>
    <t>CSLL</t>
  </si>
  <si>
    <t>IPI</t>
  </si>
  <si>
    <t>Tributo</t>
  </si>
  <si>
    <t>Data do parcelamento</t>
  </si>
  <si>
    <t>Valor Saldo a Pagar</t>
  </si>
  <si>
    <t>Parcelas pagas</t>
  </si>
  <si>
    <t>Parcelas Faltantes</t>
  </si>
  <si>
    <t>Juros</t>
  </si>
  <si>
    <t>*** Valores sujeitos a alterações</t>
  </si>
  <si>
    <t>jul/23</t>
  </si>
  <si>
    <t>Valor Principal</t>
  </si>
  <si>
    <t>Valor Multa</t>
  </si>
  <si>
    <t>Valor Juros</t>
  </si>
  <si>
    <t>Saldo Devedor</t>
  </si>
  <si>
    <t>Data Venc.</t>
  </si>
  <si>
    <t>Amortização</t>
  </si>
  <si>
    <t>Dívida</t>
  </si>
  <si>
    <t>Pago</t>
  </si>
  <si>
    <t>Saldo</t>
  </si>
  <si>
    <t>Código Receita</t>
  </si>
  <si>
    <t>1138-04 - CP PATRONAL - CONTRIBUINTES INDIVIDUAIS</t>
  </si>
  <si>
    <t>1138-01 - CP PATRONAL - EMPREGADOS/AVULSOS</t>
  </si>
  <si>
    <t>1141-01 - CP PATRONAL - ADICIONAL GILRAT</t>
  </si>
  <si>
    <t>1170-01 - CP TERCEIROS - SALÁRIO EDUCAÇÃO</t>
  </si>
  <si>
    <t>1176-01 - CP TERCEIROS - INCRA</t>
  </si>
  <si>
    <t>1181-01 - CP TERCEIROS - SENAI</t>
  </si>
  <si>
    <t>1184-01 - CP TERCEIROS - SESI</t>
  </si>
  <si>
    <t>1200-01 - CP TERCEIROS - SEBRAE</t>
  </si>
  <si>
    <t>1225-01 - CP TERCEIROS - SESCOOP</t>
  </si>
  <si>
    <t>1646-01 - CP PATRONAL - GILRAT AJUSTADO</t>
  </si>
  <si>
    <t>1708-06 - REMUNERAÇÃO DE SERV. PREST. PJ</t>
  </si>
  <si>
    <t>2089-01 - IRPJ – LUCRO PRESUMIDO</t>
  </si>
  <si>
    <t>2172-01 - COFINS SOBRE FATURAMENTO</t>
  </si>
  <si>
    <t>2372-01 - CSLL SOBRE FATURAMENTO</t>
  </si>
  <si>
    <t>5952-07 - CSLL, COFINS, PIS - RETIDO PJ / PJ</t>
  </si>
  <si>
    <t>8109-02 - PIS SOBRE FATURAMENTO</t>
  </si>
  <si>
    <t>Apuração</t>
  </si>
  <si>
    <t>Vencimento</t>
  </si>
  <si>
    <t>1º Tri/24</t>
  </si>
  <si>
    <t>2º Tri/24</t>
  </si>
  <si>
    <t>1708-06 - REMUNERAÇÃO SERV. PRESTADOS POR PJ</t>
  </si>
  <si>
    <t>3º tri/23</t>
  </si>
  <si>
    <t>4º tri/23</t>
  </si>
  <si>
    <t>3208-06 - IRRF – ALUGUÉIS E ROYALTIES PAGO A PF</t>
  </si>
  <si>
    <t>JLE  - IMPOSTOS EM ABERTO - NÃO PARCELADOS NA RECEITA FEDERAL</t>
  </si>
  <si>
    <t>3º TRI/24</t>
  </si>
  <si>
    <t>dez/24</t>
  </si>
  <si>
    <t>jan/25</t>
  </si>
  <si>
    <t>fev/25</t>
  </si>
  <si>
    <t>mar/25</t>
  </si>
  <si>
    <t>1º TRI/25</t>
  </si>
  <si>
    <t>abr/25</t>
  </si>
  <si>
    <t>mai/25</t>
  </si>
  <si>
    <t>jun/25</t>
  </si>
  <si>
    <t>2º TRI/25</t>
  </si>
  <si>
    <t>jul/25</t>
  </si>
  <si>
    <t>ago/25</t>
  </si>
  <si>
    <t>set/25</t>
  </si>
  <si>
    <t>3º TRI/25</t>
  </si>
  <si>
    <t>out/25</t>
  </si>
  <si>
    <t>nov/25</t>
  </si>
  <si>
    <t>dez/25</t>
  </si>
  <si>
    <t>4º TRI/25</t>
  </si>
  <si>
    <t>mai/23</t>
  </si>
  <si>
    <t>Taxa Selic</t>
  </si>
  <si>
    <t>%</t>
  </si>
  <si>
    <t>Multa</t>
  </si>
  <si>
    <t>TOTAL</t>
  </si>
  <si>
    <t>PIS</t>
  </si>
  <si>
    <t>COFINS</t>
  </si>
  <si>
    <t>JLE TELECOMUNICAÇÕES LTDA - IMPOSTOS PARCELADOS</t>
  </si>
  <si>
    <t>Parcelamento 05/12/2024</t>
  </si>
  <si>
    <t>Parcelamento 07/06/2024</t>
  </si>
  <si>
    <t>Valor parcela</t>
  </si>
  <si>
    <t>Valor Total</t>
  </si>
  <si>
    <t>Valor Parcela</t>
  </si>
  <si>
    <t>0561-07 - IRRF RETIDO NA FONTE - FUNCIONÁRIOS</t>
  </si>
  <si>
    <t>0588-06 - IRRF SOBRE A FOLHA</t>
  </si>
  <si>
    <t>DESPESAS SOBRE A FOLHA DE PGTO</t>
  </si>
  <si>
    <t>IMPOSTO SOBRE SERVIÇO TOMADO</t>
  </si>
  <si>
    <t>IMPOSTO SOBRE O FATURAMENTO</t>
  </si>
  <si>
    <t>AMORTIZAÇÃO DA DÍVIDA</t>
  </si>
  <si>
    <t>RETENÇÃO SOBRE DESPESAS</t>
  </si>
  <si>
    <t>3º tri/24</t>
  </si>
  <si>
    <t>1º tri/25</t>
  </si>
  <si>
    <t>Parcelamento 06/06/2025</t>
  </si>
  <si>
    <t>mai/252</t>
  </si>
  <si>
    <t>FATURAMENTO</t>
  </si>
  <si>
    <t>ISS</t>
  </si>
  <si>
    <t>IR</t>
  </si>
  <si>
    <t>ICMS-NOTIFICAÇÃO FISCAL FORA DO PRAZO</t>
  </si>
  <si>
    <t>TOTAL MÊS</t>
  </si>
  <si>
    <t>Parcelamento 25/11/2025</t>
  </si>
  <si>
    <t>SALDO CREDOR INSS - JLE</t>
  </si>
  <si>
    <t>COMPETÊNCIA</t>
  </si>
  <si>
    <t>RETENÇÃO NF</t>
  </si>
  <si>
    <t>UTILIZADO FOLHA</t>
  </si>
  <si>
    <t>SALDO</t>
  </si>
  <si>
    <t>60/26</t>
  </si>
  <si>
    <t>60/21</t>
  </si>
  <si>
    <t>60/10</t>
  </si>
  <si>
    <t>60/8</t>
  </si>
  <si>
    <t>Parcelamento SC 30/08/2025</t>
  </si>
  <si>
    <t>48/29</t>
  </si>
  <si>
    <t>Saldo Devedor Impostos Parcelados - Atualizado em 30.09.2026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</si>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</sst>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* #,##0.00_-;\-&quot;R$&quot;* #,##0.00_-;_-&quot;R$&quot;* &quot;-&quot;??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u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theme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40">
    <xf numFmtId="0" fontId="0" fillId="0" borderId="0" xfId="0"/>
    <xf numFmtId="0" fontId="0" fillId="2" borderId="4" xfId="0" applyFill="1" applyBorder="1" applyAlignment="1">
      <alignment horizontal="center"/>
    </xf>
    <xf numFmtId="17" fontId="0" fillId="2" borderId="0" xfId="0" applyNumberFormat="1" applyFill="1" applyAlignment="1">
      <alignment horizontal="center"/>
    </xf>
    <xf numFmtId="17" fontId="0" fillId="2" borderId="5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4" xfId="0" applyFont="1" applyBorder="1"/>
    <xf numFmtId="44" fontId="4" fillId="0" borderId="0" xfId="2" applyFont="1" applyBorder="1"/>
    <xf numFmtId="44" fontId="4" fillId="0" borderId="5" xfId="2" applyFont="1" applyBorder="1"/>
    <xf numFmtId="0" fontId="4" fillId="0" borderId="0" xfId="0" applyFont="1"/>
    <xf numFmtId="0" fontId="3" fillId="0" borderId="6" xfId="0" applyFont="1" applyBorder="1"/>
    <xf numFmtId="164" fontId="3" fillId="0" borderId="7" xfId="0" applyNumberFormat="1" applyFont="1" applyBorder="1"/>
    <xf numFmtId="164" fontId="3" fillId="0" borderId="8" xfId="0" applyNumberFormat="1" applyFont="1" applyBorder="1"/>
    <xf numFmtId="164" fontId="0" fillId="0" borderId="0" xfId="0" applyNumberFormat="1"/>
    <xf numFmtId="0" fontId="5" fillId="0" borderId="0" xfId="0" applyFont="1"/>
    <xf numFmtId="0" fontId="2" fillId="3" borderId="9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left"/>
    </xf>
    <xf numFmtId="14" fontId="4" fillId="0" borderId="9" xfId="0" applyNumberFormat="1" applyFont="1" applyBorder="1" applyAlignment="1">
      <alignment horizontal="center"/>
    </xf>
    <xf numFmtId="164" fontId="4" fillId="0" borderId="9" xfId="0" applyNumberFormat="1" applyFont="1" applyBorder="1" applyAlignment="1">
      <alignment wrapText="1"/>
    </xf>
    <xf numFmtId="0" fontId="0" fillId="0" borderId="9" xfId="0" quotePrefix="1" applyBorder="1" applyAlignment="1">
      <alignment horizontal="center"/>
    </xf>
    <xf numFmtId="0" fontId="5" fillId="0" borderId="9" xfId="0" applyFont="1" applyBorder="1" applyAlignment="1">
      <alignment horizontal="center"/>
    </xf>
    <xf numFmtId="39" fontId="0" fillId="0" borderId="0" xfId="0" applyNumberFormat="1"/>
    <xf numFmtId="49" fontId="0" fillId="0" borderId="0" xfId="0" applyNumberFormat="1"/>
    <xf numFmtId="49" fontId="6" fillId="4" borderId="9" xfId="0" applyNumberFormat="1" applyFont="1" applyFill="1" applyBorder="1"/>
    <xf numFmtId="0" fontId="7" fillId="3" borderId="9" xfId="0" applyFont="1" applyFill="1" applyBorder="1" applyAlignment="1">
      <alignment horizontal="center" vertical="center" wrapText="1"/>
    </xf>
    <xf numFmtId="10" fontId="0" fillId="0" borderId="0" xfId="3" applyNumberFormat="1" applyFont="1" applyFill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9" fontId="0" fillId="0" borderId="0" xfId="3" applyFont="1" applyFill="1" applyBorder="1" applyAlignment="1">
      <alignment horizontal="center"/>
    </xf>
    <xf numFmtId="43" fontId="0" fillId="0" borderId="11" xfId="1" applyFont="1" applyBorder="1" applyAlignment="1">
      <alignment horizontal="center"/>
    </xf>
    <xf numFmtId="43" fontId="0" fillId="0" borderId="12" xfId="1" applyFont="1" applyBorder="1" applyAlignment="1">
      <alignment horizontal="center"/>
    </xf>
    <xf numFmtId="14" fontId="0" fillId="0" borderId="12" xfId="1" applyNumberFormat="1" applyFont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43" fontId="0" fillId="0" borderId="11" xfId="0" applyNumberFormat="1" applyBorder="1"/>
    <xf numFmtId="43" fontId="2" fillId="3" borderId="13" xfId="0" applyNumberFormat="1" applyFont="1" applyFill="1" applyBorder="1"/>
    <xf numFmtId="43" fontId="2" fillId="3" borderId="14" xfId="0" applyNumberFormat="1" applyFont="1" applyFill="1" applyBorder="1"/>
    <xf numFmtId="43" fontId="2" fillId="3" borderId="15" xfId="0" applyNumberFormat="1" applyFont="1" applyFill="1" applyBorder="1"/>
    <xf numFmtId="0" fontId="3" fillId="0" borderId="16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2" fillId="3" borderId="18" xfId="0" applyFont="1" applyFill="1" applyBorder="1" applyAlignment="1">
      <alignment horizontal="center"/>
    </xf>
    <xf numFmtId="17" fontId="0" fillId="0" borderId="17" xfId="0" applyNumberFormat="1" applyBorder="1" applyAlignment="1">
      <alignment horizontal="center"/>
    </xf>
    <xf numFmtId="0" fontId="0" fillId="5" borderId="0" xfId="0" applyFill="1"/>
    <xf numFmtId="1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43" fontId="0" fillId="5" borderId="0" xfId="1" applyFont="1" applyFill="1" applyBorder="1" applyAlignment="1">
      <alignment horizontal="center"/>
    </xf>
    <xf numFmtId="14" fontId="0" fillId="5" borderId="0" xfId="1" applyNumberFormat="1" applyFont="1" applyFill="1" applyBorder="1" applyAlignment="1">
      <alignment horizontal="center"/>
    </xf>
    <xf numFmtId="43" fontId="0" fillId="5" borderId="0" xfId="0" applyNumberFormat="1" applyFill="1"/>
    <xf numFmtId="17" fontId="0" fillId="0" borderId="11" xfId="0" applyNumberFormat="1" applyBorder="1" applyAlignment="1">
      <alignment horizontal="center"/>
    </xf>
    <xf numFmtId="14" fontId="0" fillId="0" borderId="11" xfId="0" applyNumberFormat="1" applyBorder="1" applyAlignment="1">
      <alignment horizontal="center"/>
    </xf>
    <xf numFmtId="43" fontId="0" fillId="5" borderId="11" xfId="1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17" fontId="5" fillId="3" borderId="0" xfId="0" applyNumberFormat="1" applyFont="1" applyFill="1" applyAlignment="1">
      <alignment horizontal="center"/>
    </xf>
    <xf numFmtId="0" fontId="12" fillId="3" borderId="20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/>
    </xf>
    <xf numFmtId="44" fontId="14" fillId="0" borderId="0" xfId="2" applyFont="1" applyBorder="1"/>
    <xf numFmtId="44" fontId="10" fillId="0" borderId="0" xfId="2" applyFont="1"/>
    <xf numFmtId="44" fontId="14" fillId="6" borderId="3" xfId="2" applyFont="1" applyFill="1" applyBorder="1"/>
    <xf numFmtId="17" fontId="9" fillId="0" borderId="0" xfId="0" applyNumberFormat="1" applyFont="1" applyAlignment="1">
      <alignment horizontal="center"/>
    </xf>
    <xf numFmtId="10" fontId="9" fillId="0" borderId="0" xfId="3" applyNumberFormat="1" applyFont="1" applyAlignment="1">
      <alignment horizontal="center"/>
    </xf>
    <xf numFmtId="0" fontId="15" fillId="0" borderId="4" xfId="0" applyFont="1" applyBorder="1" applyAlignment="1">
      <alignment horizontal="center"/>
    </xf>
    <xf numFmtId="44" fontId="15" fillId="0" borderId="0" xfId="2" applyFont="1" applyBorder="1"/>
    <xf numFmtId="44" fontId="15" fillId="0" borderId="5" xfId="2" applyFont="1" applyBorder="1"/>
    <xf numFmtId="164" fontId="15" fillId="0" borderId="0" xfId="2" applyNumberFormat="1" applyFont="1" applyBorder="1"/>
    <xf numFmtId="44" fontId="15" fillId="6" borderId="5" xfId="2" applyFont="1" applyFill="1" applyBorder="1"/>
    <xf numFmtId="0" fontId="16" fillId="7" borderId="4" xfId="0" applyFont="1" applyFill="1" applyBorder="1" applyAlignment="1">
      <alignment horizontal="center"/>
    </xf>
    <xf numFmtId="44" fontId="16" fillId="0" borderId="0" xfId="2" applyFont="1" applyBorder="1"/>
    <xf numFmtId="44" fontId="16" fillId="0" borderId="5" xfId="2" applyFont="1" applyBorder="1"/>
    <xf numFmtId="0" fontId="14" fillId="0" borderId="0" xfId="0" applyFont="1"/>
    <xf numFmtId="164" fontId="14" fillId="0" borderId="0" xfId="2" applyNumberFormat="1" applyFont="1" applyBorder="1"/>
    <xf numFmtId="164" fontId="4" fillId="0" borderId="0" xfId="2" applyNumberFormat="1" applyFont="1"/>
    <xf numFmtId="0" fontId="12" fillId="3" borderId="6" xfId="0" applyFont="1" applyFill="1" applyBorder="1" applyAlignment="1">
      <alignment horizontal="center"/>
    </xf>
    <xf numFmtId="164" fontId="12" fillId="3" borderId="7" xfId="0" applyNumberFormat="1" applyFont="1" applyFill="1" applyBorder="1"/>
    <xf numFmtId="0" fontId="12" fillId="3" borderId="7" xfId="0" applyFont="1" applyFill="1" applyBorder="1"/>
    <xf numFmtId="164" fontId="12" fillId="3" borderId="21" xfId="0" applyNumberFormat="1" applyFont="1" applyFill="1" applyBorder="1"/>
    <xf numFmtId="0" fontId="9" fillId="0" borderId="0" xfId="0" applyFont="1" applyAlignment="1">
      <alignment horizontal="center"/>
    </xf>
    <xf numFmtId="164" fontId="9" fillId="0" borderId="0" xfId="0" applyNumberFormat="1" applyFont="1"/>
    <xf numFmtId="44" fontId="17" fillId="0" borderId="0" xfId="0" applyNumberFormat="1" applyFont="1"/>
    <xf numFmtId="44" fontId="9" fillId="0" borderId="0" xfId="0" applyNumberFormat="1" applyFont="1"/>
    <xf numFmtId="43" fontId="0" fillId="0" borderId="17" xfId="1" applyFont="1" applyBorder="1" applyAlignment="1">
      <alignment horizontal="center"/>
    </xf>
    <xf numFmtId="43" fontId="3" fillId="8" borderId="11" xfId="1" applyFont="1" applyFill="1" applyBorder="1" applyAlignment="1">
      <alignment horizontal="center"/>
    </xf>
    <xf numFmtId="0" fontId="0" fillId="9" borderId="11" xfId="0" applyFill="1" applyBorder="1"/>
    <xf numFmtId="0" fontId="0" fillId="10" borderId="11" xfId="0" applyFill="1" applyBorder="1"/>
    <xf numFmtId="0" fontId="0" fillId="11" borderId="11" xfId="0" applyFill="1" applyBorder="1"/>
    <xf numFmtId="10" fontId="0" fillId="0" borderId="11" xfId="3" applyNumberFormat="1" applyFont="1" applyBorder="1"/>
    <xf numFmtId="0" fontId="0" fillId="12" borderId="11" xfId="0" applyFill="1" applyBorder="1"/>
    <xf numFmtId="0" fontId="0" fillId="0" borderId="11" xfId="0" applyBorder="1" applyAlignment="1">
      <alignment horizontal="center"/>
    </xf>
    <xf numFmtId="17" fontId="3" fillId="9" borderId="11" xfId="0" applyNumberFormat="1" applyFont="1" applyFill="1" applyBorder="1" applyAlignment="1">
      <alignment horizontal="center"/>
    </xf>
    <xf numFmtId="43" fontId="0" fillId="0" borderId="11" xfId="1" applyFont="1" applyBorder="1"/>
    <xf numFmtId="43" fontId="3" fillId="13" borderId="11" xfId="1" applyFont="1" applyFill="1" applyBorder="1" applyAlignment="1">
      <alignment horizontal="center"/>
    </xf>
    <xf numFmtId="43" fontId="0" fillId="0" borderId="0" xfId="0" applyNumberFormat="1"/>
    <xf numFmtId="39" fontId="3" fillId="8" borderId="9" xfId="0" applyNumberFormat="1" applyFont="1" applyFill="1" applyBorder="1"/>
    <xf numFmtId="17" fontId="0" fillId="5" borderId="0" xfId="0" applyNumberFormat="1" applyFill="1" applyAlignment="1">
      <alignment horizontal="center"/>
    </xf>
    <xf numFmtId="14" fontId="0" fillId="5" borderId="0" xfId="0" applyNumberFormat="1" applyFill="1" applyAlignment="1">
      <alignment horizontal="center"/>
    </xf>
    <xf numFmtId="43" fontId="3" fillId="5" borderId="0" xfId="1" applyFont="1" applyFill="1" applyBorder="1" applyAlignment="1">
      <alignment horizontal="center"/>
    </xf>
    <xf numFmtId="43" fontId="0" fillId="5" borderId="22" xfId="1" applyFont="1" applyFill="1" applyBorder="1" applyAlignment="1">
      <alignment horizontal="center"/>
    </xf>
    <xf numFmtId="43" fontId="0" fillId="5" borderId="23" xfId="1" applyFont="1" applyFill="1" applyBorder="1" applyAlignment="1">
      <alignment horizontal="center"/>
    </xf>
    <xf numFmtId="43" fontId="3" fillId="8" borderId="24" xfId="1" applyFont="1" applyFill="1" applyBorder="1" applyAlignment="1">
      <alignment horizontal="center"/>
    </xf>
    <xf numFmtId="43" fontId="3" fillId="8" borderId="11" xfId="0" applyNumberFormat="1" applyFont="1" applyFill="1" applyBorder="1"/>
    <xf numFmtId="0" fontId="18" fillId="5" borderId="0" xfId="0" applyFont="1" applyFill="1"/>
    <xf numFmtId="0" fontId="4" fillId="5" borderId="0" xfId="0" applyFont="1" applyFill="1"/>
    <xf numFmtId="0" fontId="4" fillId="5" borderId="0" xfId="0" applyFont="1" applyFill="1" applyAlignment="1">
      <alignment horizontal="center"/>
    </xf>
    <xf numFmtId="17" fontId="4" fillId="5" borderId="0" xfId="0" applyNumberFormat="1" applyFont="1" applyFill="1" applyAlignment="1">
      <alignment horizontal="center"/>
    </xf>
    <xf numFmtId="44" fontId="4" fillId="5" borderId="0" xfId="2" applyFont="1" applyFill="1" applyBorder="1"/>
    <xf numFmtId="164" fontId="18" fillId="5" borderId="0" xfId="0" applyNumberFormat="1" applyFont="1" applyFill="1"/>
    <xf numFmtId="164" fontId="4" fillId="5" borderId="0" xfId="0" applyNumberFormat="1" applyFont="1" applyFill="1"/>
    <xf numFmtId="0" fontId="19" fillId="5" borderId="0" xfId="0" applyFont="1" applyFill="1"/>
    <xf numFmtId="0" fontId="18" fillId="5" borderId="0" xfId="0" applyFont="1" applyFill="1" applyAlignment="1">
      <alignment horizontal="center" vertical="center"/>
    </xf>
    <xf numFmtId="0" fontId="18" fillId="5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left"/>
    </xf>
    <xf numFmtId="9" fontId="4" fillId="5" borderId="0" xfId="3" applyFont="1" applyFill="1" applyBorder="1" applyAlignment="1">
      <alignment horizontal="center"/>
    </xf>
    <xf numFmtId="10" fontId="4" fillId="5" borderId="0" xfId="3" applyNumberFormat="1" applyFont="1" applyFill="1" applyBorder="1" applyAlignment="1">
      <alignment horizontal="center"/>
    </xf>
    <xf numFmtId="49" fontId="4" fillId="5" borderId="0" xfId="0" applyNumberFormat="1" applyFont="1" applyFill="1"/>
    <xf numFmtId="39" fontId="4" fillId="5" borderId="0" xfId="0" applyNumberFormat="1" applyFont="1" applyFill="1"/>
    <xf numFmtId="49" fontId="20" fillId="5" borderId="0" xfId="0" applyNumberFormat="1" applyFont="1" applyFill="1"/>
    <xf numFmtId="0" fontId="21" fillId="5" borderId="11" xfId="0" applyFont="1" applyFill="1" applyBorder="1" applyAlignment="1">
      <alignment horizontal="center" vertical="center" wrapText="1"/>
    </xf>
    <xf numFmtId="17" fontId="21" fillId="5" borderId="11" xfId="0" applyNumberFormat="1" applyFont="1" applyFill="1" applyBorder="1" applyAlignment="1">
      <alignment horizontal="center" vertical="center" wrapText="1"/>
    </xf>
    <xf numFmtId="43" fontId="19" fillId="5" borderId="11" xfId="1" applyFont="1" applyFill="1" applyBorder="1" applyAlignment="1">
      <alignment wrapText="1"/>
    </xf>
    <xf numFmtId="43" fontId="19" fillId="5" borderId="11" xfId="1" quotePrefix="1" applyFont="1" applyFill="1" applyBorder="1" applyAlignment="1">
      <alignment horizontal="center"/>
    </xf>
    <xf numFmtId="43" fontId="19" fillId="5" borderId="11" xfId="1" applyFont="1" applyFill="1" applyBorder="1" applyAlignment="1">
      <alignment horizontal="center"/>
    </xf>
    <xf numFmtId="43" fontId="19" fillId="5" borderId="11" xfId="1" applyFont="1" applyFill="1" applyBorder="1"/>
    <xf numFmtId="39" fontId="19" fillId="5" borderId="11" xfId="0" applyNumberFormat="1" applyFont="1" applyFill="1" applyBorder="1"/>
    <xf numFmtId="39" fontId="19" fillId="5" borderId="0" xfId="0" applyNumberFormat="1" applyFont="1" applyFill="1"/>
    <xf numFmtId="43" fontId="21" fillId="8" borderId="11" xfId="1" applyFont="1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18" fillId="5" borderId="11" xfId="0" applyFont="1" applyFill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0" fillId="10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9" fillId="0" borderId="0" xfId="0" applyFont="1" applyAlignment="1">
      <alignment horizontal="center"/>
    </xf>
    <xf numFmtId="0" fontId="11" fillId="3" borderId="10" xfId="0" applyFont="1" applyFill="1" applyBorder="1" applyAlignment="1">
      <alignment horizontal="center" vertical="center"/>
    </xf>
    <xf numFmtId="0" fontId="11" fillId="3" borderId="19" xfId="0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</cellXfs>
  <cellStyles count="6">
    <cellStyle name="Moeda" xfId="2" builtinId="4"/>
    <cellStyle name="Moeda 2" xfId="5" xr:uid="{239B096F-C6C3-43AA-9629-E08B06BF09A1}"/>
    <cellStyle name="Normal" xfId="0" builtinId="0"/>
    <cellStyle name="Porcentagem" xfId="3" builtinId="5"/>
    <cellStyle name="Vírgula" xfId="1" builtinId="3"/>
    <cellStyle name="Vírgula 2" xfId="4" xr:uid="{44236E6F-F78E-409C-B867-8BADB28E2B91}"/>
  </cellStyles>
  <dxfs count="62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border diagonalUp="0" diagonalDown="0" outline="0">
        <left/>
        <right/>
        <top/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FF0000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border diagonalUp="0" diagonalDown="0" outline="0">
        <left/>
        <right/>
        <top/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FF0000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164" formatCode="_-&quot;R$&quot;* #,##0.00_-;\-&quot;R$&quot;* #,##0.00_-;_-&quot;R$&quot;* &quot;-&quot;??_-;_-@_-"/>
      <fill>
        <patternFill patternType="solid">
          <fgColor indexed="64"/>
          <bgColor rgb="FF00B050"/>
        </patternFill>
      </fill>
      <border diagonalUp="0" diagonalDown="0" outline="0">
        <left/>
        <right/>
        <top/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FF0000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164" formatCode="_-&quot;R$&quot;* #,##0.00_-;\-&quot;R$&quot;* #,##0.00_-;_-&quot;R$&quot;* &quot;-&quot;??_-;_-@_-"/>
      <fill>
        <patternFill patternType="solid">
          <fgColor indexed="64"/>
          <bgColor rgb="FF00B050"/>
        </patternFill>
      </fill>
      <border diagonalUp="0" diagonalDown="0" outline="0">
        <left/>
        <right/>
        <top/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FF0000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164" formatCode="_-&quot;R$&quot;* #,##0.00_-;\-&quot;R$&quot;* #,##0.00_-;_-&quot;R$&quot;* &quot;-&quot;??_-;_-@_-"/>
      <fill>
        <patternFill patternType="solid">
          <fgColor indexed="64"/>
          <bgColor rgb="FF00B050"/>
        </patternFill>
      </fill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164" formatCode="_-&quot;R$&quot;* #,##0.00_-;\-&quot;R$&quot;* #,##0.00_-;_-&quot;R$&quot;* &quot;-&quot;??_-;_-@_-"/>
      <fill>
        <patternFill patternType="solid">
          <fgColor indexed="64"/>
          <bgColor rgb="FF00B050"/>
        </patternFill>
      </fill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_-&quot;R$&quot;* #,##0.00_-;\-&quot;R$&quot;* #,##0.00_-;_-&quot;R$&quot;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164" formatCode="_-&quot;R$&quot;* #,##0.00_-;\-&quot;R$&quot;* #,##0.00_-;_-&quot;R$&quot;* &quot;-&quot;??_-;_-@_-"/>
      <fill>
        <patternFill patternType="solid">
          <fgColor indexed="64"/>
          <bgColor rgb="FF00B050"/>
        </patternFill>
      </fill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164" formatCode="_-&quot;R$&quot;* #,##0.00_-;\-&quot;R$&quot;* #,##0.00_-;_-&quot;R$&quot;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164" formatCode="_-&quot;R$&quot;* #,##0.00_-;\-&quot;R$&quot;* #,##0.00_-;_-&quot;R$&quot;* &quot;-&quot;??_-;_-@_-"/>
      <fill>
        <patternFill patternType="solid">
          <fgColor indexed="64"/>
          <bgColor rgb="FF00B050"/>
        </patternFill>
      </fill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164" formatCode="_-&quot;R$&quot;* #,##0.00_-;\-&quot;R$&quot;* #,##0.00_-;_-&quot;R$&quot;* &quot;-&quot;??_-;_-@_-"/>
      <fill>
        <patternFill patternType="solid">
          <fgColor indexed="64"/>
          <bgColor rgb="FF00B050"/>
        </patternFill>
      </fill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164" formatCode="_-&quot;R$&quot;* #,##0.00_-;\-&quot;R$&quot;* #,##0.00_-;_-&quot;R$&quot;* &quot;-&quot;??_-;_-@_-"/>
      <fill>
        <patternFill patternType="solid">
          <fgColor indexed="64"/>
          <bgColor rgb="FF00B050"/>
        </patternFill>
      </fill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164" formatCode="_-&quot;R$&quot;* #,##0.00_-;\-&quot;R$&quot;* #,##0.00_-;_-&quot;R$&quot;* &quot;-&quot;??_-;_-@_-"/>
      <fill>
        <patternFill patternType="solid">
          <fgColor indexed="64"/>
          <bgColor rgb="FF00B050"/>
        </patternFill>
      </fill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164" formatCode="_-&quot;R$&quot;* #,##0.00_-;\-&quot;R$&quot;* #,##0.00_-;_-&quot;R$&quot;* &quot;-&quot;??_-;_-@_-"/>
      <fill>
        <patternFill patternType="solid">
          <fgColor indexed="64"/>
          <bgColor rgb="FF00B050"/>
        </patternFill>
      </fill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164" formatCode="_-&quot;R$&quot;* #,##0.00_-;\-&quot;R$&quot;* #,##0.00_-;_-&quot;R$&quot;* &quot;-&quot;??_-;_-@_-"/>
      <fill>
        <patternFill patternType="solid">
          <fgColor indexed="64"/>
          <bgColor rgb="FF00B050"/>
        </patternFill>
      </fill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164" formatCode="_-&quot;R$&quot;* #,##0.00_-;\-&quot;R$&quot;* #,##0.00_-;_-&quot;R$&quot;* &quot;-&quot;??_-;_-@_-"/>
      <fill>
        <patternFill patternType="solid">
          <fgColor indexed="64"/>
          <bgColor rgb="FF00B050"/>
        </patternFill>
      </fill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164" formatCode="_-&quot;R$&quot;* #,##0.00_-;\-&quot;R$&quot;* #,##0.00_-;_-&quot;R$&quot;* &quot;-&quot;??_-;_-@_-"/>
      <fill>
        <patternFill patternType="solid">
          <fgColor indexed="64"/>
          <bgColor rgb="FF00B050"/>
        </patternFill>
      </fill>
      <border diagonalUp="0" diagonalDown="0" outline="0">
        <left/>
        <right/>
        <top/>
        <bottom style="medium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rgb="FFFF0000"/>
        <name val="Calibri"/>
        <scheme val="minor"/>
      </font>
      <numFmt numFmtId="164" formatCode="_-&quot;R$&quot;* #,##0.00_-;\-&quot;R$&quot;* #,##0.00_-;_-&quot;R$&quot;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164" formatCode="_-&quot;R$&quot;* #,##0.00_-;\-&quot;R$&quot;* #,##0.00_-;_-&quot;R$&quot;* &quot;-&quot;??_-;_-@_-"/>
      <fill>
        <patternFill patternType="solid">
          <fgColor indexed="64"/>
          <bgColor rgb="FF00B050"/>
        </patternFill>
      </fill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0000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164" formatCode="_-&quot;R$&quot;* #,##0.00_-;\-&quot;R$&quot;* #,##0.00_-;_-&quot;R$&quot;* &quot;-&quot;??_-;_-@_-"/>
      <fill>
        <patternFill patternType="solid">
          <fgColor indexed="64"/>
          <bgColor rgb="FF00B050"/>
        </patternFill>
      </fill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0000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164" formatCode="_-&quot;R$&quot;* #,##0.00_-;\-&quot;R$&quot;* #,##0.00_-;_-&quot;R$&quot;* &quot;-&quot;??_-;_-@_-"/>
      <fill>
        <patternFill patternType="solid">
          <fgColor indexed="64"/>
          <bgColor rgb="FF00B050"/>
        </patternFill>
      </fill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0000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164" formatCode="_-&quot;R$&quot;* #,##0.00_-;\-&quot;R$&quot;* #,##0.00_-;_-&quot;R$&quot;* &quot;-&quot;??_-;_-@_-"/>
      <fill>
        <patternFill patternType="solid">
          <fgColor indexed="64"/>
          <bgColor rgb="FF00B050"/>
        </patternFill>
      </fill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0000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164" formatCode="_-&quot;R$&quot;* #,##0.00_-;\-&quot;R$&quot;* #,##0.00_-;_-&quot;R$&quot;* &quot;-&quot;??_-;_-@_-"/>
      <fill>
        <patternFill patternType="solid">
          <fgColor indexed="64"/>
          <bgColor rgb="FF00B050"/>
        </patternFill>
      </fill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9"/>
        <color rgb="FFFF0000"/>
        <name val="Calibri"/>
        <scheme val="minor"/>
      </font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2" formatCode="mmm/yy"/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&quot;R$&quot;* #,##0.00_-;\-&quot;R$&quot;* #,##0.00_-;_-&quot;R$&quot;* &quot;-&quot;??_-;_-@_-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_-&quot;R$&quot;* #,##0.00_-;\-&quot;R$&quot;* #,##0.00_-;_-&quot;R$&quot;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&quot;R$&quot;* #,##0.00_-;\-&quot;R$&quot;* #,##0.00_-;_-&quot;R$&quot;* &quot;-&quot;??_-;_-@_-"/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&quot;R$&quot;* #,##0.00_-;\-&quot;R$&quot;* #,##0.00_-;_-&quot;R$&quot;* &quot;-&quot;??_-;_-@_-"/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&quot;R$&quot;* #,##0.00_-;\-&quot;R$&quot;* #,##0.00_-;_-&quot;R$&quot;* &quot;-&quot;??_-;_-@_-"/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&quot;R$&quot;* #,##0.00_-;\-&quot;R$&quot;* #,##0.00_-;_-&quot;R$&quot;* &quot;-&quot;??_-;_-@_-"/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&quot;R$&quot;* #,##0.00_-;\-&quot;R$&quot;* #,##0.00_-;_-&quot;R$&quot;* &quot;-&quot;??_-;_-@_-"/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FF0000"/>
        <name val="Calibri"/>
        <scheme val="minor"/>
      </font>
    </dxf>
    <dxf>
      <font>
        <b/>
      </font>
    </dxf>
    <dxf>
      <font>
        <strike val="0"/>
        <outline val="0"/>
        <shadow val="0"/>
        <u val="none"/>
        <vertAlign val="baseline"/>
        <sz val="11"/>
        <color rgb="FFFF0000"/>
        <name val="Calibri"/>
        <scheme val="minor"/>
      </font>
    </dxf>
    <dxf>
      <numFmt numFmtId="22" formatCode="mmm/yy"/>
      <fill>
        <patternFill patternType="solid">
          <fgColor indexed="64"/>
          <bgColor theme="8" tint="-0.24997711111789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'ACOMPANHAMENTO MENSAL'!$B$3</c:f>
              <c:strCache>
                <c:ptCount val="1"/>
                <c:pt idx="0">
                  <c:v>FATURAMENTO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'ACOMPANHAMENTO MENSAL'!$C$2:$Q$2</c:f>
              <c:numCache>
                <c:formatCode>mmm\-yy</c:formatCode>
                <c:ptCount val="15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  <c:pt idx="12">
                  <c:v>46204</c:v>
                </c:pt>
                <c:pt idx="13">
                  <c:v>46235</c:v>
                </c:pt>
                <c:pt idx="14">
                  <c:v>46266</c:v>
                </c:pt>
              </c:numCache>
            </c:numRef>
          </c:cat>
          <c:val>
            <c:numRef>
              <c:f>'ACOMPANHAMENTO MENSAL'!$C$3:$Q$3</c:f>
              <c:numCache>
                <c:formatCode>_(* #,##0.00_);_(* \(#,##0.00\);_(* "-"??_);_(@_)</c:formatCode>
                <c:ptCount val="15"/>
                <c:pt idx="0">
                  <c:v>4720740.33</c:v>
                </c:pt>
                <c:pt idx="1">
                  <c:v>3933285.24</c:v>
                </c:pt>
                <c:pt idx="2">
                  <c:v>4298204.9000000004</c:v>
                </c:pt>
                <c:pt idx="3">
                  <c:v>4883322.93</c:v>
                </c:pt>
                <c:pt idx="4">
                  <c:v>4245011.6900000004</c:v>
                </c:pt>
                <c:pt idx="5">
                  <c:v>4140927.18</c:v>
                </c:pt>
                <c:pt idx="6">
                  <c:v>6411342.0199999996</c:v>
                </c:pt>
                <c:pt idx="7">
                  <c:v>3588099.37</c:v>
                </c:pt>
                <c:pt idx="8">
                  <c:v>3598275.49</c:v>
                </c:pt>
                <c:pt idx="9">
                  <c:v>4192838.34</c:v>
                </c:pt>
                <c:pt idx="10">
                  <c:v>4278028.67</c:v>
                </c:pt>
                <c:pt idx="11">
                  <c:v>3912277.58</c:v>
                </c:pt>
                <c:pt idx="12">
                  <c:v>5882097.6399999997</c:v>
                </c:pt>
                <c:pt idx="13">
                  <c:v>3196894.17</c:v>
                </c:pt>
                <c:pt idx="14">
                  <c:v>3796974.4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E8-4B20-AD58-AA5A95903BC3}"/>
            </c:ext>
          </c:extLst>
        </c:ser>
        <c:ser>
          <c:idx val="1"/>
          <c:order val="1"/>
          <c:tx>
            <c:strRef>
              <c:f>'ACOMPANHAMENTO MENSAL'!$B$4</c:f>
              <c:strCache>
                <c:ptCount val="1"/>
                <c:pt idx="0">
                  <c:v>ISS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'ACOMPANHAMENTO MENSAL'!$C$2:$Q$2</c:f>
              <c:numCache>
                <c:formatCode>mmm\-yy</c:formatCode>
                <c:ptCount val="15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  <c:pt idx="12">
                  <c:v>46204</c:v>
                </c:pt>
                <c:pt idx="13">
                  <c:v>46235</c:v>
                </c:pt>
                <c:pt idx="14">
                  <c:v>46266</c:v>
                </c:pt>
              </c:numCache>
            </c:numRef>
          </c:cat>
          <c:val>
            <c:numRef>
              <c:f>'ACOMPANHAMENTO MENSAL'!$C$4:$P$4</c:f>
              <c:numCache>
                <c:formatCode>_(* #,##0.00_);_(* \(#,##0.00\);_(* "-"??_);_(@_)</c:formatCode>
                <c:ptCount val="14"/>
                <c:pt idx="0">
                  <c:v>749.69</c:v>
                </c:pt>
                <c:pt idx="1">
                  <c:v>555.83000000000004</c:v>
                </c:pt>
                <c:pt idx="2">
                  <c:v>245.54</c:v>
                </c:pt>
                <c:pt idx="3">
                  <c:v>2053.39</c:v>
                </c:pt>
                <c:pt idx="4">
                  <c:v>614.61</c:v>
                </c:pt>
                <c:pt idx="5">
                  <c:v>424.92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121.28</c:v>
                </c:pt>
                <c:pt idx="10">
                  <c:v>0</c:v>
                </c:pt>
                <c:pt idx="11">
                  <c:v>51.02</c:v>
                </c:pt>
                <c:pt idx="12">
                  <c:v>119.3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E8-4B20-AD58-AA5A95903BC3}"/>
            </c:ext>
          </c:extLst>
        </c:ser>
        <c:ser>
          <c:idx val="2"/>
          <c:order val="2"/>
          <c:tx>
            <c:strRef>
              <c:f>'ACOMPANHAMENTO MENSAL'!$B$5</c:f>
              <c:strCache>
                <c:ptCount val="1"/>
                <c:pt idx="0">
                  <c:v>PIS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'ACOMPANHAMENTO MENSAL'!$C$2:$Q$2</c:f>
              <c:numCache>
                <c:formatCode>mmm\-yy</c:formatCode>
                <c:ptCount val="15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  <c:pt idx="12">
                  <c:v>46204</c:v>
                </c:pt>
                <c:pt idx="13">
                  <c:v>46235</c:v>
                </c:pt>
                <c:pt idx="14">
                  <c:v>46266</c:v>
                </c:pt>
              </c:numCache>
            </c:numRef>
          </c:cat>
          <c:val>
            <c:numRef>
              <c:f>'ACOMPANHAMENTO MENSAL'!$C$5:$Q$5</c:f>
              <c:numCache>
                <c:formatCode>_(* #,##0.00_);_(* \(#,##0.00\);_(* "-"??_);_(@_)</c:formatCode>
                <c:ptCount val="15"/>
                <c:pt idx="0">
                  <c:v>23389.74</c:v>
                </c:pt>
                <c:pt idx="1">
                  <c:v>23248.26</c:v>
                </c:pt>
                <c:pt idx="2">
                  <c:v>18276.349999999999</c:v>
                </c:pt>
                <c:pt idx="3">
                  <c:v>19986.419999999998</c:v>
                </c:pt>
                <c:pt idx="4">
                  <c:v>24465.26</c:v>
                </c:pt>
                <c:pt idx="5">
                  <c:v>20360.25</c:v>
                </c:pt>
                <c:pt idx="6">
                  <c:v>22285.39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36214.15</c:v>
                </c:pt>
                <c:pt idx="11">
                  <c:v>53315.91</c:v>
                </c:pt>
                <c:pt idx="13">
                  <c:v>53315.91</c:v>
                </c:pt>
                <c:pt idx="14">
                  <c:v>16179.2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E8-4B20-AD58-AA5A95903BC3}"/>
            </c:ext>
          </c:extLst>
        </c:ser>
        <c:ser>
          <c:idx val="3"/>
          <c:order val="3"/>
          <c:tx>
            <c:strRef>
              <c:f>'ACOMPANHAMENTO MENSAL'!$B$6</c:f>
              <c:strCache>
                <c:ptCount val="1"/>
                <c:pt idx="0">
                  <c:v>COFINS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'ACOMPANHAMENTO MENSAL'!$C$2:$Q$2</c:f>
              <c:numCache>
                <c:formatCode>mmm\-yy</c:formatCode>
                <c:ptCount val="15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  <c:pt idx="12">
                  <c:v>46204</c:v>
                </c:pt>
                <c:pt idx="13">
                  <c:v>46235</c:v>
                </c:pt>
                <c:pt idx="14">
                  <c:v>46266</c:v>
                </c:pt>
              </c:numCache>
            </c:numRef>
          </c:cat>
          <c:val>
            <c:numRef>
              <c:f>'ACOMPANHAMENTO MENSAL'!$C$6:$Q$6</c:f>
              <c:numCache>
                <c:formatCode>_(* #,##0.00_);_(* \(#,##0.00\);_(* "-"??_);_(@_)</c:formatCode>
                <c:ptCount val="15"/>
                <c:pt idx="0">
                  <c:v>107597.6</c:v>
                </c:pt>
                <c:pt idx="1">
                  <c:v>107299.69</c:v>
                </c:pt>
                <c:pt idx="2">
                  <c:v>84352.37</c:v>
                </c:pt>
                <c:pt idx="3">
                  <c:v>92271.08</c:v>
                </c:pt>
                <c:pt idx="4">
                  <c:v>112915.75</c:v>
                </c:pt>
                <c:pt idx="5">
                  <c:v>93969.99</c:v>
                </c:pt>
                <c:pt idx="6">
                  <c:v>102854.7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100959.81</c:v>
                </c:pt>
                <c:pt idx="11">
                  <c:v>0</c:v>
                </c:pt>
                <c:pt idx="12">
                  <c:v>99037.19</c:v>
                </c:pt>
                <c:pt idx="13">
                  <c:v>245472</c:v>
                </c:pt>
                <c:pt idx="14">
                  <c:v>74452.63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1E8-4B20-AD58-AA5A95903BC3}"/>
            </c:ext>
          </c:extLst>
        </c:ser>
        <c:ser>
          <c:idx val="4"/>
          <c:order val="4"/>
          <c:tx>
            <c:strRef>
              <c:f>'ACOMPANHAMENTO MENSAL'!$B$7</c:f>
              <c:strCache>
                <c:ptCount val="1"/>
                <c:pt idx="0">
                  <c:v>IR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'ACOMPANHAMENTO MENSAL'!$C$2:$Q$2</c:f>
              <c:numCache>
                <c:formatCode>mmm\-yy</c:formatCode>
                <c:ptCount val="15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  <c:pt idx="12">
                  <c:v>46204</c:v>
                </c:pt>
                <c:pt idx="13">
                  <c:v>46235</c:v>
                </c:pt>
                <c:pt idx="14">
                  <c:v>46266</c:v>
                </c:pt>
              </c:numCache>
            </c:numRef>
          </c:cat>
          <c:val>
            <c:numRef>
              <c:f>'ACOMPANHAMENTO MENSAL'!$C$7:$P$7</c:f>
              <c:numCache>
                <c:formatCode>_(* #,##0.00_);_(* \(#,##0.00\);_(* "-"??_);_(@_)</c:formatCode>
                <c:ptCount val="14"/>
                <c:pt idx="0">
                  <c:v>301206.3</c:v>
                </c:pt>
                <c:pt idx="1">
                  <c:v>304218.36</c:v>
                </c:pt>
                <c:pt idx="2">
                  <c:v>307712.34999999998</c:v>
                </c:pt>
                <c:pt idx="3">
                  <c:v>339560.64</c:v>
                </c:pt>
                <c:pt idx="4">
                  <c:v>342956.22</c:v>
                </c:pt>
                <c:pt idx="5">
                  <c:v>346521.61</c:v>
                </c:pt>
                <c:pt idx="6">
                  <c:v>347930.35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1E8-4B20-AD58-AA5A95903BC3}"/>
            </c:ext>
          </c:extLst>
        </c:ser>
        <c:ser>
          <c:idx val="5"/>
          <c:order val="5"/>
          <c:tx>
            <c:strRef>
              <c:f>'ACOMPANHAMENTO MENSAL'!$B$8</c:f>
              <c:strCache>
                <c:ptCount val="1"/>
                <c:pt idx="0">
                  <c:v>CSLL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'ACOMPANHAMENTO MENSAL'!$C$2:$Q$2</c:f>
              <c:numCache>
                <c:formatCode>mmm\-yy</c:formatCode>
                <c:ptCount val="15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  <c:pt idx="12">
                  <c:v>46204</c:v>
                </c:pt>
                <c:pt idx="13">
                  <c:v>46235</c:v>
                </c:pt>
                <c:pt idx="14">
                  <c:v>46266</c:v>
                </c:pt>
              </c:numCache>
            </c:numRef>
          </c:cat>
          <c:val>
            <c:numRef>
              <c:f>'ACOMPANHAMENTO MENSAL'!$C$8:$P$8</c:f>
              <c:numCache>
                <c:formatCode>_(* #,##0.00_);_(* \(#,##0.00\);_(* "-"??_);_(@_)</c:formatCode>
                <c:ptCount val="14"/>
                <c:pt idx="0">
                  <c:v>99163.88</c:v>
                </c:pt>
                <c:pt idx="1">
                  <c:v>100155.51</c:v>
                </c:pt>
                <c:pt idx="2">
                  <c:v>101305.81</c:v>
                </c:pt>
                <c:pt idx="3">
                  <c:v>112688.97</c:v>
                </c:pt>
                <c:pt idx="4">
                  <c:v>113815.84</c:v>
                </c:pt>
                <c:pt idx="5">
                  <c:v>114999.08</c:v>
                </c:pt>
                <c:pt idx="6">
                  <c:v>117569.74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1E8-4B20-AD58-AA5A95903B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7070495"/>
        <c:axId val="108722063"/>
      </c:barChart>
      <c:lineChart>
        <c:grouping val="standard"/>
        <c:varyColors val="0"/>
        <c:ser>
          <c:idx val="6"/>
          <c:order val="6"/>
          <c:tx>
            <c:strRef>
              <c:f>'ACOMPANHAMENTO MENSAL'!$B$9</c:f>
              <c:strCache>
                <c:ptCount val="1"/>
                <c:pt idx="0">
                  <c:v>TOTAL MÊS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'ACOMPANHAMENTO MENSAL'!$C$2:$Q$2</c:f>
              <c:numCache>
                <c:formatCode>mmm\-yy</c:formatCode>
                <c:ptCount val="15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  <c:pt idx="12">
                  <c:v>46204</c:v>
                </c:pt>
                <c:pt idx="13">
                  <c:v>46235</c:v>
                </c:pt>
                <c:pt idx="14">
                  <c:v>46266</c:v>
                </c:pt>
              </c:numCache>
            </c:numRef>
          </c:cat>
          <c:val>
            <c:numRef>
              <c:f>'ACOMPANHAMENTO MENSAL'!$C$9:$Q$9</c:f>
              <c:numCache>
                <c:formatCode>_(* #,##0.00_);_(* \(#,##0.00\);_(* "-"??_);_(@_)</c:formatCode>
                <c:ptCount val="15"/>
                <c:pt idx="0">
                  <c:v>532107.21</c:v>
                </c:pt>
                <c:pt idx="1">
                  <c:v>535477.65</c:v>
                </c:pt>
                <c:pt idx="2">
                  <c:v>511892.42</c:v>
                </c:pt>
                <c:pt idx="3">
                  <c:v>566560.5</c:v>
                </c:pt>
                <c:pt idx="4">
                  <c:v>594767.67999999993</c:v>
                </c:pt>
                <c:pt idx="5">
                  <c:v>576275.85</c:v>
                </c:pt>
                <c:pt idx="6">
                  <c:v>590640.17999999993</c:v>
                </c:pt>
                <c:pt idx="7">
                  <c:v>0</c:v>
                </c:pt>
                <c:pt idx="8">
                  <c:v>0</c:v>
                </c:pt>
                <c:pt idx="9">
                  <c:v>121.28</c:v>
                </c:pt>
                <c:pt idx="10">
                  <c:v>137173.96</c:v>
                </c:pt>
                <c:pt idx="11">
                  <c:v>53366.93</c:v>
                </c:pt>
                <c:pt idx="12">
                  <c:v>99156.49</c:v>
                </c:pt>
                <c:pt idx="13">
                  <c:v>298787.91000000003</c:v>
                </c:pt>
                <c:pt idx="14">
                  <c:v>90631.83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1E8-4B20-AD58-AA5A95903B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7014351"/>
        <c:axId val="108731663"/>
      </c:lineChart>
      <c:dateAx>
        <c:axId val="32707049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22063"/>
        <c:crosses val="autoZero"/>
        <c:auto val="1"/>
        <c:lblOffset val="100"/>
        <c:baseTimeUnit val="months"/>
      </c:dateAx>
      <c:valAx>
        <c:axId val="108722063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070495"/>
        <c:crosses val="autoZero"/>
        <c:crossBetween val="between"/>
      </c:valAx>
      <c:valAx>
        <c:axId val="108731663"/>
        <c:scaling>
          <c:orientation val="minMax"/>
        </c:scaling>
        <c:delete val="0"/>
        <c:axPos val="r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014351"/>
        <c:crosses val="max"/>
        <c:crossBetween val="between"/>
      </c:valAx>
      <c:dateAx>
        <c:axId val="32701435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08731663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590549</xdr:colOff>
      <xdr:row>11</xdr:row>
      <xdr:rowOff>18097</xdr:rowOff>
    </xdr:from>
    <xdr:to>
      <xdr:col>15</xdr:col>
      <xdr:colOff>26669</xdr:colOff>
      <xdr:row>35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91C45DE-3351-AC7F-8E6F-EB07C33224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Vitor Cruz" id="{595D0C01-13C6-47BC-9C7D-36DE33B86AC0}" userId="Vitor Cruz" providerId="Non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3" displayName="Tabela3" ref="A2:G6" totalsRowCount="1" headerRowDxfId="61" dataDxfId="60" totalsRowDxfId="59">
  <autoFilter ref="A2:G5" xr:uid="{00000000-0009-0000-0100-000001000000}"/>
  <tableColumns count="7">
    <tableColumn id="1" xr3:uid="{00000000-0010-0000-0000-000001000000}" name="Imposto" dataDxfId="58" totalsRowDxfId="57"/>
    <tableColumn id="9" xr3:uid="{00000000-0010-0000-0000-000009000000}" name="dez/21" totalsRowFunction="custom" dataDxfId="56" totalsRowDxfId="55" dataCellStyle="Moeda">
      <totalsRowFormula>SUM(Tabela3[dez/21])</totalsRowFormula>
    </tableColumn>
    <tableColumn id="5" xr3:uid="{00000000-0010-0000-0000-000005000000}" name="jan/22" totalsRowFunction="custom" dataDxfId="54" totalsRowDxfId="53" dataCellStyle="Moeda">
      <totalsRowFormula>SUM(Tabela3[jan/22])</totalsRowFormula>
    </tableColumn>
    <tableColumn id="7" xr3:uid="{00000000-0010-0000-0000-000007000000}" name="fev/22" totalsRowFunction="custom" dataDxfId="52" totalsRowDxfId="51" dataCellStyle="Moeda">
      <totalsRowFormula>SUM(Tabela3[fev/22])</totalsRowFormula>
    </tableColumn>
    <tableColumn id="2" xr3:uid="{00000000-0010-0000-0000-000002000000}" name="mar/22" totalsRowFunction="custom" dataDxfId="50" totalsRowDxfId="49" dataCellStyle="Moeda">
      <totalsRowFormula>SUM(Tabela3[mar/22])</totalsRowFormula>
    </tableColumn>
    <tableColumn id="16" xr3:uid="{00000000-0010-0000-0000-000010000000}" name="jul/23" dataDxfId="48" totalsRowDxfId="47" dataCellStyle="Moeda"/>
    <tableColumn id="8" xr3:uid="{00000000-0010-0000-0000-000008000000}" name="Total" totalsRowFunction="custom" dataDxfId="46" totalsRowDxfId="45" dataCellStyle="Moeda">
      <calculatedColumnFormula>Tabela3[[#This Row],[dez/21]]+Tabela3[[#This Row],[jan/22]]+Tabela3[[#This Row],[fev/22]]+Tabela3[[#This Row],[mar/22]]+#REF!+#REF!+#REF!+#REF!+#REF!+#REF!+#REF!+#REF!</calculatedColumnFormula>
      <totalsRowFormula>SUM(Tabela3[Total])</totalsRowFormula>
    </tableColumn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109EAC-FB3C-41AD-9768-B62DD2B8D1D0}" name="Tabela32" displayName="Tabela32" ref="B3:V20" totalsRowCount="1" headerRowDxfId="44" dataDxfId="43" totalsRowDxfId="42">
  <autoFilter ref="B3:V19" xr:uid="{1D109EAC-FB3C-41AD-9768-B62DD2B8D1D0}"/>
  <tableColumns count="21">
    <tableColumn id="1" xr3:uid="{7E4D02FD-60A0-42AA-80D3-96E1BD247BF0}" name="Imposto" dataDxfId="41" totalsRowDxfId="40"/>
    <tableColumn id="21" xr3:uid="{FA70E4C2-C91D-4DDF-99D9-9C897745E361}" name="3º TRI/24" totalsRowFunction="custom" dataDxfId="39" totalsRowDxfId="38">
      <totalsRowFormula>C7+C11+C15+C19</totalsRowFormula>
    </tableColumn>
    <tableColumn id="9" xr3:uid="{D597F797-0382-4BCC-A2BF-F88C3616E1D0}" name="dez/24" totalsRowFunction="custom" dataDxfId="37" totalsRowDxfId="36" dataCellStyle="Moeda">
      <totalsRowFormula>D7+D11+D15+D19</totalsRowFormula>
    </tableColumn>
    <tableColumn id="5" xr3:uid="{777644B6-E08F-4730-8E69-2681092FA86F}" name="jan/25" totalsRowFunction="custom" dataDxfId="35" totalsRowDxfId="34" dataCellStyle="Moeda">
      <totalsRowFormula>E7+E11+E15+E19</totalsRowFormula>
    </tableColumn>
    <tableColumn id="7" xr3:uid="{1653CC5E-DC3F-4837-BFAE-89B1DD6E09C0}" name="fev/25" totalsRowFunction="custom" dataDxfId="33" totalsRowDxfId="32" dataCellStyle="Moeda">
      <totalsRowFormula>F7+F11+F15+F19</totalsRowFormula>
    </tableColumn>
    <tableColumn id="2" xr3:uid="{774071A5-1D9E-4B89-A5BF-AA54BC50E309}" name="mar/25" totalsRowFunction="custom" dataDxfId="31" totalsRowDxfId="30" dataCellStyle="Moeda">
      <totalsRowFormula>G7+G11+G15+G19</totalsRowFormula>
    </tableColumn>
    <tableColumn id="15" xr3:uid="{5F380D77-F083-43AD-BFAE-05293B53779B}" name="1º TRI/25" totalsRowFunction="custom" dataDxfId="29" totalsRowDxfId="28" dataCellStyle="Moeda">
      <totalsRowFormula>H7+H11+H15+H19</totalsRowFormula>
    </tableColumn>
    <tableColumn id="4" xr3:uid="{4174DE3F-C665-4A66-A6AC-12B3A1E61745}" name="abr/25" totalsRowFunction="custom" dataDxfId="27" totalsRowDxfId="26" dataCellStyle="Moeda">
      <totalsRowFormula>I7+I11+I15+I19</totalsRowFormula>
    </tableColumn>
    <tableColumn id="3" xr3:uid="{C24F5A49-BA20-4C45-86C6-AE883CB26D0C}" name="mai/25" totalsRowFunction="custom" dataDxfId="25" totalsRowDxfId="24" dataCellStyle="Moeda">
      <totalsRowFormula>J7+J11+J15+J19</totalsRowFormula>
    </tableColumn>
    <tableColumn id="14" xr3:uid="{CAAADF3A-F63B-4009-B722-A81E60D77811}" name="jun/25" totalsRowFunction="custom" dataDxfId="23" totalsRowDxfId="22" dataCellStyle="Moeda">
      <totalsRowFormula>K7+K11+K15+K19</totalsRowFormula>
    </tableColumn>
    <tableColumn id="13" xr3:uid="{771A2513-031F-4223-A890-FDAF1494BCC3}" name="2º TRI/25" totalsRowFunction="custom" dataDxfId="21" totalsRowDxfId="20" dataCellStyle="Moeda">
      <totalsRowFormula>L7+L11+L15+L19</totalsRowFormula>
    </tableColumn>
    <tableColumn id="12" xr3:uid="{F8FDCAC5-D8AA-4A19-955D-22DA45370F95}" name="jul/25" totalsRowFunction="custom" dataDxfId="19" totalsRowDxfId="18" dataCellStyle="Moeda">
      <totalsRowFormula>M7+M11+M15+M19</totalsRowFormula>
    </tableColumn>
    <tableColumn id="11" xr3:uid="{E66403AF-5FBB-425C-9EDD-E8A7547835FC}" name="ago/25" totalsRowFunction="custom" dataDxfId="17" totalsRowDxfId="16" dataCellStyle="Moeda">
      <totalsRowFormula>N7+N11+N15+N19</totalsRowFormula>
    </tableColumn>
    <tableColumn id="10" xr3:uid="{39683C17-2EA4-4AA6-B224-EB86F4CB0CEF}" name="set/25" totalsRowFunction="custom" dataDxfId="15" totalsRowDxfId="14" dataCellStyle="Moeda">
      <totalsRowFormula>O7+O11+O15+O19</totalsRowFormula>
    </tableColumn>
    <tableColumn id="8" xr3:uid="{611A151C-073B-4777-B693-53F3CF4EBA70}" name="3º TRI/25" totalsRowFunction="custom" dataDxfId="13" totalsRowDxfId="12" dataCellStyle="Moeda">
      <calculatedColumnFormula>Tabela32[[#This Row],[dez/24]]+Tabela32[[#This Row],[jan/25]]+Tabela32[[#This Row],[fev/25]]+Tabela32[[#This Row],[mar/25]]+Tabela32[[#This Row],[1º TRI/25]]+Tabela32[[#This Row],[abr/25]]+Tabela32[[#This Row],[mai/25]]+Tabela32[[#This Row],[jun/25]]+Tabela32[[#This Row],[2º TRI/25]]+Tabela32[[#This Row],[jul/25]]+Tabela32[[#This Row],[ago/25]]+Tabela32[[#This Row],[set/25]]</calculatedColumnFormula>
      <totalsRowFormula>P7+P11+P15+P19</totalsRowFormula>
    </tableColumn>
    <tableColumn id="16" xr3:uid="{A996F282-5AF8-41CC-8FE5-4D9F68A6D665}" name="out/25" totalsRowFunction="custom" dataDxfId="11" totalsRowDxfId="10" dataCellStyle="Moeda">
      <totalsRowFormula>Q7+Q11+Q15+Q19</totalsRowFormula>
    </tableColumn>
    <tableColumn id="6" xr3:uid="{4AF1D431-C5AB-4CAE-9134-D6F9D0C47500}" name="nov/25" totalsRowFunction="custom" dataDxfId="9" totalsRowDxfId="8" dataCellStyle="Moeda">
      <totalsRowFormula>R7+R11+R15+R19</totalsRowFormula>
    </tableColumn>
    <tableColumn id="17" xr3:uid="{46E52056-5A6A-4F1A-963E-D0E2B6EEBADB}" name="dez/25" totalsRowFunction="custom" dataDxfId="7" totalsRowDxfId="6">
      <totalsRowFormula>S7+S11+S15+S19</totalsRowFormula>
    </tableColumn>
    <tableColumn id="18" xr3:uid="{59F4228F-EBDC-429D-8243-7792DAB2DE80}" name="4º TRI/25" totalsRowFunction="custom" dataDxfId="5" totalsRowDxfId="4">
      <totalsRowFormula>T7+T11+T15+T19</totalsRowFormula>
    </tableColumn>
    <tableColumn id="19" xr3:uid="{54572933-EDAA-4A9C-BDCD-156755709276}" name="mai/23" dataDxfId="3" totalsRowDxfId="2"/>
    <tableColumn id="20" xr3:uid="{7C0793F9-9957-48CC-85F9-A403C6CAAAD0}" name="mai/252" dataDxfId="1" totalsRow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5" dT="2026-09-09T20:56:00.78" personId="{595D0C01-13C6-47BC-9C7D-36DE33B86AC0}" id="{79A807FC-C033-4AD6-B2F3-3D2118AA2844}">
    <text>Feito Perd/Comp com Advogado</text>
  </threadedComment>
  <threadedComment ref="K5" dT="2026-09-09T20:56:00.78" personId="{595D0C01-13C6-47BC-9C7D-36DE33B86AC0}" id="{2820BD41-D688-4477-BDC3-A2CC3F279BE1}">
    <text>Feito Perd/Comp com Advogado</text>
  </threadedComment>
  <threadedComment ref="L5" dT="2026-09-09T20:56:00.78" personId="{595D0C01-13C6-47BC-9C7D-36DE33B86AC0}" id="{69B0B8BE-7EBE-4A56-BED3-52263843B1C3}">
    <text>Feito Perd/Comp com Advogado</text>
  </threadedComment>
  <threadedComment ref="J6" dT="2026-09-09T20:56:00.78" personId="{595D0C01-13C6-47BC-9C7D-36DE33B86AC0}" id="{704F14D4-648A-4488-8D55-88B91691F4FE}">
    <text>Feito Perd/Comp com Advogado</text>
  </threadedComment>
  <threadedComment ref="K6" dT="2026-09-09T20:56:00.78" personId="{595D0C01-13C6-47BC-9C7D-36DE33B86AC0}" id="{4C44609A-B8C3-4280-ABA6-12D52E40642B}">
    <text>Feito Perd/Comp com Advogado</text>
  </threadedComment>
  <threadedComment ref="L6" dT="2026-09-09T20:56:00.78" personId="{595D0C01-13C6-47BC-9C7D-36DE33B86AC0}" id="{EA2F0DAC-E08D-4AB3-95AC-6E387F78470E}">
    <text>Feito Perd/Comp com Advogado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7B4A5-C227-4B65-8FEE-4CA1A32A001E}">
  <dimension ref="A1:G61"/>
  <sheetViews>
    <sheetView showGridLines="0" tabSelected="1" topLeftCell="A7" workbookViewId="0">
      <selection activeCell="G23" sqref="G23"/>
    </sheetView>
  </sheetViews>
  <sheetFormatPr defaultRowHeight="14.4" x14ac:dyDescent="0.3"/>
  <cols>
    <col min="1" max="1" width="5.33203125" style="98" customWidth="1"/>
    <col min="2" max="2" width="11.77734375" style="98" customWidth="1"/>
    <col min="3" max="3" width="18" style="98" bestFit="1" customWidth="1"/>
    <col min="4" max="4" width="14.77734375" style="98" customWidth="1"/>
    <col min="5" max="5" width="13.6640625" style="98" bestFit="1" customWidth="1"/>
    <col min="6" max="6" width="3.6640625" style="98" customWidth="1"/>
    <col min="7" max="7" width="15.88671875" style="98" bestFit="1" customWidth="1"/>
    <col min="8" max="8" width="3.88671875" style="98" customWidth="1"/>
    <col min="9" max="9" width="12.6640625" style="98" bestFit="1" customWidth="1"/>
    <col min="10" max="10" width="13.88671875" style="98" customWidth="1"/>
    <col min="11" max="11" width="2.5546875" style="98" customWidth="1"/>
    <col min="12" max="13" width="15.44140625" style="98" bestFit="1" customWidth="1"/>
    <col min="14" max="15" width="13.88671875" style="98" bestFit="1" customWidth="1"/>
    <col min="16" max="16" width="13.88671875" style="98" customWidth="1"/>
    <col min="17" max="17" width="15.44140625" style="98" bestFit="1" customWidth="1"/>
    <col min="18" max="18" width="11.6640625" style="98" bestFit="1" customWidth="1"/>
    <col min="19" max="16384" width="8.88671875" style="98"/>
  </cols>
  <sheetData>
    <row r="1" spans="1:7" ht="18.75" hidden="1" customHeight="1" thickBot="1" x14ac:dyDescent="0.35">
      <c r="A1" s="97"/>
      <c r="B1" s="97"/>
      <c r="C1" s="97"/>
      <c r="D1" s="97"/>
      <c r="E1" s="97"/>
      <c r="F1" s="97"/>
      <c r="G1" s="97"/>
    </row>
    <row r="2" spans="1:7" s="99" customFormat="1" ht="14.4" hidden="1" customHeight="1" x14ac:dyDescent="0.3">
      <c r="B2" s="100"/>
      <c r="C2" s="100"/>
      <c r="D2" s="100"/>
      <c r="E2" s="100"/>
      <c r="F2" s="100"/>
      <c r="G2" s="100"/>
    </row>
    <row r="3" spans="1:7" ht="14.4" hidden="1" customHeight="1" x14ac:dyDescent="0.3">
      <c r="B3" s="101"/>
      <c r="C3" s="101"/>
      <c r="D3" s="101"/>
      <c r="E3" s="101"/>
      <c r="F3" s="101"/>
      <c r="G3" s="101"/>
    </row>
    <row r="4" spans="1:7" ht="14.4" hidden="1" customHeight="1" x14ac:dyDescent="0.3">
      <c r="B4" s="101"/>
      <c r="C4" s="101"/>
      <c r="D4" s="101"/>
      <c r="E4" s="101"/>
      <c r="F4" s="101"/>
      <c r="G4" s="101"/>
    </row>
    <row r="5" spans="1:7" ht="14.4" hidden="1" customHeight="1" x14ac:dyDescent="0.3">
      <c r="B5" s="101"/>
      <c r="C5" s="101"/>
      <c r="D5" s="101"/>
      <c r="E5" s="101"/>
      <c r="F5" s="101"/>
      <c r="G5" s="101"/>
    </row>
    <row r="6" spans="1:7" ht="14.4" hidden="1" customHeight="1" x14ac:dyDescent="0.3">
      <c r="A6" s="97"/>
      <c r="B6" s="102"/>
      <c r="C6" s="102"/>
      <c r="D6" s="102"/>
      <c r="E6" s="102"/>
      <c r="F6" s="102"/>
      <c r="G6" s="102"/>
    </row>
    <row r="8" spans="1:7" x14ac:dyDescent="0.3">
      <c r="A8" s="97"/>
      <c r="B8" s="129" t="s">
        <v>101</v>
      </c>
      <c r="C8" s="129"/>
      <c r="D8" s="103"/>
      <c r="E8" s="103"/>
      <c r="F8" s="103"/>
      <c r="G8" s="103"/>
    </row>
    <row r="9" spans="1:7" x14ac:dyDescent="0.3">
      <c r="A9" s="97"/>
      <c r="B9" s="97"/>
      <c r="C9" s="97"/>
      <c r="D9" s="104"/>
      <c r="E9" s="104"/>
    </row>
    <row r="10" spans="1:7" ht="27.6" x14ac:dyDescent="0.3">
      <c r="A10" s="105"/>
      <c r="B10" s="113" t="s">
        <v>102</v>
      </c>
      <c r="C10" s="113" t="s">
        <v>103</v>
      </c>
      <c r="D10" s="113" t="s">
        <v>104</v>
      </c>
      <c r="E10" s="113" t="s">
        <v>105</v>
      </c>
      <c r="F10" s="106"/>
    </row>
    <row r="11" spans="1:7" x14ac:dyDescent="0.3">
      <c r="A11" s="107"/>
      <c r="B11" s="114">
        <v>46113</v>
      </c>
      <c r="C11" s="115">
        <v>120627.34</v>
      </c>
      <c r="D11" s="116">
        <v>102779.58</v>
      </c>
      <c r="E11" s="117">
        <f>C11-D11</f>
        <v>17847.759999999995</v>
      </c>
      <c r="F11" s="108"/>
    </row>
    <row r="12" spans="1:7" x14ac:dyDescent="0.3">
      <c r="A12" s="107"/>
      <c r="B12" s="114">
        <v>46143</v>
      </c>
      <c r="C12" s="115">
        <v>126667.52</v>
      </c>
      <c r="D12" s="116">
        <v>103847.05</v>
      </c>
      <c r="E12" s="117">
        <f t="shared" ref="E12:E19" si="0">C12-D12</f>
        <v>22820.47</v>
      </c>
      <c r="F12" s="109"/>
    </row>
    <row r="13" spans="1:7" x14ac:dyDescent="0.3">
      <c r="A13" s="107"/>
      <c r="B13" s="114">
        <v>46174</v>
      </c>
      <c r="C13" s="115">
        <v>152096.76</v>
      </c>
      <c r="D13" s="116">
        <v>95919.98</v>
      </c>
      <c r="E13" s="117">
        <f t="shared" si="0"/>
        <v>56176.780000000013</v>
      </c>
      <c r="F13" s="109"/>
    </row>
    <row r="14" spans="1:7" x14ac:dyDescent="0.3">
      <c r="A14" s="107"/>
      <c r="B14" s="114">
        <v>46204</v>
      </c>
      <c r="C14" s="115">
        <v>135916.62</v>
      </c>
      <c r="D14" s="116">
        <v>97086.87</v>
      </c>
      <c r="E14" s="117">
        <f t="shared" si="0"/>
        <v>38829.75</v>
      </c>
      <c r="F14" s="109"/>
    </row>
    <row r="15" spans="1:7" x14ac:dyDescent="0.3">
      <c r="A15" s="110"/>
      <c r="B15" s="114">
        <v>46235</v>
      </c>
      <c r="C15" s="118">
        <v>124463.52</v>
      </c>
      <c r="D15" s="118">
        <v>107769.34</v>
      </c>
      <c r="E15" s="117">
        <f t="shared" si="0"/>
        <v>16694.180000000008</v>
      </c>
    </row>
    <row r="16" spans="1:7" x14ac:dyDescent="0.3">
      <c r="A16" s="110"/>
      <c r="B16" s="114">
        <v>46266</v>
      </c>
      <c r="C16" s="119">
        <f>130875.23</f>
        <v>130875.23</v>
      </c>
      <c r="D16" s="119">
        <f>101785.2</f>
        <v>101785.2</v>
      </c>
      <c r="E16" s="117">
        <f t="shared" si="0"/>
        <v>29090.03</v>
      </c>
    </row>
    <row r="17" spans="1:5" x14ac:dyDescent="0.3">
      <c r="A17" s="112"/>
      <c r="B17" s="114">
        <v>46296</v>
      </c>
      <c r="C17" s="119"/>
      <c r="D17" s="119"/>
      <c r="E17" s="117">
        <f t="shared" si="0"/>
        <v>0</v>
      </c>
    </row>
    <row r="18" spans="1:5" x14ac:dyDescent="0.3">
      <c r="A18" s="110"/>
      <c r="B18" s="114">
        <v>46327</v>
      </c>
      <c r="C18" s="119"/>
      <c r="D18" s="119"/>
      <c r="E18" s="117">
        <f t="shared" si="0"/>
        <v>0</v>
      </c>
    </row>
    <row r="19" spans="1:5" x14ac:dyDescent="0.3">
      <c r="A19" s="110"/>
      <c r="B19" s="114">
        <v>46357</v>
      </c>
      <c r="C19" s="119"/>
      <c r="D19" s="119"/>
      <c r="E19" s="117">
        <f t="shared" si="0"/>
        <v>0</v>
      </c>
    </row>
    <row r="20" spans="1:5" x14ac:dyDescent="0.3">
      <c r="A20" s="110"/>
      <c r="B20" s="120"/>
      <c r="C20" s="120"/>
      <c r="D20" s="120"/>
      <c r="E20" s="121">
        <f>SUM(E11:E19)</f>
        <v>181458.97</v>
      </c>
    </row>
    <row r="21" spans="1:5" x14ac:dyDescent="0.3">
      <c r="A21" s="110"/>
      <c r="B21" s="111"/>
      <c r="C21" s="111"/>
      <c r="D21" s="111"/>
      <c r="E21" s="111"/>
    </row>
    <row r="22" spans="1:5" x14ac:dyDescent="0.3">
      <c r="A22" s="110"/>
      <c r="B22" s="111"/>
      <c r="C22" s="111"/>
      <c r="D22" s="111"/>
      <c r="E22" s="111"/>
    </row>
    <row r="23" spans="1:5" x14ac:dyDescent="0.3">
      <c r="A23" s="110"/>
      <c r="B23" s="111"/>
      <c r="C23" s="111"/>
      <c r="D23" s="111"/>
      <c r="E23" s="111"/>
    </row>
    <row r="24" spans="1:5" x14ac:dyDescent="0.3">
      <c r="A24" s="110"/>
      <c r="B24" s="111"/>
      <c r="C24" s="111"/>
      <c r="D24" s="111"/>
      <c r="E24" s="111"/>
    </row>
    <row r="25" spans="1:5" x14ac:dyDescent="0.3">
      <c r="A25" s="110"/>
      <c r="B25" s="111"/>
      <c r="C25" s="111"/>
      <c r="D25" s="111"/>
      <c r="E25" s="111"/>
    </row>
    <row r="26" spans="1:5" x14ac:dyDescent="0.3">
      <c r="A26" s="110"/>
      <c r="B26" s="111"/>
      <c r="C26" s="111"/>
      <c r="D26" s="111"/>
      <c r="E26" s="111"/>
    </row>
    <row r="27" spans="1:5" x14ac:dyDescent="0.3">
      <c r="A27" s="110"/>
      <c r="B27" s="111"/>
      <c r="C27" s="111"/>
      <c r="D27" s="111"/>
      <c r="E27" s="111"/>
    </row>
    <row r="28" spans="1:5" x14ac:dyDescent="0.3">
      <c r="A28" s="110"/>
      <c r="B28" s="111"/>
      <c r="C28" s="111"/>
      <c r="D28" s="111"/>
      <c r="E28" s="111"/>
    </row>
    <row r="29" spans="1:5" x14ac:dyDescent="0.3">
      <c r="A29" s="110"/>
      <c r="B29" s="111"/>
      <c r="C29" s="111"/>
      <c r="D29" s="111"/>
      <c r="E29" s="111"/>
    </row>
    <row r="30" spans="1:5" x14ac:dyDescent="0.3">
      <c r="A30" s="110"/>
      <c r="B30" s="111"/>
      <c r="C30" s="111"/>
      <c r="D30" s="111"/>
      <c r="E30" s="111"/>
    </row>
    <row r="31" spans="1:5" x14ac:dyDescent="0.3">
      <c r="A31" s="110"/>
      <c r="B31" s="111"/>
      <c r="C31" s="111"/>
      <c r="D31" s="111"/>
      <c r="E31" s="111"/>
    </row>
    <row r="32" spans="1:5" x14ac:dyDescent="0.3">
      <c r="A32" s="110"/>
      <c r="B32" s="111"/>
      <c r="C32" s="111"/>
      <c r="D32" s="111"/>
      <c r="E32" s="111"/>
    </row>
    <row r="33" spans="1:5" x14ac:dyDescent="0.3">
      <c r="A33" s="110"/>
      <c r="B33" s="111"/>
      <c r="C33" s="111"/>
      <c r="D33" s="111"/>
      <c r="E33" s="111"/>
    </row>
    <row r="34" spans="1:5" x14ac:dyDescent="0.3">
      <c r="A34" s="110"/>
      <c r="B34" s="111"/>
      <c r="C34" s="111"/>
      <c r="D34" s="111"/>
      <c r="E34" s="111"/>
    </row>
    <row r="35" spans="1:5" x14ac:dyDescent="0.3">
      <c r="A35" s="110"/>
      <c r="B35" s="111"/>
      <c r="C35" s="111"/>
      <c r="D35" s="111"/>
      <c r="E35" s="111"/>
    </row>
    <row r="36" spans="1:5" x14ac:dyDescent="0.3">
      <c r="A36" s="110"/>
      <c r="B36" s="111"/>
      <c r="C36" s="111"/>
      <c r="D36" s="111"/>
      <c r="E36" s="111"/>
    </row>
    <row r="37" spans="1:5" x14ac:dyDescent="0.3">
      <c r="A37" s="110"/>
      <c r="B37" s="111"/>
      <c r="C37" s="111"/>
      <c r="D37" s="111"/>
      <c r="E37" s="111"/>
    </row>
    <row r="38" spans="1:5" x14ac:dyDescent="0.3">
      <c r="A38" s="110"/>
      <c r="B38" s="111"/>
      <c r="C38" s="111"/>
      <c r="D38" s="111"/>
      <c r="E38" s="111"/>
    </row>
    <row r="39" spans="1:5" x14ac:dyDescent="0.3">
      <c r="A39" s="110"/>
      <c r="B39" s="111"/>
      <c r="C39" s="111"/>
      <c r="D39" s="111"/>
      <c r="E39" s="111"/>
    </row>
    <row r="40" spans="1:5" x14ac:dyDescent="0.3">
      <c r="A40" s="110"/>
      <c r="B40" s="111"/>
      <c r="C40" s="111"/>
      <c r="D40" s="111"/>
      <c r="E40" s="111"/>
    </row>
    <row r="41" spans="1:5" x14ac:dyDescent="0.3">
      <c r="A41" s="110"/>
      <c r="B41" s="111"/>
      <c r="C41" s="111"/>
      <c r="D41" s="111"/>
      <c r="E41" s="111"/>
    </row>
    <row r="42" spans="1:5" x14ac:dyDescent="0.3">
      <c r="A42" s="110"/>
      <c r="B42" s="111"/>
      <c r="C42" s="111"/>
      <c r="D42" s="111"/>
      <c r="E42" s="111"/>
    </row>
    <row r="43" spans="1:5" x14ac:dyDescent="0.3">
      <c r="A43" s="110"/>
      <c r="B43" s="111"/>
      <c r="C43" s="111"/>
      <c r="D43" s="111"/>
      <c r="E43" s="111"/>
    </row>
    <row r="44" spans="1:5" x14ac:dyDescent="0.3">
      <c r="A44" s="110"/>
      <c r="B44" s="111"/>
      <c r="C44" s="111"/>
      <c r="D44" s="111"/>
      <c r="E44" s="111"/>
    </row>
    <row r="45" spans="1:5" x14ac:dyDescent="0.3">
      <c r="A45" s="110"/>
      <c r="B45" s="111"/>
      <c r="C45" s="111"/>
      <c r="D45" s="111"/>
      <c r="E45" s="111"/>
    </row>
    <row r="46" spans="1:5" x14ac:dyDescent="0.3">
      <c r="A46" s="110"/>
      <c r="B46" s="111"/>
      <c r="C46" s="111"/>
      <c r="D46" s="111"/>
      <c r="E46" s="111"/>
    </row>
    <row r="47" spans="1:5" x14ac:dyDescent="0.3">
      <c r="A47" s="110"/>
      <c r="B47" s="111"/>
      <c r="C47" s="111"/>
      <c r="D47" s="111"/>
      <c r="E47" s="111"/>
    </row>
    <row r="48" spans="1:5" x14ac:dyDescent="0.3">
      <c r="A48" s="110"/>
      <c r="B48" s="111"/>
      <c r="C48" s="111"/>
      <c r="D48" s="111"/>
      <c r="E48" s="111"/>
    </row>
    <row r="49" spans="1:5" x14ac:dyDescent="0.3">
      <c r="A49" s="110"/>
      <c r="B49" s="111"/>
      <c r="C49" s="111"/>
      <c r="D49" s="111"/>
      <c r="E49" s="111"/>
    </row>
    <row r="50" spans="1:5" x14ac:dyDescent="0.3">
      <c r="A50" s="110"/>
      <c r="B50" s="111"/>
      <c r="C50" s="111"/>
      <c r="D50" s="111"/>
      <c r="E50" s="111"/>
    </row>
    <row r="51" spans="1:5" x14ac:dyDescent="0.3">
      <c r="A51" s="110"/>
      <c r="B51" s="111"/>
      <c r="C51" s="111"/>
      <c r="D51" s="111"/>
      <c r="E51" s="111"/>
    </row>
    <row r="52" spans="1:5" x14ac:dyDescent="0.3">
      <c r="A52" s="110"/>
      <c r="B52" s="111"/>
      <c r="C52" s="111"/>
      <c r="D52" s="111"/>
      <c r="E52" s="111"/>
    </row>
    <row r="53" spans="1:5" x14ac:dyDescent="0.3">
      <c r="A53" s="110"/>
      <c r="B53" s="111"/>
      <c r="C53" s="111"/>
      <c r="D53" s="111"/>
      <c r="E53" s="111"/>
    </row>
    <row r="54" spans="1:5" x14ac:dyDescent="0.3">
      <c r="A54" s="110"/>
      <c r="B54" s="111"/>
      <c r="C54" s="111"/>
      <c r="D54" s="111"/>
      <c r="E54" s="111"/>
    </row>
    <row r="55" spans="1:5" x14ac:dyDescent="0.3">
      <c r="A55" s="110"/>
      <c r="B55" s="111"/>
      <c r="C55" s="111"/>
      <c r="D55" s="111"/>
      <c r="E55" s="111"/>
    </row>
    <row r="56" spans="1:5" x14ac:dyDescent="0.3">
      <c r="A56" s="110"/>
      <c r="B56" s="111"/>
      <c r="C56" s="111"/>
      <c r="D56" s="111"/>
      <c r="E56" s="111"/>
    </row>
    <row r="57" spans="1:5" x14ac:dyDescent="0.3">
      <c r="A57" s="110"/>
      <c r="B57" s="111"/>
      <c r="C57" s="111"/>
      <c r="D57" s="111"/>
      <c r="E57" s="111"/>
    </row>
    <row r="58" spans="1:5" x14ac:dyDescent="0.3">
      <c r="A58" s="110"/>
      <c r="E58" s="111"/>
    </row>
    <row r="59" spans="1:5" x14ac:dyDescent="0.3">
      <c r="A59" s="110"/>
      <c r="E59" s="111"/>
    </row>
    <row r="60" spans="1:5" x14ac:dyDescent="0.3">
      <c r="A60" s="110"/>
    </row>
    <row r="61" spans="1:5" x14ac:dyDescent="0.3">
      <c r="A61" s="110"/>
    </row>
  </sheetData>
  <mergeCells count="1">
    <mergeCell ref="B8:C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"/>
  <sheetViews>
    <sheetView showGridLines="0" topLeftCell="A7" workbookViewId="0">
      <selection activeCell="C25" sqref="C25"/>
    </sheetView>
  </sheetViews>
  <sheetFormatPr defaultRowHeight="14.4" x14ac:dyDescent="0.3"/>
  <cols>
    <col min="1" max="1" width="37.109375" customWidth="1"/>
    <col min="2" max="2" width="13.5546875" customWidth="1"/>
    <col min="3" max="3" width="18" bestFit="1" customWidth="1"/>
    <col min="4" max="5" width="13.6640625" bestFit="1" customWidth="1"/>
    <col min="6" max="6" width="3.6640625" customWidth="1"/>
    <col min="7" max="7" width="15.88671875" bestFit="1" customWidth="1"/>
    <col min="8" max="8" width="3.88671875" customWidth="1"/>
    <col min="9" max="9" width="12.6640625" bestFit="1" customWidth="1"/>
    <col min="10" max="10" width="13.88671875" customWidth="1"/>
    <col min="11" max="11" width="2.5546875" customWidth="1"/>
    <col min="12" max="13" width="15.44140625" bestFit="1" customWidth="1"/>
    <col min="14" max="15" width="13.88671875" bestFit="1" customWidth="1"/>
    <col min="16" max="16" width="13.88671875" customWidth="1"/>
    <col min="17" max="17" width="15.44140625" bestFit="1" customWidth="1"/>
    <col min="18" max="18" width="11.6640625" bestFit="1" customWidth="1"/>
  </cols>
  <sheetData>
    <row r="1" spans="1:7" ht="18.75" hidden="1" customHeight="1" thickBot="1" x14ac:dyDescent="0.35">
      <c r="A1" s="123" t="s">
        <v>0</v>
      </c>
      <c r="B1" s="124"/>
      <c r="C1" s="124"/>
      <c r="D1" s="124"/>
      <c r="E1" s="124"/>
      <c r="F1" s="124"/>
      <c r="G1" s="125"/>
    </row>
    <row r="2" spans="1:7" s="4" customFormat="1" hidden="1" x14ac:dyDescent="0.3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17</v>
      </c>
      <c r="G2" s="3" t="s">
        <v>6</v>
      </c>
    </row>
    <row r="3" spans="1:7" s="8" customFormat="1" hidden="1" x14ac:dyDescent="0.3">
      <c r="A3" s="5" t="s">
        <v>7</v>
      </c>
      <c r="B3" s="6">
        <v>210224.94</v>
      </c>
      <c r="C3" s="6"/>
      <c r="D3" s="6"/>
      <c r="E3" s="6"/>
      <c r="F3" s="6"/>
      <c r="G3" s="7" t="e">
        <f>Tabela3[[#This Row],[dez/21]]+Tabela3[[#This Row],[jan/22]]+Tabela3[[#This Row],[fev/22]]+Tabela3[[#This Row],[mar/22]]+#REF!+#REF!+#REF!+#REF!+#REF!+#REF!+#REF!+#REF!</f>
        <v>#REF!</v>
      </c>
    </row>
    <row r="4" spans="1:7" s="8" customFormat="1" hidden="1" x14ac:dyDescent="0.3">
      <c r="A4" s="5" t="s">
        <v>8</v>
      </c>
      <c r="B4" s="6">
        <v>80824.649999999994</v>
      </c>
      <c r="C4" s="6"/>
      <c r="D4" s="6"/>
      <c r="E4" s="6"/>
      <c r="F4" s="6"/>
      <c r="G4" s="7" t="e">
        <f>Tabela3[[#This Row],[dez/21]]+Tabela3[[#This Row],[jan/22]]+Tabela3[[#This Row],[fev/22]]+Tabela3[[#This Row],[mar/22]]+#REF!+#REF!+#REF!+#REF!+#REF!+#REF!+#REF!+#REF!</f>
        <v>#REF!</v>
      </c>
    </row>
    <row r="5" spans="1:7" s="8" customFormat="1" hidden="1" x14ac:dyDescent="0.3">
      <c r="A5" s="5" t="s">
        <v>9</v>
      </c>
      <c r="B5" s="6"/>
      <c r="C5" s="6"/>
      <c r="D5" s="6">
        <v>186860.2</v>
      </c>
      <c r="E5" s="6">
        <v>119306.94</v>
      </c>
      <c r="F5" s="6"/>
      <c r="G5" s="7" t="e">
        <f>Tabela3[[#This Row],[dez/21]]+Tabela3[[#This Row],[jan/22]]+Tabela3[[#This Row],[fev/22]]+Tabela3[[#This Row],[mar/22]]+#REF!+#REF!+#REF!+#REF!+#REF!+#REF!+#REF!+#REF!</f>
        <v>#REF!</v>
      </c>
    </row>
    <row r="6" spans="1:7" ht="15" hidden="1" thickBot="1" x14ac:dyDescent="0.35">
      <c r="A6" s="9"/>
      <c r="B6" s="10">
        <f>SUM(Tabela3[dez/21])</f>
        <v>291049.58999999997</v>
      </c>
      <c r="C6" s="10">
        <f>SUM(Tabela3[jan/22])</f>
        <v>0</v>
      </c>
      <c r="D6" s="10">
        <f>SUM(Tabela3[fev/22])</f>
        <v>186860.2</v>
      </c>
      <c r="E6" s="10">
        <f>SUM(Tabela3[mar/22])</f>
        <v>119306.94</v>
      </c>
      <c r="F6" s="10"/>
      <c r="G6" s="11" t="e">
        <f>SUM(Tabela3[Total])</f>
        <v>#REF!</v>
      </c>
    </row>
    <row r="7" spans="1:7" ht="15" thickBot="1" x14ac:dyDescent="0.35"/>
    <row r="8" spans="1:7" ht="15" thickBot="1" x14ac:dyDescent="0.35">
      <c r="A8" s="126" t="s">
        <v>78</v>
      </c>
      <c r="B8" s="127"/>
      <c r="C8" s="128"/>
      <c r="D8" s="12"/>
      <c r="E8" s="12"/>
      <c r="F8" s="12"/>
      <c r="G8" s="12"/>
    </row>
    <row r="9" spans="1:7" ht="15" thickBot="1" x14ac:dyDescent="0.35">
      <c r="A9" s="126" t="s">
        <v>112</v>
      </c>
      <c r="B9" s="127"/>
      <c r="C9" s="128"/>
      <c r="D9" s="13"/>
      <c r="E9" s="13"/>
    </row>
    <row r="10" spans="1:7" ht="26.25" customHeight="1" thickBot="1" x14ac:dyDescent="0.35">
      <c r="A10" s="14" t="s">
        <v>10</v>
      </c>
      <c r="B10" s="23" t="s">
        <v>11</v>
      </c>
      <c r="C10" s="23" t="s">
        <v>12</v>
      </c>
      <c r="D10" s="23" t="s">
        <v>13</v>
      </c>
      <c r="E10" s="23" t="s">
        <v>14</v>
      </c>
      <c r="F10" s="25"/>
    </row>
    <row r="11" spans="1:7" ht="15" thickBot="1" x14ac:dyDescent="0.35">
      <c r="A11" s="15" t="s">
        <v>80</v>
      </c>
      <c r="B11" s="16">
        <v>45449</v>
      </c>
      <c r="C11" s="17">
        <f>'PARCELAMENTO 06062024'!Q4</f>
        <v>282040.54999999987</v>
      </c>
      <c r="D11" s="18" t="s">
        <v>106</v>
      </c>
      <c r="E11" s="19">
        <f>60-26</f>
        <v>34</v>
      </c>
      <c r="F11" s="26"/>
    </row>
    <row r="12" spans="1:7" ht="15" thickBot="1" x14ac:dyDescent="0.35">
      <c r="A12" s="15" t="s">
        <v>79</v>
      </c>
      <c r="B12" s="16">
        <v>45632</v>
      </c>
      <c r="C12" s="17">
        <f>'PARCELAMENTO 05122024'!Q4</f>
        <v>703166.67999999993</v>
      </c>
      <c r="D12" s="18" t="s">
        <v>107</v>
      </c>
      <c r="E12" s="19">
        <f>60-21</f>
        <v>39</v>
      </c>
      <c r="F12" s="24"/>
    </row>
    <row r="13" spans="1:7" ht="15" thickBot="1" x14ac:dyDescent="0.35">
      <c r="A13" s="15" t="s">
        <v>93</v>
      </c>
      <c r="B13" s="16">
        <v>45814</v>
      </c>
      <c r="C13" s="17">
        <f>'PARCELAMENTO 06062025'!Q4</f>
        <v>1310298.6299999999</v>
      </c>
      <c r="D13" s="18" t="s">
        <v>108</v>
      </c>
      <c r="E13" s="19">
        <f>60-10</f>
        <v>50</v>
      </c>
      <c r="F13" s="24"/>
    </row>
    <row r="14" spans="1:7" ht="15" thickBot="1" x14ac:dyDescent="0.35">
      <c r="A14" s="15" t="s">
        <v>100</v>
      </c>
      <c r="B14" s="16">
        <v>45986</v>
      </c>
      <c r="C14" s="17">
        <f>'PARCELAMENTO 25112025 '!Q4</f>
        <v>77603.11</v>
      </c>
      <c r="D14" s="18" t="s">
        <v>109</v>
      </c>
      <c r="E14" s="19">
        <f>60-8</f>
        <v>52</v>
      </c>
      <c r="F14" s="24"/>
    </row>
    <row r="15" spans="1:7" ht="15" thickBot="1" x14ac:dyDescent="0.35">
      <c r="A15" s="15" t="s">
        <v>110</v>
      </c>
      <c r="B15" s="16">
        <v>45899</v>
      </c>
      <c r="C15" s="17">
        <f>'PARCELAMENTO SC'!R4</f>
        <v>3855.700000000008</v>
      </c>
      <c r="D15" s="18" t="s">
        <v>111</v>
      </c>
      <c r="E15" s="19">
        <f>48-29</f>
        <v>19</v>
      </c>
      <c r="F15" s="24"/>
    </row>
    <row r="16" spans="1:7" ht="15" thickBot="1" x14ac:dyDescent="0.35">
      <c r="A16" s="21"/>
      <c r="B16" s="20"/>
      <c r="C16" s="89">
        <f>SUM(C11:C15)</f>
        <v>2376964.6699999995</v>
      </c>
      <c r="D16" s="20"/>
      <c r="E16" s="20"/>
    </row>
    <row r="17" spans="1:5" ht="15" thickBot="1" x14ac:dyDescent="0.35">
      <c r="A17" s="21"/>
      <c r="B17" s="20"/>
      <c r="C17" s="20"/>
      <c r="D17" s="20"/>
      <c r="E17" s="20"/>
    </row>
    <row r="18" spans="1:5" ht="15" thickBot="1" x14ac:dyDescent="0.35">
      <c r="A18" s="22" t="s">
        <v>16</v>
      </c>
      <c r="B18" s="20"/>
      <c r="C18" s="20"/>
      <c r="D18" s="20"/>
      <c r="E18" s="20"/>
    </row>
    <row r="19" spans="1:5" x14ac:dyDescent="0.3">
      <c r="A19" s="21"/>
      <c r="B19" s="20"/>
      <c r="C19" s="20"/>
      <c r="D19" s="20"/>
      <c r="E19" s="20"/>
    </row>
    <row r="20" spans="1:5" x14ac:dyDescent="0.3">
      <c r="A20" s="21"/>
      <c r="B20" s="20"/>
      <c r="C20" s="20"/>
      <c r="D20" s="20"/>
      <c r="E20" s="20"/>
    </row>
    <row r="21" spans="1:5" x14ac:dyDescent="0.3">
      <c r="A21" s="21"/>
      <c r="B21" s="20"/>
      <c r="C21" s="20"/>
      <c r="D21" s="20"/>
      <c r="E21" s="20"/>
    </row>
    <row r="22" spans="1:5" x14ac:dyDescent="0.3">
      <c r="A22" s="21"/>
      <c r="B22" s="20"/>
      <c r="C22" s="20"/>
      <c r="D22" s="20"/>
      <c r="E22" s="20"/>
    </row>
    <row r="23" spans="1:5" x14ac:dyDescent="0.3">
      <c r="A23" s="21"/>
      <c r="B23" s="20"/>
      <c r="C23" s="20"/>
      <c r="D23" s="20"/>
      <c r="E23" s="20"/>
    </row>
    <row r="24" spans="1:5" x14ac:dyDescent="0.3">
      <c r="A24" s="21"/>
      <c r="B24" s="20"/>
      <c r="C24" s="20"/>
      <c r="D24" s="20"/>
      <c r="E24" s="20"/>
    </row>
    <row r="25" spans="1:5" x14ac:dyDescent="0.3">
      <c r="A25" s="21"/>
      <c r="B25" s="20"/>
      <c r="C25" s="20"/>
      <c r="D25" s="20"/>
      <c r="E25" s="20"/>
    </row>
    <row r="26" spans="1:5" x14ac:dyDescent="0.3">
      <c r="A26" s="21"/>
      <c r="B26" s="20"/>
      <c r="C26" s="20"/>
      <c r="D26" s="20"/>
      <c r="E26" s="20"/>
    </row>
    <row r="27" spans="1:5" x14ac:dyDescent="0.3">
      <c r="A27" s="21"/>
      <c r="B27" s="20"/>
      <c r="C27" s="20"/>
      <c r="D27" s="20"/>
      <c r="E27" s="20"/>
    </row>
    <row r="28" spans="1:5" x14ac:dyDescent="0.3">
      <c r="A28" s="21"/>
      <c r="B28" s="20"/>
      <c r="C28" s="20"/>
      <c r="D28" s="20"/>
      <c r="E28" s="20"/>
    </row>
    <row r="29" spans="1:5" x14ac:dyDescent="0.3">
      <c r="A29" s="21"/>
      <c r="B29" s="20"/>
      <c r="C29" s="20"/>
      <c r="D29" s="20"/>
      <c r="E29" s="20"/>
    </row>
    <row r="30" spans="1:5" x14ac:dyDescent="0.3">
      <c r="A30" s="21"/>
      <c r="B30" s="20"/>
      <c r="C30" s="20"/>
      <c r="D30" s="20"/>
      <c r="E30" s="20"/>
    </row>
    <row r="31" spans="1:5" x14ac:dyDescent="0.3">
      <c r="A31" s="21"/>
      <c r="B31" s="20"/>
      <c r="C31" s="20"/>
      <c r="D31" s="20"/>
      <c r="E31" s="20"/>
    </row>
    <row r="32" spans="1:5" x14ac:dyDescent="0.3">
      <c r="A32" s="21"/>
      <c r="B32" s="20"/>
      <c r="C32" s="20"/>
      <c r="D32" s="20"/>
      <c r="E32" s="20"/>
    </row>
    <row r="33" spans="1:5" x14ac:dyDescent="0.3">
      <c r="A33" s="21"/>
      <c r="B33" s="20"/>
      <c r="C33" s="20"/>
      <c r="D33" s="20"/>
      <c r="E33" s="20"/>
    </row>
    <row r="34" spans="1:5" x14ac:dyDescent="0.3">
      <c r="A34" s="21"/>
      <c r="B34" s="20"/>
      <c r="C34" s="20"/>
      <c r="D34" s="20"/>
      <c r="E34" s="20"/>
    </row>
    <row r="35" spans="1:5" x14ac:dyDescent="0.3">
      <c r="A35" s="21"/>
      <c r="B35" s="20"/>
      <c r="C35" s="20"/>
      <c r="D35" s="20"/>
      <c r="E35" s="20"/>
    </row>
    <row r="36" spans="1:5" x14ac:dyDescent="0.3">
      <c r="A36" s="21"/>
      <c r="B36" s="20"/>
      <c r="C36" s="20"/>
      <c r="D36" s="20"/>
      <c r="E36" s="20"/>
    </row>
    <row r="37" spans="1:5" x14ac:dyDescent="0.3">
      <c r="A37" s="21"/>
      <c r="B37" s="20"/>
      <c r="C37" s="20"/>
      <c r="D37" s="20"/>
      <c r="E37" s="20"/>
    </row>
    <row r="38" spans="1:5" x14ac:dyDescent="0.3">
      <c r="A38" s="21"/>
      <c r="B38" s="20"/>
      <c r="C38" s="20"/>
      <c r="D38" s="20"/>
      <c r="E38" s="20"/>
    </row>
    <row r="39" spans="1:5" x14ac:dyDescent="0.3">
      <c r="A39" s="21"/>
      <c r="B39" s="20"/>
      <c r="C39" s="20"/>
      <c r="D39" s="20"/>
      <c r="E39" s="20"/>
    </row>
    <row r="40" spans="1:5" x14ac:dyDescent="0.3">
      <c r="A40" s="21"/>
      <c r="B40" s="20"/>
      <c r="C40" s="20"/>
      <c r="D40" s="20"/>
      <c r="E40" s="20"/>
    </row>
    <row r="41" spans="1:5" x14ac:dyDescent="0.3">
      <c r="A41" s="21"/>
      <c r="B41" s="20"/>
      <c r="C41" s="20"/>
      <c r="D41" s="20"/>
      <c r="E41" s="20"/>
    </row>
    <row r="42" spans="1:5" x14ac:dyDescent="0.3">
      <c r="A42" s="21"/>
      <c r="B42" s="20"/>
      <c r="C42" s="20"/>
      <c r="D42" s="20"/>
      <c r="E42" s="20"/>
    </row>
    <row r="43" spans="1:5" x14ac:dyDescent="0.3">
      <c r="A43" s="21"/>
      <c r="B43" s="20"/>
      <c r="C43" s="20"/>
      <c r="D43" s="20"/>
      <c r="E43" s="20"/>
    </row>
    <row r="44" spans="1:5" x14ac:dyDescent="0.3">
      <c r="A44" s="21"/>
      <c r="B44" s="20"/>
      <c r="C44" s="20"/>
      <c r="D44" s="20"/>
      <c r="E44" s="20"/>
    </row>
    <row r="45" spans="1:5" x14ac:dyDescent="0.3">
      <c r="A45" s="21"/>
      <c r="B45" s="20"/>
      <c r="C45" s="20"/>
      <c r="D45" s="20"/>
      <c r="E45" s="20"/>
    </row>
    <row r="46" spans="1:5" x14ac:dyDescent="0.3">
      <c r="A46" s="21"/>
      <c r="B46" s="20"/>
      <c r="C46" s="20"/>
      <c r="D46" s="20"/>
      <c r="E46" s="20"/>
    </row>
    <row r="47" spans="1:5" x14ac:dyDescent="0.3">
      <c r="A47" s="21"/>
      <c r="B47" s="20"/>
      <c r="C47" s="20"/>
      <c r="D47" s="20"/>
      <c r="E47" s="20"/>
    </row>
    <row r="48" spans="1:5" x14ac:dyDescent="0.3">
      <c r="A48" s="21"/>
      <c r="B48" s="20"/>
      <c r="C48" s="20"/>
      <c r="D48" s="20"/>
      <c r="E48" s="20"/>
    </row>
    <row r="49" spans="1:5" x14ac:dyDescent="0.3">
      <c r="A49" s="21"/>
      <c r="B49" s="20"/>
      <c r="C49" s="20"/>
      <c r="D49" s="20"/>
      <c r="E49" s="20"/>
    </row>
    <row r="50" spans="1:5" x14ac:dyDescent="0.3">
      <c r="A50" s="21"/>
      <c r="B50" s="20"/>
      <c r="C50" s="20"/>
      <c r="D50" s="20"/>
      <c r="E50" s="20"/>
    </row>
    <row r="51" spans="1:5" x14ac:dyDescent="0.3">
      <c r="A51" s="21"/>
      <c r="B51" s="20"/>
      <c r="C51" s="20"/>
      <c r="D51" s="20"/>
      <c r="E51" s="20"/>
    </row>
    <row r="52" spans="1:5" x14ac:dyDescent="0.3">
      <c r="A52" s="21"/>
      <c r="B52" s="20"/>
      <c r="C52" s="20"/>
      <c r="D52" s="20"/>
      <c r="E52" s="20"/>
    </row>
    <row r="53" spans="1:5" x14ac:dyDescent="0.3">
      <c r="A53" s="21"/>
      <c r="B53" s="20"/>
      <c r="C53" s="20"/>
      <c r="D53" s="20"/>
      <c r="E53" s="20"/>
    </row>
    <row r="54" spans="1:5" x14ac:dyDescent="0.3">
      <c r="A54" s="21"/>
      <c r="B54" s="20"/>
      <c r="C54" s="20"/>
      <c r="D54" s="20"/>
      <c r="E54" s="20"/>
    </row>
    <row r="55" spans="1:5" x14ac:dyDescent="0.3">
      <c r="A55" s="21"/>
      <c r="B55" s="20"/>
      <c r="C55" s="20"/>
      <c r="D55" s="20"/>
      <c r="E55" s="20"/>
    </row>
    <row r="56" spans="1:5" x14ac:dyDescent="0.3">
      <c r="A56" s="21"/>
      <c r="B56" s="20"/>
      <c r="C56" s="20"/>
      <c r="D56" s="20"/>
      <c r="E56" s="20"/>
    </row>
    <row r="57" spans="1:5" x14ac:dyDescent="0.3">
      <c r="A57" s="21"/>
      <c r="B57" s="20"/>
      <c r="C57" s="20"/>
      <c r="D57" s="20"/>
      <c r="E57" s="20"/>
    </row>
    <row r="58" spans="1:5" x14ac:dyDescent="0.3">
      <c r="A58" s="21"/>
      <c r="B58" s="20"/>
      <c r="C58" s="20"/>
      <c r="D58" s="20"/>
      <c r="E58" s="20"/>
    </row>
    <row r="59" spans="1:5" x14ac:dyDescent="0.3">
      <c r="A59" s="21"/>
      <c r="E59" s="20"/>
    </row>
    <row r="60" spans="1:5" x14ac:dyDescent="0.3">
      <c r="A60" s="21"/>
      <c r="E60" s="20"/>
    </row>
    <row r="61" spans="1:5" x14ac:dyDescent="0.3">
      <c r="A61" s="21"/>
    </row>
    <row r="62" spans="1:5" x14ac:dyDescent="0.3">
      <c r="A62" s="21"/>
    </row>
  </sheetData>
  <mergeCells count="3">
    <mergeCell ref="A1:G1"/>
    <mergeCell ref="A8:C8"/>
    <mergeCell ref="A9:C9"/>
  </mergeCells>
  <phoneticPr fontId="8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85"/>
  <sheetViews>
    <sheetView showGridLines="0" workbookViewId="0">
      <selection activeCell="R4" sqref="R4"/>
    </sheetView>
  </sheetViews>
  <sheetFormatPr defaultColWidth="9.109375" defaultRowHeight="14.4" x14ac:dyDescent="0.3"/>
  <cols>
    <col min="1" max="1" width="2.5546875" style="39" customWidth="1"/>
    <col min="2" max="2" width="55.6640625" style="39" customWidth="1"/>
    <col min="3" max="3" width="9.33203125" style="39" bestFit="1" customWidth="1"/>
    <col min="4" max="4" width="11.88671875" style="39" bestFit="1" customWidth="1"/>
    <col min="5" max="5" width="13.33203125" style="39" bestFit="1" customWidth="1"/>
    <col min="6" max="6" width="10.88671875" style="39" customWidth="1"/>
    <col min="7" max="7" width="10.33203125" style="39" customWidth="1"/>
    <col min="8" max="8" width="14" style="39" bestFit="1" customWidth="1"/>
    <col min="9" max="9" width="12.5546875" style="39" bestFit="1" customWidth="1"/>
    <col min="10" max="10" width="12.5546875" style="39" customWidth="1"/>
    <col min="11" max="11" width="13.33203125" style="39" customWidth="1"/>
    <col min="12" max="12" width="10.5546875" style="39" customWidth="1"/>
    <col min="13" max="13" width="12.88671875" style="39" customWidth="1"/>
    <col min="14" max="14" width="4.33203125" style="39" customWidth="1"/>
    <col min="15" max="15" width="13.109375" style="39" bestFit="1" customWidth="1"/>
    <col min="16" max="16" width="11.5546875" style="39" bestFit="1" customWidth="1"/>
    <col min="17" max="17" width="13.109375" style="39" bestFit="1" customWidth="1"/>
    <col min="18" max="18" width="14.6640625" style="39" customWidth="1"/>
    <col min="19" max="16384" width="9.109375" style="39"/>
  </cols>
  <sheetData>
    <row r="1" spans="2:18" customFormat="1" x14ac:dyDescent="0.3"/>
    <row r="2" spans="2:18" customFormat="1" ht="15" thickBot="1" x14ac:dyDescent="0.35"/>
    <row r="3" spans="2:18" customFormat="1" ht="15" thickBot="1" x14ac:dyDescent="0.35">
      <c r="B3" s="37" t="s">
        <v>27</v>
      </c>
      <c r="C3" s="30" t="s">
        <v>44</v>
      </c>
      <c r="D3" s="30" t="s">
        <v>45</v>
      </c>
      <c r="E3" s="30" t="s">
        <v>18</v>
      </c>
      <c r="F3" s="30" t="s">
        <v>19</v>
      </c>
      <c r="G3" s="30" t="s">
        <v>20</v>
      </c>
      <c r="H3" s="30" t="s">
        <v>21</v>
      </c>
      <c r="I3" s="30" t="s">
        <v>83</v>
      </c>
      <c r="J3" s="30" t="s">
        <v>15</v>
      </c>
      <c r="K3" s="30" t="s">
        <v>82</v>
      </c>
      <c r="L3" s="30" t="s">
        <v>22</v>
      </c>
      <c r="M3" s="30" t="s">
        <v>23</v>
      </c>
      <c r="O3" s="36" t="s">
        <v>24</v>
      </c>
      <c r="P3" s="36" t="s">
        <v>25</v>
      </c>
      <c r="Q3" s="35" t="s">
        <v>26</v>
      </c>
      <c r="R3" s="35" t="s">
        <v>15</v>
      </c>
    </row>
    <row r="4" spans="2:18" customFormat="1" ht="15" thickBot="1" x14ac:dyDescent="0.35">
      <c r="B4" s="80" t="s">
        <v>48</v>
      </c>
      <c r="C4" s="38">
        <v>45231</v>
      </c>
      <c r="D4" s="46">
        <v>45280</v>
      </c>
      <c r="E4" s="27">
        <v>10.050000000000001</v>
      </c>
      <c r="F4" s="27">
        <v>2.0099999999999998</v>
      </c>
      <c r="G4" s="27">
        <v>0.53</v>
      </c>
      <c r="H4" s="47">
        <f>SUM(E4,F4,G4)</f>
        <v>12.59</v>
      </c>
      <c r="I4" s="28">
        <v>8813.76</v>
      </c>
      <c r="J4" s="77"/>
      <c r="K4" s="28">
        <f>I4+J4</f>
        <v>8813.76</v>
      </c>
      <c r="L4" s="29">
        <v>45449</v>
      </c>
      <c r="M4" s="31"/>
      <c r="O4" s="32">
        <f>528825.83</f>
        <v>528825.82999999996</v>
      </c>
      <c r="P4" s="33">
        <f>I4+I5+I6+I7+I8+I9+I10+I11+I12+I13+I14+I15+I16+I17+I18+I19+I20+I21+I22+I23+I24+I25+I26+I27+I28+I29+I30+I31</f>
        <v>246785.28000000009</v>
      </c>
      <c r="Q4" s="34">
        <f>O4-P4</f>
        <v>282040.54999999987</v>
      </c>
      <c r="R4" s="34">
        <f>J5+J6+J7+J8+J9+J10+J11+J12+J13+J14+J15+J16+J17+J18+J19+J20+J21+J22+J23+J24+J25+J26+J27+J28+J29+J30+J31</f>
        <v>33892.76</v>
      </c>
    </row>
    <row r="5" spans="2:18" customFormat="1" x14ac:dyDescent="0.3">
      <c r="B5" s="81" t="s">
        <v>39</v>
      </c>
      <c r="C5" s="38" t="s">
        <v>49</v>
      </c>
      <c r="D5" s="46">
        <v>45230</v>
      </c>
      <c r="E5" s="27">
        <v>123892.89</v>
      </c>
      <c r="F5" s="27">
        <v>24778.57</v>
      </c>
      <c r="G5" s="27">
        <v>8833.56</v>
      </c>
      <c r="H5" s="47">
        <f t="shared" ref="H5:H15" si="0">SUM(E5,F5,G5)</f>
        <v>157505.01999999999</v>
      </c>
      <c r="I5" s="28">
        <v>8813.76</v>
      </c>
      <c r="J5" s="77">
        <v>88.13</v>
      </c>
      <c r="K5" s="28">
        <f t="shared" ref="K5:K63" si="1">I5+J5</f>
        <v>8901.89</v>
      </c>
      <c r="L5" s="29">
        <v>45504</v>
      </c>
      <c r="M5" s="31">
        <f>H16-I4</f>
        <v>520012.06999999995</v>
      </c>
    </row>
    <row r="6" spans="2:18" customFormat="1" x14ac:dyDescent="0.3">
      <c r="B6" s="81" t="s">
        <v>39</v>
      </c>
      <c r="C6" s="38" t="s">
        <v>50</v>
      </c>
      <c r="D6" s="46">
        <v>45322</v>
      </c>
      <c r="E6" s="27">
        <v>118246.84</v>
      </c>
      <c r="F6" s="27">
        <v>23649.360000000001</v>
      </c>
      <c r="G6" s="27">
        <v>5143.7299999999996</v>
      </c>
      <c r="H6" s="47">
        <f t="shared" si="0"/>
        <v>147039.93000000002</v>
      </c>
      <c r="I6" s="28">
        <v>8813.76</v>
      </c>
      <c r="J6" s="77">
        <v>168.34</v>
      </c>
      <c r="K6" s="28">
        <f t="shared" si="1"/>
        <v>8982.1</v>
      </c>
      <c r="L6" s="29">
        <v>45535</v>
      </c>
      <c r="M6" s="31">
        <f>M5-I6</f>
        <v>511198.30999999994</v>
      </c>
      <c r="O6" s="130" t="s">
        <v>89</v>
      </c>
      <c r="P6" s="130"/>
      <c r="Q6" s="82">
        <f>(Q4/O4)-1</f>
        <v>-0.46666646370129106</v>
      </c>
    </row>
    <row r="7" spans="2:18" customFormat="1" x14ac:dyDescent="0.3">
      <c r="B7" s="81" t="s">
        <v>40</v>
      </c>
      <c r="C7" s="38">
        <v>45200</v>
      </c>
      <c r="D7" s="46">
        <v>45254</v>
      </c>
      <c r="E7" s="27">
        <v>31551.31</v>
      </c>
      <c r="F7" s="27">
        <v>6310.26</v>
      </c>
      <c r="G7" s="27">
        <v>1959.33</v>
      </c>
      <c r="H7" s="47">
        <f t="shared" si="0"/>
        <v>39820.9</v>
      </c>
      <c r="I7" s="28">
        <v>8813.76</v>
      </c>
      <c r="J7" s="77">
        <v>245.02</v>
      </c>
      <c r="K7" s="28">
        <f t="shared" si="1"/>
        <v>9058.7800000000007</v>
      </c>
      <c r="L7" s="29">
        <v>45565</v>
      </c>
      <c r="M7" s="31">
        <f>M6-I7</f>
        <v>502384.54999999993</v>
      </c>
      <c r="O7" s="39"/>
      <c r="P7" s="39"/>
      <c r="Q7" s="39"/>
    </row>
    <row r="8" spans="2:18" customFormat="1" x14ac:dyDescent="0.3">
      <c r="B8" s="81" t="s">
        <v>40</v>
      </c>
      <c r="C8" s="38">
        <v>45231</v>
      </c>
      <c r="D8" s="46">
        <v>45282</v>
      </c>
      <c r="E8" s="27">
        <v>7183.15</v>
      </c>
      <c r="F8" s="27">
        <v>1436.63</v>
      </c>
      <c r="G8" s="27">
        <v>382.14</v>
      </c>
      <c r="H8" s="47">
        <f t="shared" si="0"/>
        <v>9001.9199999999983</v>
      </c>
      <c r="I8" s="28">
        <v>8813.76</v>
      </c>
      <c r="J8" s="77">
        <v>319.05</v>
      </c>
      <c r="K8" s="28">
        <f t="shared" si="1"/>
        <v>9132.81</v>
      </c>
      <c r="L8" s="29">
        <v>45596</v>
      </c>
      <c r="M8" s="31">
        <f>M7-I8</f>
        <v>493570.78999999992</v>
      </c>
    </row>
    <row r="9" spans="2:18" customFormat="1" x14ac:dyDescent="0.3">
      <c r="B9" s="81" t="s">
        <v>40</v>
      </c>
      <c r="C9" s="38">
        <v>45292</v>
      </c>
      <c r="D9" s="46">
        <v>45345</v>
      </c>
      <c r="E9" s="27">
        <v>38900.44</v>
      </c>
      <c r="F9" s="27">
        <v>7780.08</v>
      </c>
      <c r="G9" s="27">
        <v>1380.96</v>
      </c>
      <c r="H9" s="47">
        <f t="shared" si="0"/>
        <v>48061.48</v>
      </c>
      <c r="I9" s="28">
        <v>8813.76</v>
      </c>
      <c r="J9" s="77">
        <v>401.02</v>
      </c>
      <c r="K9" s="28">
        <f t="shared" si="1"/>
        <v>9214.7800000000007</v>
      </c>
      <c r="L9" s="29">
        <v>45626</v>
      </c>
      <c r="M9" s="31">
        <f>M8-I9</f>
        <v>484757.02999999991</v>
      </c>
      <c r="O9" s="131" t="s">
        <v>87</v>
      </c>
      <c r="P9" s="131"/>
      <c r="Q9" s="131"/>
    </row>
    <row r="10" spans="2:18" customFormat="1" x14ac:dyDescent="0.3">
      <c r="B10" s="81" t="s">
        <v>41</v>
      </c>
      <c r="C10" s="38" t="s">
        <v>49</v>
      </c>
      <c r="D10" s="46">
        <v>45230</v>
      </c>
      <c r="E10" s="27">
        <v>44999.89</v>
      </c>
      <c r="F10" s="27">
        <v>8999.9699999999993</v>
      </c>
      <c r="G10" s="27">
        <v>3208.49</v>
      </c>
      <c r="H10" s="47">
        <f t="shared" si="0"/>
        <v>57208.35</v>
      </c>
      <c r="I10" s="28">
        <v>8813.76</v>
      </c>
      <c r="J10" s="77">
        <v>470.65</v>
      </c>
      <c r="K10" s="28">
        <f t="shared" si="1"/>
        <v>9284.41</v>
      </c>
      <c r="L10" s="29">
        <v>45657</v>
      </c>
      <c r="M10" s="31">
        <f t="shared" ref="M10:M63" si="2">M9-I10</f>
        <v>475943.2699999999</v>
      </c>
      <c r="O10" s="132" t="s">
        <v>88</v>
      </c>
      <c r="P10" s="132"/>
      <c r="Q10" s="132"/>
    </row>
    <row r="11" spans="2:18" customFormat="1" x14ac:dyDescent="0.3">
      <c r="B11" s="81" t="s">
        <v>41</v>
      </c>
      <c r="C11" s="38" t="s">
        <v>50</v>
      </c>
      <c r="D11" s="46">
        <v>45322</v>
      </c>
      <c r="E11" s="27">
        <v>41044.81</v>
      </c>
      <c r="F11" s="27">
        <v>8208.9599999999991</v>
      </c>
      <c r="G11" s="27">
        <v>1785.44</v>
      </c>
      <c r="H11" s="47">
        <f t="shared" si="0"/>
        <v>51039.21</v>
      </c>
      <c r="I11" s="28">
        <v>8813.76</v>
      </c>
      <c r="J11" s="77">
        <v>552.62</v>
      </c>
      <c r="K11" s="28">
        <f t="shared" si="1"/>
        <v>9366.380000000001</v>
      </c>
      <c r="L11" s="29">
        <v>45688</v>
      </c>
      <c r="M11" s="31">
        <f t="shared" si="2"/>
        <v>467129.50999999989</v>
      </c>
      <c r="O11" s="133" t="s">
        <v>90</v>
      </c>
      <c r="P11" s="133"/>
      <c r="Q11" s="133"/>
    </row>
    <row r="12" spans="2:18" customFormat="1" x14ac:dyDescent="0.3">
      <c r="B12" s="83" t="s">
        <v>51</v>
      </c>
      <c r="C12" s="38">
        <v>45292</v>
      </c>
      <c r="D12" s="46">
        <v>45342</v>
      </c>
      <c r="E12" s="27">
        <v>45.51</v>
      </c>
      <c r="F12" s="27">
        <v>9.1</v>
      </c>
      <c r="G12" s="27">
        <v>1.61</v>
      </c>
      <c r="H12" s="47">
        <f t="shared" si="0"/>
        <v>56.22</v>
      </c>
      <c r="I12" s="28">
        <v>8813.76</v>
      </c>
      <c r="J12" s="77">
        <v>641.64</v>
      </c>
      <c r="K12" s="28">
        <f t="shared" si="1"/>
        <v>9455.4</v>
      </c>
      <c r="L12" s="29">
        <v>45716</v>
      </c>
      <c r="M12" s="31">
        <f t="shared" si="2"/>
        <v>458315.74999999988</v>
      </c>
    </row>
    <row r="13" spans="2:18" customFormat="1" x14ac:dyDescent="0.3">
      <c r="B13" s="80" t="s">
        <v>42</v>
      </c>
      <c r="C13" s="38">
        <v>45231</v>
      </c>
      <c r="D13" s="46">
        <v>45280</v>
      </c>
      <c r="E13" s="27">
        <v>31.16</v>
      </c>
      <c r="F13" s="27">
        <v>6.23</v>
      </c>
      <c r="G13" s="27">
        <v>1.65</v>
      </c>
      <c r="H13" s="47">
        <f t="shared" si="0"/>
        <v>39.04</v>
      </c>
      <c r="I13" s="28">
        <v>8813.76</v>
      </c>
      <c r="J13" s="77">
        <v>728.89</v>
      </c>
      <c r="K13" s="28">
        <f t="shared" si="1"/>
        <v>9542.65</v>
      </c>
      <c r="L13" s="29">
        <v>45747</v>
      </c>
      <c r="M13" s="31">
        <f t="shared" si="2"/>
        <v>449501.98999999987</v>
      </c>
    </row>
    <row r="14" spans="2:18" customFormat="1" x14ac:dyDescent="0.3">
      <c r="B14" s="81" t="s">
        <v>43</v>
      </c>
      <c r="C14" s="38">
        <v>45200</v>
      </c>
      <c r="D14" s="46">
        <v>45254</v>
      </c>
      <c r="E14" s="27">
        <v>6836.12</v>
      </c>
      <c r="F14" s="27">
        <v>1367.22</v>
      </c>
      <c r="G14" s="27">
        <v>424.52</v>
      </c>
      <c r="H14" s="47">
        <f t="shared" si="0"/>
        <v>8627.86</v>
      </c>
      <c r="I14" s="28">
        <v>8813.76</v>
      </c>
      <c r="J14" s="77">
        <v>813.51</v>
      </c>
      <c r="K14" s="28">
        <f t="shared" si="1"/>
        <v>9627.27</v>
      </c>
      <c r="L14" s="29">
        <v>45777</v>
      </c>
      <c r="M14" s="31">
        <f t="shared" si="2"/>
        <v>440688.22999999986</v>
      </c>
    </row>
    <row r="15" spans="2:18" customFormat="1" x14ac:dyDescent="0.3">
      <c r="B15" s="81" t="s">
        <v>43</v>
      </c>
      <c r="C15" s="38">
        <v>45292</v>
      </c>
      <c r="D15" s="46">
        <v>45345</v>
      </c>
      <c r="E15" s="27">
        <v>8428.43</v>
      </c>
      <c r="F15" s="27">
        <v>1685.68</v>
      </c>
      <c r="G15" s="27">
        <v>299.2</v>
      </c>
      <c r="H15" s="47">
        <f t="shared" si="0"/>
        <v>10413.310000000001</v>
      </c>
      <c r="I15" s="28">
        <v>8813.76</v>
      </c>
      <c r="J15" s="77">
        <f t="shared" ref="J15:J31" si="3">K15-I15</f>
        <v>906.93000000000029</v>
      </c>
      <c r="K15" s="28">
        <v>9720.69</v>
      </c>
      <c r="L15" s="29">
        <v>45808</v>
      </c>
      <c r="M15" s="31">
        <f t="shared" si="2"/>
        <v>431874.46999999986</v>
      </c>
    </row>
    <row r="16" spans="2:18" x14ac:dyDescent="0.3">
      <c r="C16" s="40"/>
      <c r="D16" s="41"/>
      <c r="E16" s="42"/>
      <c r="F16" s="42"/>
      <c r="G16" s="42"/>
      <c r="H16" s="78">
        <f>SUM(H4:H15)</f>
        <v>528825.82999999996</v>
      </c>
      <c r="I16" s="28">
        <v>8813.76</v>
      </c>
      <c r="J16" s="77">
        <f t="shared" si="3"/>
        <v>1007.4099999999999</v>
      </c>
      <c r="K16" s="28">
        <v>9821.17</v>
      </c>
      <c r="L16" s="29">
        <v>45838</v>
      </c>
      <c r="M16" s="31">
        <f t="shared" si="2"/>
        <v>423060.70999999985</v>
      </c>
    </row>
    <row r="17" spans="3:13" x14ac:dyDescent="0.3">
      <c r="C17" s="40"/>
      <c r="D17" s="41"/>
      <c r="E17" s="42"/>
      <c r="F17" s="42"/>
      <c r="G17" s="42"/>
      <c r="H17" s="42"/>
      <c r="I17" s="28">
        <v>8813.76</v>
      </c>
      <c r="J17" s="77">
        <f t="shared" si="3"/>
        <v>1104.3600000000006</v>
      </c>
      <c r="K17" s="28">
        <v>9918.1200000000008</v>
      </c>
      <c r="L17" s="29">
        <v>45869</v>
      </c>
      <c r="M17" s="31">
        <f t="shared" si="2"/>
        <v>414246.94999999984</v>
      </c>
    </row>
    <row r="18" spans="3:13" x14ac:dyDescent="0.3">
      <c r="C18" s="40"/>
      <c r="D18" s="41"/>
      <c r="E18" s="42"/>
      <c r="F18" s="42"/>
      <c r="G18" s="42"/>
      <c r="H18" s="42"/>
      <c r="I18" s="28">
        <v>8813.76</v>
      </c>
      <c r="J18" s="77">
        <f t="shared" si="3"/>
        <v>1221.1800000000003</v>
      </c>
      <c r="K18" s="28">
        <v>10034.94</v>
      </c>
      <c r="L18" s="29">
        <v>45900</v>
      </c>
      <c r="M18" s="31">
        <f t="shared" si="2"/>
        <v>405433.18999999983</v>
      </c>
    </row>
    <row r="19" spans="3:13" x14ac:dyDescent="0.3">
      <c r="C19" s="40"/>
      <c r="D19" s="41"/>
      <c r="E19" s="42"/>
      <c r="F19" s="42"/>
      <c r="G19" s="42"/>
      <c r="H19" s="42"/>
      <c r="I19" s="28">
        <v>8813.76</v>
      </c>
      <c r="J19" s="77">
        <f t="shared" si="3"/>
        <v>1319.4099999999999</v>
      </c>
      <c r="K19" s="28">
        <v>10133.17</v>
      </c>
      <c r="L19" s="29">
        <v>45930</v>
      </c>
      <c r="M19" s="31">
        <f t="shared" si="2"/>
        <v>396619.42999999982</v>
      </c>
    </row>
    <row r="20" spans="3:13" x14ac:dyDescent="0.3">
      <c r="C20" s="40"/>
      <c r="D20" s="41"/>
      <c r="E20" s="42"/>
      <c r="F20" s="42"/>
      <c r="G20" s="42"/>
      <c r="H20" s="42"/>
      <c r="I20" s="28">
        <v>8813.76</v>
      </c>
      <c r="J20" s="77">
        <f t="shared" si="3"/>
        <v>1426.9400000000005</v>
      </c>
      <c r="K20" s="28">
        <v>10240.700000000001</v>
      </c>
      <c r="L20" s="29">
        <v>45961</v>
      </c>
      <c r="M20" s="31">
        <f t="shared" si="2"/>
        <v>387805.66999999981</v>
      </c>
    </row>
    <row r="21" spans="3:13" x14ac:dyDescent="0.3">
      <c r="C21" s="40"/>
      <c r="D21" s="41"/>
      <c r="E21" s="42"/>
      <c r="F21" s="42"/>
      <c r="G21" s="42"/>
      <c r="H21" s="42"/>
      <c r="I21" s="28">
        <v>8813.76</v>
      </c>
      <c r="J21" s="77">
        <f t="shared" si="3"/>
        <v>1539.7600000000002</v>
      </c>
      <c r="K21" s="28">
        <v>10353.52</v>
      </c>
      <c r="L21" s="29">
        <v>45991</v>
      </c>
      <c r="M21" s="31">
        <f t="shared" si="2"/>
        <v>378991.9099999998</v>
      </c>
    </row>
    <row r="22" spans="3:13" x14ac:dyDescent="0.3">
      <c r="C22" s="40"/>
      <c r="D22" s="41"/>
      <c r="E22" s="42"/>
      <c r="F22" s="42"/>
      <c r="G22" s="42"/>
      <c r="H22" s="42"/>
      <c r="I22" s="28">
        <v>8813.76</v>
      </c>
      <c r="J22" s="77">
        <f t="shared" si="3"/>
        <v>1739.83</v>
      </c>
      <c r="K22" s="28">
        <v>10553.59</v>
      </c>
      <c r="L22" s="29">
        <v>46022</v>
      </c>
      <c r="M22" s="31">
        <f t="shared" si="2"/>
        <v>370178.14999999979</v>
      </c>
    </row>
    <row r="23" spans="3:13" x14ac:dyDescent="0.3">
      <c r="C23" s="40"/>
      <c r="D23" s="41"/>
      <c r="E23" s="42"/>
      <c r="F23" s="42"/>
      <c r="G23" s="42"/>
      <c r="H23" s="42"/>
      <c r="I23" s="28">
        <v>8813.76</v>
      </c>
      <c r="J23" s="77">
        <f t="shared" si="3"/>
        <v>1739.83</v>
      </c>
      <c r="K23" s="28">
        <v>10553.59</v>
      </c>
      <c r="L23" s="29">
        <v>46053</v>
      </c>
      <c r="M23" s="31">
        <f t="shared" si="2"/>
        <v>361364.38999999978</v>
      </c>
    </row>
    <row r="24" spans="3:13" x14ac:dyDescent="0.3">
      <c r="C24" s="40"/>
      <c r="D24" s="41"/>
      <c r="E24" s="42"/>
      <c r="F24" s="42"/>
      <c r="G24" s="42"/>
      <c r="H24" s="42"/>
      <c r="I24" s="28">
        <v>8813.76</v>
      </c>
      <c r="J24" s="77">
        <f t="shared" si="3"/>
        <v>1842.0699999999997</v>
      </c>
      <c r="K24" s="28">
        <v>10655.83</v>
      </c>
      <c r="L24" s="29">
        <v>46081</v>
      </c>
      <c r="M24" s="31">
        <f t="shared" si="2"/>
        <v>352550.62999999977</v>
      </c>
    </row>
    <row r="25" spans="3:13" x14ac:dyDescent="0.3">
      <c r="C25" s="40"/>
      <c r="D25" s="41"/>
      <c r="E25" s="42"/>
      <c r="F25" s="42"/>
      <c r="G25" s="42"/>
      <c r="H25" s="42"/>
      <c r="I25" s="28">
        <v>8813.76</v>
      </c>
      <c r="J25" s="77">
        <f t="shared" si="3"/>
        <v>1930.2099999999991</v>
      </c>
      <c r="K25" s="28">
        <v>10743.97</v>
      </c>
      <c r="L25" s="29">
        <v>46112</v>
      </c>
      <c r="M25" s="31">
        <f t="shared" si="2"/>
        <v>343736.86999999976</v>
      </c>
    </row>
    <row r="26" spans="3:13" x14ac:dyDescent="0.3">
      <c r="C26" s="40"/>
      <c r="D26" s="41"/>
      <c r="E26" s="42"/>
      <c r="F26" s="42"/>
      <c r="G26" s="42"/>
      <c r="H26" s="42"/>
      <c r="I26" s="28">
        <v>8813.76</v>
      </c>
      <c r="J26" s="77">
        <f t="shared" si="3"/>
        <v>2036.8500000000004</v>
      </c>
      <c r="K26" s="28">
        <v>10850.61</v>
      </c>
      <c r="L26" s="29">
        <v>46142</v>
      </c>
      <c r="M26" s="31">
        <f t="shared" si="2"/>
        <v>334923.10999999975</v>
      </c>
    </row>
    <row r="27" spans="3:13" x14ac:dyDescent="0.3">
      <c r="C27" s="40"/>
      <c r="D27" s="41"/>
      <c r="E27" s="42"/>
      <c r="F27" s="42"/>
      <c r="G27" s="42"/>
      <c r="H27" s="42"/>
      <c r="I27" s="28">
        <v>8813.76</v>
      </c>
      <c r="J27" s="77">
        <f t="shared" si="3"/>
        <v>2132.92</v>
      </c>
      <c r="K27" s="28">
        <v>10946.68</v>
      </c>
      <c r="L27" s="29">
        <v>46173</v>
      </c>
      <c r="M27" s="31">
        <f t="shared" si="2"/>
        <v>326109.34999999974</v>
      </c>
    </row>
    <row r="28" spans="3:13" x14ac:dyDescent="0.3">
      <c r="C28" s="40"/>
      <c r="D28" s="41"/>
      <c r="E28" s="42"/>
      <c r="F28" s="42"/>
      <c r="G28" s="42"/>
      <c r="H28" s="42"/>
      <c r="I28" s="28">
        <v>8813.76</v>
      </c>
      <c r="J28" s="77">
        <f t="shared" si="3"/>
        <v>2227.2299999999996</v>
      </c>
      <c r="K28" s="28">
        <v>11040.99</v>
      </c>
      <c r="L28" s="29">
        <v>46203</v>
      </c>
      <c r="M28" s="31">
        <f t="shared" si="2"/>
        <v>317295.58999999973</v>
      </c>
    </row>
    <row r="29" spans="3:13" x14ac:dyDescent="0.3">
      <c r="C29" s="40"/>
      <c r="D29" s="41"/>
      <c r="E29" s="42"/>
      <c r="F29" s="42"/>
      <c r="G29" s="42"/>
      <c r="H29" s="42"/>
      <c r="I29" s="28">
        <v>8813.76</v>
      </c>
      <c r="J29" s="77">
        <f t="shared" si="3"/>
        <v>2325.9499999999989</v>
      </c>
      <c r="K29" s="28">
        <v>11139.71</v>
      </c>
      <c r="L29" s="29">
        <v>46234</v>
      </c>
      <c r="M29" s="31">
        <f t="shared" si="2"/>
        <v>308481.82999999973</v>
      </c>
    </row>
    <row r="30" spans="3:13" x14ac:dyDescent="0.3">
      <c r="C30" s="40"/>
      <c r="D30" s="41"/>
      <c r="E30" s="42"/>
      <c r="F30" s="42"/>
      <c r="G30" s="42"/>
      <c r="H30" s="42"/>
      <c r="I30" s="28">
        <v>8813.76</v>
      </c>
      <c r="J30" s="77">
        <f t="shared" si="3"/>
        <v>2433.4699999999993</v>
      </c>
      <c r="K30" s="28">
        <v>11247.23</v>
      </c>
      <c r="L30" s="29">
        <v>46265</v>
      </c>
      <c r="M30" s="31">
        <f t="shared" si="2"/>
        <v>299668.06999999972</v>
      </c>
    </row>
    <row r="31" spans="3:13" x14ac:dyDescent="0.3">
      <c r="C31" s="40"/>
      <c r="D31" s="41"/>
      <c r="E31" s="42"/>
      <c r="F31" s="42"/>
      <c r="G31" s="42"/>
      <c r="H31" s="42"/>
      <c r="I31" s="28">
        <v>8813.76</v>
      </c>
      <c r="J31" s="77">
        <f t="shared" si="3"/>
        <v>2529.5399999999991</v>
      </c>
      <c r="K31" s="28">
        <v>11343.3</v>
      </c>
      <c r="L31" s="29">
        <v>46295</v>
      </c>
      <c r="M31" s="31">
        <f t="shared" si="2"/>
        <v>290854.30999999971</v>
      </c>
    </row>
    <row r="32" spans="3:13" x14ac:dyDescent="0.3">
      <c r="C32" s="40"/>
      <c r="D32" s="41"/>
      <c r="E32" s="42"/>
      <c r="F32" s="42"/>
      <c r="G32" s="42"/>
      <c r="H32" s="42"/>
      <c r="I32" s="28">
        <v>8813.76</v>
      </c>
      <c r="J32" s="77"/>
      <c r="K32" s="28">
        <f t="shared" si="1"/>
        <v>8813.76</v>
      </c>
      <c r="L32" s="29">
        <v>46326</v>
      </c>
      <c r="M32" s="31">
        <f t="shared" si="2"/>
        <v>282040.5499999997</v>
      </c>
    </row>
    <row r="33" spans="3:13" x14ac:dyDescent="0.3">
      <c r="C33" s="40"/>
      <c r="D33" s="41"/>
      <c r="E33" s="42"/>
      <c r="F33" s="42"/>
      <c r="G33" s="42"/>
      <c r="H33" s="42"/>
      <c r="I33" s="28">
        <v>8813.76</v>
      </c>
      <c r="J33" s="77"/>
      <c r="K33" s="28">
        <f t="shared" si="1"/>
        <v>8813.76</v>
      </c>
      <c r="L33" s="29">
        <v>46356</v>
      </c>
      <c r="M33" s="31">
        <f t="shared" si="2"/>
        <v>273226.78999999969</v>
      </c>
    </row>
    <row r="34" spans="3:13" x14ac:dyDescent="0.3">
      <c r="C34" s="40"/>
      <c r="D34" s="41"/>
      <c r="E34" s="42"/>
      <c r="F34" s="42"/>
      <c r="G34" s="42"/>
      <c r="H34" s="42"/>
      <c r="I34" s="28">
        <v>8813.76</v>
      </c>
      <c r="J34" s="77"/>
      <c r="K34" s="28">
        <f t="shared" si="1"/>
        <v>8813.76</v>
      </c>
      <c r="L34" s="29">
        <v>46387</v>
      </c>
      <c r="M34" s="31">
        <f t="shared" si="2"/>
        <v>264413.02999999968</v>
      </c>
    </row>
    <row r="35" spans="3:13" x14ac:dyDescent="0.3">
      <c r="C35" s="40"/>
      <c r="D35" s="41"/>
      <c r="E35" s="42"/>
      <c r="F35" s="42"/>
      <c r="G35" s="42"/>
      <c r="H35" s="42"/>
      <c r="I35" s="28">
        <v>8813.76</v>
      </c>
      <c r="J35" s="77"/>
      <c r="K35" s="28">
        <f t="shared" si="1"/>
        <v>8813.76</v>
      </c>
      <c r="L35" s="29">
        <v>46418</v>
      </c>
      <c r="M35" s="31">
        <f t="shared" si="2"/>
        <v>255599.26999999967</v>
      </c>
    </row>
    <row r="36" spans="3:13" x14ac:dyDescent="0.3">
      <c r="C36" s="40"/>
      <c r="D36" s="41"/>
      <c r="E36" s="42"/>
      <c r="F36" s="42"/>
      <c r="G36" s="42"/>
      <c r="H36" s="42"/>
      <c r="I36" s="28">
        <v>8813.76</v>
      </c>
      <c r="J36" s="77"/>
      <c r="K36" s="28">
        <f t="shared" si="1"/>
        <v>8813.76</v>
      </c>
      <c r="L36" s="29">
        <v>46446</v>
      </c>
      <c r="M36" s="31">
        <f t="shared" si="2"/>
        <v>246785.50999999966</v>
      </c>
    </row>
    <row r="37" spans="3:13" x14ac:dyDescent="0.3">
      <c r="C37" s="40"/>
      <c r="D37" s="41"/>
      <c r="E37" s="42"/>
      <c r="F37" s="42"/>
      <c r="G37" s="42"/>
      <c r="H37" s="42"/>
      <c r="I37" s="28">
        <v>8813.76</v>
      </c>
      <c r="J37" s="77"/>
      <c r="K37" s="28">
        <f t="shared" si="1"/>
        <v>8813.76</v>
      </c>
      <c r="L37" s="29">
        <v>46477</v>
      </c>
      <c r="M37" s="31">
        <f t="shared" si="2"/>
        <v>237971.74999999965</v>
      </c>
    </row>
    <row r="38" spans="3:13" x14ac:dyDescent="0.3">
      <c r="C38" s="40"/>
      <c r="D38" s="41"/>
      <c r="E38" s="42"/>
      <c r="F38" s="42"/>
      <c r="G38" s="42"/>
      <c r="H38" s="42"/>
      <c r="I38" s="28">
        <v>8813.76</v>
      </c>
      <c r="J38" s="77"/>
      <c r="K38" s="28">
        <f t="shared" si="1"/>
        <v>8813.76</v>
      </c>
      <c r="L38" s="29">
        <v>46507</v>
      </c>
      <c r="M38" s="31">
        <f t="shared" si="2"/>
        <v>229157.98999999964</v>
      </c>
    </row>
    <row r="39" spans="3:13" x14ac:dyDescent="0.3">
      <c r="C39" s="40"/>
      <c r="D39" s="41"/>
      <c r="E39" s="42"/>
      <c r="F39" s="42"/>
      <c r="G39" s="42"/>
      <c r="H39" s="42"/>
      <c r="I39" s="28">
        <v>8813.76</v>
      </c>
      <c r="J39" s="77"/>
      <c r="K39" s="28">
        <f t="shared" si="1"/>
        <v>8813.76</v>
      </c>
      <c r="L39" s="29">
        <v>46538</v>
      </c>
      <c r="M39" s="31">
        <f t="shared" si="2"/>
        <v>220344.22999999963</v>
      </c>
    </row>
    <row r="40" spans="3:13" x14ac:dyDescent="0.3">
      <c r="C40" s="40"/>
      <c r="D40" s="41"/>
      <c r="E40" s="42"/>
      <c r="F40" s="42"/>
      <c r="G40" s="42"/>
      <c r="H40" s="42"/>
      <c r="I40" s="28">
        <v>8813.76</v>
      </c>
      <c r="J40" s="77"/>
      <c r="K40" s="28">
        <f t="shared" si="1"/>
        <v>8813.76</v>
      </c>
      <c r="L40" s="29">
        <v>46568</v>
      </c>
      <c r="M40" s="31">
        <f t="shared" si="2"/>
        <v>211530.46999999962</v>
      </c>
    </row>
    <row r="41" spans="3:13" x14ac:dyDescent="0.3">
      <c r="C41" s="40"/>
      <c r="D41" s="41"/>
      <c r="E41" s="42"/>
      <c r="F41" s="42"/>
      <c r="G41" s="42"/>
      <c r="H41" s="42"/>
      <c r="I41" s="28">
        <v>8813.76</v>
      </c>
      <c r="J41" s="77"/>
      <c r="K41" s="28">
        <f t="shared" si="1"/>
        <v>8813.76</v>
      </c>
      <c r="L41" s="29">
        <v>46599</v>
      </c>
      <c r="M41" s="31">
        <f t="shared" si="2"/>
        <v>202716.70999999961</v>
      </c>
    </row>
    <row r="42" spans="3:13" x14ac:dyDescent="0.3">
      <c r="C42" s="40"/>
      <c r="D42" s="41"/>
      <c r="E42" s="42"/>
      <c r="F42" s="42"/>
      <c r="G42" s="42"/>
      <c r="H42" s="42"/>
      <c r="I42" s="28">
        <v>8813.76</v>
      </c>
      <c r="J42" s="77"/>
      <c r="K42" s="28">
        <f t="shared" si="1"/>
        <v>8813.76</v>
      </c>
      <c r="L42" s="29">
        <v>46630</v>
      </c>
      <c r="M42" s="31">
        <f t="shared" si="2"/>
        <v>193902.9499999996</v>
      </c>
    </row>
    <row r="43" spans="3:13" x14ac:dyDescent="0.3">
      <c r="C43" s="40"/>
      <c r="D43" s="41"/>
      <c r="E43" s="42"/>
      <c r="F43" s="42"/>
      <c r="G43" s="42"/>
      <c r="H43" s="42"/>
      <c r="I43" s="28">
        <v>8813.76</v>
      </c>
      <c r="J43" s="77"/>
      <c r="K43" s="28">
        <f t="shared" si="1"/>
        <v>8813.76</v>
      </c>
      <c r="L43" s="29">
        <v>46660</v>
      </c>
      <c r="M43" s="31">
        <f t="shared" si="2"/>
        <v>185089.18999999959</v>
      </c>
    </row>
    <row r="44" spans="3:13" x14ac:dyDescent="0.3">
      <c r="C44" s="40"/>
      <c r="D44" s="41"/>
      <c r="E44" s="42"/>
      <c r="F44" s="42"/>
      <c r="G44" s="42"/>
      <c r="H44" s="42"/>
      <c r="I44" s="28">
        <v>8813.76</v>
      </c>
      <c r="J44" s="77"/>
      <c r="K44" s="28">
        <f t="shared" si="1"/>
        <v>8813.76</v>
      </c>
      <c r="L44" s="29">
        <v>46691</v>
      </c>
      <c r="M44" s="31">
        <f t="shared" si="2"/>
        <v>176275.42999999959</v>
      </c>
    </row>
    <row r="45" spans="3:13" x14ac:dyDescent="0.3">
      <c r="C45" s="40"/>
      <c r="D45" s="41"/>
      <c r="E45" s="42"/>
      <c r="F45" s="42"/>
      <c r="G45" s="42"/>
      <c r="H45" s="42"/>
      <c r="I45" s="28">
        <v>8813.76</v>
      </c>
      <c r="J45" s="77"/>
      <c r="K45" s="28">
        <f t="shared" si="1"/>
        <v>8813.76</v>
      </c>
      <c r="L45" s="29">
        <v>46721</v>
      </c>
      <c r="M45" s="31">
        <f t="shared" si="2"/>
        <v>167461.66999999958</v>
      </c>
    </row>
    <row r="46" spans="3:13" x14ac:dyDescent="0.3">
      <c r="C46" s="40"/>
      <c r="D46" s="41"/>
      <c r="E46" s="42"/>
      <c r="F46" s="42"/>
      <c r="G46" s="42"/>
      <c r="H46" s="42"/>
      <c r="I46" s="28">
        <v>8813.76</v>
      </c>
      <c r="J46" s="77"/>
      <c r="K46" s="28">
        <f t="shared" si="1"/>
        <v>8813.76</v>
      </c>
      <c r="L46" s="29">
        <v>46752</v>
      </c>
      <c r="M46" s="31">
        <f t="shared" si="2"/>
        <v>158647.90999999957</v>
      </c>
    </row>
    <row r="47" spans="3:13" x14ac:dyDescent="0.3">
      <c r="C47" s="40"/>
      <c r="D47" s="41"/>
      <c r="E47" s="42"/>
      <c r="F47" s="42"/>
      <c r="G47" s="42"/>
      <c r="H47" s="42"/>
      <c r="I47" s="28">
        <v>8813.76</v>
      </c>
      <c r="J47" s="77"/>
      <c r="K47" s="28">
        <f t="shared" si="1"/>
        <v>8813.76</v>
      </c>
      <c r="L47" s="29">
        <v>46783</v>
      </c>
      <c r="M47" s="31">
        <f t="shared" si="2"/>
        <v>149834.14999999956</v>
      </c>
    </row>
    <row r="48" spans="3:13" x14ac:dyDescent="0.3">
      <c r="C48" s="40"/>
      <c r="D48" s="41"/>
      <c r="E48" s="42"/>
      <c r="F48" s="42"/>
      <c r="G48" s="42"/>
      <c r="H48" s="42"/>
      <c r="I48" s="28">
        <v>8813.76</v>
      </c>
      <c r="J48" s="77"/>
      <c r="K48" s="28">
        <f t="shared" si="1"/>
        <v>8813.76</v>
      </c>
      <c r="L48" s="29">
        <v>46812</v>
      </c>
      <c r="M48" s="31">
        <f t="shared" si="2"/>
        <v>141020.38999999955</v>
      </c>
    </row>
    <row r="49" spans="3:13" x14ac:dyDescent="0.3">
      <c r="C49" s="40"/>
      <c r="D49" s="41"/>
      <c r="E49" s="42"/>
      <c r="F49" s="42"/>
      <c r="G49" s="42"/>
      <c r="H49" s="42"/>
      <c r="I49" s="28">
        <v>8813.76</v>
      </c>
      <c r="J49" s="77"/>
      <c r="K49" s="28">
        <f t="shared" si="1"/>
        <v>8813.76</v>
      </c>
      <c r="L49" s="29">
        <v>46843</v>
      </c>
      <c r="M49" s="31">
        <f t="shared" si="2"/>
        <v>132206.62999999954</v>
      </c>
    </row>
    <row r="50" spans="3:13" x14ac:dyDescent="0.3">
      <c r="C50" s="40"/>
      <c r="D50" s="41"/>
      <c r="E50" s="42"/>
      <c r="F50" s="42"/>
      <c r="G50" s="42"/>
      <c r="H50" s="42"/>
      <c r="I50" s="28">
        <v>8813.76</v>
      </c>
      <c r="J50" s="77"/>
      <c r="K50" s="28">
        <f t="shared" si="1"/>
        <v>8813.76</v>
      </c>
      <c r="L50" s="29">
        <v>46873</v>
      </c>
      <c r="M50" s="31">
        <f t="shared" si="2"/>
        <v>123392.86999999954</v>
      </c>
    </row>
    <row r="51" spans="3:13" x14ac:dyDescent="0.3">
      <c r="C51" s="40"/>
      <c r="D51" s="41"/>
      <c r="E51" s="42"/>
      <c r="F51" s="42"/>
      <c r="G51" s="42"/>
      <c r="H51" s="42"/>
      <c r="I51" s="28">
        <v>8813.76</v>
      </c>
      <c r="J51" s="77"/>
      <c r="K51" s="28">
        <f t="shared" si="1"/>
        <v>8813.76</v>
      </c>
      <c r="L51" s="29">
        <v>46904</v>
      </c>
      <c r="M51" s="31">
        <f t="shared" si="2"/>
        <v>114579.10999999955</v>
      </c>
    </row>
    <row r="52" spans="3:13" x14ac:dyDescent="0.3">
      <c r="C52" s="40"/>
      <c r="D52" s="41"/>
      <c r="E52" s="42"/>
      <c r="F52" s="42"/>
      <c r="G52" s="42"/>
      <c r="H52" s="42"/>
      <c r="I52" s="28">
        <v>8813.76</v>
      </c>
      <c r="J52" s="77"/>
      <c r="K52" s="28">
        <f t="shared" si="1"/>
        <v>8813.76</v>
      </c>
      <c r="L52" s="29">
        <v>46934</v>
      </c>
      <c r="M52" s="31">
        <f t="shared" si="2"/>
        <v>105765.34999999955</v>
      </c>
    </row>
    <row r="53" spans="3:13" x14ac:dyDescent="0.3">
      <c r="C53" s="40"/>
      <c r="D53" s="41"/>
      <c r="E53" s="42"/>
      <c r="F53" s="42"/>
      <c r="G53" s="42"/>
      <c r="H53" s="42"/>
      <c r="I53" s="28">
        <v>8813.76</v>
      </c>
      <c r="J53" s="77"/>
      <c r="K53" s="28">
        <f t="shared" si="1"/>
        <v>8813.76</v>
      </c>
      <c r="L53" s="29">
        <v>46965</v>
      </c>
      <c r="M53" s="31">
        <f t="shared" si="2"/>
        <v>96951.58999999956</v>
      </c>
    </row>
    <row r="54" spans="3:13" x14ac:dyDescent="0.3">
      <c r="C54" s="40"/>
      <c r="D54" s="41"/>
      <c r="E54" s="42"/>
      <c r="F54" s="42"/>
      <c r="G54" s="42"/>
      <c r="H54" s="42"/>
      <c r="I54" s="28">
        <v>8813.76</v>
      </c>
      <c r="J54" s="77"/>
      <c r="K54" s="28">
        <f t="shared" si="1"/>
        <v>8813.76</v>
      </c>
      <c r="L54" s="29">
        <v>46996</v>
      </c>
      <c r="M54" s="31">
        <f t="shared" si="2"/>
        <v>88137.829999999565</v>
      </c>
    </row>
    <row r="55" spans="3:13" x14ac:dyDescent="0.3">
      <c r="C55" s="40"/>
      <c r="D55" s="41"/>
      <c r="E55" s="42"/>
      <c r="F55" s="42"/>
      <c r="G55" s="42"/>
      <c r="H55" s="42"/>
      <c r="I55" s="28">
        <v>8813.76</v>
      </c>
      <c r="J55" s="77"/>
      <c r="K55" s="28">
        <f t="shared" si="1"/>
        <v>8813.76</v>
      </c>
      <c r="L55" s="29">
        <v>47026</v>
      </c>
      <c r="M55" s="31">
        <f t="shared" si="2"/>
        <v>79324.06999999957</v>
      </c>
    </row>
    <row r="56" spans="3:13" x14ac:dyDescent="0.3">
      <c r="C56" s="40"/>
      <c r="D56" s="41"/>
      <c r="E56" s="42"/>
      <c r="F56" s="42"/>
      <c r="G56" s="42"/>
      <c r="H56" s="42"/>
      <c r="I56" s="28">
        <v>8813.76</v>
      </c>
      <c r="J56" s="77"/>
      <c r="K56" s="28">
        <f t="shared" si="1"/>
        <v>8813.76</v>
      </c>
      <c r="L56" s="29">
        <v>47057</v>
      </c>
      <c r="M56" s="31">
        <f t="shared" si="2"/>
        <v>70510.309999999576</v>
      </c>
    </row>
    <row r="57" spans="3:13" x14ac:dyDescent="0.3">
      <c r="C57" s="40"/>
      <c r="D57" s="41"/>
      <c r="E57" s="42"/>
      <c r="F57" s="42"/>
      <c r="G57" s="42"/>
      <c r="H57" s="42"/>
      <c r="I57" s="28">
        <v>8813.76</v>
      </c>
      <c r="J57" s="77"/>
      <c r="K57" s="28">
        <f t="shared" si="1"/>
        <v>8813.76</v>
      </c>
      <c r="L57" s="29">
        <v>47087</v>
      </c>
      <c r="M57" s="31">
        <f t="shared" si="2"/>
        <v>61696.549999999574</v>
      </c>
    </row>
    <row r="58" spans="3:13" x14ac:dyDescent="0.3">
      <c r="C58" s="40"/>
      <c r="D58" s="41"/>
      <c r="E58" s="42"/>
      <c r="F58" s="42"/>
      <c r="G58" s="42"/>
      <c r="H58" s="42"/>
      <c r="I58" s="28">
        <v>8813.76</v>
      </c>
      <c r="J58" s="77"/>
      <c r="K58" s="28">
        <f t="shared" si="1"/>
        <v>8813.76</v>
      </c>
      <c r="L58" s="29">
        <v>47118</v>
      </c>
      <c r="M58" s="31">
        <f t="shared" si="2"/>
        <v>52882.789999999572</v>
      </c>
    </row>
    <row r="59" spans="3:13" x14ac:dyDescent="0.3">
      <c r="C59" s="40"/>
      <c r="D59" s="41"/>
      <c r="E59" s="42"/>
      <c r="F59" s="42"/>
      <c r="G59" s="42"/>
      <c r="H59" s="42"/>
      <c r="I59" s="28">
        <v>8813.76</v>
      </c>
      <c r="J59" s="77"/>
      <c r="K59" s="28">
        <f t="shared" si="1"/>
        <v>8813.76</v>
      </c>
      <c r="L59" s="29">
        <v>47149</v>
      </c>
      <c r="M59" s="31">
        <f t="shared" si="2"/>
        <v>44069.02999999957</v>
      </c>
    </row>
    <row r="60" spans="3:13" x14ac:dyDescent="0.3">
      <c r="C60" s="40"/>
      <c r="D60" s="41"/>
      <c r="E60" s="42"/>
      <c r="F60" s="42"/>
      <c r="G60" s="42"/>
      <c r="H60" s="42"/>
      <c r="I60" s="28">
        <v>8813.76</v>
      </c>
      <c r="J60" s="77"/>
      <c r="K60" s="28">
        <f t="shared" si="1"/>
        <v>8813.76</v>
      </c>
      <c r="L60" s="29">
        <v>47177</v>
      </c>
      <c r="M60" s="31">
        <f t="shared" si="2"/>
        <v>35255.269999999568</v>
      </c>
    </row>
    <row r="61" spans="3:13" x14ac:dyDescent="0.3">
      <c r="C61" s="40"/>
      <c r="D61" s="41"/>
      <c r="E61" s="42"/>
      <c r="F61" s="42"/>
      <c r="G61" s="42"/>
      <c r="H61" s="42"/>
      <c r="I61" s="28">
        <v>8813.76</v>
      </c>
      <c r="J61" s="77"/>
      <c r="K61" s="28">
        <f t="shared" si="1"/>
        <v>8813.76</v>
      </c>
      <c r="L61" s="29">
        <v>47208</v>
      </c>
      <c r="M61" s="31">
        <f t="shared" si="2"/>
        <v>26441.509999999565</v>
      </c>
    </row>
    <row r="62" spans="3:13" x14ac:dyDescent="0.3">
      <c r="C62" s="40"/>
      <c r="D62" s="41"/>
      <c r="E62" s="42"/>
      <c r="F62" s="42"/>
      <c r="G62" s="42"/>
      <c r="H62" s="42"/>
      <c r="I62" s="28">
        <v>8813.76</v>
      </c>
      <c r="J62" s="77"/>
      <c r="K62" s="28">
        <f t="shared" si="1"/>
        <v>8813.76</v>
      </c>
      <c r="L62" s="29">
        <v>47238</v>
      </c>
      <c r="M62" s="31">
        <f t="shared" si="2"/>
        <v>17627.749999999563</v>
      </c>
    </row>
    <row r="63" spans="3:13" x14ac:dyDescent="0.3">
      <c r="C63" s="40"/>
      <c r="D63" s="41"/>
      <c r="E63" s="42"/>
      <c r="F63" s="42"/>
      <c r="G63" s="42"/>
      <c r="H63" s="42"/>
      <c r="I63" s="28">
        <v>8813.99</v>
      </c>
      <c r="J63" s="77"/>
      <c r="K63" s="28">
        <f t="shared" si="1"/>
        <v>8813.99</v>
      </c>
      <c r="L63" s="29">
        <v>47269</v>
      </c>
      <c r="M63" s="31">
        <f t="shared" si="2"/>
        <v>8813.7599999995637</v>
      </c>
    </row>
    <row r="64" spans="3:13" x14ac:dyDescent="0.3">
      <c r="C64" s="40"/>
      <c r="D64" s="41"/>
      <c r="E64" s="42"/>
      <c r="F64" s="42"/>
      <c r="G64" s="42"/>
      <c r="H64" s="42"/>
      <c r="I64" s="87">
        <f>SUM(I4:I63)</f>
        <v>528825.83000000042</v>
      </c>
      <c r="J64" s="87">
        <f>SUM(J4:J63)</f>
        <v>33892.76</v>
      </c>
      <c r="K64" s="87">
        <f>SUM(K4:K63)</f>
        <v>562718.5900000002</v>
      </c>
      <c r="L64" s="43"/>
      <c r="M64" s="44"/>
    </row>
    <row r="65" spans="3:13" x14ac:dyDescent="0.3">
      <c r="C65" s="40"/>
      <c r="D65" s="41"/>
      <c r="E65" s="42"/>
      <c r="F65" s="42"/>
      <c r="G65" s="42"/>
      <c r="H65" s="42"/>
      <c r="I65" s="42"/>
      <c r="J65" s="42"/>
      <c r="K65" s="42"/>
      <c r="L65" s="43"/>
      <c r="M65" s="44"/>
    </row>
    <row r="66" spans="3:13" x14ac:dyDescent="0.3">
      <c r="C66" s="40"/>
      <c r="D66" s="41"/>
      <c r="E66" s="42"/>
      <c r="F66" s="42"/>
      <c r="G66" s="42"/>
      <c r="H66" s="42"/>
      <c r="I66" s="42"/>
      <c r="J66" s="42"/>
      <c r="K66" s="42"/>
      <c r="L66" s="43"/>
      <c r="M66" s="44"/>
    </row>
    <row r="67" spans="3:13" x14ac:dyDescent="0.3">
      <c r="C67" s="40"/>
      <c r="D67" s="41"/>
      <c r="E67" s="42"/>
      <c r="F67" s="42"/>
      <c r="G67" s="42"/>
      <c r="H67" s="42"/>
      <c r="I67" s="42"/>
      <c r="J67" s="42"/>
      <c r="K67" s="42"/>
      <c r="L67" s="43"/>
      <c r="M67" s="44"/>
    </row>
    <row r="68" spans="3:13" x14ac:dyDescent="0.3">
      <c r="C68" s="40"/>
      <c r="D68" s="41"/>
      <c r="E68" s="42"/>
      <c r="F68" s="42"/>
      <c r="G68" s="42"/>
      <c r="H68" s="42"/>
      <c r="I68" s="42"/>
      <c r="J68" s="42"/>
      <c r="K68" s="42"/>
      <c r="L68" s="43"/>
      <c r="M68" s="44"/>
    </row>
    <row r="69" spans="3:13" x14ac:dyDescent="0.3">
      <c r="C69" s="40"/>
      <c r="D69" s="41"/>
      <c r="E69" s="42"/>
      <c r="F69" s="42"/>
      <c r="G69" s="42"/>
      <c r="H69" s="42"/>
      <c r="I69" s="42"/>
      <c r="J69" s="42"/>
      <c r="K69" s="42"/>
      <c r="L69" s="43"/>
      <c r="M69" s="44"/>
    </row>
    <row r="70" spans="3:13" x14ac:dyDescent="0.3">
      <c r="C70" s="40"/>
      <c r="D70" s="41"/>
      <c r="E70" s="42"/>
      <c r="F70" s="42"/>
      <c r="G70" s="42"/>
      <c r="H70" s="42"/>
      <c r="I70" s="42"/>
      <c r="J70" s="42"/>
      <c r="K70" s="42"/>
      <c r="L70" s="43"/>
      <c r="M70" s="44"/>
    </row>
    <row r="71" spans="3:13" x14ac:dyDescent="0.3">
      <c r="C71" s="40"/>
      <c r="D71" s="41"/>
      <c r="E71" s="42"/>
      <c r="F71" s="42"/>
      <c r="G71" s="42"/>
      <c r="H71" s="42"/>
      <c r="I71" s="42"/>
      <c r="J71" s="42"/>
      <c r="K71" s="42"/>
      <c r="L71" s="43"/>
      <c r="M71" s="44"/>
    </row>
    <row r="72" spans="3:13" x14ac:dyDescent="0.3">
      <c r="C72" s="40"/>
      <c r="D72" s="41"/>
      <c r="E72" s="42"/>
      <c r="F72" s="42"/>
      <c r="G72" s="42"/>
      <c r="H72" s="42"/>
      <c r="I72" s="42"/>
      <c r="J72" s="42"/>
      <c r="K72" s="42"/>
      <c r="L72" s="43"/>
      <c r="M72" s="44"/>
    </row>
    <row r="73" spans="3:13" x14ac:dyDescent="0.3">
      <c r="C73" s="40"/>
      <c r="D73" s="41"/>
      <c r="E73" s="42"/>
      <c r="F73" s="42"/>
      <c r="G73" s="42"/>
      <c r="H73" s="42"/>
      <c r="I73" s="42"/>
      <c r="J73" s="42"/>
      <c r="K73" s="42"/>
      <c r="L73" s="43"/>
      <c r="M73" s="44"/>
    </row>
    <row r="74" spans="3:13" x14ac:dyDescent="0.3">
      <c r="C74" s="40"/>
      <c r="D74" s="41"/>
      <c r="E74" s="42"/>
      <c r="F74" s="42"/>
      <c r="G74" s="42"/>
      <c r="H74" s="42"/>
      <c r="I74" s="42"/>
      <c r="J74" s="42"/>
      <c r="K74" s="42"/>
      <c r="L74" s="43"/>
      <c r="M74" s="44"/>
    </row>
    <row r="75" spans="3:13" x14ac:dyDescent="0.3">
      <c r="C75" s="40"/>
      <c r="D75" s="41"/>
      <c r="E75" s="42"/>
      <c r="F75" s="42"/>
      <c r="G75" s="42"/>
      <c r="H75" s="42"/>
      <c r="I75" s="42"/>
      <c r="J75" s="42"/>
      <c r="K75" s="42"/>
      <c r="L75" s="43"/>
      <c r="M75" s="44"/>
    </row>
    <row r="76" spans="3:13" x14ac:dyDescent="0.3">
      <c r="C76" s="40"/>
      <c r="D76" s="41"/>
      <c r="E76" s="42"/>
      <c r="F76" s="42"/>
      <c r="G76" s="42"/>
      <c r="H76" s="42"/>
      <c r="I76" s="42"/>
      <c r="J76" s="42"/>
      <c r="K76" s="42"/>
      <c r="L76" s="43"/>
      <c r="M76" s="44"/>
    </row>
    <row r="77" spans="3:13" x14ac:dyDescent="0.3">
      <c r="C77" s="40"/>
      <c r="D77" s="41"/>
      <c r="E77" s="42"/>
      <c r="F77" s="42"/>
      <c r="G77" s="42"/>
      <c r="H77" s="42"/>
      <c r="I77" s="42"/>
      <c r="J77" s="42"/>
      <c r="K77" s="42"/>
      <c r="L77" s="43"/>
      <c r="M77" s="44"/>
    </row>
    <row r="78" spans="3:13" x14ac:dyDescent="0.3">
      <c r="C78" s="40"/>
      <c r="D78" s="41"/>
      <c r="E78" s="42"/>
      <c r="F78" s="42"/>
      <c r="G78" s="42"/>
      <c r="H78" s="42"/>
      <c r="I78" s="42"/>
      <c r="J78" s="42"/>
      <c r="K78" s="42"/>
      <c r="L78" s="43"/>
      <c r="M78" s="44"/>
    </row>
    <row r="79" spans="3:13" x14ac:dyDescent="0.3">
      <c r="C79" s="40"/>
      <c r="D79" s="41"/>
      <c r="E79" s="42"/>
      <c r="F79" s="42"/>
      <c r="G79" s="42"/>
      <c r="H79" s="42"/>
      <c r="I79" s="42"/>
      <c r="J79" s="42"/>
      <c r="K79" s="42"/>
      <c r="L79" s="43"/>
      <c r="M79" s="44"/>
    </row>
    <row r="80" spans="3:13" x14ac:dyDescent="0.3">
      <c r="C80" s="40"/>
      <c r="D80" s="41"/>
      <c r="E80" s="42"/>
      <c r="F80" s="42"/>
      <c r="G80" s="42"/>
      <c r="H80" s="42"/>
      <c r="I80" s="42"/>
      <c r="J80" s="42"/>
      <c r="K80" s="42"/>
      <c r="L80" s="43"/>
      <c r="M80" s="44"/>
    </row>
    <row r="81" spans="3:13" x14ac:dyDescent="0.3">
      <c r="C81" s="40"/>
      <c r="D81" s="41"/>
      <c r="E81" s="42"/>
      <c r="F81" s="42"/>
      <c r="G81" s="42"/>
      <c r="H81" s="42"/>
      <c r="I81" s="42"/>
      <c r="J81" s="42"/>
      <c r="K81" s="42"/>
      <c r="L81" s="43"/>
      <c r="M81" s="44"/>
    </row>
    <row r="82" spans="3:13" x14ac:dyDescent="0.3">
      <c r="C82" s="40"/>
      <c r="D82" s="41"/>
      <c r="E82" s="42"/>
      <c r="F82" s="42"/>
      <c r="G82" s="42"/>
      <c r="H82" s="42"/>
      <c r="I82" s="42"/>
      <c r="J82" s="42"/>
      <c r="K82" s="42"/>
      <c r="L82" s="43"/>
      <c r="M82" s="44"/>
    </row>
    <row r="83" spans="3:13" x14ac:dyDescent="0.3">
      <c r="C83" s="40"/>
      <c r="D83" s="41"/>
      <c r="E83" s="42"/>
      <c r="F83" s="42"/>
      <c r="G83" s="42"/>
      <c r="H83" s="42"/>
      <c r="I83" s="42"/>
      <c r="J83" s="42"/>
      <c r="K83" s="42"/>
      <c r="L83" s="43"/>
      <c r="M83" s="44"/>
    </row>
    <row r="84" spans="3:13" x14ac:dyDescent="0.3">
      <c r="C84" s="40"/>
      <c r="D84" s="41"/>
      <c r="E84" s="42"/>
      <c r="F84" s="42"/>
      <c r="G84" s="42"/>
      <c r="H84" s="42"/>
      <c r="I84" s="42"/>
      <c r="J84" s="42"/>
      <c r="K84" s="42"/>
      <c r="L84" s="43"/>
      <c r="M84" s="44"/>
    </row>
    <row r="85" spans="3:13" x14ac:dyDescent="0.3">
      <c r="H85" s="44"/>
      <c r="K85" s="44"/>
    </row>
  </sheetData>
  <mergeCells count="4">
    <mergeCell ref="O6:P6"/>
    <mergeCell ref="O9:Q9"/>
    <mergeCell ref="O10:Q10"/>
    <mergeCell ref="O11:Q1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R125"/>
  <sheetViews>
    <sheetView showGridLines="0" workbookViewId="0">
      <selection activeCell="R4" sqref="R4"/>
    </sheetView>
  </sheetViews>
  <sheetFormatPr defaultColWidth="9.109375" defaultRowHeight="14.4" x14ac:dyDescent="0.3"/>
  <cols>
    <col min="1" max="1" width="2.5546875" style="39" customWidth="1"/>
    <col min="2" max="2" width="55.6640625" style="39" bestFit="1" customWidth="1"/>
    <col min="3" max="3" width="9.33203125" style="39" bestFit="1" customWidth="1"/>
    <col min="4" max="4" width="11.88671875" style="39" bestFit="1" customWidth="1"/>
    <col min="5" max="5" width="13.33203125" style="39" bestFit="1" customWidth="1"/>
    <col min="6" max="6" width="10.88671875" style="39" customWidth="1"/>
    <col min="7" max="7" width="10.33203125" style="39" customWidth="1"/>
    <col min="8" max="11" width="13.33203125" style="39" customWidth="1"/>
    <col min="12" max="12" width="10.5546875" style="39" customWidth="1"/>
    <col min="13" max="13" width="12.88671875" style="39" customWidth="1"/>
    <col min="14" max="14" width="4.33203125" style="39" customWidth="1"/>
    <col min="15" max="15" width="13.109375" style="39" bestFit="1" customWidth="1"/>
    <col min="16" max="16" width="11.5546875" style="39" bestFit="1" customWidth="1"/>
    <col min="17" max="17" width="13.109375" style="39" bestFit="1" customWidth="1"/>
    <col min="18" max="18" width="14.6640625" style="39" customWidth="1"/>
    <col min="19" max="16384" width="9.109375" style="39"/>
  </cols>
  <sheetData>
    <row r="1" spans="2:18" customFormat="1" x14ac:dyDescent="0.3"/>
    <row r="2" spans="2:18" customFormat="1" ht="15" thickBot="1" x14ac:dyDescent="0.35"/>
    <row r="3" spans="2:18" customFormat="1" ht="15" thickBot="1" x14ac:dyDescent="0.35">
      <c r="B3" s="37" t="s">
        <v>27</v>
      </c>
      <c r="C3" s="30" t="s">
        <v>44</v>
      </c>
      <c r="D3" s="30" t="s">
        <v>45</v>
      </c>
      <c r="E3" s="30" t="s">
        <v>18</v>
      </c>
      <c r="F3" s="30" t="s">
        <v>19</v>
      </c>
      <c r="G3" s="30" t="s">
        <v>20</v>
      </c>
      <c r="H3" s="30" t="s">
        <v>21</v>
      </c>
      <c r="I3" s="30" t="s">
        <v>81</v>
      </c>
      <c r="J3" s="30" t="s">
        <v>15</v>
      </c>
      <c r="K3" s="30" t="s">
        <v>82</v>
      </c>
      <c r="L3" s="30" t="s">
        <v>22</v>
      </c>
      <c r="M3" s="30" t="s">
        <v>23</v>
      </c>
      <c r="O3" s="36" t="s">
        <v>24</v>
      </c>
      <c r="P3" s="36" t="s">
        <v>25</v>
      </c>
      <c r="Q3" s="35" t="s">
        <v>26</v>
      </c>
      <c r="R3" s="35" t="s">
        <v>15</v>
      </c>
    </row>
    <row r="4" spans="2:18" customFormat="1" ht="15" thickBot="1" x14ac:dyDescent="0.35">
      <c r="B4" s="79" t="s">
        <v>84</v>
      </c>
      <c r="C4" s="38">
        <v>45505</v>
      </c>
      <c r="D4" s="46">
        <v>45554</v>
      </c>
      <c r="E4" s="27">
        <v>452.04</v>
      </c>
      <c r="F4" s="27">
        <v>90.4</v>
      </c>
      <c r="G4" s="27">
        <v>12.29</v>
      </c>
      <c r="H4" s="47">
        <f>SUM(E4,F4,G4)</f>
        <v>554.73</v>
      </c>
      <c r="I4" s="28">
        <v>18504.38</v>
      </c>
      <c r="J4" s="28"/>
      <c r="K4" s="28"/>
      <c r="L4" s="29">
        <v>45632</v>
      </c>
      <c r="M4" s="31">
        <f ca="1">H125-M4</f>
        <v>0</v>
      </c>
      <c r="O4" s="32">
        <f>SUM(I4:I63)</f>
        <v>1110263.04</v>
      </c>
      <c r="P4" s="33">
        <f>I4+I5+I6+I7+I8+I9+I10+I11+I12+I13+I14+I15+I16+I17+I18+I19+I20+I21+I22+I23+I24+I25</f>
        <v>407096.36000000004</v>
      </c>
      <c r="Q4" s="34">
        <f>O4-P4</f>
        <v>703166.67999999993</v>
      </c>
      <c r="R4" s="34">
        <f>J5+J6+J7+J8+J9+J10+J11+J12+J13+J14+J15+J16+J17+J18+J19+J20+J21+J22+J23+J24+J25</f>
        <v>46880.719999999979</v>
      </c>
    </row>
    <row r="5" spans="2:18" customFormat="1" x14ac:dyDescent="0.3">
      <c r="B5" s="79" t="s">
        <v>84</v>
      </c>
      <c r="C5" s="38">
        <v>45536</v>
      </c>
      <c r="D5" s="46">
        <v>45583</v>
      </c>
      <c r="E5" s="27">
        <v>856</v>
      </c>
      <c r="F5" s="27">
        <v>171.2</v>
      </c>
      <c r="G5" s="27">
        <v>15.32</v>
      </c>
      <c r="H5" s="47">
        <f t="shared" ref="H5:H55" si="0">SUM(E5,F5,G5)</f>
        <v>1042.52</v>
      </c>
      <c r="I5" s="28">
        <v>18504.38</v>
      </c>
      <c r="J5" s="28">
        <v>185.04</v>
      </c>
      <c r="K5" s="28">
        <f t="shared" ref="K5:K7" si="1">I5+J5</f>
        <v>18689.420000000002</v>
      </c>
      <c r="L5" s="29">
        <v>45688</v>
      </c>
      <c r="M5" s="31">
        <f>I64-I5</f>
        <v>1091758.6600000001</v>
      </c>
    </row>
    <row r="6" spans="2:18" customFormat="1" x14ac:dyDescent="0.3">
      <c r="B6" s="79" t="s">
        <v>84</v>
      </c>
      <c r="C6" s="38">
        <v>45566</v>
      </c>
      <c r="D6" s="46">
        <v>45615</v>
      </c>
      <c r="E6" s="27">
        <v>1200.19</v>
      </c>
      <c r="F6" s="27">
        <v>240.03</v>
      </c>
      <c r="G6" s="27">
        <v>12</v>
      </c>
      <c r="H6" s="47">
        <f t="shared" si="0"/>
        <v>1452.22</v>
      </c>
      <c r="I6" s="28">
        <v>18504.38</v>
      </c>
      <c r="J6" s="28">
        <v>371.93</v>
      </c>
      <c r="K6" s="28">
        <f t="shared" si="1"/>
        <v>18876.310000000001</v>
      </c>
      <c r="L6" s="29">
        <v>45716</v>
      </c>
      <c r="M6" s="31">
        <f>M5-I6</f>
        <v>1073254.2800000003</v>
      </c>
      <c r="O6" s="130" t="s">
        <v>89</v>
      </c>
      <c r="P6" s="130"/>
      <c r="Q6" s="82">
        <f>Q4/O4-1</f>
        <v>-0.36666658740617009</v>
      </c>
    </row>
    <row r="7" spans="2:18" customFormat="1" x14ac:dyDescent="0.3">
      <c r="B7" s="79" t="s">
        <v>85</v>
      </c>
      <c r="C7" s="38">
        <v>45505</v>
      </c>
      <c r="D7" s="46">
        <v>45554</v>
      </c>
      <c r="E7" s="27">
        <v>169.24</v>
      </c>
      <c r="F7" s="27">
        <v>33.840000000000003</v>
      </c>
      <c r="G7" s="27">
        <v>4.5999999999999996</v>
      </c>
      <c r="H7" s="47">
        <f t="shared" si="0"/>
        <v>207.68</v>
      </c>
      <c r="I7" s="28">
        <v>18504.38</v>
      </c>
      <c r="J7" s="28">
        <v>555.13</v>
      </c>
      <c r="K7" s="28">
        <f t="shared" si="1"/>
        <v>19059.510000000002</v>
      </c>
      <c r="L7" s="29">
        <v>45747</v>
      </c>
      <c r="M7" s="31">
        <f t="shared" ref="M7:M63" si="2">M6-I7</f>
        <v>1054749.9000000004</v>
      </c>
      <c r="Q7" s="39"/>
    </row>
    <row r="8" spans="2:18" customFormat="1" x14ac:dyDescent="0.3">
      <c r="B8" s="79" t="s">
        <v>85</v>
      </c>
      <c r="C8" s="38">
        <v>45536</v>
      </c>
      <c r="D8" s="46">
        <v>45583</v>
      </c>
      <c r="E8" s="27">
        <v>169.24</v>
      </c>
      <c r="F8" s="27">
        <v>33.840000000000003</v>
      </c>
      <c r="G8" s="27">
        <v>3.02</v>
      </c>
      <c r="H8" s="47">
        <f t="shared" si="0"/>
        <v>206.10000000000002</v>
      </c>
      <c r="I8" s="28">
        <v>18504.38</v>
      </c>
      <c r="J8" s="28">
        <v>732.77</v>
      </c>
      <c r="K8" s="28">
        <f>I8+J8</f>
        <v>19237.150000000001</v>
      </c>
      <c r="L8" s="29">
        <v>45777</v>
      </c>
      <c r="M8" s="31">
        <f t="shared" si="2"/>
        <v>1036245.5200000004</v>
      </c>
    </row>
    <row r="9" spans="2:18" customFormat="1" x14ac:dyDescent="0.3">
      <c r="B9" s="79" t="s">
        <v>85</v>
      </c>
      <c r="C9" s="38">
        <v>45566</v>
      </c>
      <c r="D9" s="46">
        <v>45615</v>
      </c>
      <c r="E9" s="27">
        <v>169.24</v>
      </c>
      <c r="F9" s="27">
        <v>33.840000000000003</v>
      </c>
      <c r="G9" s="27">
        <v>1.69</v>
      </c>
      <c r="H9" s="47">
        <f t="shared" si="0"/>
        <v>204.77</v>
      </c>
      <c r="I9" s="28">
        <v>18504.38</v>
      </c>
      <c r="J9" s="28">
        <f t="shared" ref="J9:J25" si="3">K9-I9</f>
        <v>928.90999999999985</v>
      </c>
      <c r="K9" s="28">
        <v>19433.29</v>
      </c>
      <c r="L9" s="29">
        <v>45808</v>
      </c>
      <c r="M9" s="31">
        <f t="shared" si="2"/>
        <v>1017741.1400000004</v>
      </c>
      <c r="O9" s="134" t="s">
        <v>86</v>
      </c>
      <c r="P9" s="134"/>
      <c r="Q9" s="134"/>
    </row>
    <row r="10" spans="2:18" customFormat="1" x14ac:dyDescent="0.3">
      <c r="B10" s="79" t="s">
        <v>28</v>
      </c>
      <c r="C10" s="38">
        <v>45505</v>
      </c>
      <c r="D10" s="46">
        <v>45554</v>
      </c>
      <c r="E10" s="27">
        <v>2412</v>
      </c>
      <c r="F10" s="27">
        <v>482.4</v>
      </c>
      <c r="G10" s="27">
        <v>65.599999999999994</v>
      </c>
      <c r="H10" s="47">
        <f t="shared" si="0"/>
        <v>2960</v>
      </c>
      <c r="I10" s="28">
        <v>18504.38</v>
      </c>
      <c r="J10" s="28">
        <f t="shared" si="3"/>
        <v>1139.8600000000006</v>
      </c>
      <c r="K10" s="28">
        <v>19644.240000000002</v>
      </c>
      <c r="L10" s="29">
        <v>45838</v>
      </c>
      <c r="M10" s="31">
        <f t="shared" si="2"/>
        <v>999236.76000000036</v>
      </c>
      <c r="O10" s="131" t="s">
        <v>87</v>
      </c>
      <c r="P10" s="131"/>
      <c r="Q10" s="131"/>
    </row>
    <row r="11" spans="2:18" customFormat="1" x14ac:dyDescent="0.3">
      <c r="B11" s="79" t="s">
        <v>29</v>
      </c>
      <c r="C11" s="38">
        <v>45505</v>
      </c>
      <c r="D11" s="46">
        <v>45554</v>
      </c>
      <c r="E11" s="27">
        <v>17340.28</v>
      </c>
      <c r="F11" s="27">
        <v>3468.05</v>
      </c>
      <c r="G11" s="27">
        <v>471.65</v>
      </c>
      <c r="H11" s="47">
        <f t="shared" si="0"/>
        <v>21279.98</v>
      </c>
      <c r="I11" s="28">
        <v>18504.38</v>
      </c>
      <c r="J11" s="28">
        <f t="shared" si="3"/>
        <v>1343.4099999999999</v>
      </c>
      <c r="K11" s="28">
        <v>19847.79</v>
      </c>
      <c r="L11" s="29">
        <v>45869</v>
      </c>
      <c r="M11" s="31">
        <f t="shared" si="2"/>
        <v>980732.38000000035</v>
      </c>
      <c r="O11" s="132" t="s">
        <v>88</v>
      </c>
      <c r="P11" s="132"/>
      <c r="Q11" s="132"/>
    </row>
    <row r="12" spans="2:18" customFormat="1" x14ac:dyDescent="0.3">
      <c r="B12" s="79" t="s">
        <v>28</v>
      </c>
      <c r="C12" s="38">
        <v>45536</v>
      </c>
      <c r="D12" s="46">
        <v>45583</v>
      </c>
      <c r="E12" s="27">
        <v>2412</v>
      </c>
      <c r="F12" s="27">
        <v>482.4</v>
      </c>
      <c r="G12" s="27">
        <v>43.17</v>
      </c>
      <c r="H12" s="47">
        <f t="shared" si="0"/>
        <v>2937.57</v>
      </c>
      <c r="I12" s="28">
        <v>18504.38</v>
      </c>
      <c r="J12" s="28">
        <f t="shared" si="3"/>
        <v>1343.4099999999999</v>
      </c>
      <c r="K12" s="28">
        <v>19847.79</v>
      </c>
      <c r="L12" s="29">
        <v>45900</v>
      </c>
      <c r="M12" s="31">
        <f t="shared" si="2"/>
        <v>962228.00000000035</v>
      </c>
    </row>
    <row r="13" spans="2:18" customFormat="1" x14ac:dyDescent="0.3">
      <c r="B13" s="79" t="s">
        <v>29</v>
      </c>
      <c r="C13" s="38">
        <v>45536</v>
      </c>
      <c r="D13" s="46">
        <v>45583</v>
      </c>
      <c r="E13" s="27">
        <v>23268.32</v>
      </c>
      <c r="F13" s="27">
        <v>4653.66</v>
      </c>
      <c r="G13" s="27">
        <v>416.5</v>
      </c>
      <c r="H13" s="47">
        <f t="shared" si="0"/>
        <v>28338.48</v>
      </c>
      <c r="I13" s="28">
        <v>18504.38</v>
      </c>
      <c r="J13" s="28">
        <f t="shared" si="3"/>
        <v>1794.9199999999983</v>
      </c>
      <c r="K13" s="28">
        <v>20299.3</v>
      </c>
      <c r="L13" s="29">
        <v>45930</v>
      </c>
      <c r="M13" s="31">
        <f t="shared" si="2"/>
        <v>943723.62000000034</v>
      </c>
    </row>
    <row r="14" spans="2:18" customFormat="1" x14ac:dyDescent="0.3">
      <c r="B14" s="79" t="s">
        <v>28</v>
      </c>
      <c r="C14" s="38">
        <v>45566</v>
      </c>
      <c r="D14" s="46">
        <v>45615</v>
      </c>
      <c r="E14" s="27">
        <v>2412</v>
      </c>
      <c r="F14" s="27">
        <v>482.4</v>
      </c>
      <c r="G14" s="27">
        <v>24.12</v>
      </c>
      <c r="H14" s="47">
        <f t="shared" si="0"/>
        <v>2918.52</v>
      </c>
      <c r="I14" s="28">
        <v>18504.38</v>
      </c>
      <c r="J14" s="28">
        <f t="shared" si="3"/>
        <v>2020.6699999999983</v>
      </c>
      <c r="K14" s="28">
        <v>20525.05</v>
      </c>
      <c r="L14" s="29">
        <v>45961</v>
      </c>
      <c r="M14" s="31">
        <f t="shared" si="2"/>
        <v>925219.24000000034</v>
      </c>
    </row>
    <row r="15" spans="2:18" customFormat="1" x14ac:dyDescent="0.3">
      <c r="B15" s="79" t="s">
        <v>29</v>
      </c>
      <c r="C15" s="38">
        <v>45566</v>
      </c>
      <c r="D15" s="46">
        <v>45615</v>
      </c>
      <c r="E15" s="27">
        <v>30699.59</v>
      </c>
      <c r="F15" s="27">
        <v>6139.91</v>
      </c>
      <c r="G15" s="27">
        <v>306.99</v>
      </c>
      <c r="H15" s="47">
        <f t="shared" si="0"/>
        <v>37146.49</v>
      </c>
      <c r="I15" s="28">
        <v>18504.38</v>
      </c>
      <c r="J15" s="28">
        <f t="shared" si="3"/>
        <v>2257.5299999999988</v>
      </c>
      <c r="K15" s="28">
        <v>20761.91</v>
      </c>
      <c r="L15" s="29">
        <v>45991</v>
      </c>
      <c r="M15" s="31">
        <f t="shared" si="2"/>
        <v>906714.86000000034</v>
      </c>
      <c r="O15" s="88"/>
    </row>
    <row r="16" spans="2:18" customFormat="1" x14ac:dyDescent="0.3">
      <c r="B16" s="79" t="s">
        <v>30</v>
      </c>
      <c r="C16" s="38">
        <v>45505</v>
      </c>
      <c r="D16" s="46">
        <v>45554</v>
      </c>
      <c r="E16" s="27">
        <v>6753.34</v>
      </c>
      <c r="F16" s="27">
        <v>1350.66</v>
      </c>
      <c r="G16" s="27">
        <v>183.69</v>
      </c>
      <c r="H16" s="47">
        <f t="shared" si="0"/>
        <v>8287.69</v>
      </c>
      <c r="I16" s="28">
        <v>18504.38</v>
      </c>
      <c r="J16" s="28">
        <f t="shared" si="3"/>
        <v>2677.5799999999981</v>
      </c>
      <c r="K16" s="28">
        <v>21181.96</v>
      </c>
      <c r="L16" s="29">
        <v>46022</v>
      </c>
      <c r="M16" s="31">
        <f t="shared" si="2"/>
        <v>888210.48000000033</v>
      </c>
      <c r="O16" s="88"/>
      <c r="R16" s="39"/>
    </row>
    <row r="17" spans="2:18" customFormat="1" x14ac:dyDescent="0.3">
      <c r="B17" s="79" t="s">
        <v>30</v>
      </c>
      <c r="C17" s="38">
        <v>45536</v>
      </c>
      <c r="D17" s="46">
        <v>45583</v>
      </c>
      <c r="E17" s="27">
        <v>7101.39</v>
      </c>
      <c r="F17" s="27">
        <v>1420.27</v>
      </c>
      <c r="G17" s="27">
        <v>127.11</v>
      </c>
      <c r="H17" s="47">
        <f t="shared" si="0"/>
        <v>8648.77</v>
      </c>
      <c r="I17" s="28">
        <v>18504.38</v>
      </c>
      <c r="J17" s="28">
        <f t="shared" si="3"/>
        <v>2677.5799999999981</v>
      </c>
      <c r="K17" s="28">
        <v>21181.96</v>
      </c>
      <c r="L17" s="29">
        <v>46053</v>
      </c>
      <c r="M17" s="31">
        <f t="shared" si="2"/>
        <v>869706.10000000033</v>
      </c>
      <c r="O17" s="88"/>
      <c r="R17" s="39"/>
    </row>
    <row r="18" spans="2:18" customFormat="1" x14ac:dyDescent="0.3">
      <c r="B18" s="79" t="s">
        <v>30</v>
      </c>
      <c r="C18" s="38">
        <v>45566</v>
      </c>
      <c r="D18" s="46">
        <v>45615</v>
      </c>
      <c r="E18" s="27">
        <v>7261.57</v>
      </c>
      <c r="F18" s="27">
        <v>1452.31</v>
      </c>
      <c r="G18" s="27">
        <v>72.61</v>
      </c>
      <c r="H18" s="47">
        <f t="shared" si="0"/>
        <v>8786.49</v>
      </c>
      <c r="I18" s="28">
        <v>18504.38</v>
      </c>
      <c r="J18" s="28">
        <f t="shared" si="3"/>
        <v>2892.2299999999996</v>
      </c>
      <c r="K18" s="28">
        <v>21396.61</v>
      </c>
      <c r="L18" s="29">
        <v>46081</v>
      </c>
      <c r="M18" s="31">
        <f t="shared" si="2"/>
        <v>851201.72000000032</v>
      </c>
      <c r="R18" s="39"/>
    </row>
    <row r="19" spans="2:18" customFormat="1" x14ac:dyDescent="0.3">
      <c r="B19" s="79" t="s">
        <v>31</v>
      </c>
      <c r="C19" s="38">
        <v>45505</v>
      </c>
      <c r="D19" s="46">
        <v>45554</v>
      </c>
      <c r="E19" s="27">
        <v>4564.01</v>
      </c>
      <c r="F19" s="27">
        <v>912.8</v>
      </c>
      <c r="G19" s="27">
        <v>124.14</v>
      </c>
      <c r="H19" s="47">
        <f t="shared" si="0"/>
        <v>5600.9500000000007</v>
      </c>
      <c r="I19" s="28">
        <v>18504.38</v>
      </c>
      <c r="J19" s="28">
        <f t="shared" si="3"/>
        <v>3077.2700000000004</v>
      </c>
      <c r="K19" s="28">
        <v>21581.65</v>
      </c>
      <c r="L19" s="29">
        <v>46112</v>
      </c>
      <c r="M19" s="31">
        <f t="shared" si="2"/>
        <v>832697.34000000032</v>
      </c>
      <c r="R19" s="39"/>
    </row>
    <row r="20" spans="2:18" customFormat="1" x14ac:dyDescent="0.3">
      <c r="B20" s="79" t="s">
        <v>31</v>
      </c>
      <c r="C20" s="38">
        <v>45536</v>
      </c>
      <c r="D20" s="46">
        <v>45583</v>
      </c>
      <c r="E20" s="27">
        <v>4913.74</v>
      </c>
      <c r="F20" s="27">
        <v>982.74</v>
      </c>
      <c r="G20" s="27">
        <v>87.95</v>
      </c>
      <c r="H20" s="47">
        <f t="shared" si="0"/>
        <v>5984.4299999999994</v>
      </c>
      <c r="I20" s="28">
        <v>18504.38</v>
      </c>
      <c r="J20" s="28">
        <f t="shared" si="3"/>
        <v>3301.1800000000003</v>
      </c>
      <c r="K20" s="28">
        <v>21805.56</v>
      </c>
      <c r="L20" s="29">
        <v>46142</v>
      </c>
      <c r="M20" s="31">
        <f t="shared" si="2"/>
        <v>814192.96000000031</v>
      </c>
      <c r="R20" s="39"/>
    </row>
    <row r="21" spans="2:18" customFormat="1" x14ac:dyDescent="0.3">
      <c r="B21" s="79" t="s">
        <v>31</v>
      </c>
      <c r="C21" s="38">
        <v>45566</v>
      </c>
      <c r="D21" s="46">
        <v>45615</v>
      </c>
      <c r="E21" s="27">
        <v>5431.94</v>
      </c>
      <c r="F21" s="27">
        <v>1086.3800000000001</v>
      </c>
      <c r="G21" s="27">
        <v>54.31</v>
      </c>
      <c r="H21" s="47">
        <f t="shared" si="0"/>
        <v>6572.63</v>
      </c>
      <c r="I21" s="28">
        <v>18504.38</v>
      </c>
      <c r="J21" s="28">
        <f t="shared" si="3"/>
        <v>3502.869999999999</v>
      </c>
      <c r="K21" s="28">
        <v>22007.25</v>
      </c>
      <c r="L21" s="29">
        <v>46173</v>
      </c>
      <c r="M21" s="31">
        <f t="shared" si="2"/>
        <v>795688.58000000031</v>
      </c>
      <c r="R21" s="39"/>
    </row>
    <row r="22" spans="2:18" customFormat="1" x14ac:dyDescent="0.3">
      <c r="B22" s="79" t="s">
        <v>32</v>
      </c>
      <c r="C22" s="38">
        <v>45505</v>
      </c>
      <c r="D22" s="46">
        <v>45554</v>
      </c>
      <c r="E22" s="27">
        <v>365.11</v>
      </c>
      <c r="F22" s="27">
        <v>73.02</v>
      </c>
      <c r="G22" s="27">
        <v>9.93</v>
      </c>
      <c r="H22" s="47">
        <f t="shared" si="0"/>
        <v>448.06</v>
      </c>
      <c r="I22" s="28">
        <v>18504.38</v>
      </c>
      <c r="J22" s="28">
        <f t="shared" si="3"/>
        <v>3700.869999999999</v>
      </c>
      <c r="K22" s="28">
        <v>22205.25</v>
      </c>
      <c r="L22" s="29">
        <v>46203</v>
      </c>
      <c r="M22" s="31">
        <f t="shared" si="2"/>
        <v>777184.2000000003</v>
      </c>
      <c r="R22" s="39"/>
    </row>
    <row r="23" spans="2:18" customFormat="1" x14ac:dyDescent="0.3">
      <c r="B23" s="79" t="s">
        <v>32</v>
      </c>
      <c r="C23" s="38">
        <v>45536</v>
      </c>
      <c r="D23" s="46">
        <v>45583</v>
      </c>
      <c r="E23" s="27">
        <v>393.09</v>
      </c>
      <c r="F23" s="27">
        <v>78.61</v>
      </c>
      <c r="G23" s="27">
        <v>7.03</v>
      </c>
      <c r="H23" s="47">
        <f t="shared" si="0"/>
        <v>478.72999999999996</v>
      </c>
      <c r="I23" s="28">
        <v>18504.38</v>
      </c>
      <c r="J23" s="28">
        <f t="shared" si="3"/>
        <v>3908.119999999999</v>
      </c>
      <c r="K23" s="28">
        <v>22412.5</v>
      </c>
      <c r="L23" s="29">
        <v>46234</v>
      </c>
      <c r="M23" s="31">
        <f t="shared" si="2"/>
        <v>758679.8200000003</v>
      </c>
      <c r="R23" s="39"/>
    </row>
    <row r="24" spans="2:18" customFormat="1" x14ac:dyDescent="0.3">
      <c r="B24" s="79" t="s">
        <v>32</v>
      </c>
      <c r="C24" s="38">
        <v>45566</v>
      </c>
      <c r="D24" s="46">
        <v>45615</v>
      </c>
      <c r="E24" s="27">
        <v>434.54</v>
      </c>
      <c r="F24" s="27">
        <v>86.9</v>
      </c>
      <c r="G24" s="27">
        <v>4.34</v>
      </c>
      <c r="H24" s="47">
        <f t="shared" si="0"/>
        <v>525.78000000000009</v>
      </c>
      <c r="I24" s="28">
        <v>18504.38</v>
      </c>
      <c r="J24" s="28">
        <f t="shared" si="3"/>
        <v>4133.869999999999</v>
      </c>
      <c r="K24" s="28">
        <v>22638.25</v>
      </c>
      <c r="L24" s="29">
        <v>46265</v>
      </c>
      <c r="M24" s="31">
        <f t="shared" si="2"/>
        <v>740175.44000000029</v>
      </c>
      <c r="R24" s="39"/>
    </row>
    <row r="25" spans="2:18" customFormat="1" x14ac:dyDescent="0.3">
      <c r="B25" s="79" t="s">
        <v>33</v>
      </c>
      <c r="C25" s="38">
        <v>45505</v>
      </c>
      <c r="D25" s="46">
        <v>45554</v>
      </c>
      <c r="E25" s="27">
        <v>761.68</v>
      </c>
      <c r="F25" s="27">
        <v>152.33000000000001</v>
      </c>
      <c r="G25" s="27">
        <v>20.71</v>
      </c>
      <c r="H25" s="47">
        <f t="shared" si="0"/>
        <v>934.72</v>
      </c>
      <c r="I25" s="28">
        <v>18504.38</v>
      </c>
      <c r="J25" s="28">
        <f t="shared" si="3"/>
        <v>4335.57</v>
      </c>
      <c r="K25" s="28">
        <v>22839.95</v>
      </c>
      <c r="L25" s="29">
        <v>46295</v>
      </c>
      <c r="M25" s="31">
        <f t="shared" si="2"/>
        <v>721671.06000000029</v>
      </c>
      <c r="R25" s="39"/>
    </row>
    <row r="26" spans="2:18" customFormat="1" x14ac:dyDescent="0.3">
      <c r="B26" s="79" t="s">
        <v>33</v>
      </c>
      <c r="C26" s="38">
        <v>45536</v>
      </c>
      <c r="D26" s="46">
        <v>45583</v>
      </c>
      <c r="E26" s="27">
        <v>829.22</v>
      </c>
      <c r="F26" s="27">
        <v>165.84</v>
      </c>
      <c r="G26" s="27">
        <v>14.84</v>
      </c>
      <c r="H26" s="47">
        <f t="shared" si="0"/>
        <v>1009.9000000000001</v>
      </c>
      <c r="I26" s="28">
        <v>18504.38</v>
      </c>
      <c r="J26" s="28"/>
      <c r="K26" s="28"/>
      <c r="L26" s="29">
        <v>46326</v>
      </c>
      <c r="M26" s="31">
        <f t="shared" si="2"/>
        <v>703166.68000000028</v>
      </c>
      <c r="R26" s="39"/>
    </row>
    <row r="27" spans="2:18" customFormat="1" x14ac:dyDescent="0.3">
      <c r="B27" s="79" t="s">
        <v>33</v>
      </c>
      <c r="C27" s="38">
        <v>45566</v>
      </c>
      <c r="D27" s="46">
        <v>45615</v>
      </c>
      <c r="E27" s="27">
        <v>909.98</v>
      </c>
      <c r="F27" s="27">
        <v>181.99</v>
      </c>
      <c r="G27" s="27">
        <v>9.09</v>
      </c>
      <c r="H27" s="47">
        <f t="shared" si="0"/>
        <v>1101.06</v>
      </c>
      <c r="I27" s="28">
        <v>18504.38</v>
      </c>
      <c r="J27" s="28"/>
      <c r="K27" s="28"/>
      <c r="L27" s="29">
        <v>46356</v>
      </c>
      <c r="M27" s="31">
        <f t="shared" si="2"/>
        <v>684662.30000000028</v>
      </c>
      <c r="R27" s="39"/>
    </row>
    <row r="28" spans="2:18" customFormat="1" x14ac:dyDescent="0.3">
      <c r="B28" s="79" t="s">
        <v>34</v>
      </c>
      <c r="C28" s="38">
        <v>45505</v>
      </c>
      <c r="D28" s="46">
        <v>45554</v>
      </c>
      <c r="E28" s="27">
        <v>1142.53</v>
      </c>
      <c r="F28" s="27">
        <v>228.5</v>
      </c>
      <c r="G28" s="27">
        <v>31.07</v>
      </c>
      <c r="H28" s="47">
        <f t="shared" si="0"/>
        <v>1402.1</v>
      </c>
      <c r="I28" s="28">
        <v>18504.38</v>
      </c>
      <c r="J28" s="28"/>
      <c r="K28" s="28"/>
      <c r="L28" s="29">
        <v>46387</v>
      </c>
      <c r="M28" s="31">
        <f t="shared" si="2"/>
        <v>666157.92000000027</v>
      </c>
      <c r="R28" s="39"/>
    </row>
    <row r="29" spans="2:18" customFormat="1" x14ac:dyDescent="0.3">
      <c r="B29" s="79" t="s">
        <v>34</v>
      </c>
      <c r="C29" s="38">
        <v>45536</v>
      </c>
      <c r="D29" s="46">
        <v>45583</v>
      </c>
      <c r="E29" s="27">
        <v>1243.83</v>
      </c>
      <c r="F29" s="27">
        <v>248.76</v>
      </c>
      <c r="G29" s="27">
        <v>22.26</v>
      </c>
      <c r="H29" s="47">
        <f t="shared" si="0"/>
        <v>1514.85</v>
      </c>
      <c r="I29" s="28">
        <v>18504.38</v>
      </c>
      <c r="J29" s="28"/>
      <c r="K29" s="28"/>
      <c r="L29" s="29">
        <v>46418</v>
      </c>
      <c r="M29" s="31">
        <f t="shared" si="2"/>
        <v>647653.54000000027</v>
      </c>
      <c r="R29" s="39"/>
    </row>
    <row r="30" spans="2:18" customFormat="1" x14ac:dyDescent="0.3">
      <c r="B30" s="79" t="s">
        <v>34</v>
      </c>
      <c r="C30" s="38">
        <v>45566</v>
      </c>
      <c r="D30" s="46">
        <v>45615</v>
      </c>
      <c r="E30" s="27">
        <v>1364.97</v>
      </c>
      <c r="F30" s="27">
        <v>272.99</v>
      </c>
      <c r="G30" s="27">
        <v>13.64</v>
      </c>
      <c r="H30" s="47">
        <f t="shared" si="0"/>
        <v>1651.6000000000001</v>
      </c>
      <c r="I30" s="28">
        <v>18504.38</v>
      </c>
      <c r="J30" s="28"/>
      <c r="K30" s="28"/>
      <c r="L30" s="29">
        <v>46446</v>
      </c>
      <c r="M30" s="31">
        <f t="shared" si="2"/>
        <v>629149.16000000027</v>
      </c>
      <c r="R30" s="39"/>
    </row>
    <row r="31" spans="2:18" customFormat="1" x14ac:dyDescent="0.3">
      <c r="B31" s="79" t="s">
        <v>35</v>
      </c>
      <c r="C31" s="38">
        <v>45505</v>
      </c>
      <c r="D31" s="46">
        <v>45554</v>
      </c>
      <c r="E31" s="27">
        <v>1095.3499999999999</v>
      </c>
      <c r="F31" s="27">
        <v>219.07</v>
      </c>
      <c r="G31" s="27">
        <v>29.79</v>
      </c>
      <c r="H31" s="47">
        <f t="shared" si="0"/>
        <v>1344.2099999999998</v>
      </c>
      <c r="I31" s="28">
        <v>18504.38</v>
      </c>
      <c r="J31" s="28"/>
      <c r="K31" s="28"/>
      <c r="L31" s="29">
        <v>46477</v>
      </c>
      <c r="M31" s="31">
        <f t="shared" si="2"/>
        <v>610644.78000000026</v>
      </c>
      <c r="R31" s="39"/>
    </row>
    <row r="32" spans="2:18" customFormat="1" x14ac:dyDescent="0.3">
      <c r="B32" s="79" t="s">
        <v>35</v>
      </c>
      <c r="C32" s="38">
        <v>45536</v>
      </c>
      <c r="D32" s="46">
        <v>45583</v>
      </c>
      <c r="E32" s="27">
        <v>1179.29</v>
      </c>
      <c r="F32" s="27">
        <v>232.85</v>
      </c>
      <c r="G32" s="27">
        <v>21.1</v>
      </c>
      <c r="H32" s="47">
        <f t="shared" si="0"/>
        <v>1433.2399999999998</v>
      </c>
      <c r="I32" s="28">
        <v>18504.38</v>
      </c>
      <c r="J32" s="28"/>
      <c r="K32" s="28"/>
      <c r="L32" s="29">
        <v>46507</v>
      </c>
      <c r="M32" s="31">
        <f t="shared" si="2"/>
        <v>592140.40000000026</v>
      </c>
      <c r="R32" s="39"/>
    </row>
    <row r="33" spans="2:18" customFormat="1" x14ac:dyDescent="0.3">
      <c r="B33" s="79" t="s">
        <v>35</v>
      </c>
      <c r="C33" s="38">
        <v>45566</v>
      </c>
      <c r="D33" s="46">
        <v>45615</v>
      </c>
      <c r="E33" s="27">
        <v>1303.6500000000001</v>
      </c>
      <c r="F33" s="27">
        <v>260.73</v>
      </c>
      <c r="G33" s="27">
        <v>13.03</v>
      </c>
      <c r="H33" s="47">
        <f t="shared" si="0"/>
        <v>1577.41</v>
      </c>
      <c r="I33" s="28">
        <v>18504.38</v>
      </c>
      <c r="J33" s="28"/>
      <c r="K33" s="28"/>
      <c r="L33" s="29">
        <v>46538</v>
      </c>
      <c r="M33" s="31">
        <f t="shared" si="2"/>
        <v>573636.02000000025</v>
      </c>
      <c r="R33" s="39"/>
    </row>
    <row r="34" spans="2:18" customFormat="1" x14ac:dyDescent="0.3">
      <c r="B34" s="79" t="s">
        <v>36</v>
      </c>
      <c r="C34" s="38">
        <v>45505</v>
      </c>
      <c r="D34" s="46">
        <v>45554</v>
      </c>
      <c r="E34" s="27">
        <v>2659.79</v>
      </c>
      <c r="F34" s="27">
        <v>531.95000000000005</v>
      </c>
      <c r="G34" s="27">
        <v>72.34</v>
      </c>
      <c r="H34" s="47">
        <f t="shared" si="0"/>
        <v>3264.08</v>
      </c>
      <c r="I34" s="28">
        <v>18504.38</v>
      </c>
      <c r="J34" s="28"/>
      <c r="K34" s="28"/>
      <c r="L34" s="29">
        <v>46568</v>
      </c>
      <c r="M34" s="31">
        <f t="shared" si="2"/>
        <v>555131.64000000025</v>
      </c>
      <c r="R34" s="39"/>
    </row>
    <row r="35" spans="2:18" customFormat="1" x14ac:dyDescent="0.3">
      <c r="B35" s="79" t="s">
        <v>36</v>
      </c>
      <c r="C35" s="38">
        <v>45536</v>
      </c>
      <c r="D35" s="46">
        <v>45583</v>
      </c>
      <c r="E35" s="27">
        <v>2840.69</v>
      </c>
      <c r="F35" s="27">
        <v>568.13</v>
      </c>
      <c r="G35" s="27">
        <v>50.84</v>
      </c>
      <c r="H35" s="47">
        <f t="shared" si="0"/>
        <v>3459.6600000000003</v>
      </c>
      <c r="I35" s="28">
        <v>18504.38</v>
      </c>
      <c r="J35" s="28"/>
      <c r="K35" s="28"/>
      <c r="L35" s="29">
        <v>46599</v>
      </c>
      <c r="M35" s="31">
        <f t="shared" si="2"/>
        <v>536627.26000000024</v>
      </c>
      <c r="R35" s="39"/>
    </row>
    <row r="36" spans="2:18" customFormat="1" x14ac:dyDescent="0.3">
      <c r="B36" s="79" t="s">
        <v>36</v>
      </c>
      <c r="C36" s="38">
        <v>45566</v>
      </c>
      <c r="D36" s="46">
        <v>45615</v>
      </c>
      <c r="E36" s="27">
        <v>3156.99</v>
      </c>
      <c r="F36" s="27">
        <v>631.39</v>
      </c>
      <c r="G36" s="27">
        <v>31.56</v>
      </c>
      <c r="H36" s="47">
        <f t="shared" si="0"/>
        <v>3819.9399999999996</v>
      </c>
      <c r="I36" s="28">
        <v>18504.38</v>
      </c>
      <c r="J36" s="28"/>
      <c r="K36" s="28"/>
      <c r="L36" s="29">
        <v>46630</v>
      </c>
      <c r="M36" s="31">
        <f t="shared" si="2"/>
        <v>518122.88000000024</v>
      </c>
      <c r="R36" s="39"/>
    </row>
    <row r="37" spans="2:18" customFormat="1" x14ac:dyDescent="0.3">
      <c r="B37" s="79" t="s">
        <v>37</v>
      </c>
      <c r="C37" s="38">
        <v>45505</v>
      </c>
      <c r="D37" s="46">
        <v>45553</v>
      </c>
      <c r="E37" s="27">
        <v>5476.8</v>
      </c>
      <c r="F37" s="27">
        <v>1095.3599999999999</v>
      </c>
      <c r="G37" s="27">
        <v>148.96</v>
      </c>
      <c r="H37" s="47">
        <f t="shared" si="0"/>
        <v>6721.12</v>
      </c>
      <c r="I37" s="28">
        <v>18504.38</v>
      </c>
      <c r="J37" s="28"/>
      <c r="K37" s="28"/>
      <c r="L37" s="29">
        <v>46660</v>
      </c>
      <c r="M37" s="31">
        <f t="shared" si="2"/>
        <v>499618.50000000023</v>
      </c>
      <c r="R37" s="39"/>
    </row>
    <row r="38" spans="2:18" customFormat="1" x14ac:dyDescent="0.3">
      <c r="B38" s="79" t="s">
        <v>37</v>
      </c>
      <c r="C38" s="38">
        <v>45536</v>
      </c>
      <c r="D38" s="46">
        <v>45583</v>
      </c>
      <c r="E38" s="27">
        <v>5896.49</v>
      </c>
      <c r="F38" s="27">
        <v>1179.29</v>
      </c>
      <c r="G38" s="27">
        <v>105.54</v>
      </c>
      <c r="H38" s="47">
        <f t="shared" si="0"/>
        <v>7181.32</v>
      </c>
      <c r="I38" s="28">
        <v>18504.38</v>
      </c>
      <c r="J38" s="28"/>
      <c r="K38" s="28"/>
      <c r="L38" s="29">
        <v>46691</v>
      </c>
      <c r="M38" s="31">
        <f t="shared" si="2"/>
        <v>481114.12000000023</v>
      </c>
      <c r="R38" s="39"/>
    </row>
    <row r="39" spans="2:18" customFormat="1" x14ac:dyDescent="0.3">
      <c r="B39" s="79" t="s">
        <v>37</v>
      </c>
      <c r="C39" s="38">
        <v>45566</v>
      </c>
      <c r="D39" s="46">
        <v>45615</v>
      </c>
      <c r="E39" s="27">
        <v>6518.32</v>
      </c>
      <c r="F39" s="27">
        <v>1303.6600000000001</v>
      </c>
      <c r="G39" s="27">
        <v>65.180000000000007</v>
      </c>
      <c r="H39" s="47">
        <f t="shared" si="0"/>
        <v>7887.16</v>
      </c>
      <c r="I39" s="28">
        <v>18504.38</v>
      </c>
      <c r="J39" s="28"/>
      <c r="K39" s="28"/>
      <c r="L39" s="29">
        <v>46721</v>
      </c>
      <c r="M39" s="31">
        <f t="shared" si="2"/>
        <v>462609.74000000022</v>
      </c>
      <c r="R39" s="39"/>
    </row>
    <row r="40" spans="2:18" customFormat="1" x14ac:dyDescent="0.3">
      <c r="B40" s="80" t="s">
        <v>38</v>
      </c>
      <c r="C40" s="38">
        <v>45383</v>
      </c>
      <c r="D40" s="46">
        <v>45534</v>
      </c>
      <c r="E40" s="27">
        <v>16.989999999999998</v>
      </c>
      <c r="F40" s="27">
        <v>3.39</v>
      </c>
      <c r="G40" s="27">
        <v>0.6</v>
      </c>
      <c r="H40" s="47">
        <f t="shared" si="0"/>
        <v>20.98</v>
      </c>
      <c r="I40" s="28">
        <v>18504.38</v>
      </c>
      <c r="J40" s="28"/>
      <c r="K40" s="28"/>
      <c r="L40" s="29">
        <v>46752</v>
      </c>
      <c r="M40" s="31">
        <f t="shared" si="2"/>
        <v>444105.36000000022</v>
      </c>
      <c r="R40" s="39"/>
    </row>
    <row r="41" spans="2:18" customFormat="1" x14ac:dyDescent="0.3">
      <c r="B41" s="80" t="s">
        <v>38</v>
      </c>
      <c r="C41" s="38">
        <v>45505</v>
      </c>
      <c r="D41" s="46">
        <v>45554</v>
      </c>
      <c r="E41" s="27">
        <v>22.44</v>
      </c>
      <c r="F41" s="27">
        <v>4.4800000000000004</v>
      </c>
      <c r="G41" s="27">
        <v>0.61</v>
      </c>
      <c r="H41" s="47">
        <f t="shared" si="0"/>
        <v>27.53</v>
      </c>
      <c r="I41" s="28">
        <v>18504.38</v>
      </c>
      <c r="J41" s="28"/>
      <c r="K41" s="28"/>
      <c r="L41" s="29">
        <v>46783</v>
      </c>
      <c r="M41" s="31">
        <f t="shared" si="2"/>
        <v>425600.98000000021</v>
      </c>
      <c r="R41" s="39"/>
    </row>
    <row r="42" spans="2:18" customFormat="1" x14ac:dyDescent="0.3">
      <c r="B42" s="81" t="s">
        <v>39</v>
      </c>
      <c r="C42" s="38" t="s">
        <v>46</v>
      </c>
      <c r="D42" s="46">
        <v>45504</v>
      </c>
      <c r="E42" s="27">
        <v>141302.75</v>
      </c>
      <c r="F42" s="27">
        <v>28260.55</v>
      </c>
      <c r="G42" s="27">
        <v>6259.71</v>
      </c>
      <c r="H42" s="47">
        <f t="shared" si="0"/>
        <v>175823.00999999998</v>
      </c>
      <c r="I42" s="28">
        <v>18504.38</v>
      </c>
      <c r="J42" s="28"/>
      <c r="K42" s="28"/>
      <c r="L42" s="29">
        <v>46812</v>
      </c>
      <c r="M42" s="31">
        <f t="shared" si="2"/>
        <v>407096.60000000021</v>
      </c>
      <c r="R42" s="39"/>
    </row>
    <row r="43" spans="2:18" customFormat="1" x14ac:dyDescent="0.3">
      <c r="B43" s="81" t="s">
        <v>39</v>
      </c>
      <c r="C43" s="38" t="s">
        <v>47</v>
      </c>
      <c r="D43" s="46">
        <v>45504</v>
      </c>
      <c r="E43" s="27">
        <v>280751.34000000003</v>
      </c>
      <c r="F43" s="27">
        <v>56150.26</v>
      </c>
      <c r="G43" s="27">
        <v>12437.28</v>
      </c>
      <c r="H43" s="47">
        <f t="shared" si="0"/>
        <v>349338.88000000006</v>
      </c>
      <c r="I43" s="28">
        <v>18504.38</v>
      </c>
      <c r="J43" s="28"/>
      <c r="K43" s="28"/>
      <c r="L43" s="29">
        <v>46843</v>
      </c>
      <c r="M43" s="31">
        <f t="shared" si="2"/>
        <v>388592.2200000002</v>
      </c>
      <c r="R43" s="39"/>
    </row>
    <row r="44" spans="2:18" customFormat="1" x14ac:dyDescent="0.3">
      <c r="B44" s="81" t="s">
        <v>40</v>
      </c>
      <c r="C44" s="38">
        <v>45383</v>
      </c>
      <c r="D44" s="46">
        <v>45534</v>
      </c>
      <c r="E44" s="27">
        <v>48541.95</v>
      </c>
      <c r="F44" s="27">
        <v>9708.39</v>
      </c>
      <c r="G44" s="27">
        <v>1728.09</v>
      </c>
      <c r="H44" s="47">
        <f t="shared" si="0"/>
        <v>59978.429999999993</v>
      </c>
      <c r="I44" s="28">
        <v>18504.38</v>
      </c>
      <c r="J44" s="28"/>
      <c r="K44" s="28"/>
      <c r="L44" s="29">
        <v>46873</v>
      </c>
      <c r="M44" s="31">
        <f t="shared" si="2"/>
        <v>370087.8400000002</v>
      </c>
      <c r="R44" s="39"/>
    </row>
    <row r="45" spans="2:18" customFormat="1" x14ac:dyDescent="0.3">
      <c r="B45" s="81" t="s">
        <v>40</v>
      </c>
      <c r="C45" s="38">
        <v>45474</v>
      </c>
      <c r="D45" s="46">
        <v>45527</v>
      </c>
      <c r="E45" s="27">
        <v>8015.32</v>
      </c>
      <c r="F45" s="27">
        <v>1603.06</v>
      </c>
      <c r="G45" s="27">
        <v>285.33999999999997</v>
      </c>
      <c r="H45" s="47">
        <f t="shared" si="0"/>
        <v>9903.7199999999993</v>
      </c>
      <c r="I45" s="28">
        <v>18504.38</v>
      </c>
      <c r="J45" s="28"/>
      <c r="K45" s="28"/>
      <c r="L45" s="29">
        <v>46904</v>
      </c>
      <c r="M45" s="31">
        <f t="shared" si="2"/>
        <v>351583.4600000002</v>
      </c>
      <c r="R45" s="39"/>
    </row>
    <row r="46" spans="2:18" customFormat="1" x14ac:dyDescent="0.3">
      <c r="B46" s="81" t="s">
        <v>40</v>
      </c>
      <c r="C46" s="38">
        <v>45505</v>
      </c>
      <c r="D46" s="46">
        <v>45560</v>
      </c>
      <c r="E46" s="27">
        <v>37955.08</v>
      </c>
      <c r="F46" s="27">
        <v>7591.01</v>
      </c>
      <c r="G46" s="27">
        <v>1032.3699999999999</v>
      </c>
      <c r="H46" s="47">
        <f t="shared" si="0"/>
        <v>46578.460000000006</v>
      </c>
      <c r="I46" s="28">
        <v>18504.38</v>
      </c>
      <c r="J46" s="28"/>
      <c r="K46" s="28"/>
      <c r="L46" s="29">
        <v>46934</v>
      </c>
      <c r="M46" s="31">
        <f t="shared" si="2"/>
        <v>333079.08000000019</v>
      </c>
      <c r="R46" s="39"/>
    </row>
    <row r="47" spans="2:18" customFormat="1" x14ac:dyDescent="0.3">
      <c r="B47" s="81" t="s">
        <v>40</v>
      </c>
      <c r="C47" s="38">
        <v>45536</v>
      </c>
      <c r="D47" s="46">
        <v>45590</v>
      </c>
      <c r="E47" s="27">
        <v>58345.22</v>
      </c>
      <c r="F47" s="27">
        <v>11669.04</v>
      </c>
      <c r="G47" s="27">
        <v>1044.3699999999999</v>
      </c>
      <c r="H47" s="47">
        <f t="shared" si="0"/>
        <v>71058.63</v>
      </c>
      <c r="I47" s="28">
        <v>18504.38</v>
      </c>
      <c r="J47" s="28"/>
      <c r="K47" s="28"/>
      <c r="L47" s="29">
        <v>46965</v>
      </c>
      <c r="M47" s="31">
        <f t="shared" si="2"/>
        <v>314574.70000000019</v>
      </c>
      <c r="R47" s="39"/>
    </row>
    <row r="48" spans="2:18" customFormat="1" x14ac:dyDescent="0.3">
      <c r="B48" s="81" t="s">
        <v>41</v>
      </c>
      <c r="C48" s="38" t="s">
        <v>46</v>
      </c>
      <c r="D48" s="46">
        <v>45504</v>
      </c>
      <c r="E48" s="27">
        <v>48627.01</v>
      </c>
      <c r="F48" s="27">
        <v>9725.4</v>
      </c>
      <c r="G48" s="27">
        <v>2154.17</v>
      </c>
      <c r="H48" s="47">
        <f t="shared" si="0"/>
        <v>60506.58</v>
      </c>
      <c r="I48" s="28">
        <v>18504.38</v>
      </c>
      <c r="J48" s="28"/>
      <c r="K48" s="28"/>
      <c r="L48" s="29">
        <v>46996</v>
      </c>
      <c r="M48" s="31">
        <f t="shared" si="2"/>
        <v>296070.32000000018</v>
      </c>
      <c r="R48" s="39"/>
    </row>
    <row r="49" spans="2:18" customFormat="1" x14ac:dyDescent="0.3">
      <c r="B49" s="81" t="s">
        <v>41</v>
      </c>
      <c r="C49" s="38" t="s">
        <v>47</v>
      </c>
      <c r="D49" s="46">
        <v>45504</v>
      </c>
      <c r="E49" s="27">
        <v>94258.19</v>
      </c>
      <c r="F49" s="27">
        <v>18551.63</v>
      </c>
      <c r="G49" s="27">
        <v>4175.63</v>
      </c>
      <c r="H49" s="47">
        <f t="shared" si="0"/>
        <v>116985.45000000001</v>
      </c>
      <c r="I49" s="28">
        <v>18504.38</v>
      </c>
      <c r="J49" s="28"/>
      <c r="K49" s="28"/>
      <c r="L49" s="29">
        <v>47026</v>
      </c>
      <c r="M49" s="31">
        <f t="shared" si="2"/>
        <v>277565.94000000018</v>
      </c>
      <c r="R49" s="39"/>
    </row>
    <row r="50" spans="2:18" customFormat="1" x14ac:dyDescent="0.3">
      <c r="B50" s="80" t="s">
        <v>42</v>
      </c>
      <c r="C50" s="38">
        <v>45383</v>
      </c>
      <c r="D50" s="46">
        <v>45534</v>
      </c>
      <c r="E50" s="27">
        <v>78.98</v>
      </c>
      <c r="F50" s="27">
        <v>15.79</v>
      </c>
      <c r="G50" s="27">
        <v>2.81</v>
      </c>
      <c r="H50" s="47">
        <f t="shared" si="0"/>
        <v>97.580000000000013</v>
      </c>
      <c r="I50" s="28">
        <v>18504.38</v>
      </c>
      <c r="J50" s="28"/>
      <c r="K50" s="28"/>
      <c r="L50" s="29">
        <v>47057</v>
      </c>
      <c r="M50" s="31">
        <f t="shared" si="2"/>
        <v>259061.56000000017</v>
      </c>
      <c r="R50" s="39"/>
    </row>
    <row r="51" spans="2:18" customFormat="1" x14ac:dyDescent="0.3">
      <c r="B51" s="80" t="s">
        <v>42</v>
      </c>
      <c r="C51" s="38">
        <v>45505</v>
      </c>
      <c r="D51" s="46">
        <v>45554</v>
      </c>
      <c r="E51" s="27">
        <v>129.22</v>
      </c>
      <c r="F51" s="27">
        <v>25.84</v>
      </c>
      <c r="G51" s="27">
        <v>3.51</v>
      </c>
      <c r="H51" s="47">
        <f t="shared" si="0"/>
        <v>158.57</v>
      </c>
      <c r="I51" s="28">
        <v>18504.38</v>
      </c>
      <c r="J51" s="28"/>
      <c r="K51" s="28"/>
      <c r="L51" s="29">
        <v>47087</v>
      </c>
      <c r="M51" s="31">
        <f t="shared" si="2"/>
        <v>240557.18000000017</v>
      </c>
      <c r="R51" s="39"/>
    </row>
    <row r="52" spans="2:18" customFormat="1" x14ac:dyDescent="0.3">
      <c r="B52" s="80" t="s">
        <v>42</v>
      </c>
      <c r="C52" s="38">
        <v>45566</v>
      </c>
      <c r="D52" s="46">
        <v>45615</v>
      </c>
      <c r="E52" s="27">
        <v>12.55</v>
      </c>
      <c r="F52" s="27">
        <v>2.5099999999999998</v>
      </c>
      <c r="G52" s="27">
        <v>0.12</v>
      </c>
      <c r="H52" s="47">
        <f t="shared" si="0"/>
        <v>15.18</v>
      </c>
      <c r="I52" s="28">
        <v>18504.38</v>
      </c>
      <c r="J52" s="28"/>
      <c r="K52" s="28"/>
      <c r="L52" s="29">
        <v>47118</v>
      </c>
      <c r="M52" s="31">
        <f t="shared" si="2"/>
        <v>222052.80000000016</v>
      </c>
      <c r="R52" s="39"/>
    </row>
    <row r="53" spans="2:18" customFormat="1" x14ac:dyDescent="0.3">
      <c r="B53" s="81" t="s">
        <v>43</v>
      </c>
      <c r="C53" s="38">
        <v>45383</v>
      </c>
      <c r="D53" s="46">
        <v>45534</v>
      </c>
      <c r="E53" s="27">
        <v>10517.43</v>
      </c>
      <c r="F53" s="27">
        <v>2103.48</v>
      </c>
      <c r="G53" s="27">
        <v>374.42</v>
      </c>
      <c r="H53" s="47">
        <f t="shared" si="0"/>
        <v>12995.33</v>
      </c>
      <c r="I53" s="28">
        <v>18504.38</v>
      </c>
      <c r="J53" s="28"/>
      <c r="K53" s="28"/>
      <c r="L53" s="29">
        <v>47149</v>
      </c>
      <c r="M53" s="31">
        <f t="shared" si="2"/>
        <v>203548.42000000016</v>
      </c>
      <c r="R53" s="39"/>
    </row>
    <row r="54" spans="2:18" customFormat="1" x14ac:dyDescent="0.3">
      <c r="B54" s="81" t="s">
        <v>43</v>
      </c>
      <c r="C54" s="38">
        <v>45474</v>
      </c>
      <c r="D54" s="46">
        <v>45527</v>
      </c>
      <c r="E54" s="27">
        <v>1773.01</v>
      </c>
      <c r="F54" s="27">
        <v>354.6</v>
      </c>
      <c r="G54" s="27">
        <v>63.11</v>
      </c>
      <c r="H54" s="47">
        <f t="shared" si="0"/>
        <v>2190.7200000000003</v>
      </c>
      <c r="I54" s="28">
        <v>18504.38</v>
      </c>
      <c r="J54" s="28"/>
      <c r="K54" s="28"/>
      <c r="L54" s="29">
        <v>47177</v>
      </c>
      <c r="M54" s="31">
        <f t="shared" si="2"/>
        <v>185044.04000000015</v>
      </c>
      <c r="R54" s="39"/>
    </row>
    <row r="55" spans="2:18" customFormat="1" x14ac:dyDescent="0.3">
      <c r="B55" s="81" t="s">
        <v>43</v>
      </c>
      <c r="C55" s="45">
        <v>45536</v>
      </c>
      <c r="D55" s="46">
        <v>45590</v>
      </c>
      <c r="E55" s="27">
        <v>12641.46</v>
      </c>
      <c r="F55" s="27">
        <v>2528.29</v>
      </c>
      <c r="G55" s="27">
        <v>226.28</v>
      </c>
      <c r="H55" s="47">
        <f t="shared" si="0"/>
        <v>15396.03</v>
      </c>
      <c r="I55" s="28">
        <v>18504.38</v>
      </c>
      <c r="J55" s="28"/>
      <c r="K55" s="28"/>
      <c r="L55" s="29">
        <v>47208</v>
      </c>
      <c r="M55" s="31">
        <f t="shared" si="2"/>
        <v>166539.66000000015</v>
      </c>
      <c r="R55" s="39"/>
    </row>
    <row r="56" spans="2:18" x14ac:dyDescent="0.3">
      <c r="C56" s="40"/>
      <c r="D56" s="41"/>
      <c r="E56" s="42"/>
      <c r="F56" s="42"/>
      <c r="G56" s="42"/>
      <c r="H56" s="78">
        <f>SUM(H4:H55)</f>
        <v>1109960.04</v>
      </c>
      <c r="I56" s="28">
        <v>18504.38</v>
      </c>
      <c r="J56" s="47"/>
      <c r="K56" s="47"/>
      <c r="L56" s="29">
        <v>47238</v>
      </c>
      <c r="M56" s="31">
        <f t="shared" si="2"/>
        <v>148035.28000000014</v>
      </c>
    </row>
    <row r="57" spans="2:18" x14ac:dyDescent="0.3">
      <c r="C57" s="40"/>
      <c r="D57" s="41"/>
      <c r="E57" s="42"/>
      <c r="F57" s="42"/>
      <c r="G57" s="42"/>
      <c r="H57" s="42"/>
      <c r="I57" s="28">
        <v>18504.38</v>
      </c>
      <c r="J57" s="47"/>
      <c r="K57" s="47"/>
      <c r="L57" s="29">
        <v>47269</v>
      </c>
      <c r="M57" s="31">
        <f t="shared" si="2"/>
        <v>129530.90000000014</v>
      </c>
    </row>
    <row r="58" spans="2:18" x14ac:dyDescent="0.3">
      <c r="C58" s="40"/>
      <c r="D58" s="41"/>
      <c r="E58" s="42"/>
      <c r="F58" s="42"/>
      <c r="G58" s="42"/>
      <c r="H58" s="42"/>
      <c r="I58" s="28">
        <v>18504.38</v>
      </c>
      <c r="J58" s="47"/>
      <c r="K58" s="47"/>
      <c r="L58" s="29">
        <v>47299</v>
      </c>
      <c r="M58" s="31">
        <f t="shared" si="2"/>
        <v>111026.52000000014</v>
      </c>
    </row>
    <row r="59" spans="2:18" x14ac:dyDescent="0.3">
      <c r="C59" s="40"/>
      <c r="D59" s="41"/>
      <c r="E59" s="42"/>
      <c r="F59" s="42"/>
      <c r="G59" s="42"/>
      <c r="H59" s="42"/>
      <c r="I59" s="28">
        <v>18504.38</v>
      </c>
      <c r="J59" s="47"/>
      <c r="K59" s="47"/>
      <c r="L59" s="29">
        <v>47330</v>
      </c>
      <c r="M59" s="31">
        <f t="shared" si="2"/>
        <v>92522.14000000013</v>
      </c>
    </row>
    <row r="60" spans="2:18" x14ac:dyDescent="0.3">
      <c r="C60" s="40"/>
      <c r="D60" s="41"/>
      <c r="E60" s="42"/>
      <c r="F60" s="42"/>
      <c r="G60" s="42"/>
      <c r="H60" s="42"/>
      <c r="I60" s="28">
        <v>18504.38</v>
      </c>
      <c r="J60" s="47"/>
      <c r="K60" s="47"/>
      <c r="L60" s="29">
        <v>47361</v>
      </c>
      <c r="M60" s="31">
        <f t="shared" si="2"/>
        <v>74017.760000000126</v>
      </c>
    </row>
    <row r="61" spans="2:18" x14ac:dyDescent="0.3">
      <c r="C61" s="40"/>
      <c r="D61" s="41"/>
      <c r="E61" s="42"/>
      <c r="F61" s="42"/>
      <c r="G61" s="42"/>
      <c r="H61" s="42"/>
      <c r="I61" s="28">
        <v>18504.38</v>
      </c>
      <c r="J61" s="47"/>
      <c r="K61" s="47"/>
      <c r="L61" s="29">
        <v>47391</v>
      </c>
      <c r="M61" s="31">
        <f t="shared" si="2"/>
        <v>55513.380000000121</v>
      </c>
    </row>
    <row r="62" spans="2:18" x14ac:dyDescent="0.3">
      <c r="C62" s="40"/>
      <c r="D62" s="41"/>
      <c r="E62" s="42"/>
      <c r="F62" s="42"/>
      <c r="G62" s="42"/>
      <c r="H62" s="42"/>
      <c r="I62" s="28">
        <v>18504.38</v>
      </c>
      <c r="J62" s="47"/>
      <c r="K62" s="47"/>
      <c r="L62" s="29">
        <v>47422</v>
      </c>
      <c r="M62" s="31">
        <f t="shared" si="2"/>
        <v>37009.000000000116</v>
      </c>
    </row>
    <row r="63" spans="2:18" x14ac:dyDescent="0.3">
      <c r="C63" s="40"/>
      <c r="D63" s="41"/>
      <c r="E63" s="42"/>
      <c r="F63" s="42"/>
      <c r="G63" s="42"/>
      <c r="H63" s="42"/>
      <c r="I63" s="28">
        <v>18504.62</v>
      </c>
      <c r="J63" s="47"/>
      <c r="K63" s="47"/>
      <c r="L63" s="29">
        <v>47452</v>
      </c>
      <c r="M63" s="31">
        <f t="shared" si="2"/>
        <v>18504.380000000117</v>
      </c>
    </row>
    <row r="64" spans="2:18" x14ac:dyDescent="0.3">
      <c r="C64" s="40"/>
      <c r="D64" s="41"/>
      <c r="E64" s="42"/>
      <c r="F64" s="42"/>
      <c r="G64" s="42"/>
      <c r="H64" s="42"/>
      <c r="I64" s="78">
        <f>SUM(I4:I63)</f>
        <v>1110263.04</v>
      </c>
      <c r="J64" s="78">
        <f>SUM(J4:J63)</f>
        <v>46880.719999999979</v>
      </c>
      <c r="K64" s="78">
        <f>SUM(K4:K63)</f>
        <v>435472.7</v>
      </c>
      <c r="L64" s="43"/>
      <c r="M64" s="44"/>
    </row>
    <row r="65" spans="3:13" x14ac:dyDescent="0.3">
      <c r="C65" s="40"/>
      <c r="D65" s="41"/>
      <c r="E65" s="42"/>
      <c r="F65" s="42"/>
      <c r="G65" s="42"/>
      <c r="H65" s="42"/>
      <c r="I65" s="42"/>
      <c r="J65" s="42"/>
      <c r="K65" s="42"/>
      <c r="L65" s="43"/>
      <c r="M65" s="44"/>
    </row>
    <row r="66" spans="3:13" x14ac:dyDescent="0.3">
      <c r="C66" s="40"/>
      <c r="D66" s="41"/>
      <c r="E66" s="42"/>
      <c r="F66" s="42"/>
      <c r="G66" s="42"/>
      <c r="H66" s="42"/>
      <c r="I66" s="42"/>
      <c r="J66" s="42"/>
      <c r="K66" s="42"/>
      <c r="L66" s="43"/>
      <c r="M66" s="44"/>
    </row>
    <row r="67" spans="3:13" x14ac:dyDescent="0.3">
      <c r="C67" s="40"/>
      <c r="D67" s="41"/>
      <c r="E67" s="42"/>
      <c r="F67" s="42"/>
      <c r="G67" s="42"/>
      <c r="H67" s="42"/>
      <c r="I67" s="42"/>
      <c r="J67" s="42"/>
      <c r="K67" s="42"/>
      <c r="L67" s="43"/>
      <c r="M67" s="44"/>
    </row>
    <row r="68" spans="3:13" x14ac:dyDescent="0.3">
      <c r="C68" s="40"/>
      <c r="D68" s="41"/>
      <c r="E68" s="42"/>
      <c r="F68" s="42"/>
      <c r="G68" s="42"/>
      <c r="H68" s="42"/>
      <c r="I68" s="42"/>
      <c r="J68" s="42"/>
      <c r="K68" s="42"/>
      <c r="L68" s="43"/>
      <c r="M68" s="44"/>
    </row>
    <row r="69" spans="3:13" x14ac:dyDescent="0.3">
      <c r="C69" s="40"/>
      <c r="D69" s="41"/>
      <c r="E69" s="42"/>
      <c r="F69" s="42"/>
      <c r="G69" s="42"/>
      <c r="H69" s="42"/>
      <c r="I69" s="42"/>
      <c r="J69" s="42"/>
      <c r="K69" s="42"/>
      <c r="L69" s="43"/>
      <c r="M69" s="44"/>
    </row>
    <row r="70" spans="3:13" x14ac:dyDescent="0.3">
      <c r="C70" s="40"/>
      <c r="D70" s="41"/>
      <c r="E70" s="42"/>
      <c r="F70" s="42"/>
      <c r="G70" s="42"/>
      <c r="H70" s="42"/>
      <c r="I70" s="42"/>
      <c r="J70" s="42"/>
      <c r="K70" s="42"/>
      <c r="L70" s="43"/>
      <c r="M70" s="44"/>
    </row>
    <row r="71" spans="3:13" x14ac:dyDescent="0.3">
      <c r="C71" s="40"/>
      <c r="D71" s="41"/>
      <c r="E71" s="42"/>
      <c r="F71" s="42"/>
      <c r="G71" s="42"/>
      <c r="H71" s="42"/>
      <c r="I71" s="42"/>
      <c r="J71" s="42"/>
      <c r="K71" s="42"/>
      <c r="L71" s="43"/>
      <c r="M71" s="44"/>
    </row>
    <row r="72" spans="3:13" x14ac:dyDescent="0.3">
      <c r="C72" s="40"/>
      <c r="D72" s="41"/>
      <c r="E72" s="42"/>
      <c r="F72" s="42"/>
      <c r="G72" s="42"/>
      <c r="H72" s="42"/>
      <c r="I72" s="42"/>
      <c r="J72" s="42"/>
      <c r="K72" s="42"/>
      <c r="L72" s="43"/>
      <c r="M72" s="44"/>
    </row>
    <row r="73" spans="3:13" x14ac:dyDescent="0.3">
      <c r="C73" s="40"/>
      <c r="D73" s="41"/>
      <c r="E73" s="42"/>
      <c r="F73" s="42"/>
      <c r="G73" s="42"/>
      <c r="H73" s="42"/>
      <c r="I73" s="42"/>
      <c r="J73" s="42"/>
      <c r="K73" s="42"/>
      <c r="L73" s="43"/>
      <c r="M73" s="44"/>
    </row>
    <row r="74" spans="3:13" x14ac:dyDescent="0.3">
      <c r="C74" s="40"/>
      <c r="D74" s="41"/>
      <c r="E74" s="42"/>
      <c r="F74" s="42"/>
      <c r="G74" s="42"/>
      <c r="H74" s="42"/>
      <c r="I74" s="42"/>
      <c r="J74" s="42"/>
      <c r="K74" s="42"/>
      <c r="L74" s="43"/>
      <c r="M74" s="44"/>
    </row>
    <row r="75" spans="3:13" x14ac:dyDescent="0.3">
      <c r="C75" s="40"/>
      <c r="D75" s="41"/>
      <c r="E75" s="42"/>
      <c r="F75" s="42"/>
      <c r="G75" s="42"/>
      <c r="H75" s="42"/>
      <c r="I75" s="42"/>
      <c r="J75" s="42"/>
      <c r="K75" s="42"/>
      <c r="L75" s="43"/>
      <c r="M75" s="44"/>
    </row>
    <row r="76" spans="3:13" x14ac:dyDescent="0.3">
      <c r="C76" s="40"/>
      <c r="D76" s="41"/>
      <c r="E76" s="42"/>
      <c r="F76" s="42"/>
      <c r="G76" s="42"/>
      <c r="H76" s="42"/>
      <c r="I76" s="42"/>
      <c r="J76" s="42"/>
      <c r="K76" s="42"/>
      <c r="L76" s="43"/>
      <c r="M76" s="44"/>
    </row>
    <row r="77" spans="3:13" x14ac:dyDescent="0.3">
      <c r="C77" s="40"/>
      <c r="D77" s="41"/>
      <c r="E77" s="42"/>
      <c r="F77" s="42"/>
      <c r="G77" s="42"/>
      <c r="H77" s="42"/>
      <c r="I77" s="42"/>
      <c r="J77" s="42"/>
      <c r="K77" s="42"/>
      <c r="L77" s="43"/>
      <c r="M77" s="44"/>
    </row>
    <row r="78" spans="3:13" x14ac:dyDescent="0.3">
      <c r="C78" s="40"/>
      <c r="D78" s="41"/>
      <c r="E78" s="42"/>
      <c r="F78" s="42"/>
      <c r="G78" s="42"/>
      <c r="H78" s="42"/>
      <c r="I78" s="42"/>
      <c r="J78" s="42"/>
      <c r="K78" s="42"/>
      <c r="L78" s="43"/>
      <c r="M78" s="44"/>
    </row>
    <row r="79" spans="3:13" x14ac:dyDescent="0.3">
      <c r="C79" s="40"/>
      <c r="D79" s="41"/>
      <c r="E79" s="42"/>
      <c r="F79" s="42"/>
      <c r="G79" s="42"/>
      <c r="H79" s="42"/>
      <c r="I79" s="42"/>
      <c r="J79" s="42"/>
      <c r="K79" s="42"/>
      <c r="L79" s="43"/>
      <c r="M79" s="44"/>
    </row>
    <row r="80" spans="3:13" x14ac:dyDescent="0.3">
      <c r="C80" s="40"/>
      <c r="D80" s="41"/>
      <c r="E80" s="42"/>
      <c r="F80" s="42"/>
      <c r="G80" s="42"/>
      <c r="H80" s="42"/>
      <c r="I80" s="42"/>
      <c r="J80" s="42"/>
      <c r="K80" s="42"/>
      <c r="L80" s="43"/>
      <c r="M80" s="44"/>
    </row>
    <row r="81" spans="3:13" x14ac:dyDescent="0.3">
      <c r="C81" s="40"/>
      <c r="D81" s="41"/>
      <c r="E81" s="42"/>
      <c r="F81" s="42"/>
      <c r="G81" s="42"/>
      <c r="H81" s="42"/>
      <c r="I81" s="42"/>
      <c r="J81" s="42"/>
      <c r="K81" s="42"/>
      <c r="L81" s="43"/>
      <c r="M81" s="44"/>
    </row>
    <row r="82" spans="3:13" x14ac:dyDescent="0.3">
      <c r="C82" s="40"/>
      <c r="D82" s="41"/>
      <c r="E82" s="42"/>
      <c r="F82" s="42"/>
      <c r="G82" s="42"/>
      <c r="H82" s="42"/>
      <c r="I82" s="42"/>
      <c r="J82" s="42"/>
      <c r="K82" s="42"/>
      <c r="L82" s="43"/>
      <c r="M82" s="44"/>
    </row>
    <row r="83" spans="3:13" x14ac:dyDescent="0.3">
      <c r="C83" s="40"/>
      <c r="D83" s="41"/>
      <c r="E83" s="42"/>
      <c r="F83" s="42"/>
      <c r="G83" s="42"/>
      <c r="H83" s="42"/>
      <c r="I83" s="42"/>
      <c r="J83" s="42"/>
      <c r="K83" s="42"/>
      <c r="L83" s="43"/>
      <c r="M83" s="44"/>
    </row>
    <row r="84" spans="3:13" x14ac:dyDescent="0.3">
      <c r="C84" s="40"/>
      <c r="D84" s="41"/>
      <c r="E84" s="42"/>
      <c r="F84" s="42"/>
      <c r="G84" s="42"/>
      <c r="H84" s="42"/>
      <c r="I84" s="42"/>
      <c r="J84" s="42"/>
      <c r="K84" s="42"/>
      <c r="L84" s="43"/>
      <c r="M84" s="44"/>
    </row>
    <row r="85" spans="3:13" x14ac:dyDescent="0.3">
      <c r="C85" s="40"/>
      <c r="D85" s="41"/>
      <c r="E85" s="42"/>
      <c r="F85" s="42"/>
      <c r="G85" s="42"/>
      <c r="H85" s="42"/>
      <c r="I85" s="42"/>
      <c r="J85" s="42"/>
      <c r="K85" s="42"/>
      <c r="L85" s="43"/>
      <c r="M85" s="44"/>
    </row>
    <row r="86" spans="3:13" x14ac:dyDescent="0.3">
      <c r="C86" s="40"/>
      <c r="D86" s="41"/>
      <c r="E86" s="42"/>
      <c r="F86" s="42"/>
      <c r="G86" s="42"/>
      <c r="H86" s="42"/>
      <c r="I86" s="42"/>
      <c r="J86" s="42"/>
      <c r="K86" s="42"/>
      <c r="L86" s="43"/>
      <c r="M86" s="44"/>
    </row>
    <row r="87" spans="3:13" x14ac:dyDescent="0.3">
      <c r="C87" s="40"/>
      <c r="D87" s="41"/>
      <c r="E87" s="42"/>
      <c r="F87" s="42"/>
      <c r="G87" s="42"/>
      <c r="H87" s="42"/>
      <c r="I87" s="42"/>
      <c r="J87" s="42"/>
      <c r="K87" s="42"/>
      <c r="L87" s="43"/>
      <c r="M87" s="44"/>
    </row>
    <row r="88" spans="3:13" x14ac:dyDescent="0.3">
      <c r="C88" s="40"/>
      <c r="D88" s="41"/>
      <c r="E88" s="42"/>
      <c r="F88" s="42"/>
      <c r="G88" s="42"/>
      <c r="H88" s="42"/>
      <c r="I88" s="42"/>
      <c r="J88" s="42"/>
      <c r="K88" s="42"/>
      <c r="L88" s="43"/>
      <c r="M88" s="44"/>
    </row>
    <row r="89" spans="3:13" x14ac:dyDescent="0.3">
      <c r="C89" s="40"/>
      <c r="D89" s="41"/>
      <c r="E89" s="42"/>
      <c r="F89" s="42"/>
      <c r="G89" s="42"/>
      <c r="H89" s="42"/>
      <c r="I89" s="42"/>
      <c r="J89" s="42"/>
      <c r="K89" s="42"/>
      <c r="L89" s="43"/>
      <c r="M89" s="44"/>
    </row>
    <row r="90" spans="3:13" x14ac:dyDescent="0.3">
      <c r="C90" s="40"/>
      <c r="D90" s="41"/>
      <c r="E90" s="42"/>
      <c r="F90" s="42"/>
      <c r="G90" s="42"/>
      <c r="H90" s="42"/>
      <c r="I90" s="42"/>
      <c r="J90" s="42"/>
      <c r="K90" s="42"/>
      <c r="L90" s="43"/>
      <c r="M90" s="44"/>
    </row>
    <row r="91" spans="3:13" x14ac:dyDescent="0.3">
      <c r="C91" s="40"/>
      <c r="D91" s="41"/>
      <c r="E91" s="42"/>
      <c r="F91" s="42"/>
      <c r="G91" s="42"/>
      <c r="H91" s="42"/>
      <c r="I91" s="42"/>
      <c r="J91" s="42"/>
      <c r="K91" s="42"/>
      <c r="L91" s="43"/>
      <c r="M91" s="44"/>
    </row>
    <row r="92" spans="3:13" x14ac:dyDescent="0.3">
      <c r="C92" s="40"/>
      <c r="D92" s="41"/>
      <c r="E92" s="42"/>
      <c r="F92" s="42"/>
      <c r="G92" s="42"/>
      <c r="H92" s="42"/>
      <c r="I92" s="42"/>
      <c r="J92" s="42"/>
      <c r="K92" s="42"/>
      <c r="L92" s="43"/>
      <c r="M92" s="44"/>
    </row>
    <row r="93" spans="3:13" x14ac:dyDescent="0.3">
      <c r="C93" s="40"/>
      <c r="D93" s="41"/>
      <c r="E93" s="42"/>
      <c r="F93" s="42"/>
      <c r="G93" s="42"/>
      <c r="H93" s="42"/>
      <c r="I93" s="42"/>
      <c r="J93" s="42"/>
      <c r="K93" s="42"/>
      <c r="L93" s="43"/>
      <c r="M93" s="44"/>
    </row>
    <row r="94" spans="3:13" x14ac:dyDescent="0.3">
      <c r="C94" s="40"/>
      <c r="D94" s="41"/>
      <c r="E94" s="42"/>
      <c r="F94" s="42"/>
      <c r="G94" s="42"/>
      <c r="H94" s="42"/>
      <c r="I94" s="42"/>
      <c r="J94" s="42"/>
      <c r="K94" s="42"/>
      <c r="L94" s="43"/>
      <c r="M94" s="44"/>
    </row>
    <row r="95" spans="3:13" x14ac:dyDescent="0.3">
      <c r="C95" s="40"/>
      <c r="D95" s="41"/>
      <c r="E95" s="42"/>
      <c r="F95" s="42"/>
      <c r="G95" s="42"/>
      <c r="H95" s="42"/>
      <c r="I95" s="42"/>
      <c r="J95" s="42"/>
      <c r="K95" s="42"/>
      <c r="L95" s="43"/>
      <c r="M95" s="44"/>
    </row>
    <row r="96" spans="3:13" x14ac:dyDescent="0.3">
      <c r="C96" s="40"/>
      <c r="D96" s="41"/>
      <c r="E96" s="42"/>
      <c r="F96" s="42"/>
      <c r="G96" s="42"/>
      <c r="H96" s="42"/>
      <c r="I96" s="42"/>
      <c r="J96" s="42"/>
      <c r="K96" s="42"/>
      <c r="L96" s="43"/>
      <c r="M96" s="44"/>
    </row>
    <row r="97" spans="3:13" x14ac:dyDescent="0.3">
      <c r="C97" s="40"/>
      <c r="D97" s="41"/>
      <c r="E97" s="42"/>
      <c r="F97" s="42"/>
      <c r="G97" s="42"/>
      <c r="H97" s="42"/>
      <c r="I97" s="42"/>
      <c r="J97" s="42"/>
      <c r="K97" s="42"/>
      <c r="L97" s="43"/>
      <c r="M97" s="44"/>
    </row>
    <row r="98" spans="3:13" x14ac:dyDescent="0.3">
      <c r="C98" s="40"/>
      <c r="D98" s="41"/>
      <c r="E98" s="42"/>
      <c r="F98" s="42"/>
      <c r="G98" s="42"/>
      <c r="H98" s="42"/>
      <c r="I98" s="42"/>
      <c r="J98" s="42"/>
      <c r="K98" s="42"/>
      <c r="L98" s="43"/>
      <c r="M98" s="44"/>
    </row>
    <row r="99" spans="3:13" x14ac:dyDescent="0.3">
      <c r="C99" s="40"/>
      <c r="D99" s="41"/>
      <c r="E99" s="42"/>
      <c r="F99" s="42"/>
      <c r="G99" s="42"/>
      <c r="H99" s="42"/>
      <c r="I99" s="42"/>
      <c r="J99" s="42"/>
      <c r="K99" s="42"/>
      <c r="L99" s="43"/>
      <c r="M99" s="44"/>
    </row>
    <row r="100" spans="3:13" x14ac:dyDescent="0.3">
      <c r="C100" s="40"/>
      <c r="D100" s="41"/>
      <c r="E100" s="42"/>
      <c r="F100" s="42"/>
      <c r="G100" s="42"/>
      <c r="H100" s="42"/>
      <c r="I100" s="42"/>
      <c r="J100" s="42"/>
      <c r="K100" s="42"/>
      <c r="L100" s="43"/>
      <c r="M100" s="44"/>
    </row>
    <row r="101" spans="3:13" x14ac:dyDescent="0.3">
      <c r="C101" s="40"/>
      <c r="D101" s="41"/>
      <c r="E101" s="42"/>
      <c r="F101" s="42"/>
      <c r="G101" s="42"/>
      <c r="H101" s="42"/>
      <c r="I101" s="42"/>
      <c r="J101" s="42"/>
      <c r="K101" s="42"/>
      <c r="L101" s="43"/>
      <c r="M101" s="44"/>
    </row>
    <row r="102" spans="3:13" x14ac:dyDescent="0.3">
      <c r="C102" s="40"/>
      <c r="D102" s="41"/>
      <c r="E102" s="42"/>
      <c r="F102" s="42"/>
      <c r="G102" s="42"/>
      <c r="H102" s="42"/>
      <c r="I102" s="42"/>
      <c r="J102" s="42"/>
      <c r="K102" s="42"/>
      <c r="L102" s="43"/>
      <c r="M102" s="44"/>
    </row>
    <row r="103" spans="3:13" x14ac:dyDescent="0.3">
      <c r="C103" s="40"/>
      <c r="D103" s="41"/>
      <c r="E103" s="42"/>
      <c r="F103" s="42"/>
      <c r="G103" s="42"/>
      <c r="H103" s="42"/>
      <c r="I103" s="42"/>
      <c r="J103" s="42"/>
      <c r="K103" s="42"/>
      <c r="L103" s="43"/>
      <c r="M103" s="44"/>
    </row>
    <row r="104" spans="3:13" x14ac:dyDescent="0.3">
      <c r="C104" s="40"/>
      <c r="D104" s="41"/>
      <c r="E104" s="42"/>
      <c r="F104" s="42"/>
      <c r="G104" s="42"/>
      <c r="H104" s="42"/>
      <c r="I104" s="42"/>
      <c r="J104" s="42"/>
      <c r="K104" s="42"/>
      <c r="L104" s="43"/>
      <c r="M104" s="44"/>
    </row>
    <row r="105" spans="3:13" x14ac:dyDescent="0.3">
      <c r="C105" s="40"/>
      <c r="D105" s="41"/>
      <c r="E105" s="42"/>
      <c r="F105" s="42"/>
      <c r="G105" s="42"/>
      <c r="H105" s="42"/>
      <c r="I105" s="42"/>
      <c r="J105" s="42"/>
      <c r="K105" s="42"/>
      <c r="L105" s="43"/>
      <c r="M105" s="44"/>
    </row>
    <row r="106" spans="3:13" x14ac:dyDescent="0.3">
      <c r="C106" s="40"/>
      <c r="D106" s="41"/>
      <c r="E106" s="42"/>
      <c r="F106" s="42"/>
      <c r="G106" s="42"/>
      <c r="H106" s="42"/>
      <c r="I106" s="42"/>
      <c r="J106" s="42"/>
      <c r="K106" s="42"/>
      <c r="L106" s="43"/>
      <c r="M106" s="44"/>
    </row>
    <row r="107" spans="3:13" x14ac:dyDescent="0.3">
      <c r="C107" s="40"/>
      <c r="D107" s="41"/>
      <c r="E107" s="42"/>
      <c r="F107" s="42"/>
      <c r="G107" s="42"/>
      <c r="H107" s="42"/>
      <c r="I107" s="42"/>
      <c r="J107" s="42"/>
      <c r="K107" s="42"/>
      <c r="L107" s="43"/>
      <c r="M107" s="44"/>
    </row>
    <row r="108" spans="3:13" x14ac:dyDescent="0.3">
      <c r="C108" s="40"/>
      <c r="D108" s="41"/>
      <c r="E108" s="42"/>
      <c r="F108" s="42"/>
      <c r="G108" s="42"/>
      <c r="H108" s="42"/>
      <c r="I108" s="42"/>
      <c r="J108" s="42"/>
      <c r="K108" s="42"/>
      <c r="L108" s="43"/>
      <c r="M108" s="44"/>
    </row>
    <row r="109" spans="3:13" x14ac:dyDescent="0.3">
      <c r="C109" s="40"/>
      <c r="D109" s="41"/>
      <c r="E109" s="42"/>
      <c r="F109" s="42"/>
      <c r="G109" s="42"/>
      <c r="H109" s="42"/>
      <c r="I109" s="42"/>
      <c r="J109" s="42"/>
      <c r="K109" s="42"/>
      <c r="L109" s="43"/>
      <c r="M109" s="44"/>
    </row>
    <row r="110" spans="3:13" x14ac:dyDescent="0.3">
      <c r="C110" s="40"/>
      <c r="D110" s="41"/>
      <c r="E110" s="42"/>
      <c r="F110" s="42"/>
      <c r="G110" s="42"/>
      <c r="H110" s="42"/>
      <c r="I110" s="42"/>
      <c r="J110" s="42"/>
      <c r="K110" s="42"/>
      <c r="L110" s="43"/>
      <c r="M110" s="44"/>
    </row>
    <row r="111" spans="3:13" x14ac:dyDescent="0.3">
      <c r="C111" s="40"/>
      <c r="D111" s="41"/>
      <c r="E111" s="42"/>
      <c r="F111" s="42"/>
      <c r="G111" s="42"/>
      <c r="H111" s="42"/>
      <c r="I111" s="42"/>
      <c r="J111" s="42"/>
      <c r="K111" s="42"/>
      <c r="L111" s="43"/>
      <c r="M111" s="44"/>
    </row>
    <row r="112" spans="3:13" x14ac:dyDescent="0.3">
      <c r="C112" s="40"/>
      <c r="D112" s="41"/>
      <c r="E112" s="42"/>
      <c r="F112" s="42"/>
      <c r="G112" s="42"/>
      <c r="H112" s="42"/>
      <c r="I112" s="42"/>
      <c r="J112" s="42"/>
      <c r="K112" s="42"/>
      <c r="L112" s="43"/>
      <c r="M112" s="44"/>
    </row>
    <row r="113" spans="3:13" x14ac:dyDescent="0.3">
      <c r="C113" s="40"/>
      <c r="D113" s="41"/>
      <c r="E113" s="42"/>
      <c r="F113" s="42"/>
      <c r="G113" s="42"/>
      <c r="H113" s="42"/>
      <c r="I113" s="42"/>
      <c r="J113" s="42"/>
      <c r="K113" s="42"/>
      <c r="L113" s="43"/>
      <c r="M113" s="44"/>
    </row>
    <row r="114" spans="3:13" x14ac:dyDescent="0.3">
      <c r="C114" s="40"/>
      <c r="D114" s="41"/>
      <c r="E114" s="42"/>
      <c r="F114" s="42"/>
      <c r="G114" s="42"/>
      <c r="H114" s="42"/>
      <c r="I114" s="42"/>
      <c r="J114" s="42"/>
      <c r="K114" s="42"/>
      <c r="L114" s="43"/>
      <c r="M114" s="44"/>
    </row>
    <row r="115" spans="3:13" x14ac:dyDescent="0.3">
      <c r="C115" s="40"/>
      <c r="D115" s="41"/>
      <c r="E115" s="42"/>
      <c r="F115" s="42"/>
      <c r="G115" s="42"/>
      <c r="H115" s="42"/>
      <c r="I115" s="42"/>
      <c r="J115" s="42"/>
      <c r="K115" s="42"/>
      <c r="L115" s="43"/>
      <c r="M115" s="44"/>
    </row>
    <row r="116" spans="3:13" x14ac:dyDescent="0.3">
      <c r="C116" s="40"/>
      <c r="D116" s="41"/>
      <c r="E116" s="42"/>
      <c r="F116" s="42"/>
      <c r="G116" s="42"/>
      <c r="H116" s="42"/>
      <c r="I116" s="42"/>
      <c r="J116" s="42"/>
      <c r="K116" s="42"/>
      <c r="L116" s="43"/>
      <c r="M116" s="44"/>
    </row>
    <row r="117" spans="3:13" x14ac:dyDescent="0.3">
      <c r="C117" s="40"/>
      <c r="D117" s="41"/>
      <c r="E117" s="42"/>
      <c r="F117" s="42"/>
      <c r="G117" s="42"/>
      <c r="H117" s="42"/>
      <c r="I117" s="42"/>
      <c r="J117" s="42"/>
      <c r="K117" s="42"/>
      <c r="L117" s="43"/>
      <c r="M117" s="44"/>
    </row>
    <row r="118" spans="3:13" x14ac:dyDescent="0.3">
      <c r="C118" s="40"/>
      <c r="D118" s="41"/>
      <c r="E118" s="42"/>
      <c r="F118" s="42"/>
      <c r="G118" s="42"/>
      <c r="H118" s="42"/>
      <c r="I118" s="42"/>
      <c r="J118" s="42"/>
      <c r="K118" s="42"/>
      <c r="L118" s="43"/>
      <c r="M118" s="44"/>
    </row>
    <row r="119" spans="3:13" x14ac:dyDescent="0.3">
      <c r="C119" s="40"/>
      <c r="D119" s="41"/>
      <c r="E119" s="42"/>
      <c r="F119" s="42"/>
      <c r="G119" s="42"/>
      <c r="H119" s="42"/>
      <c r="I119" s="42"/>
      <c r="J119" s="42"/>
      <c r="K119" s="42"/>
      <c r="L119" s="43"/>
      <c r="M119" s="44"/>
    </row>
    <row r="120" spans="3:13" x14ac:dyDescent="0.3">
      <c r="C120" s="40"/>
      <c r="D120" s="41"/>
      <c r="E120" s="42"/>
      <c r="F120" s="42"/>
      <c r="G120" s="42"/>
      <c r="H120" s="42"/>
      <c r="I120" s="42"/>
      <c r="J120" s="42"/>
      <c r="K120" s="42"/>
      <c r="L120" s="43"/>
      <c r="M120" s="44"/>
    </row>
    <row r="121" spans="3:13" x14ac:dyDescent="0.3">
      <c r="C121" s="40"/>
      <c r="D121" s="41"/>
      <c r="E121" s="42"/>
      <c r="F121" s="42"/>
      <c r="G121" s="42"/>
      <c r="H121" s="42"/>
      <c r="I121" s="42"/>
      <c r="J121" s="42"/>
      <c r="K121" s="42"/>
      <c r="L121" s="43"/>
      <c r="M121" s="44"/>
    </row>
    <row r="122" spans="3:13" x14ac:dyDescent="0.3">
      <c r="C122" s="40"/>
      <c r="D122" s="41"/>
      <c r="E122" s="42"/>
      <c r="F122" s="42"/>
      <c r="G122" s="42"/>
      <c r="H122" s="42"/>
      <c r="I122" s="42"/>
      <c r="J122" s="42"/>
      <c r="K122" s="42"/>
      <c r="L122" s="43"/>
      <c r="M122" s="44"/>
    </row>
    <row r="123" spans="3:13" x14ac:dyDescent="0.3">
      <c r="C123" s="40"/>
      <c r="D123" s="41"/>
      <c r="E123" s="42"/>
      <c r="F123" s="42"/>
      <c r="G123" s="42"/>
      <c r="H123" s="42"/>
      <c r="I123" s="42"/>
      <c r="J123" s="42"/>
      <c r="K123" s="42"/>
      <c r="L123" s="43"/>
      <c r="M123" s="44"/>
    </row>
    <row r="124" spans="3:13" x14ac:dyDescent="0.3">
      <c r="C124" s="40"/>
      <c r="D124" s="41"/>
      <c r="E124" s="42"/>
      <c r="F124" s="42"/>
      <c r="G124" s="42"/>
      <c r="H124" s="42"/>
      <c r="I124" s="42"/>
      <c r="J124" s="42"/>
      <c r="K124" s="42"/>
      <c r="L124" s="43"/>
      <c r="M124" s="44"/>
    </row>
    <row r="125" spans="3:13" x14ac:dyDescent="0.3">
      <c r="H125" s="44"/>
      <c r="I125" s="44"/>
      <c r="J125" s="44"/>
      <c r="K125" s="44"/>
    </row>
  </sheetData>
  <mergeCells count="4">
    <mergeCell ref="O9:Q9"/>
    <mergeCell ref="O10:Q10"/>
    <mergeCell ref="O11:Q11"/>
    <mergeCell ref="O6:P6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243B-6594-4F6F-90C2-83485C35A53B}">
  <dimension ref="B1:R85"/>
  <sheetViews>
    <sheetView showGridLines="0" workbookViewId="0">
      <selection activeCell="R4" sqref="R4"/>
    </sheetView>
  </sheetViews>
  <sheetFormatPr defaultColWidth="9.109375" defaultRowHeight="14.4" x14ac:dyDescent="0.3"/>
  <cols>
    <col min="1" max="1" width="2.5546875" style="39" customWidth="1"/>
    <col min="2" max="2" width="55.6640625" style="39" customWidth="1"/>
    <col min="3" max="3" width="9.33203125" style="39" bestFit="1" customWidth="1"/>
    <col min="4" max="4" width="11.88671875" style="39" bestFit="1" customWidth="1"/>
    <col min="5" max="5" width="13.33203125" style="39" bestFit="1" customWidth="1"/>
    <col min="6" max="6" width="11.5546875" style="39" bestFit="1" customWidth="1"/>
    <col min="7" max="7" width="10.33203125" style="39" customWidth="1"/>
    <col min="8" max="8" width="14" style="39" bestFit="1" customWidth="1"/>
    <col min="9" max="9" width="13.33203125" style="39" bestFit="1" customWidth="1"/>
    <col min="10" max="10" width="12.5546875" style="39" customWidth="1"/>
    <col min="11" max="11" width="13.33203125" style="39" customWidth="1"/>
    <col min="12" max="12" width="10.5546875" style="39" customWidth="1"/>
    <col min="13" max="13" width="12.88671875" style="39" customWidth="1"/>
    <col min="14" max="14" width="4.33203125" style="39" customWidth="1"/>
    <col min="15" max="15" width="13.109375" style="39" bestFit="1" customWidth="1"/>
    <col min="16" max="16" width="11.5546875" style="39" bestFit="1" customWidth="1"/>
    <col min="17" max="17" width="13.109375" style="39" bestFit="1" customWidth="1"/>
    <col min="18" max="18" width="14.6640625" style="39" customWidth="1"/>
    <col min="19" max="16384" width="9.109375" style="39"/>
  </cols>
  <sheetData>
    <row r="1" spans="2:18" customFormat="1" x14ac:dyDescent="0.3"/>
    <row r="2" spans="2:18" customFormat="1" ht="15" thickBot="1" x14ac:dyDescent="0.35"/>
    <row r="3" spans="2:18" customFormat="1" ht="15" thickBot="1" x14ac:dyDescent="0.35">
      <c r="B3" s="37" t="s">
        <v>27</v>
      </c>
      <c r="C3" s="30" t="s">
        <v>44</v>
      </c>
      <c r="D3" s="30" t="s">
        <v>45</v>
      </c>
      <c r="E3" s="30" t="s">
        <v>18</v>
      </c>
      <c r="F3" s="30" t="s">
        <v>19</v>
      </c>
      <c r="G3" s="30" t="s">
        <v>20</v>
      </c>
      <c r="H3" s="30" t="s">
        <v>21</v>
      </c>
      <c r="I3" s="30" t="s">
        <v>83</v>
      </c>
      <c r="J3" s="30" t="s">
        <v>15</v>
      </c>
      <c r="K3" s="30" t="s">
        <v>82</v>
      </c>
      <c r="L3" s="30" t="s">
        <v>22</v>
      </c>
      <c r="M3" s="30" t="s">
        <v>23</v>
      </c>
      <c r="O3" s="36" t="s">
        <v>24</v>
      </c>
      <c r="P3" s="36" t="s">
        <v>25</v>
      </c>
      <c r="Q3" s="35" t="s">
        <v>26</v>
      </c>
      <c r="R3" s="35" t="s">
        <v>15</v>
      </c>
    </row>
    <row r="4" spans="2:18" customFormat="1" ht="15" thickBot="1" x14ac:dyDescent="0.35">
      <c r="B4" s="81" t="s">
        <v>39</v>
      </c>
      <c r="C4" s="38" t="s">
        <v>91</v>
      </c>
      <c r="D4" s="46">
        <v>45961</v>
      </c>
      <c r="E4" s="27">
        <v>161921.29</v>
      </c>
      <c r="F4" s="27">
        <v>32384.25</v>
      </c>
      <c r="G4" s="27">
        <v>12759.39</v>
      </c>
      <c r="H4" s="47">
        <f>SUM(E4,F4,G4)</f>
        <v>207064.93</v>
      </c>
      <c r="I4" s="28">
        <v>29779.51</v>
      </c>
      <c r="J4" s="77"/>
      <c r="K4" s="28">
        <f>I4+J4</f>
        <v>29779.51</v>
      </c>
      <c r="L4" s="29">
        <v>45449</v>
      </c>
      <c r="M4" s="31"/>
      <c r="O4" s="32">
        <v>1786770.79</v>
      </c>
      <c r="P4" s="33">
        <f>I4+I5+I6+I7+I8+I9+I10+I11+I12+I13+I14+I15+I16+I17+I18+I19</f>
        <v>476472.16000000009</v>
      </c>
      <c r="Q4" s="34">
        <f>O4-P4</f>
        <v>1310298.6299999999</v>
      </c>
      <c r="R4" s="34">
        <f>J5+J6+J7+J8+J9+J10+J11+J12+J13+J14+J15+J16+J17+J18+J19</f>
        <v>41566.170000000027</v>
      </c>
    </row>
    <row r="5" spans="2:18" customFormat="1" x14ac:dyDescent="0.3">
      <c r="B5" s="81" t="s">
        <v>39</v>
      </c>
      <c r="C5" s="38" t="s">
        <v>92</v>
      </c>
      <c r="D5" s="46">
        <v>45777</v>
      </c>
      <c r="E5" s="27">
        <v>725728.09</v>
      </c>
      <c r="F5" s="27">
        <v>145145.60999999999</v>
      </c>
      <c r="G5" s="27">
        <v>15530.58</v>
      </c>
      <c r="H5" s="47">
        <f t="shared" ref="H5:H16" si="0">SUM(E5,F5,G5)</f>
        <v>886404.27999999991</v>
      </c>
      <c r="I5" s="28">
        <v>29779.51</v>
      </c>
      <c r="J5" s="77">
        <f t="shared" ref="J5:J19" si="1">K5-I5</f>
        <v>297.79000000000087</v>
      </c>
      <c r="K5" s="28">
        <v>30077.3</v>
      </c>
      <c r="L5" s="29">
        <v>45504</v>
      </c>
      <c r="M5" s="31">
        <f>H17-I4</f>
        <v>1756991.28</v>
      </c>
    </row>
    <row r="6" spans="2:18" customFormat="1" x14ac:dyDescent="0.3">
      <c r="B6" s="81" t="s">
        <v>40</v>
      </c>
      <c r="C6" s="38">
        <v>45627</v>
      </c>
      <c r="D6" s="46">
        <v>45681</v>
      </c>
      <c r="E6" s="27">
        <v>59792.55</v>
      </c>
      <c r="F6" s="27">
        <v>11958.51</v>
      </c>
      <c r="G6" s="27">
        <v>3079.31</v>
      </c>
      <c r="H6" s="47">
        <f t="shared" si="0"/>
        <v>74830.37</v>
      </c>
      <c r="I6" s="28">
        <v>29779.51</v>
      </c>
      <c r="J6" s="77">
        <f t="shared" si="1"/>
        <v>678.97000000000116</v>
      </c>
      <c r="K6" s="28">
        <v>30458.48</v>
      </c>
      <c r="L6" s="29">
        <v>45535</v>
      </c>
      <c r="M6" s="31">
        <f>M5-I6</f>
        <v>1727211.77</v>
      </c>
      <c r="O6" s="130" t="s">
        <v>89</v>
      </c>
      <c r="P6" s="130"/>
      <c r="Q6" s="82">
        <f>(Q4/O4)-1</f>
        <v>-0.26666663831011039</v>
      </c>
    </row>
    <row r="7" spans="2:18" customFormat="1" x14ac:dyDescent="0.3">
      <c r="B7" s="81" t="s">
        <v>40</v>
      </c>
      <c r="C7" s="38">
        <v>45689</v>
      </c>
      <c r="D7" s="46">
        <v>45741</v>
      </c>
      <c r="E7" s="27">
        <v>43910.34</v>
      </c>
      <c r="F7" s="27">
        <v>8782.06</v>
      </c>
      <c r="G7" s="27">
        <v>1405.13</v>
      </c>
      <c r="H7" s="47">
        <f t="shared" si="0"/>
        <v>54097.529999999992</v>
      </c>
      <c r="I7" s="28">
        <v>29779.51</v>
      </c>
      <c r="J7" s="77">
        <f t="shared" si="1"/>
        <v>1024.4099999999999</v>
      </c>
      <c r="K7" s="28">
        <v>30803.919999999998</v>
      </c>
      <c r="L7" s="29">
        <v>45565</v>
      </c>
      <c r="M7" s="31">
        <f>M6-I7</f>
        <v>1697432.26</v>
      </c>
      <c r="O7" s="39"/>
      <c r="P7" s="39"/>
      <c r="Q7" s="39"/>
    </row>
    <row r="8" spans="2:18" customFormat="1" x14ac:dyDescent="0.3">
      <c r="B8" s="81" t="s">
        <v>40</v>
      </c>
      <c r="C8" s="38">
        <v>45717</v>
      </c>
      <c r="D8" s="46">
        <v>45772</v>
      </c>
      <c r="E8" s="27">
        <v>54134.52</v>
      </c>
      <c r="F8" s="27">
        <v>10826.9</v>
      </c>
      <c r="G8" s="27">
        <v>1158.47</v>
      </c>
      <c r="H8" s="47">
        <f t="shared" si="0"/>
        <v>66119.89</v>
      </c>
      <c r="I8" s="28">
        <v>29779.51</v>
      </c>
      <c r="J8" s="77">
        <f t="shared" si="1"/>
        <v>1387.7200000000012</v>
      </c>
      <c r="K8" s="28">
        <v>31167.23</v>
      </c>
      <c r="L8" s="29">
        <v>45596</v>
      </c>
      <c r="M8" s="31">
        <f>M7-I8</f>
        <v>1667652.75</v>
      </c>
    </row>
    <row r="9" spans="2:18" customFormat="1" x14ac:dyDescent="0.3">
      <c r="B9" s="81" t="s">
        <v>40</v>
      </c>
      <c r="C9" s="38">
        <v>45748</v>
      </c>
      <c r="D9" s="46">
        <v>45800</v>
      </c>
      <c r="E9" s="27">
        <v>52797.07</v>
      </c>
      <c r="F9" s="27">
        <v>10559.41</v>
      </c>
      <c r="G9" s="27">
        <v>527.97</v>
      </c>
      <c r="H9" s="47">
        <f t="shared" si="0"/>
        <v>63884.45</v>
      </c>
      <c r="I9" s="28">
        <v>29779.51</v>
      </c>
      <c r="J9" s="77">
        <f t="shared" si="1"/>
        <v>1768.9000000000015</v>
      </c>
      <c r="K9" s="28">
        <v>31548.41</v>
      </c>
      <c r="L9" s="29">
        <v>45626</v>
      </c>
      <c r="M9" s="31">
        <f t="shared" ref="M9:M63" si="2">M8-I9</f>
        <v>1637873.24</v>
      </c>
      <c r="O9" s="131" t="s">
        <v>87</v>
      </c>
      <c r="P9" s="131"/>
      <c r="Q9" s="131"/>
    </row>
    <row r="10" spans="2:18" customFormat="1" x14ac:dyDescent="0.3">
      <c r="B10" s="81" t="s">
        <v>41</v>
      </c>
      <c r="C10" s="38" t="s">
        <v>91</v>
      </c>
      <c r="D10" s="46">
        <v>45596</v>
      </c>
      <c r="E10" s="27">
        <v>54826.86</v>
      </c>
      <c r="F10" s="27">
        <v>10965.37</v>
      </c>
      <c r="G10" s="27">
        <v>4320.3500000000004</v>
      </c>
      <c r="H10" s="47">
        <f t="shared" si="0"/>
        <v>70112.58</v>
      </c>
      <c r="I10" s="28">
        <v>29779.51</v>
      </c>
      <c r="J10" s="77">
        <f t="shared" si="1"/>
        <v>2444.8900000000031</v>
      </c>
      <c r="K10" s="28">
        <v>32224.400000000001</v>
      </c>
      <c r="L10" s="29">
        <v>45657</v>
      </c>
      <c r="M10" s="31">
        <f t="shared" si="2"/>
        <v>1608093.73</v>
      </c>
      <c r="O10" s="132" t="s">
        <v>88</v>
      </c>
      <c r="P10" s="132"/>
      <c r="Q10" s="132"/>
    </row>
    <row r="11" spans="2:18" customFormat="1" x14ac:dyDescent="0.3">
      <c r="B11" s="81" t="s">
        <v>41</v>
      </c>
      <c r="C11" s="38" t="s">
        <v>92</v>
      </c>
      <c r="D11" s="46">
        <v>45777</v>
      </c>
      <c r="E11" s="27">
        <v>234058.66</v>
      </c>
      <c r="F11" s="27">
        <v>46811.73</v>
      </c>
      <c r="G11" s="27">
        <v>5008.8500000000004</v>
      </c>
      <c r="H11" s="47">
        <f t="shared" si="0"/>
        <v>285879.24</v>
      </c>
      <c r="I11" s="28">
        <v>29779.51</v>
      </c>
      <c r="J11" s="77">
        <f t="shared" si="1"/>
        <v>2444.8900000000031</v>
      </c>
      <c r="K11" s="28">
        <v>32224.400000000001</v>
      </c>
      <c r="L11" s="29">
        <v>45688</v>
      </c>
      <c r="M11" s="31">
        <f t="shared" si="2"/>
        <v>1578314.22</v>
      </c>
      <c r="O11" s="133" t="s">
        <v>90</v>
      </c>
      <c r="P11" s="133"/>
      <c r="Q11" s="133"/>
    </row>
    <row r="12" spans="2:18" customFormat="1" x14ac:dyDescent="0.3">
      <c r="B12" s="81" t="s">
        <v>43</v>
      </c>
      <c r="C12" s="38">
        <v>45627</v>
      </c>
      <c r="D12" s="46">
        <v>45681</v>
      </c>
      <c r="E12" s="27">
        <v>12955.06</v>
      </c>
      <c r="F12" s="27">
        <v>2591.0100000000002</v>
      </c>
      <c r="G12" s="27">
        <v>667.18</v>
      </c>
      <c r="H12" s="47">
        <f t="shared" si="0"/>
        <v>16213.25</v>
      </c>
      <c r="I12" s="28">
        <v>29779.51</v>
      </c>
      <c r="J12" s="77">
        <f t="shared" si="1"/>
        <v>2790.34</v>
      </c>
      <c r="K12" s="28">
        <v>32569.85</v>
      </c>
      <c r="L12" s="29">
        <v>45716</v>
      </c>
      <c r="M12" s="31">
        <f t="shared" si="2"/>
        <v>1548534.71</v>
      </c>
    </row>
    <row r="13" spans="2:18" customFormat="1" x14ac:dyDescent="0.3">
      <c r="B13" s="81" t="s">
        <v>43</v>
      </c>
      <c r="C13" s="38">
        <v>45658</v>
      </c>
      <c r="D13" s="46">
        <v>45713</v>
      </c>
      <c r="E13" s="27">
        <v>17941.02</v>
      </c>
      <c r="F13" s="27">
        <v>3588.2</v>
      </c>
      <c r="G13" s="27">
        <v>746.34</v>
      </c>
      <c r="H13" s="47">
        <f t="shared" si="0"/>
        <v>22275.56</v>
      </c>
      <c r="I13" s="28">
        <v>29779.51</v>
      </c>
      <c r="J13" s="77">
        <f t="shared" si="1"/>
        <v>3088.130000000001</v>
      </c>
      <c r="K13" s="28">
        <v>32867.64</v>
      </c>
      <c r="L13" s="29">
        <v>45747</v>
      </c>
      <c r="M13" s="31">
        <f t="shared" si="2"/>
        <v>1518755.2</v>
      </c>
    </row>
    <row r="14" spans="2:18" customFormat="1" x14ac:dyDescent="0.3">
      <c r="B14" s="81" t="s">
        <v>43</v>
      </c>
      <c r="C14" s="38">
        <v>45689</v>
      </c>
      <c r="D14" s="46">
        <v>45741</v>
      </c>
      <c r="E14" s="27">
        <v>9513.9</v>
      </c>
      <c r="F14" s="27">
        <v>1902.78</v>
      </c>
      <c r="G14" s="27">
        <v>304.44</v>
      </c>
      <c r="H14" s="47">
        <f t="shared" si="0"/>
        <v>11721.12</v>
      </c>
      <c r="I14" s="28">
        <v>29779.51</v>
      </c>
      <c r="J14" s="77">
        <f t="shared" si="1"/>
        <v>3448.4600000000028</v>
      </c>
      <c r="K14" s="28">
        <v>33227.97</v>
      </c>
      <c r="L14" s="29">
        <v>45777</v>
      </c>
      <c r="M14" s="31">
        <f t="shared" si="2"/>
        <v>1488975.69</v>
      </c>
    </row>
    <row r="15" spans="2:18" customFormat="1" x14ac:dyDescent="0.3">
      <c r="B15" s="81" t="s">
        <v>43</v>
      </c>
      <c r="C15" s="38">
        <v>45717</v>
      </c>
      <c r="D15" s="46">
        <v>45772</v>
      </c>
      <c r="E15" s="27">
        <v>11729.14</v>
      </c>
      <c r="F15" s="27">
        <v>2345.8200000000002</v>
      </c>
      <c r="G15" s="27">
        <v>251</v>
      </c>
      <c r="H15" s="47">
        <f t="shared" si="0"/>
        <v>14325.96</v>
      </c>
      <c r="I15" s="28">
        <v>29779.51</v>
      </c>
      <c r="J15" s="77">
        <f t="shared" si="1"/>
        <v>3773.0600000000013</v>
      </c>
      <c r="K15" s="28">
        <v>33552.57</v>
      </c>
      <c r="L15" s="29">
        <v>45808</v>
      </c>
      <c r="M15" s="31">
        <f t="shared" si="2"/>
        <v>1459196.18</v>
      </c>
    </row>
    <row r="16" spans="2:18" x14ac:dyDescent="0.3">
      <c r="B16" s="81" t="s">
        <v>43</v>
      </c>
      <c r="C16" s="38">
        <v>45748</v>
      </c>
      <c r="D16" s="46">
        <v>45800</v>
      </c>
      <c r="E16" s="27">
        <v>11439.37</v>
      </c>
      <c r="F16" s="27">
        <v>2287.87</v>
      </c>
      <c r="G16" s="27">
        <v>114.39</v>
      </c>
      <c r="H16" s="47">
        <f t="shared" si="0"/>
        <v>13841.630000000001</v>
      </c>
      <c r="I16" s="28">
        <v>29779.51</v>
      </c>
      <c r="J16" s="77">
        <f t="shared" si="1"/>
        <v>4091.7000000000007</v>
      </c>
      <c r="K16" s="28">
        <v>33871.21</v>
      </c>
      <c r="L16" s="29">
        <v>45838</v>
      </c>
      <c r="M16" s="31">
        <f t="shared" si="2"/>
        <v>1429416.67</v>
      </c>
    </row>
    <row r="17" spans="3:13" x14ac:dyDescent="0.3">
      <c r="C17" s="40"/>
      <c r="D17" s="41"/>
      <c r="E17" s="42"/>
      <c r="F17" s="42"/>
      <c r="G17" s="42"/>
      <c r="H17" s="78">
        <f>SUM(H4:H16)</f>
        <v>1786770.79</v>
      </c>
      <c r="I17" s="28">
        <v>29779.51</v>
      </c>
      <c r="J17" s="77">
        <f t="shared" si="1"/>
        <v>4425.2299999999996</v>
      </c>
      <c r="K17" s="28">
        <v>34204.74</v>
      </c>
      <c r="L17" s="29">
        <v>45869</v>
      </c>
      <c r="M17" s="31">
        <f t="shared" si="2"/>
        <v>1399637.16</v>
      </c>
    </row>
    <row r="18" spans="3:13" x14ac:dyDescent="0.3">
      <c r="C18" s="40"/>
      <c r="D18" s="41"/>
      <c r="E18" s="42"/>
      <c r="F18" s="42"/>
      <c r="G18" s="42"/>
      <c r="H18" s="42"/>
      <c r="I18" s="28">
        <v>29779.51</v>
      </c>
      <c r="J18" s="77">
        <f t="shared" si="1"/>
        <v>4788.5400000000045</v>
      </c>
      <c r="K18" s="28">
        <v>34568.050000000003</v>
      </c>
      <c r="L18" s="29">
        <v>45900</v>
      </c>
      <c r="M18" s="31">
        <f t="shared" si="2"/>
        <v>1369857.65</v>
      </c>
    </row>
    <row r="19" spans="3:13" x14ac:dyDescent="0.3">
      <c r="C19" s="40"/>
      <c r="D19" s="41"/>
      <c r="E19" s="42"/>
      <c r="F19" s="42"/>
      <c r="G19" s="42"/>
      <c r="H19" s="42"/>
      <c r="I19" s="28">
        <v>29779.51</v>
      </c>
      <c r="J19" s="77">
        <f t="shared" si="1"/>
        <v>5113.1400000000031</v>
      </c>
      <c r="K19" s="28">
        <v>34892.65</v>
      </c>
      <c r="L19" s="29">
        <v>45930</v>
      </c>
      <c r="M19" s="31">
        <f t="shared" si="2"/>
        <v>1340078.1399999999</v>
      </c>
    </row>
    <row r="20" spans="3:13" x14ac:dyDescent="0.3">
      <c r="C20" s="40"/>
      <c r="D20" s="41"/>
      <c r="E20" s="42"/>
      <c r="F20" s="42"/>
      <c r="G20" s="42"/>
      <c r="H20" s="42"/>
      <c r="I20" s="28">
        <v>29779.51</v>
      </c>
      <c r="J20" s="77"/>
      <c r="K20" s="28">
        <f t="shared" ref="K20:K63" si="3">I20+J20</f>
        <v>29779.51</v>
      </c>
      <c r="L20" s="29">
        <v>45961</v>
      </c>
      <c r="M20" s="31">
        <f t="shared" si="2"/>
        <v>1310298.6299999999</v>
      </c>
    </row>
    <row r="21" spans="3:13" x14ac:dyDescent="0.3">
      <c r="C21" s="40"/>
      <c r="D21" s="41"/>
      <c r="E21" s="42"/>
      <c r="F21" s="42"/>
      <c r="G21" s="42"/>
      <c r="H21" s="42"/>
      <c r="I21" s="28">
        <v>29779.51</v>
      </c>
      <c r="J21" s="77"/>
      <c r="K21" s="28">
        <f t="shared" si="3"/>
        <v>29779.51</v>
      </c>
      <c r="L21" s="29">
        <v>45991</v>
      </c>
      <c r="M21" s="31">
        <f t="shared" si="2"/>
        <v>1280519.1199999999</v>
      </c>
    </row>
    <row r="22" spans="3:13" x14ac:dyDescent="0.3">
      <c r="C22" s="40"/>
      <c r="D22" s="41"/>
      <c r="E22" s="42"/>
      <c r="F22" s="42"/>
      <c r="G22" s="42"/>
      <c r="H22" s="42"/>
      <c r="I22" s="28">
        <v>29779.51</v>
      </c>
      <c r="J22" s="77"/>
      <c r="K22" s="28">
        <f t="shared" si="3"/>
        <v>29779.51</v>
      </c>
      <c r="L22" s="29">
        <v>46022</v>
      </c>
      <c r="M22" s="31">
        <f t="shared" si="2"/>
        <v>1250739.6099999999</v>
      </c>
    </row>
    <row r="23" spans="3:13" x14ac:dyDescent="0.3">
      <c r="C23" s="40"/>
      <c r="D23" s="41"/>
      <c r="E23" s="42"/>
      <c r="F23" s="42"/>
      <c r="G23" s="42"/>
      <c r="H23" s="42"/>
      <c r="I23" s="28">
        <v>29779.51</v>
      </c>
      <c r="J23" s="77"/>
      <c r="K23" s="28">
        <f t="shared" si="3"/>
        <v>29779.51</v>
      </c>
      <c r="L23" s="29">
        <v>46053</v>
      </c>
      <c r="M23" s="31">
        <f t="shared" si="2"/>
        <v>1220960.0999999999</v>
      </c>
    </row>
    <row r="24" spans="3:13" x14ac:dyDescent="0.3">
      <c r="C24" s="40"/>
      <c r="D24" s="41"/>
      <c r="E24" s="42"/>
      <c r="F24" s="42"/>
      <c r="G24" s="42"/>
      <c r="H24" s="42"/>
      <c r="I24" s="28">
        <v>29779.51</v>
      </c>
      <c r="J24" s="77"/>
      <c r="K24" s="28">
        <f t="shared" si="3"/>
        <v>29779.51</v>
      </c>
      <c r="L24" s="29">
        <v>46081</v>
      </c>
      <c r="M24" s="31">
        <f t="shared" si="2"/>
        <v>1191180.5899999999</v>
      </c>
    </row>
    <row r="25" spans="3:13" x14ac:dyDescent="0.3">
      <c r="C25" s="40"/>
      <c r="D25" s="41"/>
      <c r="E25" s="42"/>
      <c r="F25" s="42"/>
      <c r="G25" s="42"/>
      <c r="H25" s="42"/>
      <c r="I25" s="28">
        <v>29779.51</v>
      </c>
      <c r="J25" s="77"/>
      <c r="K25" s="28">
        <f t="shared" si="3"/>
        <v>29779.51</v>
      </c>
      <c r="L25" s="29">
        <v>46112</v>
      </c>
      <c r="M25" s="31">
        <f t="shared" si="2"/>
        <v>1161401.0799999998</v>
      </c>
    </row>
    <row r="26" spans="3:13" x14ac:dyDescent="0.3">
      <c r="C26" s="40"/>
      <c r="D26" s="41"/>
      <c r="E26" s="42"/>
      <c r="F26" s="42"/>
      <c r="G26" s="42"/>
      <c r="H26" s="42"/>
      <c r="I26" s="28">
        <v>29779.51</v>
      </c>
      <c r="J26" s="77"/>
      <c r="K26" s="28">
        <f t="shared" si="3"/>
        <v>29779.51</v>
      </c>
      <c r="L26" s="29">
        <v>46142</v>
      </c>
      <c r="M26" s="31">
        <f t="shared" si="2"/>
        <v>1131621.5699999998</v>
      </c>
    </row>
    <row r="27" spans="3:13" x14ac:dyDescent="0.3">
      <c r="C27" s="40"/>
      <c r="D27" s="41"/>
      <c r="E27" s="42"/>
      <c r="F27" s="42"/>
      <c r="G27" s="42"/>
      <c r="H27" s="42"/>
      <c r="I27" s="28">
        <v>29779.51</v>
      </c>
      <c r="J27" s="77"/>
      <c r="K27" s="28">
        <f t="shared" si="3"/>
        <v>29779.51</v>
      </c>
      <c r="L27" s="29">
        <v>46173</v>
      </c>
      <c r="M27" s="31">
        <f t="shared" si="2"/>
        <v>1101842.0599999998</v>
      </c>
    </row>
    <row r="28" spans="3:13" x14ac:dyDescent="0.3">
      <c r="C28" s="40"/>
      <c r="D28" s="41"/>
      <c r="E28" s="42"/>
      <c r="F28" s="42"/>
      <c r="G28" s="42"/>
      <c r="H28" s="42"/>
      <c r="I28" s="28">
        <v>29779.51</v>
      </c>
      <c r="J28" s="77"/>
      <c r="K28" s="28">
        <f t="shared" si="3"/>
        <v>29779.51</v>
      </c>
      <c r="L28" s="29">
        <v>46203</v>
      </c>
      <c r="M28" s="31">
        <f t="shared" si="2"/>
        <v>1072062.5499999998</v>
      </c>
    </row>
    <row r="29" spans="3:13" x14ac:dyDescent="0.3">
      <c r="C29" s="40"/>
      <c r="D29" s="41"/>
      <c r="E29" s="42"/>
      <c r="F29" s="42"/>
      <c r="G29" s="42"/>
      <c r="H29" s="42"/>
      <c r="I29" s="28">
        <v>29779.51</v>
      </c>
      <c r="J29" s="77"/>
      <c r="K29" s="28">
        <f t="shared" si="3"/>
        <v>29779.51</v>
      </c>
      <c r="L29" s="29">
        <v>46234</v>
      </c>
      <c r="M29" s="31">
        <f t="shared" si="2"/>
        <v>1042283.0399999998</v>
      </c>
    </row>
    <row r="30" spans="3:13" x14ac:dyDescent="0.3">
      <c r="C30" s="40"/>
      <c r="D30" s="41"/>
      <c r="E30" s="42"/>
      <c r="F30" s="42"/>
      <c r="G30" s="42"/>
      <c r="H30" s="42"/>
      <c r="I30" s="28">
        <v>29779.51</v>
      </c>
      <c r="J30" s="77"/>
      <c r="K30" s="28">
        <f t="shared" si="3"/>
        <v>29779.51</v>
      </c>
      <c r="L30" s="29">
        <v>46265</v>
      </c>
      <c r="M30" s="31">
        <f t="shared" si="2"/>
        <v>1012503.5299999998</v>
      </c>
    </row>
    <row r="31" spans="3:13" x14ac:dyDescent="0.3">
      <c r="C31" s="40"/>
      <c r="D31" s="41"/>
      <c r="E31" s="42"/>
      <c r="F31" s="42"/>
      <c r="G31" s="42"/>
      <c r="H31" s="42"/>
      <c r="I31" s="28">
        <v>29779.51</v>
      </c>
      <c r="J31" s="77"/>
      <c r="K31" s="28">
        <f t="shared" si="3"/>
        <v>29779.51</v>
      </c>
      <c r="L31" s="29">
        <v>46295</v>
      </c>
      <c r="M31" s="31">
        <f t="shared" si="2"/>
        <v>982724.01999999979</v>
      </c>
    </row>
    <row r="32" spans="3:13" x14ac:dyDescent="0.3">
      <c r="C32" s="40"/>
      <c r="D32" s="41"/>
      <c r="E32" s="42"/>
      <c r="F32" s="42"/>
      <c r="G32" s="42"/>
      <c r="H32" s="42"/>
      <c r="I32" s="28">
        <v>29779.51</v>
      </c>
      <c r="J32" s="77"/>
      <c r="K32" s="28">
        <f t="shared" si="3"/>
        <v>29779.51</v>
      </c>
      <c r="L32" s="29">
        <v>46326</v>
      </c>
      <c r="M32" s="31">
        <f t="shared" si="2"/>
        <v>952944.50999999978</v>
      </c>
    </row>
    <row r="33" spans="3:13" x14ac:dyDescent="0.3">
      <c r="C33" s="40"/>
      <c r="D33" s="41"/>
      <c r="E33" s="42"/>
      <c r="F33" s="42"/>
      <c r="G33" s="42"/>
      <c r="H33" s="42"/>
      <c r="I33" s="28">
        <v>29779.51</v>
      </c>
      <c r="J33" s="77"/>
      <c r="K33" s="28">
        <f t="shared" si="3"/>
        <v>29779.51</v>
      </c>
      <c r="L33" s="29">
        <v>46356</v>
      </c>
      <c r="M33" s="31">
        <f t="shared" si="2"/>
        <v>923164.99999999977</v>
      </c>
    </row>
    <row r="34" spans="3:13" x14ac:dyDescent="0.3">
      <c r="C34" s="40"/>
      <c r="D34" s="41"/>
      <c r="E34" s="42"/>
      <c r="F34" s="42"/>
      <c r="G34" s="42"/>
      <c r="H34" s="42"/>
      <c r="I34" s="28">
        <v>29779.51</v>
      </c>
      <c r="J34" s="77"/>
      <c r="K34" s="28">
        <f t="shared" si="3"/>
        <v>29779.51</v>
      </c>
      <c r="L34" s="29">
        <v>46387</v>
      </c>
      <c r="M34" s="31">
        <f t="shared" si="2"/>
        <v>893385.48999999976</v>
      </c>
    </row>
    <row r="35" spans="3:13" x14ac:dyDescent="0.3">
      <c r="C35" s="40"/>
      <c r="D35" s="41"/>
      <c r="E35" s="42"/>
      <c r="F35" s="42"/>
      <c r="G35" s="42"/>
      <c r="H35" s="42"/>
      <c r="I35" s="28">
        <v>29779.51</v>
      </c>
      <c r="J35" s="77"/>
      <c r="K35" s="28">
        <f t="shared" si="3"/>
        <v>29779.51</v>
      </c>
      <c r="L35" s="29">
        <v>46418</v>
      </c>
      <c r="M35" s="31">
        <f t="shared" si="2"/>
        <v>863605.97999999975</v>
      </c>
    </row>
    <row r="36" spans="3:13" x14ac:dyDescent="0.3">
      <c r="C36" s="40"/>
      <c r="D36" s="41"/>
      <c r="E36" s="42"/>
      <c r="F36" s="42"/>
      <c r="G36" s="42"/>
      <c r="H36" s="42"/>
      <c r="I36" s="28">
        <v>29779.51</v>
      </c>
      <c r="J36" s="77"/>
      <c r="K36" s="28">
        <f t="shared" si="3"/>
        <v>29779.51</v>
      </c>
      <c r="L36" s="29">
        <v>46446</v>
      </c>
      <c r="M36" s="31">
        <f t="shared" si="2"/>
        <v>833826.46999999974</v>
      </c>
    </row>
    <row r="37" spans="3:13" x14ac:dyDescent="0.3">
      <c r="C37" s="40"/>
      <c r="D37" s="41"/>
      <c r="E37" s="42"/>
      <c r="F37" s="42"/>
      <c r="G37" s="42"/>
      <c r="H37" s="42"/>
      <c r="I37" s="28">
        <v>29779.51</v>
      </c>
      <c r="J37" s="77"/>
      <c r="K37" s="28">
        <f t="shared" si="3"/>
        <v>29779.51</v>
      </c>
      <c r="L37" s="29">
        <v>46477</v>
      </c>
      <c r="M37" s="31">
        <f t="shared" si="2"/>
        <v>804046.95999999973</v>
      </c>
    </row>
    <row r="38" spans="3:13" x14ac:dyDescent="0.3">
      <c r="C38" s="40"/>
      <c r="D38" s="41"/>
      <c r="E38" s="42"/>
      <c r="F38" s="42"/>
      <c r="G38" s="42"/>
      <c r="H38" s="42"/>
      <c r="I38" s="28">
        <v>29779.51</v>
      </c>
      <c r="J38" s="77"/>
      <c r="K38" s="28">
        <f t="shared" si="3"/>
        <v>29779.51</v>
      </c>
      <c r="L38" s="29">
        <v>46507</v>
      </c>
      <c r="M38" s="31">
        <f t="shared" si="2"/>
        <v>774267.44999999972</v>
      </c>
    </row>
    <row r="39" spans="3:13" x14ac:dyDescent="0.3">
      <c r="C39" s="40"/>
      <c r="D39" s="41"/>
      <c r="E39" s="42"/>
      <c r="F39" s="42"/>
      <c r="G39" s="42"/>
      <c r="H39" s="42"/>
      <c r="I39" s="28">
        <v>29779.51</v>
      </c>
      <c r="J39" s="77"/>
      <c r="K39" s="28">
        <f t="shared" si="3"/>
        <v>29779.51</v>
      </c>
      <c r="L39" s="29">
        <v>46538</v>
      </c>
      <c r="M39" s="31">
        <f t="shared" si="2"/>
        <v>744487.93999999971</v>
      </c>
    </row>
    <row r="40" spans="3:13" x14ac:dyDescent="0.3">
      <c r="C40" s="40"/>
      <c r="D40" s="41"/>
      <c r="E40" s="42"/>
      <c r="F40" s="42"/>
      <c r="G40" s="42"/>
      <c r="H40" s="42"/>
      <c r="I40" s="28">
        <v>29779.51</v>
      </c>
      <c r="J40" s="77"/>
      <c r="K40" s="28">
        <f t="shared" si="3"/>
        <v>29779.51</v>
      </c>
      <c r="L40" s="29">
        <v>46568</v>
      </c>
      <c r="M40" s="31">
        <f t="shared" si="2"/>
        <v>714708.4299999997</v>
      </c>
    </row>
    <row r="41" spans="3:13" x14ac:dyDescent="0.3">
      <c r="C41" s="40"/>
      <c r="D41" s="41"/>
      <c r="E41" s="42"/>
      <c r="F41" s="42"/>
      <c r="G41" s="42"/>
      <c r="H41" s="42"/>
      <c r="I41" s="28">
        <v>29779.51</v>
      </c>
      <c r="J41" s="77"/>
      <c r="K41" s="28">
        <f t="shared" si="3"/>
        <v>29779.51</v>
      </c>
      <c r="L41" s="29">
        <v>46599</v>
      </c>
      <c r="M41" s="31">
        <f t="shared" si="2"/>
        <v>684928.91999999969</v>
      </c>
    </row>
    <row r="42" spans="3:13" x14ac:dyDescent="0.3">
      <c r="C42" s="40"/>
      <c r="D42" s="41"/>
      <c r="E42" s="42"/>
      <c r="F42" s="42"/>
      <c r="G42" s="42"/>
      <c r="H42" s="42"/>
      <c r="I42" s="28">
        <v>29779.51</v>
      </c>
      <c r="J42" s="77"/>
      <c r="K42" s="28">
        <f t="shared" si="3"/>
        <v>29779.51</v>
      </c>
      <c r="L42" s="29">
        <v>46630</v>
      </c>
      <c r="M42" s="31">
        <f t="shared" si="2"/>
        <v>655149.40999999968</v>
      </c>
    </row>
    <row r="43" spans="3:13" x14ac:dyDescent="0.3">
      <c r="C43" s="40"/>
      <c r="D43" s="41"/>
      <c r="E43" s="42"/>
      <c r="F43" s="42"/>
      <c r="G43" s="42"/>
      <c r="H43" s="42"/>
      <c r="I43" s="28">
        <v>29779.51</v>
      </c>
      <c r="J43" s="77"/>
      <c r="K43" s="28">
        <f t="shared" si="3"/>
        <v>29779.51</v>
      </c>
      <c r="L43" s="29">
        <v>46660</v>
      </c>
      <c r="M43" s="31">
        <f t="shared" si="2"/>
        <v>625369.89999999967</v>
      </c>
    </row>
    <row r="44" spans="3:13" x14ac:dyDescent="0.3">
      <c r="C44" s="40"/>
      <c r="D44" s="41"/>
      <c r="E44" s="42"/>
      <c r="F44" s="42"/>
      <c r="G44" s="42"/>
      <c r="H44" s="42"/>
      <c r="I44" s="28">
        <v>29779.51</v>
      </c>
      <c r="J44" s="77"/>
      <c r="K44" s="28">
        <f t="shared" si="3"/>
        <v>29779.51</v>
      </c>
      <c r="L44" s="29">
        <v>46691</v>
      </c>
      <c r="M44" s="31">
        <f t="shared" si="2"/>
        <v>595590.38999999966</v>
      </c>
    </row>
    <row r="45" spans="3:13" x14ac:dyDescent="0.3">
      <c r="C45" s="40"/>
      <c r="D45" s="41"/>
      <c r="E45" s="42"/>
      <c r="F45" s="42"/>
      <c r="G45" s="42"/>
      <c r="H45" s="42"/>
      <c r="I45" s="28">
        <v>29779.51</v>
      </c>
      <c r="J45" s="77"/>
      <c r="K45" s="28">
        <f t="shared" si="3"/>
        <v>29779.51</v>
      </c>
      <c r="L45" s="29">
        <v>46721</v>
      </c>
      <c r="M45" s="31">
        <f t="shared" si="2"/>
        <v>565810.87999999966</v>
      </c>
    </row>
    <row r="46" spans="3:13" x14ac:dyDescent="0.3">
      <c r="C46" s="40"/>
      <c r="D46" s="41"/>
      <c r="E46" s="42"/>
      <c r="F46" s="42"/>
      <c r="G46" s="42"/>
      <c r="H46" s="42"/>
      <c r="I46" s="28">
        <v>29779.51</v>
      </c>
      <c r="J46" s="77"/>
      <c r="K46" s="28">
        <f t="shared" si="3"/>
        <v>29779.51</v>
      </c>
      <c r="L46" s="29">
        <v>46752</v>
      </c>
      <c r="M46" s="31">
        <f t="shared" si="2"/>
        <v>536031.36999999965</v>
      </c>
    </row>
    <row r="47" spans="3:13" x14ac:dyDescent="0.3">
      <c r="C47" s="40"/>
      <c r="D47" s="41"/>
      <c r="E47" s="42"/>
      <c r="F47" s="42"/>
      <c r="G47" s="42"/>
      <c r="H47" s="42"/>
      <c r="I47" s="28">
        <v>29779.51</v>
      </c>
      <c r="J47" s="77"/>
      <c r="K47" s="28">
        <f t="shared" si="3"/>
        <v>29779.51</v>
      </c>
      <c r="L47" s="29">
        <v>46783</v>
      </c>
      <c r="M47" s="31">
        <f t="shared" si="2"/>
        <v>506251.85999999964</v>
      </c>
    </row>
    <row r="48" spans="3:13" x14ac:dyDescent="0.3">
      <c r="C48" s="40"/>
      <c r="D48" s="41"/>
      <c r="E48" s="42"/>
      <c r="F48" s="42"/>
      <c r="G48" s="42"/>
      <c r="H48" s="42"/>
      <c r="I48" s="28">
        <v>29779.51</v>
      </c>
      <c r="J48" s="77"/>
      <c r="K48" s="28">
        <f t="shared" si="3"/>
        <v>29779.51</v>
      </c>
      <c r="L48" s="29">
        <v>46812</v>
      </c>
      <c r="M48" s="31">
        <f t="shared" si="2"/>
        <v>476472.34999999963</v>
      </c>
    </row>
    <row r="49" spans="3:13" x14ac:dyDescent="0.3">
      <c r="C49" s="40"/>
      <c r="D49" s="41"/>
      <c r="E49" s="42"/>
      <c r="F49" s="42"/>
      <c r="G49" s="42"/>
      <c r="H49" s="42"/>
      <c r="I49" s="28">
        <v>29779.51</v>
      </c>
      <c r="J49" s="77"/>
      <c r="K49" s="28">
        <f t="shared" si="3"/>
        <v>29779.51</v>
      </c>
      <c r="L49" s="29">
        <v>46843</v>
      </c>
      <c r="M49" s="31">
        <f t="shared" si="2"/>
        <v>446692.83999999962</v>
      </c>
    </row>
    <row r="50" spans="3:13" x14ac:dyDescent="0.3">
      <c r="C50" s="40"/>
      <c r="D50" s="41"/>
      <c r="E50" s="42"/>
      <c r="F50" s="42"/>
      <c r="G50" s="42"/>
      <c r="H50" s="42"/>
      <c r="I50" s="28">
        <v>29779.51</v>
      </c>
      <c r="J50" s="77"/>
      <c r="K50" s="28">
        <f t="shared" si="3"/>
        <v>29779.51</v>
      </c>
      <c r="L50" s="29">
        <v>46873</v>
      </c>
      <c r="M50" s="31">
        <f t="shared" si="2"/>
        <v>416913.32999999961</v>
      </c>
    </row>
    <row r="51" spans="3:13" x14ac:dyDescent="0.3">
      <c r="C51" s="40"/>
      <c r="D51" s="41"/>
      <c r="E51" s="42"/>
      <c r="F51" s="42"/>
      <c r="G51" s="42"/>
      <c r="H51" s="42"/>
      <c r="I51" s="28">
        <v>29779.51</v>
      </c>
      <c r="J51" s="77"/>
      <c r="K51" s="28">
        <f t="shared" si="3"/>
        <v>29779.51</v>
      </c>
      <c r="L51" s="29">
        <v>46904</v>
      </c>
      <c r="M51" s="31">
        <f t="shared" si="2"/>
        <v>387133.8199999996</v>
      </c>
    </row>
    <row r="52" spans="3:13" x14ac:dyDescent="0.3">
      <c r="C52" s="40"/>
      <c r="D52" s="41"/>
      <c r="E52" s="42"/>
      <c r="F52" s="42"/>
      <c r="G52" s="42"/>
      <c r="H52" s="42"/>
      <c r="I52" s="28">
        <v>29779.51</v>
      </c>
      <c r="J52" s="77"/>
      <c r="K52" s="28">
        <f t="shared" si="3"/>
        <v>29779.51</v>
      </c>
      <c r="L52" s="29">
        <v>46934</v>
      </c>
      <c r="M52" s="31">
        <f t="shared" si="2"/>
        <v>357354.30999999959</v>
      </c>
    </row>
    <row r="53" spans="3:13" x14ac:dyDescent="0.3">
      <c r="C53" s="40"/>
      <c r="D53" s="41"/>
      <c r="E53" s="42"/>
      <c r="F53" s="42"/>
      <c r="G53" s="42"/>
      <c r="H53" s="42"/>
      <c r="I53" s="28">
        <v>29779.51</v>
      </c>
      <c r="J53" s="77"/>
      <c r="K53" s="28">
        <f t="shared" si="3"/>
        <v>29779.51</v>
      </c>
      <c r="L53" s="29">
        <v>46965</v>
      </c>
      <c r="M53" s="31">
        <f t="shared" si="2"/>
        <v>327574.79999999958</v>
      </c>
    </row>
    <row r="54" spans="3:13" x14ac:dyDescent="0.3">
      <c r="C54" s="40"/>
      <c r="D54" s="41"/>
      <c r="E54" s="42"/>
      <c r="F54" s="42"/>
      <c r="G54" s="42"/>
      <c r="H54" s="42"/>
      <c r="I54" s="28">
        <v>29779.51</v>
      </c>
      <c r="J54" s="77"/>
      <c r="K54" s="28">
        <f t="shared" si="3"/>
        <v>29779.51</v>
      </c>
      <c r="L54" s="29">
        <v>46996</v>
      </c>
      <c r="M54" s="31">
        <f t="shared" si="2"/>
        <v>297795.28999999957</v>
      </c>
    </row>
    <row r="55" spans="3:13" x14ac:dyDescent="0.3">
      <c r="C55" s="40"/>
      <c r="D55" s="41"/>
      <c r="E55" s="42"/>
      <c r="F55" s="42"/>
      <c r="G55" s="42"/>
      <c r="H55" s="42"/>
      <c r="I55" s="28">
        <v>29779.51</v>
      </c>
      <c r="J55" s="77"/>
      <c r="K55" s="28">
        <f t="shared" si="3"/>
        <v>29779.51</v>
      </c>
      <c r="L55" s="29">
        <v>47026</v>
      </c>
      <c r="M55" s="31">
        <f t="shared" si="2"/>
        <v>268015.77999999956</v>
      </c>
    </row>
    <row r="56" spans="3:13" x14ac:dyDescent="0.3">
      <c r="C56" s="40"/>
      <c r="D56" s="41"/>
      <c r="E56" s="42"/>
      <c r="F56" s="42"/>
      <c r="G56" s="42"/>
      <c r="H56" s="42"/>
      <c r="I56" s="28">
        <v>29779.51</v>
      </c>
      <c r="J56" s="77"/>
      <c r="K56" s="28">
        <f t="shared" si="3"/>
        <v>29779.51</v>
      </c>
      <c r="L56" s="29">
        <v>47057</v>
      </c>
      <c r="M56" s="31">
        <f t="shared" si="2"/>
        <v>238236.26999999955</v>
      </c>
    </row>
    <row r="57" spans="3:13" x14ac:dyDescent="0.3">
      <c r="C57" s="40"/>
      <c r="D57" s="41"/>
      <c r="E57" s="42"/>
      <c r="F57" s="42"/>
      <c r="G57" s="42"/>
      <c r="H57" s="42"/>
      <c r="I57" s="28">
        <v>29779.51</v>
      </c>
      <c r="J57" s="77"/>
      <c r="K57" s="28">
        <f t="shared" si="3"/>
        <v>29779.51</v>
      </c>
      <c r="L57" s="29">
        <v>47087</v>
      </c>
      <c r="M57" s="31">
        <f t="shared" si="2"/>
        <v>208456.75999999954</v>
      </c>
    </row>
    <row r="58" spans="3:13" x14ac:dyDescent="0.3">
      <c r="C58" s="40"/>
      <c r="D58" s="41"/>
      <c r="E58" s="42"/>
      <c r="F58" s="42"/>
      <c r="G58" s="42"/>
      <c r="H58" s="42"/>
      <c r="I58" s="28">
        <v>29779.51</v>
      </c>
      <c r="J58" s="77"/>
      <c r="K58" s="28">
        <f t="shared" si="3"/>
        <v>29779.51</v>
      </c>
      <c r="L58" s="29">
        <v>47118</v>
      </c>
      <c r="M58" s="31">
        <f t="shared" si="2"/>
        <v>178677.24999999953</v>
      </c>
    </row>
    <row r="59" spans="3:13" x14ac:dyDescent="0.3">
      <c r="C59" s="40"/>
      <c r="D59" s="41"/>
      <c r="E59" s="42"/>
      <c r="F59" s="42"/>
      <c r="G59" s="42"/>
      <c r="H59" s="42"/>
      <c r="I59" s="28">
        <v>29779.51</v>
      </c>
      <c r="J59" s="77"/>
      <c r="K59" s="28">
        <f t="shared" si="3"/>
        <v>29779.51</v>
      </c>
      <c r="L59" s="29">
        <v>47149</v>
      </c>
      <c r="M59" s="31">
        <f t="shared" si="2"/>
        <v>148897.73999999953</v>
      </c>
    </row>
    <row r="60" spans="3:13" x14ac:dyDescent="0.3">
      <c r="C60" s="40"/>
      <c r="D60" s="41"/>
      <c r="E60" s="42"/>
      <c r="F60" s="42"/>
      <c r="G60" s="42"/>
      <c r="H60" s="42"/>
      <c r="I60" s="28">
        <v>29779.51</v>
      </c>
      <c r="J60" s="77"/>
      <c r="K60" s="28">
        <f t="shared" si="3"/>
        <v>29779.51</v>
      </c>
      <c r="L60" s="29">
        <v>47177</v>
      </c>
      <c r="M60" s="31">
        <f t="shared" si="2"/>
        <v>119118.22999999953</v>
      </c>
    </row>
    <row r="61" spans="3:13" x14ac:dyDescent="0.3">
      <c r="C61" s="40"/>
      <c r="D61" s="41"/>
      <c r="E61" s="42"/>
      <c r="F61" s="42"/>
      <c r="G61" s="42"/>
      <c r="H61" s="42"/>
      <c r="I61" s="28">
        <v>29779.51</v>
      </c>
      <c r="J61" s="77"/>
      <c r="K61" s="28">
        <f t="shared" si="3"/>
        <v>29779.51</v>
      </c>
      <c r="L61" s="29">
        <v>47208</v>
      </c>
      <c r="M61" s="31">
        <f t="shared" si="2"/>
        <v>89338.719999999536</v>
      </c>
    </row>
    <row r="62" spans="3:13" x14ac:dyDescent="0.3">
      <c r="C62" s="40"/>
      <c r="D62" s="41"/>
      <c r="E62" s="42"/>
      <c r="F62" s="42"/>
      <c r="G62" s="42"/>
      <c r="H62" s="42"/>
      <c r="I62" s="28">
        <v>29779.51</v>
      </c>
      <c r="J62" s="77"/>
      <c r="K62" s="28">
        <f t="shared" si="3"/>
        <v>29779.51</v>
      </c>
      <c r="L62" s="29">
        <v>47238</v>
      </c>
      <c r="M62" s="31">
        <f t="shared" si="2"/>
        <v>59559.209999999541</v>
      </c>
    </row>
    <row r="63" spans="3:13" x14ac:dyDescent="0.3">
      <c r="C63" s="40"/>
      <c r="D63" s="41"/>
      <c r="E63" s="42"/>
      <c r="F63" s="42"/>
      <c r="G63" s="42"/>
      <c r="H63" s="42"/>
      <c r="I63" s="28">
        <v>29779.7</v>
      </c>
      <c r="J63" s="77"/>
      <c r="K63" s="28">
        <f t="shared" si="3"/>
        <v>29779.7</v>
      </c>
      <c r="L63" s="29">
        <v>47269</v>
      </c>
      <c r="M63" s="31">
        <f t="shared" si="2"/>
        <v>29779.50999999954</v>
      </c>
    </row>
    <row r="64" spans="3:13" x14ac:dyDescent="0.3">
      <c r="C64" s="40"/>
      <c r="D64" s="41"/>
      <c r="E64" s="42"/>
      <c r="F64" s="42"/>
      <c r="G64" s="42"/>
      <c r="H64" s="42"/>
      <c r="I64" s="78">
        <f>SUM(I4:I63)</f>
        <v>1786770.7900000003</v>
      </c>
      <c r="J64" s="78">
        <f>SUM(J4:J63)</f>
        <v>41566.170000000027</v>
      </c>
      <c r="K64" s="78">
        <f>SUM(K4:K63)</f>
        <v>1828336.9600000002</v>
      </c>
      <c r="L64" s="43"/>
      <c r="M64" s="44"/>
    </row>
    <row r="65" spans="3:13" x14ac:dyDescent="0.3">
      <c r="C65" s="40"/>
      <c r="D65" s="41"/>
      <c r="E65" s="42"/>
      <c r="F65" s="42"/>
      <c r="G65" s="42"/>
      <c r="H65" s="42"/>
      <c r="I65" s="42"/>
      <c r="J65" s="42"/>
      <c r="K65" s="42"/>
      <c r="L65" s="43"/>
      <c r="M65" s="44"/>
    </row>
    <row r="66" spans="3:13" x14ac:dyDescent="0.3">
      <c r="C66" s="40"/>
      <c r="D66" s="41"/>
      <c r="E66" s="42"/>
      <c r="F66" s="42"/>
      <c r="G66" s="42"/>
      <c r="H66" s="42"/>
      <c r="I66" s="42"/>
      <c r="J66" s="42"/>
      <c r="K66" s="42"/>
      <c r="L66" s="43"/>
      <c r="M66" s="44"/>
    </row>
    <row r="67" spans="3:13" x14ac:dyDescent="0.3">
      <c r="C67" s="40"/>
      <c r="D67" s="41"/>
      <c r="E67" s="42"/>
      <c r="F67" s="42"/>
      <c r="G67" s="42"/>
      <c r="H67" s="42"/>
      <c r="I67" s="42"/>
      <c r="J67" s="42"/>
      <c r="K67" s="42"/>
      <c r="L67" s="43"/>
      <c r="M67" s="44"/>
    </row>
    <row r="68" spans="3:13" x14ac:dyDescent="0.3">
      <c r="C68" s="40"/>
      <c r="D68" s="41"/>
      <c r="E68" s="42"/>
      <c r="F68" s="42"/>
      <c r="G68" s="42"/>
      <c r="H68" s="42"/>
      <c r="I68" s="42"/>
      <c r="J68" s="42"/>
      <c r="K68" s="42"/>
      <c r="L68" s="43"/>
      <c r="M68" s="44"/>
    </row>
    <row r="69" spans="3:13" x14ac:dyDescent="0.3">
      <c r="C69" s="40"/>
      <c r="D69" s="41"/>
      <c r="E69" s="42"/>
      <c r="F69" s="42"/>
      <c r="G69" s="42"/>
      <c r="H69" s="42"/>
      <c r="I69" s="42"/>
      <c r="J69" s="42"/>
      <c r="K69" s="42"/>
      <c r="L69" s="43"/>
      <c r="M69" s="44"/>
    </row>
    <row r="70" spans="3:13" x14ac:dyDescent="0.3">
      <c r="C70" s="40"/>
      <c r="D70" s="41"/>
      <c r="E70" s="42"/>
      <c r="F70" s="42"/>
      <c r="G70" s="42"/>
      <c r="H70" s="42"/>
      <c r="I70" s="42"/>
      <c r="J70" s="42"/>
      <c r="K70" s="42"/>
      <c r="L70" s="43"/>
      <c r="M70" s="44"/>
    </row>
    <row r="71" spans="3:13" x14ac:dyDescent="0.3">
      <c r="C71" s="40"/>
      <c r="D71" s="41"/>
      <c r="E71" s="42"/>
      <c r="F71" s="42"/>
      <c r="G71" s="42"/>
      <c r="H71" s="42"/>
      <c r="I71" s="42"/>
      <c r="J71" s="42"/>
      <c r="K71" s="42"/>
      <c r="L71" s="43"/>
      <c r="M71" s="44"/>
    </row>
    <row r="72" spans="3:13" x14ac:dyDescent="0.3">
      <c r="C72" s="40"/>
      <c r="D72" s="41"/>
      <c r="E72" s="42"/>
      <c r="F72" s="42"/>
      <c r="G72" s="42"/>
      <c r="H72" s="42"/>
      <c r="I72" s="42"/>
      <c r="J72" s="42"/>
      <c r="K72" s="42"/>
      <c r="L72" s="43"/>
      <c r="M72" s="44"/>
    </row>
    <row r="73" spans="3:13" x14ac:dyDescent="0.3">
      <c r="C73" s="40"/>
      <c r="D73" s="41"/>
      <c r="E73" s="42"/>
      <c r="F73" s="42"/>
      <c r="G73" s="42"/>
      <c r="H73" s="42"/>
      <c r="I73" s="42"/>
      <c r="J73" s="42"/>
      <c r="K73" s="42"/>
      <c r="L73" s="43"/>
      <c r="M73" s="44"/>
    </row>
    <row r="74" spans="3:13" x14ac:dyDescent="0.3">
      <c r="C74" s="40"/>
      <c r="D74" s="41"/>
      <c r="E74" s="42"/>
      <c r="F74" s="42"/>
      <c r="G74" s="42"/>
      <c r="H74" s="42"/>
      <c r="I74" s="42"/>
      <c r="J74" s="42"/>
      <c r="K74" s="42"/>
      <c r="L74" s="43"/>
      <c r="M74" s="44"/>
    </row>
    <row r="75" spans="3:13" x14ac:dyDescent="0.3">
      <c r="C75" s="40"/>
      <c r="D75" s="41"/>
      <c r="E75" s="42"/>
      <c r="F75" s="42"/>
      <c r="G75" s="42"/>
      <c r="H75" s="42"/>
      <c r="I75" s="42"/>
      <c r="J75" s="42"/>
      <c r="K75" s="42"/>
      <c r="L75" s="43"/>
      <c r="M75" s="44"/>
    </row>
    <row r="76" spans="3:13" x14ac:dyDescent="0.3">
      <c r="C76" s="40"/>
      <c r="D76" s="41"/>
      <c r="E76" s="42"/>
      <c r="F76" s="42"/>
      <c r="G76" s="42"/>
      <c r="H76" s="42"/>
      <c r="I76" s="42"/>
      <c r="J76" s="42"/>
      <c r="K76" s="42"/>
      <c r="L76" s="43"/>
      <c r="M76" s="44"/>
    </row>
    <row r="77" spans="3:13" x14ac:dyDescent="0.3">
      <c r="C77" s="40"/>
      <c r="D77" s="41"/>
      <c r="E77" s="42"/>
      <c r="F77" s="42"/>
      <c r="G77" s="42"/>
      <c r="H77" s="42"/>
      <c r="I77" s="42"/>
      <c r="J77" s="42"/>
      <c r="K77" s="42"/>
      <c r="L77" s="43"/>
      <c r="M77" s="44"/>
    </row>
    <row r="78" spans="3:13" x14ac:dyDescent="0.3">
      <c r="C78" s="40"/>
      <c r="D78" s="41"/>
      <c r="E78" s="42"/>
      <c r="F78" s="42"/>
      <c r="G78" s="42"/>
      <c r="H78" s="42"/>
      <c r="I78" s="42"/>
      <c r="J78" s="42"/>
      <c r="K78" s="42"/>
      <c r="L78" s="43"/>
      <c r="M78" s="44"/>
    </row>
    <row r="79" spans="3:13" x14ac:dyDescent="0.3">
      <c r="C79" s="40"/>
      <c r="D79" s="41"/>
      <c r="E79" s="42"/>
      <c r="F79" s="42"/>
      <c r="G79" s="42"/>
      <c r="H79" s="42"/>
      <c r="I79" s="42"/>
      <c r="J79" s="42"/>
      <c r="K79" s="42"/>
      <c r="L79" s="43"/>
      <c r="M79" s="44"/>
    </row>
    <row r="80" spans="3:13" x14ac:dyDescent="0.3">
      <c r="C80" s="40"/>
      <c r="D80" s="41"/>
      <c r="E80" s="42"/>
      <c r="F80" s="42"/>
      <c r="G80" s="42"/>
      <c r="H80" s="42"/>
      <c r="I80" s="42"/>
      <c r="J80" s="42"/>
      <c r="K80" s="42"/>
      <c r="L80" s="43"/>
      <c r="M80" s="44"/>
    </row>
    <row r="81" spans="3:13" x14ac:dyDescent="0.3">
      <c r="C81" s="40"/>
      <c r="D81" s="41"/>
      <c r="E81" s="42"/>
      <c r="F81" s="42"/>
      <c r="G81" s="42"/>
      <c r="H81" s="42"/>
      <c r="I81" s="42"/>
      <c r="J81" s="42"/>
      <c r="K81" s="42"/>
      <c r="L81" s="43"/>
      <c r="M81" s="44"/>
    </row>
    <row r="82" spans="3:13" x14ac:dyDescent="0.3">
      <c r="C82" s="40"/>
      <c r="D82" s="41"/>
      <c r="E82" s="42"/>
      <c r="F82" s="42"/>
      <c r="G82" s="42"/>
      <c r="H82" s="42"/>
      <c r="I82" s="42"/>
      <c r="J82" s="42"/>
      <c r="K82" s="42"/>
      <c r="L82" s="43"/>
      <c r="M82" s="44"/>
    </row>
    <row r="83" spans="3:13" x14ac:dyDescent="0.3">
      <c r="C83" s="40"/>
      <c r="D83" s="41"/>
      <c r="E83" s="42"/>
      <c r="F83" s="42"/>
      <c r="G83" s="42"/>
      <c r="H83" s="42"/>
      <c r="I83" s="42"/>
      <c r="J83" s="42"/>
      <c r="K83" s="42"/>
      <c r="L83" s="43"/>
      <c r="M83" s="44"/>
    </row>
    <row r="84" spans="3:13" x14ac:dyDescent="0.3">
      <c r="C84" s="40"/>
      <c r="D84" s="41"/>
      <c r="E84" s="42"/>
      <c r="F84" s="42"/>
      <c r="G84" s="42"/>
      <c r="H84" s="42"/>
      <c r="I84" s="42"/>
      <c r="J84" s="42"/>
      <c r="K84" s="42"/>
      <c r="L84" s="43"/>
      <c r="M84" s="44"/>
    </row>
    <row r="85" spans="3:13" x14ac:dyDescent="0.3">
      <c r="H85" s="44"/>
      <c r="K85" s="44"/>
    </row>
  </sheetData>
  <mergeCells count="4">
    <mergeCell ref="O6:P6"/>
    <mergeCell ref="O9:Q9"/>
    <mergeCell ref="O10:Q10"/>
    <mergeCell ref="O11:Q1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20BEF-61AE-469B-8613-B03EE9E56473}">
  <dimension ref="B1:R85"/>
  <sheetViews>
    <sheetView showGridLines="0" workbookViewId="0">
      <selection activeCell="O4" sqref="O4"/>
    </sheetView>
  </sheetViews>
  <sheetFormatPr defaultColWidth="9.109375" defaultRowHeight="14.4" x14ac:dyDescent="0.3"/>
  <cols>
    <col min="1" max="1" width="2.5546875" style="39" customWidth="1"/>
    <col min="2" max="2" width="55.6640625" style="39" customWidth="1"/>
    <col min="3" max="3" width="9.33203125" style="39" bestFit="1" customWidth="1"/>
    <col min="4" max="4" width="11.88671875" style="39" bestFit="1" customWidth="1"/>
    <col min="5" max="5" width="13.33203125" style="39" bestFit="1" customWidth="1"/>
    <col min="6" max="6" width="11.5546875" style="39" bestFit="1" customWidth="1"/>
    <col min="7" max="7" width="10.33203125" style="39" customWidth="1"/>
    <col min="8" max="8" width="14" style="39" bestFit="1" customWidth="1"/>
    <col min="9" max="9" width="13.33203125" style="39" bestFit="1" customWidth="1"/>
    <col min="10" max="10" width="12.5546875" style="39" customWidth="1"/>
    <col min="11" max="11" width="13.33203125" style="39" customWidth="1"/>
    <col min="12" max="12" width="10.5546875" style="39" customWidth="1"/>
    <col min="13" max="13" width="12.88671875" style="39" customWidth="1"/>
    <col min="14" max="14" width="4.33203125" style="39" customWidth="1"/>
    <col min="15" max="15" width="13.109375" style="39" bestFit="1" customWidth="1"/>
    <col min="16" max="16" width="11.5546875" style="39" bestFit="1" customWidth="1"/>
    <col min="17" max="17" width="13.109375" style="39" bestFit="1" customWidth="1"/>
    <col min="18" max="18" width="14.6640625" style="39" customWidth="1"/>
    <col min="19" max="16384" width="9.109375" style="39"/>
  </cols>
  <sheetData>
    <row r="1" spans="2:18" customFormat="1" x14ac:dyDescent="0.3"/>
    <row r="2" spans="2:18" customFormat="1" ht="15" thickBot="1" x14ac:dyDescent="0.35"/>
    <row r="3" spans="2:18" customFormat="1" ht="15" thickBot="1" x14ac:dyDescent="0.35">
      <c r="B3" s="37" t="s">
        <v>27</v>
      </c>
      <c r="C3" s="30" t="s">
        <v>44</v>
      </c>
      <c r="D3" s="30" t="s">
        <v>45</v>
      </c>
      <c r="E3" s="30" t="s">
        <v>18</v>
      </c>
      <c r="F3" s="30" t="s">
        <v>19</v>
      </c>
      <c r="G3" s="30" t="s">
        <v>20</v>
      </c>
      <c r="H3" s="30" t="s">
        <v>21</v>
      </c>
      <c r="I3" s="30" t="s">
        <v>83</v>
      </c>
      <c r="J3" s="30" t="s">
        <v>15</v>
      </c>
      <c r="K3" s="30" t="s">
        <v>82</v>
      </c>
      <c r="L3" s="30" t="s">
        <v>22</v>
      </c>
      <c r="M3" s="30" t="s">
        <v>23</v>
      </c>
      <c r="O3" s="36" t="s">
        <v>24</v>
      </c>
      <c r="P3" s="36" t="s">
        <v>25</v>
      </c>
      <c r="Q3" s="35" t="s">
        <v>26</v>
      </c>
      <c r="R3" s="35" t="s">
        <v>15</v>
      </c>
    </row>
    <row r="4" spans="2:18" customFormat="1" ht="15" thickBot="1" x14ac:dyDescent="0.35">
      <c r="B4" s="81" t="s">
        <v>41</v>
      </c>
      <c r="C4" s="45" t="s">
        <v>92</v>
      </c>
      <c r="D4" s="46">
        <v>45747</v>
      </c>
      <c r="E4" s="27">
        <v>63265.42</v>
      </c>
      <c r="F4" s="27">
        <v>12653.08</v>
      </c>
      <c r="G4" s="27">
        <v>7079.4</v>
      </c>
      <c r="H4" s="94">
        <f>SUM(E4,F4,G4)+8299.79</f>
        <v>91297.69</v>
      </c>
      <c r="I4" s="27">
        <v>1521.62</v>
      </c>
      <c r="J4" s="77"/>
      <c r="K4" s="28">
        <f>I4+J4</f>
        <v>1521.62</v>
      </c>
      <c r="L4" s="29">
        <v>45989</v>
      </c>
      <c r="M4" s="31"/>
      <c r="O4" s="32">
        <f>H5</f>
        <v>91297.69</v>
      </c>
      <c r="P4" s="33">
        <f>I4+I5+I6+I7+I8+I9+I10+I11+I12</f>
        <v>13694.579999999998</v>
      </c>
      <c r="Q4" s="34">
        <f>O4-P4</f>
        <v>77603.11</v>
      </c>
      <c r="R4" s="34">
        <f>J5+J6+J7+J8+J9+J10+J11+J12+J13+J14+J15+J16+J17+J18+J19+J20+J21+J22+J23+J24+J25+J26+J27+J28+J29</f>
        <v>744.94000000000096</v>
      </c>
    </row>
    <row r="5" spans="2:18" customFormat="1" x14ac:dyDescent="0.3">
      <c r="B5" s="39"/>
      <c r="C5" s="90"/>
      <c r="D5" s="91"/>
      <c r="E5" s="42"/>
      <c r="F5" s="42"/>
      <c r="G5" s="42"/>
      <c r="H5" s="95">
        <f>H4</f>
        <v>91297.69</v>
      </c>
      <c r="I5" s="27">
        <v>1521.62</v>
      </c>
      <c r="J5" s="77"/>
      <c r="K5" s="28">
        <f t="shared" ref="K5:K63" si="0">I5+J5</f>
        <v>1521.62</v>
      </c>
      <c r="L5" s="29">
        <v>46019</v>
      </c>
      <c r="M5" s="31">
        <f>H5-I4</f>
        <v>89776.07</v>
      </c>
    </row>
    <row r="6" spans="2:18" customFormat="1" x14ac:dyDescent="0.3">
      <c r="B6" s="39"/>
      <c r="C6" s="90"/>
      <c r="D6" s="91"/>
      <c r="E6" s="42"/>
      <c r="F6" s="42"/>
      <c r="G6" s="42"/>
      <c r="H6" s="42"/>
      <c r="I6" s="27">
        <v>1521.62</v>
      </c>
      <c r="J6" s="77">
        <f t="shared" ref="J6:J13" si="1">K6-I6</f>
        <v>33.770000000000209</v>
      </c>
      <c r="K6" s="28">
        <v>1555.39</v>
      </c>
      <c r="L6" s="29">
        <v>46050</v>
      </c>
      <c r="M6" s="31">
        <f>M5-I6</f>
        <v>88254.450000000012</v>
      </c>
      <c r="O6" s="130" t="s">
        <v>89</v>
      </c>
      <c r="P6" s="130"/>
      <c r="Q6" s="82">
        <f>(Q4/O4)-1</f>
        <v>-0.14999919494129588</v>
      </c>
    </row>
    <row r="7" spans="2:18" customFormat="1" x14ac:dyDescent="0.3">
      <c r="B7" s="39"/>
      <c r="C7" s="90"/>
      <c r="D7" s="91"/>
      <c r="E7" s="42"/>
      <c r="F7" s="42"/>
      <c r="G7" s="42"/>
      <c r="H7" s="42"/>
      <c r="I7" s="27">
        <v>1521.62</v>
      </c>
      <c r="J7" s="77">
        <f t="shared" si="1"/>
        <v>51.430000000000064</v>
      </c>
      <c r="K7" s="28">
        <v>1573.05</v>
      </c>
      <c r="L7" s="29">
        <v>46081</v>
      </c>
      <c r="M7" s="31">
        <f>M6-I7</f>
        <v>86732.830000000016</v>
      </c>
      <c r="O7" s="39"/>
      <c r="P7" s="39"/>
      <c r="Q7" s="39"/>
    </row>
    <row r="8" spans="2:18" customFormat="1" x14ac:dyDescent="0.3">
      <c r="B8" s="39"/>
      <c r="C8" s="90"/>
      <c r="D8" s="91"/>
      <c r="E8" s="42"/>
      <c r="F8" s="42"/>
      <c r="G8" s="42"/>
      <c r="H8" s="42"/>
      <c r="I8" s="27">
        <v>1521.62</v>
      </c>
      <c r="J8" s="77">
        <f t="shared" si="1"/>
        <v>66.6400000000001</v>
      </c>
      <c r="K8" s="28">
        <v>1588.26</v>
      </c>
      <c r="L8" s="29">
        <v>46109</v>
      </c>
      <c r="M8" s="31">
        <f>M7-I8</f>
        <v>85211.210000000021</v>
      </c>
    </row>
    <row r="9" spans="2:18" customFormat="1" x14ac:dyDescent="0.3">
      <c r="B9" s="39"/>
      <c r="C9" s="90"/>
      <c r="D9" s="91"/>
      <c r="E9" s="42"/>
      <c r="F9" s="42"/>
      <c r="G9" s="42"/>
      <c r="H9" s="42"/>
      <c r="I9" s="27">
        <v>1521.62</v>
      </c>
      <c r="J9" s="77">
        <f t="shared" si="1"/>
        <v>85.050000000000182</v>
      </c>
      <c r="K9" s="28">
        <v>1606.67</v>
      </c>
      <c r="L9" s="29">
        <v>46140</v>
      </c>
      <c r="M9" s="31">
        <f t="shared" ref="M9:M63" si="2">M8-I9</f>
        <v>83689.590000000026</v>
      </c>
      <c r="O9" s="131" t="s">
        <v>87</v>
      </c>
      <c r="P9" s="131"/>
      <c r="Q9" s="131"/>
    </row>
    <row r="10" spans="2:18" customFormat="1" x14ac:dyDescent="0.3">
      <c r="B10" s="39"/>
      <c r="C10" s="90"/>
      <c r="D10" s="91"/>
      <c r="E10" s="42"/>
      <c r="F10" s="42"/>
      <c r="G10" s="42"/>
      <c r="H10" s="42"/>
      <c r="I10" s="27">
        <v>1521.62</v>
      </c>
      <c r="J10" s="77">
        <f t="shared" si="1"/>
        <v>101.6400000000001</v>
      </c>
      <c r="K10" s="28">
        <v>1623.26</v>
      </c>
      <c r="L10" s="29">
        <v>46170</v>
      </c>
      <c r="M10" s="31">
        <f t="shared" si="2"/>
        <v>82167.97000000003</v>
      </c>
      <c r="O10" s="132" t="s">
        <v>88</v>
      </c>
      <c r="P10" s="132"/>
      <c r="Q10" s="132"/>
    </row>
    <row r="11" spans="2:18" customFormat="1" x14ac:dyDescent="0.3">
      <c r="B11" s="39"/>
      <c r="C11" s="90"/>
      <c r="D11" s="91"/>
      <c r="E11" s="42"/>
      <c r="F11" s="42"/>
      <c r="G11" s="42"/>
      <c r="H11" s="42"/>
      <c r="I11" s="27">
        <v>1521.62</v>
      </c>
      <c r="J11" s="77">
        <f t="shared" si="1"/>
        <v>117.92000000000007</v>
      </c>
      <c r="K11" s="28">
        <v>1639.54</v>
      </c>
      <c r="L11" s="29">
        <v>46201</v>
      </c>
      <c r="M11" s="31">
        <f t="shared" si="2"/>
        <v>80646.350000000035</v>
      </c>
      <c r="O11" s="133" t="s">
        <v>90</v>
      </c>
      <c r="P11" s="133"/>
      <c r="Q11" s="133"/>
    </row>
    <row r="12" spans="2:18" customFormat="1" x14ac:dyDescent="0.3">
      <c r="B12" s="39"/>
      <c r="C12" s="90"/>
      <c r="D12" s="91"/>
      <c r="E12" s="42"/>
      <c r="F12" s="42"/>
      <c r="G12" s="42"/>
      <c r="H12" s="42"/>
      <c r="I12" s="27">
        <v>1521.62</v>
      </c>
      <c r="J12" s="77">
        <f t="shared" si="1"/>
        <v>134.96000000000004</v>
      </c>
      <c r="K12" s="28">
        <v>1656.58</v>
      </c>
      <c r="L12" s="29">
        <v>46231</v>
      </c>
      <c r="M12" s="31">
        <f t="shared" si="2"/>
        <v>79124.73000000004</v>
      </c>
    </row>
    <row r="13" spans="2:18" customFormat="1" x14ac:dyDescent="0.3">
      <c r="B13" s="39"/>
      <c r="C13" s="90"/>
      <c r="D13" s="91"/>
      <c r="E13" s="42"/>
      <c r="F13" s="42"/>
      <c r="G13" s="42"/>
      <c r="H13" s="42"/>
      <c r="I13" s="27">
        <v>1521.62</v>
      </c>
      <c r="J13" s="77">
        <f t="shared" si="1"/>
        <v>153.5300000000002</v>
      </c>
      <c r="K13" s="28">
        <v>1675.15</v>
      </c>
      <c r="L13" s="29">
        <v>46262</v>
      </c>
      <c r="M13" s="31">
        <f t="shared" si="2"/>
        <v>77603.110000000044</v>
      </c>
    </row>
    <row r="14" spans="2:18" customFormat="1" x14ac:dyDescent="0.3">
      <c r="B14" s="39"/>
      <c r="C14" s="90"/>
      <c r="D14" s="91"/>
      <c r="E14" s="42"/>
      <c r="F14" s="42"/>
      <c r="G14" s="42"/>
      <c r="H14" s="42"/>
      <c r="I14" s="27">
        <v>1521.62</v>
      </c>
      <c r="J14" s="77"/>
      <c r="K14" s="28">
        <f t="shared" si="0"/>
        <v>1521.62</v>
      </c>
      <c r="L14" s="29">
        <v>46293</v>
      </c>
      <c r="M14" s="31">
        <f t="shared" si="2"/>
        <v>76081.490000000049</v>
      </c>
    </row>
    <row r="15" spans="2:18" customFormat="1" x14ac:dyDescent="0.3">
      <c r="B15" s="39"/>
      <c r="C15" s="90"/>
      <c r="D15" s="91"/>
      <c r="E15" s="42"/>
      <c r="F15" s="42"/>
      <c r="G15" s="42"/>
      <c r="H15" s="42"/>
      <c r="I15" s="27">
        <v>1521.62</v>
      </c>
      <c r="J15" s="77"/>
      <c r="K15" s="28">
        <f t="shared" si="0"/>
        <v>1521.62</v>
      </c>
      <c r="L15" s="29">
        <v>46323</v>
      </c>
      <c r="M15" s="31">
        <f t="shared" si="2"/>
        <v>74559.870000000054</v>
      </c>
    </row>
    <row r="16" spans="2:18" x14ac:dyDescent="0.3">
      <c r="C16" s="90"/>
      <c r="D16" s="91"/>
      <c r="E16" s="42"/>
      <c r="F16" s="42"/>
      <c r="G16" s="42"/>
      <c r="H16" s="42"/>
      <c r="I16" s="27">
        <v>1521.62</v>
      </c>
      <c r="J16" s="77"/>
      <c r="K16" s="28">
        <f t="shared" si="0"/>
        <v>1521.62</v>
      </c>
      <c r="L16" s="29">
        <v>46354</v>
      </c>
      <c r="M16" s="31">
        <f t="shared" si="2"/>
        <v>73038.250000000058</v>
      </c>
    </row>
    <row r="17" spans="3:13" x14ac:dyDescent="0.3">
      <c r="C17" s="40"/>
      <c r="D17" s="41"/>
      <c r="E17" s="42"/>
      <c r="F17" s="42"/>
      <c r="G17" s="42"/>
      <c r="I17" s="27">
        <v>1521.62</v>
      </c>
      <c r="J17" s="77"/>
      <c r="K17" s="28">
        <f t="shared" si="0"/>
        <v>1521.62</v>
      </c>
      <c r="L17" s="29">
        <v>46384</v>
      </c>
      <c r="M17" s="31">
        <f t="shared" si="2"/>
        <v>71516.630000000063</v>
      </c>
    </row>
    <row r="18" spans="3:13" x14ac:dyDescent="0.3">
      <c r="C18" s="40"/>
      <c r="D18" s="41"/>
      <c r="E18" s="42"/>
      <c r="F18" s="42"/>
      <c r="G18" s="42"/>
      <c r="H18" s="42"/>
      <c r="I18" s="27">
        <v>1521.62</v>
      </c>
      <c r="J18" s="77"/>
      <c r="K18" s="28">
        <f t="shared" si="0"/>
        <v>1521.62</v>
      </c>
      <c r="L18" s="29">
        <v>46415</v>
      </c>
      <c r="M18" s="31">
        <f t="shared" si="2"/>
        <v>69995.010000000068</v>
      </c>
    </row>
    <row r="19" spans="3:13" x14ac:dyDescent="0.3">
      <c r="C19" s="40"/>
      <c r="D19" s="41"/>
      <c r="E19" s="42"/>
      <c r="F19" s="42"/>
      <c r="G19" s="42"/>
      <c r="H19" s="42"/>
      <c r="I19" s="27">
        <v>1521.62</v>
      </c>
      <c r="J19" s="77"/>
      <c r="K19" s="28">
        <f t="shared" si="0"/>
        <v>1521.62</v>
      </c>
      <c r="L19" s="29">
        <v>46446</v>
      </c>
      <c r="M19" s="31">
        <f t="shared" si="2"/>
        <v>68473.390000000072</v>
      </c>
    </row>
    <row r="20" spans="3:13" x14ac:dyDescent="0.3">
      <c r="C20" s="40"/>
      <c r="D20" s="41"/>
      <c r="E20" s="42"/>
      <c r="F20" s="42"/>
      <c r="G20" s="42"/>
      <c r="H20" s="42"/>
      <c r="I20" s="27">
        <v>1521.62</v>
      </c>
      <c r="J20" s="77"/>
      <c r="K20" s="28">
        <f t="shared" si="0"/>
        <v>1521.62</v>
      </c>
      <c r="L20" s="29">
        <v>46474</v>
      </c>
      <c r="M20" s="31">
        <f t="shared" si="2"/>
        <v>66951.770000000077</v>
      </c>
    </row>
    <row r="21" spans="3:13" x14ac:dyDescent="0.3">
      <c r="C21" s="40"/>
      <c r="D21" s="41"/>
      <c r="E21" s="42"/>
      <c r="F21" s="42"/>
      <c r="G21" s="42"/>
      <c r="H21" s="42"/>
      <c r="I21" s="27">
        <v>1521.62</v>
      </c>
      <c r="J21" s="77"/>
      <c r="K21" s="28">
        <f t="shared" si="0"/>
        <v>1521.62</v>
      </c>
      <c r="L21" s="29">
        <v>46505</v>
      </c>
      <c r="M21" s="31">
        <f t="shared" si="2"/>
        <v>65430.150000000074</v>
      </c>
    </row>
    <row r="22" spans="3:13" x14ac:dyDescent="0.3">
      <c r="C22" s="40"/>
      <c r="D22" s="41"/>
      <c r="E22" s="42"/>
      <c r="F22" s="42"/>
      <c r="G22" s="42"/>
      <c r="H22" s="42"/>
      <c r="I22" s="27">
        <v>1521.62</v>
      </c>
      <c r="J22" s="77"/>
      <c r="K22" s="28">
        <f t="shared" si="0"/>
        <v>1521.62</v>
      </c>
      <c r="L22" s="29">
        <v>46535</v>
      </c>
      <c r="M22" s="31">
        <f t="shared" si="2"/>
        <v>63908.530000000072</v>
      </c>
    </row>
    <row r="23" spans="3:13" x14ac:dyDescent="0.3">
      <c r="C23" s="40"/>
      <c r="D23" s="41"/>
      <c r="E23" s="42"/>
      <c r="F23" s="42"/>
      <c r="G23" s="42"/>
      <c r="H23" s="42"/>
      <c r="I23" s="27">
        <v>1521.62</v>
      </c>
      <c r="J23" s="77"/>
      <c r="K23" s="28">
        <f t="shared" si="0"/>
        <v>1521.62</v>
      </c>
      <c r="L23" s="29">
        <v>46566</v>
      </c>
      <c r="M23" s="31">
        <f t="shared" si="2"/>
        <v>62386.910000000069</v>
      </c>
    </row>
    <row r="24" spans="3:13" x14ac:dyDescent="0.3">
      <c r="C24" s="40"/>
      <c r="D24" s="41"/>
      <c r="E24" s="42"/>
      <c r="F24" s="42"/>
      <c r="G24" s="42"/>
      <c r="H24" s="42"/>
      <c r="I24" s="27">
        <v>1521.62</v>
      </c>
      <c r="J24" s="77"/>
      <c r="K24" s="28">
        <f t="shared" si="0"/>
        <v>1521.62</v>
      </c>
      <c r="L24" s="29">
        <v>46596</v>
      </c>
      <c r="M24" s="31">
        <f t="shared" si="2"/>
        <v>60865.290000000066</v>
      </c>
    </row>
    <row r="25" spans="3:13" x14ac:dyDescent="0.3">
      <c r="C25" s="40"/>
      <c r="D25" s="41"/>
      <c r="E25" s="42"/>
      <c r="F25" s="42"/>
      <c r="G25" s="42"/>
      <c r="H25" s="42"/>
      <c r="I25" s="27">
        <v>1521.62</v>
      </c>
      <c r="J25" s="77"/>
      <c r="K25" s="28">
        <f t="shared" si="0"/>
        <v>1521.62</v>
      </c>
      <c r="L25" s="29">
        <v>46627</v>
      </c>
      <c r="M25" s="31">
        <f t="shared" si="2"/>
        <v>59343.670000000064</v>
      </c>
    </row>
    <row r="26" spans="3:13" x14ac:dyDescent="0.3">
      <c r="C26" s="40"/>
      <c r="D26" s="41"/>
      <c r="E26" s="42"/>
      <c r="F26" s="42"/>
      <c r="G26" s="42"/>
      <c r="H26" s="42"/>
      <c r="I26" s="27">
        <v>1521.62</v>
      </c>
      <c r="J26" s="77"/>
      <c r="K26" s="28">
        <f t="shared" si="0"/>
        <v>1521.62</v>
      </c>
      <c r="L26" s="29">
        <v>46658</v>
      </c>
      <c r="M26" s="31">
        <f t="shared" si="2"/>
        <v>57822.050000000061</v>
      </c>
    </row>
    <row r="27" spans="3:13" x14ac:dyDescent="0.3">
      <c r="C27" s="40"/>
      <c r="D27" s="41"/>
      <c r="E27" s="42"/>
      <c r="F27" s="42"/>
      <c r="G27" s="42"/>
      <c r="H27" s="42"/>
      <c r="I27" s="27">
        <v>1521.62</v>
      </c>
      <c r="J27" s="77"/>
      <c r="K27" s="28">
        <f t="shared" si="0"/>
        <v>1521.62</v>
      </c>
      <c r="L27" s="29">
        <v>46688</v>
      </c>
      <c r="M27" s="31">
        <f t="shared" si="2"/>
        <v>56300.430000000058</v>
      </c>
    </row>
    <row r="28" spans="3:13" x14ac:dyDescent="0.3">
      <c r="C28" s="40"/>
      <c r="D28" s="41"/>
      <c r="E28" s="42"/>
      <c r="F28" s="42"/>
      <c r="G28" s="42"/>
      <c r="H28" s="42"/>
      <c r="I28" s="27">
        <v>1521.62</v>
      </c>
      <c r="J28" s="77"/>
      <c r="K28" s="28">
        <f t="shared" si="0"/>
        <v>1521.62</v>
      </c>
      <c r="L28" s="29">
        <v>46719</v>
      </c>
      <c r="M28" s="31">
        <f t="shared" si="2"/>
        <v>54778.810000000056</v>
      </c>
    </row>
    <row r="29" spans="3:13" x14ac:dyDescent="0.3">
      <c r="C29" s="40"/>
      <c r="D29" s="41"/>
      <c r="E29" s="42"/>
      <c r="F29" s="42"/>
      <c r="G29" s="42"/>
      <c r="H29" s="42"/>
      <c r="I29" s="27">
        <v>1521.62</v>
      </c>
      <c r="J29" s="77"/>
      <c r="K29" s="28">
        <f t="shared" si="0"/>
        <v>1521.62</v>
      </c>
      <c r="L29" s="29">
        <v>46749</v>
      </c>
      <c r="M29" s="31">
        <f t="shared" si="2"/>
        <v>53257.190000000053</v>
      </c>
    </row>
    <row r="30" spans="3:13" x14ac:dyDescent="0.3">
      <c r="C30" s="40"/>
      <c r="D30" s="41"/>
      <c r="E30" s="42"/>
      <c r="F30" s="42"/>
      <c r="G30" s="42"/>
      <c r="H30" s="42"/>
      <c r="I30" s="27">
        <v>1521.62</v>
      </c>
      <c r="J30" s="77"/>
      <c r="K30" s="28">
        <f t="shared" si="0"/>
        <v>1521.62</v>
      </c>
      <c r="L30" s="29">
        <v>46780</v>
      </c>
      <c r="M30" s="31">
        <f t="shared" si="2"/>
        <v>51735.570000000051</v>
      </c>
    </row>
    <row r="31" spans="3:13" x14ac:dyDescent="0.3">
      <c r="C31" s="40"/>
      <c r="D31" s="41"/>
      <c r="E31" s="42"/>
      <c r="F31" s="42"/>
      <c r="G31" s="42"/>
      <c r="H31" s="42"/>
      <c r="I31" s="27">
        <v>1521.62</v>
      </c>
      <c r="J31" s="77"/>
      <c r="K31" s="28">
        <f t="shared" si="0"/>
        <v>1521.62</v>
      </c>
      <c r="L31" s="29">
        <v>46811</v>
      </c>
      <c r="M31" s="31">
        <f t="shared" si="2"/>
        <v>50213.950000000048</v>
      </c>
    </row>
    <row r="32" spans="3:13" x14ac:dyDescent="0.3">
      <c r="C32" s="40"/>
      <c r="D32" s="41"/>
      <c r="E32" s="42"/>
      <c r="F32" s="42"/>
      <c r="G32" s="42"/>
      <c r="H32" s="42"/>
      <c r="I32" s="27">
        <v>1521.62</v>
      </c>
      <c r="J32" s="77"/>
      <c r="K32" s="28">
        <f t="shared" si="0"/>
        <v>1521.62</v>
      </c>
      <c r="L32" s="29">
        <v>46840</v>
      </c>
      <c r="M32" s="31">
        <f t="shared" si="2"/>
        <v>48692.330000000045</v>
      </c>
    </row>
    <row r="33" spans="3:13" x14ac:dyDescent="0.3">
      <c r="C33" s="40"/>
      <c r="D33" s="41"/>
      <c r="E33" s="42"/>
      <c r="F33" s="42"/>
      <c r="G33" s="42"/>
      <c r="H33" s="42"/>
      <c r="I33" s="27">
        <v>1521.62</v>
      </c>
      <c r="J33" s="77"/>
      <c r="K33" s="28">
        <f t="shared" si="0"/>
        <v>1521.62</v>
      </c>
      <c r="L33" s="29">
        <v>46871</v>
      </c>
      <c r="M33" s="31">
        <f t="shared" si="2"/>
        <v>47170.710000000043</v>
      </c>
    </row>
    <row r="34" spans="3:13" x14ac:dyDescent="0.3">
      <c r="C34" s="40"/>
      <c r="D34" s="41"/>
      <c r="E34" s="42"/>
      <c r="F34" s="42"/>
      <c r="G34" s="42"/>
      <c r="H34" s="42"/>
      <c r="I34" s="27">
        <v>1521.62</v>
      </c>
      <c r="J34" s="77"/>
      <c r="K34" s="28">
        <f t="shared" si="0"/>
        <v>1521.62</v>
      </c>
      <c r="L34" s="29">
        <v>46901</v>
      </c>
      <c r="M34" s="31">
        <f t="shared" si="2"/>
        <v>45649.09000000004</v>
      </c>
    </row>
    <row r="35" spans="3:13" x14ac:dyDescent="0.3">
      <c r="C35" s="40"/>
      <c r="D35" s="41"/>
      <c r="E35" s="42"/>
      <c r="F35" s="42"/>
      <c r="G35" s="42"/>
      <c r="H35" s="42"/>
      <c r="I35" s="27">
        <v>1521.62</v>
      </c>
      <c r="J35" s="77"/>
      <c r="K35" s="28">
        <f t="shared" si="0"/>
        <v>1521.62</v>
      </c>
      <c r="L35" s="29">
        <v>46932</v>
      </c>
      <c r="M35" s="31">
        <f t="shared" si="2"/>
        <v>44127.470000000038</v>
      </c>
    </row>
    <row r="36" spans="3:13" x14ac:dyDescent="0.3">
      <c r="C36" s="40"/>
      <c r="D36" s="41"/>
      <c r="E36" s="42"/>
      <c r="F36" s="42"/>
      <c r="G36" s="42"/>
      <c r="H36" s="42"/>
      <c r="I36" s="27">
        <v>1521.62</v>
      </c>
      <c r="J36" s="77"/>
      <c r="K36" s="28">
        <f t="shared" si="0"/>
        <v>1521.62</v>
      </c>
      <c r="L36" s="29">
        <v>46962</v>
      </c>
      <c r="M36" s="31">
        <f t="shared" si="2"/>
        <v>42605.850000000035</v>
      </c>
    </row>
    <row r="37" spans="3:13" x14ac:dyDescent="0.3">
      <c r="C37" s="40"/>
      <c r="D37" s="41"/>
      <c r="E37" s="42"/>
      <c r="F37" s="42"/>
      <c r="G37" s="42"/>
      <c r="H37" s="42"/>
      <c r="I37" s="27">
        <v>1521.62</v>
      </c>
      <c r="J37" s="77"/>
      <c r="K37" s="28">
        <f t="shared" si="0"/>
        <v>1521.62</v>
      </c>
      <c r="L37" s="29">
        <v>46993</v>
      </c>
      <c r="M37" s="31">
        <f t="shared" si="2"/>
        <v>41084.230000000032</v>
      </c>
    </row>
    <row r="38" spans="3:13" x14ac:dyDescent="0.3">
      <c r="C38" s="40"/>
      <c r="D38" s="41"/>
      <c r="E38" s="42"/>
      <c r="F38" s="42"/>
      <c r="G38" s="42"/>
      <c r="H38" s="42"/>
      <c r="I38" s="27">
        <v>1521.62</v>
      </c>
      <c r="J38" s="77"/>
      <c r="K38" s="28">
        <f t="shared" si="0"/>
        <v>1521.62</v>
      </c>
      <c r="L38" s="29">
        <v>47024</v>
      </c>
      <c r="M38" s="31">
        <f t="shared" si="2"/>
        <v>39562.61000000003</v>
      </c>
    </row>
    <row r="39" spans="3:13" x14ac:dyDescent="0.3">
      <c r="C39" s="40"/>
      <c r="D39" s="41"/>
      <c r="E39" s="42"/>
      <c r="F39" s="42"/>
      <c r="G39" s="42"/>
      <c r="H39" s="42"/>
      <c r="I39" s="27">
        <v>1521.62</v>
      </c>
      <c r="J39" s="77"/>
      <c r="K39" s="28">
        <f t="shared" si="0"/>
        <v>1521.62</v>
      </c>
      <c r="L39" s="29">
        <v>47054</v>
      </c>
      <c r="M39" s="31">
        <f t="shared" si="2"/>
        <v>38040.990000000027</v>
      </c>
    </row>
    <row r="40" spans="3:13" x14ac:dyDescent="0.3">
      <c r="C40" s="40"/>
      <c r="D40" s="41"/>
      <c r="E40" s="42"/>
      <c r="F40" s="42"/>
      <c r="G40" s="42"/>
      <c r="H40" s="42"/>
      <c r="I40" s="27">
        <v>1521.62</v>
      </c>
      <c r="J40" s="77"/>
      <c r="K40" s="28">
        <f t="shared" si="0"/>
        <v>1521.62</v>
      </c>
      <c r="L40" s="29">
        <v>47085</v>
      </c>
      <c r="M40" s="31">
        <f t="shared" si="2"/>
        <v>36519.370000000024</v>
      </c>
    </row>
    <row r="41" spans="3:13" x14ac:dyDescent="0.3">
      <c r="C41" s="40"/>
      <c r="D41" s="41"/>
      <c r="E41" s="42"/>
      <c r="F41" s="42"/>
      <c r="G41" s="42"/>
      <c r="H41" s="42"/>
      <c r="I41" s="27">
        <v>1521.62</v>
      </c>
      <c r="J41" s="77"/>
      <c r="K41" s="28">
        <f t="shared" si="0"/>
        <v>1521.62</v>
      </c>
      <c r="L41" s="29">
        <v>47115</v>
      </c>
      <c r="M41" s="31">
        <f t="shared" si="2"/>
        <v>34997.750000000022</v>
      </c>
    </row>
    <row r="42" spans="3:13" x14ac:dyDescent="0.3">
      <c r="C42" s="40"/>
      <c r="D42" s="41"/>
      <c r="E42" s="42"/>
      <c r="F42" s="42"/>
      <c r="G42" s="42"/>
      <c r="H42" s="42"/>
      <c r="I42" s="27">
        <v>1521.62</v>
      </c>
      <c r="J42" s="77"/>
      <c r="K42" s="28">
        <f t="shared" si="0"/>
        <v>1521.62</v>
      </c>
      <c r="L42" s="29">
        <v>47146</v>
      </c>
      <c r="M42" s="31">
        <f t="shared" si="2"/>
        <v>33476.130000000019</v>
      </c>
    </row>
    <row r="43" spans="3:13" x14ac:dyDescent="0.3">
      <c r="C43" s="40"/>
      <c r="D43" s="41"/>
      <c r="E43" s="42"/>
      <c r="F43" s="42"/>
      <c r="G43" s="42"/>
      <c r="H43" s="42"/>
      <c r="I43" s="27">
        <v>1521.62</v>
      </c>
      <c r="J43" s="77"/>
      <c r="K43" s="28">
        <f t="shared" si="0"/>
        <v>1521.62</v>
      </c>
      <c r="L43" s="29">
        <v>47177</v>
      </c>
      <c r="M43" s="31">
        <f t="shared" si="2"/>
        <v>31954.51000000002</v>
      </c>
    </row>
    <row r="44" spans="3:13" x14ac:dyDescent="0.3">
      <c r="C44" s="40"/>
      <c r="D44" s="41"/>
      <c r="E44" s="42"/>
      <c r="F44" s="42"/>
      <c r="G44" s="42"/>
      <c r="H44" s="42"/>
      <c r="I44" s="27">
        <v>1521.62</v>
      </c>
      <c r="J44" s="77"/>
      <c r="K44" s="28">
        <f t="shared" si="0"/>
        <v>1521.62</v>
      </c>
      <c r="L44" s="29">
        <v>47205</v>
      </c>
      <c r="M44" s="31">
        <f t="shared" si="2"/>
        <v>30432.890000000021</v>
      </c>
    </row>
    <row r="45" spans="3:13" x14ac:dyDescent="0.3">
      <c r="C45" s="40"/>
      <c r="D45" s="41"/>
      <c r="E45" s="42"/>
      <c r="F45" s="42"/>
      <c r="G45" s="42"/>
      <c r="H45" s="42"/>
      <c r="I45" s="27">
        <v>1521.62</v>
      </c>
      <c r="J45" s="77"/>
      <c r="K45" s="28">
        <f t="shared" si="0"/>
        <v>1521.62</v>
      </c>
      <c r="L45" s="29">
        <v>47236</v>
      </c>
      <c r="M45" s="31">
        <f t="shared" si="2"/>
        <v>28911.270000000022</v>
      </c>
    </row>
    <row r="46" spans="3:13" x14ac:dyDescent="0.3">
      <c r="C46" s="40"/>
      <c r="D46" s="41"/>
      <c r="E46" s="42"/>
      <c r="F46" s="42"/>
      <c r="G46" s="42"/>
      <c r="H46" s="42"/>
      <c r="I46" s="27">
        <v>1521.62</v>
      </c>
      <c r="J46" s="77"/>
      <c r="K46" s="28">
        <f t="shared" si="0"/>
        <v>1521.62</v>
      </c>
      <c r="L46" s="29">
        <v>47266</v>
      </c>
      <c r="M46" s="31">
        <f t="shared" si="2"/>
        <v>27389.650000000023</v>
      </c>
    </row>
    <row r="47" spans="3:13" x14ac:dyDescent="0.3">
      <c r="C47" s="40"/>
      <c r="D47" s="41"/>
      <c r="E47" s="42"/>
      <c r="F47" s="42"/>
      <c r="G47" s="42"/>
      <c r="H47" s="42"/>
      <c r="I47" s="27">
        <v>1521.62</v>
      </c>
      <c r="J47" s="77"/>
      <c r="K47" s="28">
        <f t="shared" si="0"/>
        <v>1521.62</v>
      </c>
      <c r="L47" s="29">
        <v>47297</v>
      </c>
      <c r="M47" s="31">
        <f t="shared" si="2"/>
        <v>25868.030000000024</v>
      </c>
    </row>
    <row r="48" spans="3:13" x14ac:dyDescent="0.3">
      <c r="C48" s="40"/>
      <c r="D48" s="41"/>
      <c r="E48" s="42"/>
      <c r="F48" s="42"/>
      <c r="G48" s="42"/>
      <c r="H48" s="42"/>
      <c r="I48" s="27">
        <v>1521.62</v>
      </c>
      <c r="J48" s="77"/>
      <c r="K48" s="28">
        <f t="shared" si="0"/>
        <v>1521.62</v>
      </c>
      <c r="L48" s="29">
        <v>47327</v>
      </c>
      <c r="M48" s="31">
        <f t="shared" si="2"/>
        <v>24346.410000000025</v>
      </c>
    </row>
    <row r="49" spans="3:13" x14ac:dyDescent="0.3">
      <c r="C49" s="40"/>
      <c r="D49" s="41"/>
      <c r="E49" s="42"/>
      <c r="F49" s="42"/>
      <c r="G49" s="42"/>
      <c r="H49" s="42"/>
      <c r="I49" s="27">
        <v>1521.62</v>
      </c>
      <c r="J49" s="77"/>
      <c r="K49" s="28">
        <f t="shared" si="0"/>
        <v>1521.62</v>
      </c>
      <c r="L49" s="29">
        <v>47358</v>
      </c>
      <c r="M49" s="31">
        <f t="shared" si="2"/>
        <v>22824.790000000026</v>
      </c>
    </row>
    <row r="50" spans="3:13" x14ac:dyDescent="0.3">
      <c r="C50" s="40"/>
      <c r="D50" s="41"/>
      <c r="E50" s="42"/>
      <c r="F50" s="42"/>
      <c r="G50" s="42"/>
      <c r="H50" s="42"/>
      <c r="I50" s="27">
        <v>1521.62</v>
      </c>
      <c r="J50" s="77"/>
      <c r="K50" s="28">
        <f t="shared" si="0"/>
        <v>1521.62</v>
      </c>
      <c r="L50" s="29">
        <v>47389</v>
      </c>
      <c r="M50" s="31">
        <f t="shared" si="2"/>
        <v>21303.170000000027</v>
      </c>
    </row>
    <row r="51" spans="3:13" x14ac:dyDescent="0.3">
      <c r="C51" s="40"/>
      <c r="D51" s="41"/>
      <c r="E51" s="42"/>
      <c r="F51" s="42"/>
      <c r="G51" s="42"/>
      <c r="H51" s="42"/>
      <c r="I51" s="27">
        <v>1521.62</v>
      </c>
      <c r="J51" s="77"/>
      <c r="K51" s="28">
        <f t="shared" si="0"/>
        <v>1521.62</v>
      </c>
      <c r="L51" s="29">
        <v>47419</v>
      </c>
      <c r="M51" s="31">
        <f t="shared" si="2"/>
        <v>19781.550000000028</v>
      </c>
    </row>
    <row r="52" spans="3:13" x14ac:dyDescent="0.3">
      <c r="C52" s="40"/>
      <c r="D52" s="41"/>
      <c r="E52" s="42"/>
      <c r="F52" s="42"/>
      <c r="G52" s="42"/>
      <c r="H52" s="42"/>
      <c r="I52" s="27">
        <v>1521.62</v>
      </c>
      <c r="J52" s="77"/>
      <c r="K52" s="28">
        <f t="shared" si="0"/>
        <v>1521.62</v>
      </c>
      <c r="L52" s="29">
        <v>47450</v>
      </c>
      <c r="M52" s="31">
        <f t="shared" si="2"/>
        <v>18259.930000000029</v>
      </c>
    </row>
    <row r="53" spans="3:13" x14ac:dyDescent="0.3">
      <c r="C53" s="40"/>
      <c r="D53" s="41"/>
      <c r="E53" s="42"/>
      <c r="F53" s="42"/>
      <c r="G53" s="42"/>
      <c r="H53" s="42"/>
      <c r="I53" s="27">
        <v>1521.62</v>
      </c>
      <c r="J53" s="77"/>
      <c r="K53" s="28">
        <f t="shared" si="0"/>
        <v>1521.62</v>
      </c>
      <c r="L53" s="29">
        <v>47480</v>
      </c>
      <c r="M53" s="31">
        <f t="shared" si="2"/>
        <v>16738.31000000003</v>
      </c>
    </row>
    <row r="54" spans="3:13" x14ac:dyDescent="0.3">
      <c r="C54" s="40"/>
      <c r="D54" s="41"/>
      <c r="E54" s="42"/>
      <c r="F54" s="42"/>
      <c r="G54" s="42"/>
      <c r="H54" s="42"/>
      <c r="I54" s="27">
        <v>1521.62</v>
      </c>
      <c r="J54" s="77"/>
      <c r="K54" s="28">
        <f t="shared" si="0"/>
        <v>1521.62</v>
      </c>
      <c r="L54" s="29">
        <v>47511</v>
      </c>
      <c r="M54" s="31">
        <f t="shared" si="2"/>
        <v>15216.690000000031</v>
      </c>
    </row>
    <row r="55" spans="3:13" x14ac:dyDescent="0.3">
      <c r="C55" s="40"/>
      <c r="D55" s="41"/>
      <c r="E55" s="42"/>
      <c r="F55" s="42"/>
      <c r="G55" s="42"/>
      <c r="H55" s="42"/>
      <c r="I55" s="27">
        <v>1521.62</v>
      </c>
      <c r="J55" s="77"/>
      <c r="K55" s="28">
        <f t="shared" si="0"/>
        <v>1521.62</v>
      </c>
      <c r="L55" s="29">
        <v>47542</v>
      </c>
      <c r="M55" s="31">
        <f t="shared" si="2"/>
        <v>13695.070000000032</v>
      </c>
    </row>
    <row r="56" spans="3:13" x14ac:dyDescent="0.3">
      <c r="C56" s="40"/>
      <c r="D56" s="41"/>
      <c r="E56" s="42"/>
      <c r="F56" s="42"/>
      <c r="G56" s="42"/>
      <c r="H56" s="42"/>
      <c r="I56" s="27">
        <v>1521.62</v>
      </c>
      <c r="J56" s="77"/>
      <c r="K56" s="28">
        <f t="shared" si="0"/>
        <v>1521.62</v>
      </c>
      <c r="L56" s="29">
        <v>47570</v>
      </c>
      <c r="M56" s="31">
        <f t="shared" si="2"/>
        <v>12173.450000000033</v>
      </c>
    </row>
    <row r="57" spans="3:13" x14ac:dyDescent="0.3">
      <c r="C57" s="40"/>
      <c r="D57" s="41"/>
      <c r="E57" s="42"/>
      <c r="F57" s="42"/>
      <c r="G57" s="42"/>
      <c r="H57" s="42"/>
      <c r="I57" s="27">
        <v>1521.62</v>
      </c>
      <c r="J57" s="77"/>
      <c r="K57" s="28">
        <f t="shared" si="0"/>
        <v>1521.62</v>
      </c>
      <c r="L57" s="29">
        <v>47601</v>
      </c>
      <c r="M57" s="31">
        <f t="shared" si="2"/>
        <v>10651.830000000034</v>
      </c>
    </row>
    <row r="58" spans="3:13" x14ac:dyDescent="0.3">
      <c r="C58" s="40"/>
      <c r="D58" s="41"/>
      <c r="E58" s="42"/>
      <c r="F58" s="42"/>
      <c r="G58" s="42"/>
      <c r="H58" s="42"/>
      <c r="I58" s="27">
        <v>1521.62</v>
      </c>
      <c r="J58" s="77"/>
      <c r="K58" s="28">
        <f t="shared" si="0"/>
        <v>1521.62</v>
      </c>
      <c r="L58" s="29">
        <v>47631</v>
      </c>
      <c r="M58" s="31">
        <f t="shared" si="2"/>
        <v>9130.2100000000355</v>
      </c>
    </row>
    <row r="59" spans="3:13" x14ac:dyDescent="0.3">
      <c r="C59" s="40"/>
      <c r="D59" s="41"/>
      <c r="E59" s="42"/>
      <c r="F59" s="42"/>
      <c r="G59" s="42"/>
      <c r="H59" s="42"/>
      <c r="I59" s="27">
        <v>1521.62</v>
      </c>
      <c r="J59" s="77"/>
      <c r="K59" s="28">
        <f t="shared" si="0"/>
        <v>1521.62</v>
      </c>
      <c r="L59" s="29">
        <v>47662</v>
      </c>
      <c r="M59" s="31">
        <f t="shared" si="2"/>
        <v>7608.5900000000356</v>
      </c>
    </row>
    <row r="60" spans="3:13" x14ac:dyDescent="0.3">
      <c r="C60" s="40"/>
      <c r="D60" s="41"/>
      <c r="E60" s="42"/>
      <c r="F60" s="42"/>
      <c r="G60" s="42"/>
      <c r="H60" s="42"/>
      <c r="I60" s="27">
        <v>1521.62</v>
      </c>
      <c r="J60" s="77"/>
      <c r="K60" s="28">
        <f t="shared" si="0"/>
        <v>1521.62</v>
      </c>
      <c r="L60" s="29">
        <v>47692</v>
      </c>
      <c r="M60" s="31">
        <f t="shared" si="2"/>
        <v>6086.9700000000357</v>
      </c>
    </row>
    <row r="61" spans="3:13" x14ac:dyDescent="0.3">
      <c r="C61" s="40"/>
      <c r="D61" s="41"/>
      <c r="E61" s="42"/>
      <c r="F61" s="42"/>
      <c r="G61" s="42"/>
      <c r="H61" s="42"/>
      <c r="I61" s="27">
        <v>1521.62</v>
      </c>
      <c r="J61" s="77"/>
      <c r="K61" s="28">
        <f t="shared" si="0"/>
        <v>1521.62</v>
      </c>
      <c r="L61" s="29">
        <v>47723</v>
      </c>
      <c r="M61" s="31">
        <f t="shared" si="2"/>
        <v>4565.3500000000358</v>
      </c>
    </row>
    <row r="62" spans="3:13" x14ac:dyDescent="0.3">
      <c r="C62" s="40"/>
      <c r="D62" s="41"/>
      <c r="E62" s="42"/>
      <c r="F62" s="42"/>
      <c r="G62" s="42"/>
      <c r="H62" s="42"/>
      <c r="I62" s="27">
        <v>1521.62</v>
      </c>
      <c r="J62" s="77"/>
      <c r="K62" s="28">
        <f t="shared" si="0"/>
        <v>1521.62</v>
      </c>
      <c r="L62" s="29">
        <v>47754</v>
      </c>
      <c r="M62" s="31">
        <f t="shared" si="2"/>
        <v>3043.7300000000359</v>
      </c>
    </row>
    <row r="63" spans="3:13" x14ac:dyDescent="0.3">
      <c r="C63" s="40"/>
      <c r="D63" s="41"/>
      <c r="E63" s="42"/>
      <c r="F63" s="42"/>
      <c r="G63" s="42"/>
      <c r="H63" s="42"/>
      <c r="I63" s="27">
        <v>1521.62</v>
      </c>
      <c r="J63" s="77"/>
      <c r="K63" s="28">
        <f t="shared" si="0"/>
        <v>1521.62</v>
      </c>
      <c r="L63" s="29">
        <v>47784</v>
      </c>
      <c r="M63" s="31">
        <f t="shared" si="2"/>
        <v>1522.1100000000361</v>
      </c>
    </row>
    <row r="64" spans="3:13" x14ac:dyDescent="0.3">
      <c r="C64" s="40"/>
      <c r="D64" s="41"/>
      <c r="E64" s="42"/>
      <c r="F64" s="42"/>
      <c r="G64" s="42"/>
      <c r="H64" s="42"/>
      <c r="I64" s="42">
        <f>SUM(I4:I63)</f>
        <v>91297.199999999968</v>
      </c>
      <c r="J64" s="42"/>
      <c r="K64" s="42"/>
      <c r="L64" s="43"/>
      <c r="M64" s="44"/>
    </row>
    <row r="65" spans="3:13" x14ac:dyDescent="0.3">
      <c r="C65" s="40"/>
      <c r="D65" s="41"/>
      <c r="E65" s="42"/>
      <c r="F65" s="42"/>
      <c r="G65" s="42"/>
      <c r="H65" s="42"/>
      <c r="I65" s="42"/>
      <c r="J65" s="42"/>
      <c r="K65" s="42"/>
      <c r="L65" s="43"/>
      <c r="M65" s="44"/>
    </row>
    <row r="66" spans="3:13" x14ac:dyDescent="0.3">
      <c r="C66" s="40"/>
      <c r="D66" s="41"/>
      <c r="E66" s="42"/>
      <c r="F66" s="42"/>
      <c r="G66" s="42"/>
      <c r="H66" s="42"/>
      <c r="I66" s="42"/>
      <c r="J66" s="42"/>
      <c r="K66" s="42"/>
      <c r="L66" s="43"/>
      <c r="M66" s="44"/>
    </row>
    <row r="67" spans="3:13" x14ac:dyDescent="0.3">
      <c r="C67" s="40"/>
      <c r="D67" s="41"/>
      <c r="E67" s="42"/>
      <c r="F67" s="42"/>
      <c r="G67" s="42"/>
      <c r="H67" s="42"/>
      <c r="I67" s="42"/>
      <c r="J67" s="42"/>
      <c r="K67" s="42"/>
      <c r="L67" s="43"/>
      <c r="M67" s="44"/>
    </row>
    <row r="68" spans="3:13" x14ac:dyDescent="0.3">
      <c r="C68" s="40"/>
      <c r="D68" s="41"/>
      <c r="E68" s="42"/>
      <c r="F68" s="42"/>
      <c r="G68" s="42"/>
      <c r="H68" s="42"/>
      <c r="I68" s="42"/>
      <c r="J68" s="42"/>
      <c r="K68" s="42"/>
      <c r="L68" s="43"/>
      <c r="M68" s="44"/>
    </row>
    <row r="69" spans="3:13" x14ac:dyDescent="0.3">
      <c r="C69" s="40"/>
      <c r="D69" s="41"/>
      <c r="E69" s="42"/>
      <c r="F69" s="42"/>
      <c r="G69" s="42"/>
      <c r="H69" s="42"/>
      <c r="I69" s="42"/>
      <c r="J69" s="42"/>
      <c r="K69" s="42"/>
      <c r="L69" s="43"/>
      <c r="M69" s="44"/>
    </row>
    <row r="70" spans="3:13" x14ac:dyDescent="0.3">
      <c r="C70" s="40"/>
      <c r="D70" s="41"/>
      <c r="E70" s="42"/>
      <c r="F70" s="42"/>
      <c r="G70" s="42"/>
      <c r="H70" s="42"/>
      <c r="I70" s="42"/>
      <c r="J70" s="42"/>
      <c r="K70" s="42"/>
      <c r="L70" s="43"/>
      <c r="M70" s="44"/>
    </row>
    <row r="71" spans="3:13" x14ac:dyDescent="0.3">
      <c r="C71" s="40"/>
      <c r="D71" s="41"/>
      <c r="E71" s="42"/>
      <c r="F71" s="42"/>
      <c r="G71" s="42"/>
      <c r="H71" s="42"/>
      <c r="I71" s="42"/>
      <c r="J71" s="42"/>
      <c r="K71" s="42"/>
      <c r="L71" s="43"/>
      <c r="M71" s="44"/>
    </row>
    <row r="72" spans="3:13" x14ac:dyDescent="0.3">
      <c r="C72" s="40"/>
      <c r="D72" s="41"/>
      <c r="E72" s="42"/>
      <c r="F72" s="42"/>
      <c r="G72" s="42"/>
      <c r="H72" s="42"/>
      <c r="I72" s="42"/>
      <c r="J72" s="42"/>
      <c r="K72" s="42"/>
      <c r="L72" s="43"/>
      <c r="M72" s="44"/>
    </row>
    <row r="73" spans="3:13" x14ac:dyDescent="0.3">
      <c r="C73" s="40"/>
      <c r="D73" s="41"/>
      <c r="E73" s="42"/>
      <c r="F73" s="42"/>
      <c r="G73" s="42"/>
      <c r="H73" s="42"/>
      <c r="I73" s="42"/>
      <c r="J73" s="42"/>
      <c r="K73" s="42"/>
      <c r="L73" s="43"/>
      <c r="M73" s="44"/>
    </row>
    <row r="74" spans="3:13" x14ac:dyDescent="0.3">
      <c r="C74" s="40"/>
      <c r="D74" s="41"/>
      <c r="E74" s="42"/>
      <c r="F74" s="42"/>
      <c r="G74" s="42"/>
      <c r="H74" s="42"/>
      <c r="I74" s="42"/>
      <c r="J74" s="42"/>
      <c r="K74" s="42"/>
      <c r="L74" s="43"/>
      <c r="M74" s="44"/>
    </row>
    <row r="75" spans="3:13" x14ac:dyDescent="0.3">
      <c r="C75" s="40"/>
      <c r="D75" s="41"/>
      <c r="E75" s="42"/>
      <c r="F75" s="42"/>
      <c r="G75" s="42"/>
      <c r="H75" s="42"/>
      <c r="I75" s="42"/>
      <c r="J75" s="42"/>
      <c r="K75" s="42"/>
      <c r="L75" s="43"/>
      <c r="M75" s="44"/>
    </row>
    <row r="76" spans="3:13" x14ac:dyDescent="0.3">
      <c r="C76" s="40"/>
      <c r="D76" s="41"/>
      <c r="E76" s="42"/>
      <c r="F76" s="42"/>
      <c r="G76" s="42"/>
      <c r="H76" s="42"/>
      <c r="I76" s="42"/>
      <c r="J76" s="42"/>
      <c r="K76" s="42"/>
      <c r="L76" s="43"/>
      <c r="M76" s="44"/>
    </row>
    <row r="77" spans="3:13" x14ac:dyDescent="0.3">
      <c r="C77" s="40"/>
      <c r="D77" s="41"/>
      <c r="E77" s="42"/>
      <c r="F77" s="42"/>
      <c r="G77" s="42"/>
      <c r="H77" s="42"/>
      <c r="I77" s="42"/>
      <c r="J77" s="42"/>
      <c r="K77" s="42"/>
      <c r="L77" s="43"/>
      <c r="M77" s="44"/>
    </row>
    <row r="78" spans="3:13" x14ac:dyDescent="0.3">
      <c r="C78" s="40"/>
      <c r="D78" s="41"/>
      <c r="E78" s="42"/>
      <c r="F78" s="42"/>
      <c r="G78" s="42"/>
      <c r="H78" s="42"/>
      <c r="I78" s="42"/>
      <c r="J78" s="42"/>
      <c r="K78" s="42"/>
      <c r="L78" s="43"/>
      <c r="M78" s="44"/>
    </row>
    <row r="79" spans="3:13" x14ac:dyDescent="0.3">
      <c r="C79" s="40"/>
      <c r="D79" s="41"/>
      <c r="E79" s="42"/>
      <c r="F79" s="42"/>
      <c r="G79" s="42"/>
      <c r="H79" s="42"/>
      <c r="I79" s="42"/>
      <c r="J79" s="42"/>
      <c r="K79" s="42"/>
      <c r="L79" s="43"/>
      <c r="M79" s="44"/>
    </row>
    <row r="80" spans="3:13" x14ac:dyDescent="0.3">
      <c r="C80" s="40"/>
      <c r="D80" s="41"/>
      <c r="E80" s="42"/>
      <c r="F80" s="42"/>
      <c r="G80" s="42"/>
      <c r="H80" s="42"/>
      <c r="I80" s="42"/>
      <c r="J80" s="42"/>
      <c r="K80" s="42"/>
      <c r="L80" s="43"/>
      <c r="M80" s="44"/>
    </row>
    <row r="81" spans="3:13" x14ac:dyDescent="0.3">
      <c r="C81" s="40"/>
      <c r="D81" s="41"/>
      <c r="E81" s="42"/>
      <c r="F81" s="42"/>
      <c r="G81" s="42"/>
      <c r="H81" s="42"/>
      <c r="I81" s="42"/>
      <c r="J81" s="42"/>
      <c r="K81" s="42"/>
      <c r="L81" s="43"/>
      <c r="M81" s="44"/>
    </row>
    <row r="82" spans="3:13" x14ac:dyDescent="0.3">
      <c r="C82" s="40"/>
      <c r="D82" s="41"/>
      <c r="E82" s="42"/>
      <c r="F82" s="42"/>
      <c r="G82" s="42"/>
      <c r="H82" s="42"/>
      <c r="I82" s="42"/>
      <c r="J82" s="42"/>
      <c r="K82" s="42"/>
      <c r="L82" s="43"/>
      <c r="M82" s="44"/>
    </row>
    <row r="83" spans="3:13" x14ac:dyDescent="0.3">
      <c r="C83" s="40"/>
      <c r="D83" s="41"/>
      <c r="E83" s="42"/>
      <c r="F83" s="42"/>
      <c r="G83" s="42"/>
      <c r="H83" s="42"/>
      <c r="I83" s="42"/>
      <c r="J83" s="42"/>
      <c r="K83" s="42"/>
      <c r="L83" s="43"/>
      <c r="M83" s="44"/>
    </row>
    <row r="84" spans="3:13" x14ac:dyDescent="0.3">
      <c r="C84" s="40"/>
      <c r="D84" s="41"/>
      <c r="E84" s="42"/>
      <c r="F84" s="42"/>
      <c r="G84" s="42"/>
      <c r="H84" s="42"/>
      <c r="I84" s="42"/>
      <c r="J84" s="42"/>
      <c r="K84" s="42"/>
      <c r="L84" s="43"/>
      <c r="M84" s="44"/>
    </row>
    <row r="85" spans="3:13" x14ac:dyDescent="0.3">
      <c r="H85" s="44"/>
      <c r="K85" s="44"/>
    </row>
  </sheetData>
  <mergeCells count="4">
    <mergeCell ref="O6:P6"/>
    <mergeCell ref="O9:Q9"/>
    <mergeCell ref="O10:Q10"/>
    <mergeCell ref="O11:Q1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981B1-E026-41C2-8293-91583FAD4939}">
  <dimension ref="B1:S58"/>
  <sheetViews>
    <sheetView showGridLines="0" workbookViewId="0">
      <selection activeCell="P4" sqref="P4"/>
    </sheetView>
  </sheetViews>
  <sheetFormatPr defaultColWidth="9.109375" defaultRowHeight="14.4" x14ac:dyDescent="0.3"/>
  <cols>
    <col min="1" max="1" width="2.5546875" style="39" customWidth="1"/>
    <col min="2" max="2" width="55.6640625" style="39" customWidth="1"/>
    <col min="3" max="3" width="9.33203125" style="39" bestFit="1" customWidth="1"/>
    <col min="4" max="4" width="11.88671875" style="39" bestFit="1" customWidth="1"/>
    <col min="5" max="5" width="13.33203125" style="39" bestFit="1" customWidth="1"/>
    <col min="6" max="6" width="11.5546875" style="39" bestFit="1" customWidth="1"/>
    <col min="7" max="7" width="10.33203125" style="39" customWidth="1"/>
    <col min="8" max="8" width="14" style="39" bestFit="1" customWidth="1"/>
    <col min="9" max="9" width="13.33203125" style="39" bestFit="1" customWidth="1"/>
    <col min="10" max="10" width="12.5546875" style="39" customWidth="1"/>
    <col min="11" max="11" width="13.33203125" style="39" customWidth="1"/>
    <col min="12" max="12" width="10.5546875" style="39" customWidth="1"/>
    <col min="13" max="13" width="12.88671875" style="39" customWidth="1"/>
    <col min="14" max="14" width="12.6640625" style="41" customWidth="1"/>
    <col min="15" max="15" width="4.33203125" style="39" customWidth="1"/>
    <col min="16" max="16" width="13.109375" style="39" bestFit="1" customWidth="1"/>
    <col min="17" max="17" width="11.5546875" style="39" bestFit="1" customWidth="1"/>
    <col min="18" max="18" width="13.109375" style="39" bestFit="1" customWidth="1"/>
    <col min="19" max="19" width="14.6640625" style="39" customWidth="1"/>
    <col min="20" max="16384" width="9.109375" style="39"/>
  </cols>
  <sheetData>
    <row r="1" spans="2:19" customFormat="1" x14ac:dyDescent="0.3">
      <c r="N1" s="4"/>
    </row>
    <row r="2" spans="2:19" customFormat="1" ht="15" thickBot="1" x14ac:dyDescent="0.35">
      <c r="N2" s="4"/>
    </row>
    <row r="3" spans="2:19" customFormat="1" ht="15" thickBot="1" x14ac:dyDescent="0.35">
      <c r="B3" s="37" t="s">
        <v>27</v>
      </c>
      <c r="C3" s="30" t="s">
        <v>44</v>
      </c>
      <c r="D3" s="30" t="s">
        <v>45</v>
      </c>
      <c r="E3" s="30" t="s">
        <v>18</v>
      </c>
      <c r="F3" s="30" t="s">
        <v>19</v>
      </c>
      <c r="G3" s="30" t="s">
        <v>20</v>
      </c>
      <c r="H3" s="30" t="s">
        <v>21</v>
      </c>
      <c r="I3" s="30" t="s">
        <v>83</v>
      </c>
      <c r="J3" s="30" t="s">
        <v>15</v>
      </c>
      <c r="K3" s="30" t="s">
        <v>82</v>
      </c>
      <c r="L3" s="30" t="s">
        <v>22</v>
      </c>
      <c r="M3" s="30" t="s">
        <v>23</v>
      </c>
      <c r="N3" s="30" t="s">
        <v>113</v>
      </c>
      <c r="P3" s="36" t="s">
        <v>24</v>
      </c>
      <c r="Q3" s="36" t="s">
        <v>25</v>
      </c>
      <c r="R3" s="35" t="s">
        <v>26</v>
      </c>
      <c r="S3" s="35" t="s">
        <v>15</v>
      </c>
    </row>
    <row r="4" spans="2:19" customFormat="1" ht="15" thickBot="1" x14ac:dyDescent="0.35">
      <c r="B4" s="81" t="s">
        <v>98</v>
      </c>
      <c r="C4" s="45"/>
      <c r="D4" s="46"/>
      <c r="E4" s="27"/>
      <c r="F4" s="27"/>
      <c r="G4" s="27"/>
      <c r="H4" s="93"/>
      <c r="I4" s="27">
        <v>210.53</v>
      </c>
      <c r="J4" s="77">
        <v>12.67</v>
      </c>
      <c r="K4" s="28">
        <f>I4+J4</f>
        <v>223.2</v>
      </c>
      <c r="L4" s="29">
        <v>45534</v>
      </c>
      <c r="M4" s="31"/>
      <c r="N4" s="84" t="s">
        <v>25</v>
      </c>
      <c r="P4" s="32">
        <f>I52</f>
        <v>10105.300000000005</v>
      </c>
      <c r="Q4" s="33">
        <f>K5+K6+K7+K8+K9+K10+K11+K12+K13+K14+K15+K16+K17+K18+K19+K20+K21+K22+K23+K24+K25+K26+K27+K28+K29+K30+K31+K32</f>
        <v>6249.5999999999967</v>
      </c>
      <c r="R4" s="34">
        <f>P4-Q4</f>
        <v>3855.700000000008</v>
      </c>
      <c r="S4" s="34">
        <f>J5+J6+J7+J8+J9+J10+J11+J12+J13+J14+J15+J16+J17+J18+J19+J20+J21+J22+J23+J24+J25+J26+J27+J28+J29+J30+J31+J32+J33+J34+J35+J36+J37+J38+J39+J40+J41+J42+J43+J44+J45+J46+J47+J48+J49+J50+J51-354.74</f>
        <v>1312.349999999999</v>
      </c>
    </row>
    <row r="5" spans="2:19" customFormat="1" x14ac:dyDescent="0.3">
      <c r="B5" s="39"/>
      <c r="C5" s="90"/>
      <c r="D5" s="91"/>
      <c r="E5" s="42"/>
      <c r="F5" s="42"/>
      <c r="G5" s="42"/>
      <c r="H5" s="42"/>
      <c r="I5" s="27">
        <v>210.53</v>
      </c>
      <c r="J5" s="77">
        <v>12.67</v>
      </c>
      <c r="K5" s="28">
        <f t="shared" ref="K5:K51" si="0">I5+J5</f>
        <v>223.2</v>
      </c>
      <c r="L5" s="29">
        <v>45565</v>
      </c>
      <c r="M5" s="31">
        <f>$P$4-I4</f>
        <v>9894.7700000000041</v>
      </c>
      <c r="N5" s="84" t="s">
        <v>25</v>
      </c>
    </row>
    <row r="6" spans="2:19" customFormat="1" x14ac:dyDescent="0.3">
      <c r="B6" s="39"/>
      <c r="C6" s="90"/>
      <c r="D6" s="91"/>
      <c r="E6" s="42"/>
      <c r="F6" s="42"/>
      <c r="G6" s="42"/>
      <c r="H6" s="42"/>
      <c r="I6" s="27">
        <v>210.53</v>
      </c>
      <c r="J6" s="77">
        <v>12.67</v>
      </c>
      <c r="K6" s="28">
        <f t="shared" si="0"/>
        <v>223.2</v>
      </c>
      <c r="L6" s="29">
        <v>45595</v>
      </c>
      <c r="M6" s="31">
        <f>M5-I6</f>
        <v>9684.2400000000034</v>
      </c>
      <c r="N6" s="84" t="s">
        <v>25</v>
      </c>
      <c r="P6" s="130" t="s">
        <v>89</v>
      </c>
      <c r="Q6" s="130"/>
      <c r="R6" s="82">
        <f>(R4/P4)-1</f>
        <v>-0.61844774524259494</v>
      </c>
    </row>
    <row r="7" spans="2:19" customFormat="1" x14ac:dyDescent="0.3">
      <c r="B7" s="39"/>
      <c r="C7" s="90"/>
      <c r="D7" s="91"/>
      <c r="E7" s="42"/>
      <c r="F7" s="42"/>
      <c r="G7" s="42"/>
      <c r="H7" s="42"/>
      <c r="I7" s="27">
        <v>210.53</v>
      </c>
      <c r="J7" s="77">
        <v>12.67</v>
      </c>
      <c r="K7" s="28">
        <f t="shared" si="0"/>
        <v>223.2</v>
      </c>
      <c r="L7" s="29">
        <v>45626</v>
      </c>
      <c r="M7" s="31">
        <f t="shared" ref="M7:M51" si="1">M6-I7</f>
        <v>9473.7100000000028</v>
      </c>
      <c r="N7" s="84" t="s">
        <v>25</v>
      </c>
      <c r="P7" s="39"/>
      <c r="Q7" s="39"/>
      <c r="R7" s="39"/>
    </row>
    <row r="8" spans="2:19" customFormat="1" x14ac:dyDescent="0.3">
      <c r="B8" s="39"/>
      <c r="C8" s="90"/>
      <c r="D8" s="91"/>
      <c r="E8" s="42"/>
      <c r="F8" s="42"/>
      <c r="G8" s="42"/>
      <c r="H8" s="42"/>
      <c r="I8" s="27">
        <v>210.53</v>
      </c>
      <c r="J8" s="77">
        <v>12.67</v>
      </c>
      <c r="K8" s="28">
        <f t="shared" si="0"/>
        <v>223.2</v>
      </c>
      <c r="L8" s="29">
        <v>45656</v>
      </c>
      <c r="M8" s="31">
        <f t="shared" si="1"/>
        <v>9263.1800000000021</v>
      </c>
      <c r="N8" s="84" t="s">
        <v>25</v>
      </c>
    </row>
    <row r="9" spans="2:19" customFormat="1" x14ac:dyDescent="0.3">
      <c r="B9" s="39"/>
      <c r="C9" s="90"/>
      <c r="D9" s="91"/>
      <c r="E9" s="42"/>
      <c r="F9" s="42"/>
      <c r="G9" s="42"/>
      <c r="H9" s="42"/>
      <c r="I9" s="27">
        <v>210.53</v>
      </c>
      <c r="J9" s="77">
        <v>12.67</v>
      </c>
      <c r="K9" s="28">
        <f t="shared" si="0"/>
        <v>223.2</v>
      </c>
      <c r="L9" s="29">
        <v>45687</v>
      </c>
      <c r="M9" s="31">
        <f t="shared" si="1"/>
        <v>9052.6500000000015</v>
      </c>
      <c r="N9" s="84" t="s">
        <v>25</v>
      </c>
      <c r="P9" s="135"/>
      <c r="Q9" s="135"/>
      <c r="R9" s="135"/>
    </row>
    <row r="10" spans="2:19" customFormat="1" x14ac:dyDescent="0.3">
      <c r="B10" s="39"/>
      <c r="C10" s="90"/>
      <c r="D10" s="91"/>
      <c r="E10" s="42"/>
      <c r="F10" s="42"/>
      <c r="G10" s="42"/>
      <c r="H10" s="42"/>
      <c r="I10" s="27">
        <v>210.53</v>
      </c>
      <c r="J10" s="77">
        <v>12.67</v>
      </c>
      <c r="K10" s="28">
        <f t="shared" si="0"/>
        <v>223.2</v>
      </c>
      <c r="L10" s="29">
        <v>45716</v>
      </c>
      <c r="M10" s="31">
        <f t="shared" si="1"/>
        <v>8842.1200000000008</v>
      </c>
      <c r="N10" s="84" t="s">
        <v>25</v>
      </c>
      <c r="P10" s="135"/>
      <c r="Q10" s="135"/>
      <c r="R10" s="135"/>
    </row>
    <row r="11" spans="2:19" customFormat="1" x14ac:dyDescent="0.3">
      <c r="B11" s="39"/>
      <c r="C11" s="90"/>
      <c r="D11" s="91"/>
      <c r="E11" s="42"/>
      <c r="F11" s="42"/>
      <c r="G11" s="42"/>
      <c r="H11" s="42"/>
      <c r="I11" s="27">
        <v>210.53</v>
      </c>
      <c r="J11" s="77">
        <v>12.67</v>
      </c>
      <c r="K11" s="28">
        <f t="shared" si="0"/>
        <v>223.2</v>
      </c>
      <c r="L11" s="29">
        <v>45746</v>
      </c>
      <c r="M11" s="31">
        <f t="shared" si="1"/>
        <v>8631.59</v>
      </c>
      <c r="N11" s="84" t="s">
        <v>25</v>
      </c>
      <c r="P11" s="135"/>
      <c r="Q11" s="135"/>
      <c r="R11" s="135"/>
    </row>
    <row r="12" spans="2:19" customFormat="1" x14ac:dyDescent="0.3">
      <c r="B12" s="39"/>
      <c r="C12" s="90"/>
      <c r="D12" s="91"/>
      <c r="E12" s="42"/>
      <c r="F12" s="42"/>
      <c r="G12" s="42"/>
      <c r="H12" s="42"/>
      <c r="I12" s="27">
        <v>210.53</v>
      </c>
      <c r="J12" s="77">
        <v>12.67</v>
      </c>
      <c r="K12" s="28">
        <f t="shared" si="0"/>
        <v>223.2</v>
      </c>
      <c r="L12" s="29">
        <v>45777</v>
      </c>
      <c r="M12" s="31">
        <f t="shared" si="1"/>
        <v>8421.06</v>
      </c>
      <c r="N12" s="84" t="s">
        <v>25</v>
      </c>
    </row>
    <row r="13" spans="2:19" customFormat="1" x14ac:dyDescent="0.3">
      <c r="B13" s="39"/>
      <c r="C13" s="90"/>
      <c r="D13" s="91"/>
      <c r="E13" s="42"/>
      <c r="F13" s="42"/>
      <c r="G13" s="42"/>
      <c r="H13" s="42"/>
      <c r="I13" s="27">
        <v>210.53</v>
      </c>
      <c r="J13" s="77">
        <v>12.67</v>
      </c>
      <c r="K13" s="28">
        <f t="shared" si="0"/>
        <v>223.2</v>
      </c>
      <c r="L13" s="29">
        <v>45807</v>
      </c>
      <c r="M13" s="31">
        <f t="shared" si="1"/>
        <v>8210.5299999999988</v>
      </c>
      <c r="N13" s="84" t="s">
        <v>25</v>
      </c>
    </row>
    <row r="14" spans="2:19" customFormat="1" x14ac:dyDescent="0.3">
      <c r="B14" s="39"/>
      <c r="C14" s="90"/>
      <c r="D14" s="91"/>
      <c r="E14" s="42"/>
      <c r="F14" s="42"/>
      <c r="G14" s="42"/>
      <c r="H14" s="42"/>
      <c r="I14" s="27">
        <v>210.53</v>
      </c>
      <c r="J14" s="77">
        <v>12.67</v>
      </c>
      <c r="K14" s="28">
        <f t="shared" si="0"/>
        <v>223.2</v>
      </c>
      <c r="L14" s="29">
        <v>45838</v>
      </c>
      <c r="M14" s="31">
        <f t="shared" si="1"/>
        <v>7999.9999999999991</v>
      </c>
      <c r="N14" s="84" t="s">
        <v>25</v>
      </c>
    </row>
    <row r="15" spans="2:19" customFormat="1" x14ac:dyDescent="0.3">
      <c r="B15" s="39"/>
      <c r="C15" s="90"/>
      <c r="D15" s="91"/>
      <c r="E15" s="42"/>
      <c r="F15" s="42"/>
      <c r="G15" s="42"/>
      <c r="H15" s="42"/>
      <c r="I15" s="27">
        <v>210.53</v>
      </c>
      <c r="J15" s="77">
        <v>12.67</v>
      </c>
      <c r="K15" s="28">
        <f t="shared" si="0"/>
        <v>223.2</v>
      </c>
      <c r="L15" s="29">
        <v>45868</v>
      </c>
      <c r="M15" s="31">
        <f t="shared" si="1"/>
        <v>7789.4699999999993</v>
      </c>
      <c r="N15" s="84" t="s">
        <v>25</v>
      </c>
    </row>
    <row r="16" spans="2:19" x14ac:dyDescent="0.3">
      <c r="C16" s="90"/>
      <c r="D16" s="91"/>
      <c r="E16" s="42"/>
      <c r="F16" s="42"/>
      <c r="G16" s="42"/>
      <c r="H16" s="42"/>
      <c r="I16" s="27">
        <v>210.53</v>
      </c>
      <c r="J16" s="77">
        <v>12.67</v>
      </c>
      <c r="K16" s="28">
        <f t="shared" si="0"/>
        <v>223.2</v>
      </c>
      <c r="L16" s="29">
        <v>45899</v>
      </c>
      <c r="M16" s="31">
        <f t="shared" si="1"/>
        <v>7578.94</v>
      </c>
      <c r="N16" s="84" t="s">
        <v>25</v>
      </c>
    </row>
    <row r="17" spans="3:14" x14ac:dyDescent="0.3">
      <c r="C17" s="40"/>
      <c r="D17" s="41"/>
      <c r="E17" s="42"/>
      <c r="F17" s="42"/>
      <c r="G17" s="42"/>
      <c r="H17" s="92"/>
      <c r="I17" s="27">
        <v>210.53</v>
      </c>
      <c r="J17" s="77">
        <v>12.67</v>
      </c>
      <c r="K17" s="28">
        <f t="shared" si="0"/>
        <v>223.2</v>
      </c>
      <c r="L17" s="29">
        <v>45930</v>
      </c>
      <c r="M17" s="31">
        <f t="shared" si="1"/>
        <v>7368.41</v>
      </c>
      <c r="N17" s="84" t="s">
        <v>25</v>
      </c>
    </row>
    <row r="18" spans="3:14" x14ac:dyDescent="0.3">
      <c r="C18" s="40"/>
      <c r="D18" s="41"/>
      <c r="E18" s="42"/>
      <c r="F18" s="42"/>
      <c r="G18" s="42"/>
      <c r="H18" s="42"/>
      <c r="I18" s="27">
        <v>210.53</v>
      </c>
      <c r="J18" s="77">
        <v>12.67</v>
      </c>
      <c r="K18" s="28">
        <f t="shared" si="0"/>
        <v>223.2</v>
      </c>
      <c r="L18" s="29">
        <v>45960</v>
      </c>
      <c r="M18" s="31">
        <f t="shared" si="1"/>
        <v>7157.88</v>
      </c>
      <c r="N18" s="84" t="s">
        <v>25</v>
      </c>
    </row>
    <row r="19" spans="3:14" x14ac:dyDescent="0.3">
      <c r="C19" s="40"/>
      <c r="D19" s="41"/>
      <c r="E19" s="42"/>
      <c r="F19" s="42"/>
      <c r="G19" s="42"/>
      <c r="H19" s="42"/>
      <c r="I19" s="27">
        <v>210.53</v>
      </c>
      <c r="J19" s="77">
        <v>12.67</v>
      </c>
      <c r="K19" s="28">
        <f t="shared" si="0"/>
        <v>223.2</v>
      </c>
      <c r="L19" s="29">
        <v>45991</v>
      </c>
      <c r="M19" s="31">
        <f t="shared" si="1"/>
        <v>6947.35</v>
      </c>
      <c r="N19" s="84" t="s">
        <v>25</v>
      </c>
    </row>
    <row r="20" spans="3:14" x14ac:dyDescent="0.3">
      <c r="C20" s="40"/>
      <c r="D20" s="41"/>
      <c r="E20" s="42"/>
      <c r="F20" s="42"/>
      <c r="G20" s="42"/>
      <c r="H20" s="42"/>
      <c r="I20" s="27">
        <v>210.53</v>
      </c>
      <c r="J20" s="77">
        <v>12.67</v>
      </c>
      <c r="K20" s="28">
        <f t="shared" si="0"/>
        <v>223.2</v>
      </c>
      <c r="L20" s="29">
        <v>46021</v>
      </c>
      <c r="M20" s="31">
        <f t="shared" si="1"/>
        <v>6736.8200000000006</v>
      </c>
      <c r="N20" s="84" t="s">
        <v>25</v>
      </c>
    </row>
    <row r="21" spans="3:14" x14ac:dyDescent="0.3">
      <c r="C21" s="40"/>
      <c r="D21" s="41"/>
      <c r="E21" s="42"/>
      <c r="F21" s="42"/>
      <c r="G21" s="42"/>
      <c r="H21" s="42"/>
      <c r="I21" s="27">
        <v>210.53</v>
      </c>
      <c r="J21" s="77">
        <v>12.67</v>
      </c>
      <c r="K21" s="28">
        <f t="shared" si="0"/>
        <v>223.2</v>
      </c>
      <c r="L21" s="29">
        <v>46052</v>
      </c>
      <c r="M21" s="31">
        <f t="shared" si="1"/>
        <v>6526.2900000000009</v>
      </c>
      <c r="N21" s="84" t="s">
        <v>25</v>
      </c>
    </row>
    <row r="22" spans="3:14" x14ac:dyDescent="0.3">
      <c r="C22" s="40"/>
      <c r="D22" s="41"/>
      <c r="E22" s="42"/>
      <c r="F22" s="42"/>
      <c r="G22" s="42"/>
      <c r="H22" s="42"/>
      <c r="I22" s="27">
        <v>210.53</v>
      </c>
      <c r="J22" s="77">
        <v>12.67</v>
      </c>
      <c r="K22" s="28">
        <f t="shared" si="0"/>
        <v>223.2</v>
      </c>
      <c r="L22" s="29">
        <v>46081</v>
      </c>
      <c r="M22" s="31">
        <f t="shared" si="1"/>
        <v>6315.7600000000011</v>
      </c>
      <c r="N22" s="84" t="s">
        <v>25</v>
      </c>
    </row>
    <row r="23" spans="3:14" x14ac:dyDescent="0.3">
      <c r="C23" s="40"/>
      <c r="D23" s="41"/>
      <c r="E23" s="42"/>
      <c r="F23" s="42"/>
      <c r="G23" s="42"/>
      <c r="H23" s="42"/>
      <c r="I23" s="27">
        <v>210.53</v>
      </c>
      <c r="J23" s="77">
        <v>12.67</v>
      </c>
      <c r="K23" s="28">
        <f t="shared" si="0"/>
        <v>223.2</v>
      </c>
      <c r="L23" s="29">
        <v>46111</v>
      </c>
      <c r="M23" s="31">
        <f t="shared" si="1"/>
        <v>6105.2300000000014</v>
      </c>
      <c r="N23" s="84" t="s">
        <v>25</v>
      </c>
    </row>
    <row r="24" spans="3:14" x14ac:dyDescent="0.3">
      <c r="C24" s="40"/>
      <c r="D24" s="41"/>
      <c r="E24" s="42"/>
      <c r="F24" s="42"/>
      <c r="G24" s="42"/>
      <c r="H24" s="42"/>
      <c r="I24" s="27">
        <v>210.53</v>
      </c>
      <c r="J24" s="77">
        <v>12.67</v>
      </c>
      <c r="K24" s="28">
        <f t="shared" si="0"/>
        <v>223.2</v>
      </c>
      <c r="L24" s="29">
        <v>46142</v>
      </c>
      <c r="M24" s="31">
        <f t="shared" si="1"/>
        <v>5894.7000000000016</v>
      </c>
      <c r="N24" s="84" t="s">
        <v>25</v>
      </c>
    </row>
    <row r="25" spans="3:14" x14ac:dyDescent="0.3">
      <c r="C25" s="40"/>
      <c r="D25" s="41"/>
      <c r="E25" s="42"/>
      <c r="F25" s="42"/>
      <c r="G25" s="42"/>
      <c r="H25" s="42"/>
      <c r="I25" s="27">
        <v>210.53</v>
      </c>
      <c r="J25" s="77">
        <v>12.67</v>
      </c>
      <c r="K25" s="28">
        <f t="shared" si="0"/>
        <v>223.2</v>
      </c>
      <c r="L25" s="29">
        <v>46172</v>
      </c>
      <c r="M25" s="31">
        <f t="shared" si="1"/>
        <v>5684.1700000000019</v>
      </c>
      <c r="N25" s="84" t="s">
        <v>25</v>
      </c>
    </row>
    <row r="26" spans="3:14" x14ac:dyDescent="0.3">
      <c r="C26" s="40"/>
      <c r="D26" s="41"/>
      <c r="E26" s="42"/>
      <c r="F26" s="42"/>
      <c r="G26" s="42"/>
      <c r="H26" s="42"/>
      <c r="I26" s="27">
        <v>210.53</v>
      </c>
      <c r="J26" s="77">
        <v>12.67</v>
      </c>
      <c r="K26" s="28">
        <f t="shared" si="0"/>
        <v>223.2</v>
      </c>
      <c r="L26" s="29">
        <v>46203</v>
      </c>
      <c r="M26" s="31">
        <f t="shared" si="1"/>
        <v>5473.6400000000021</v>
      </c>
      <c r="N26" s="84" t="s">
        <v>25</v>
      </c>
    </row>
    <row r="27" spans="3:14" x14ac:dyDescent="0.3">
      <c r="C27" s="40"/>
      <c r="D27" s="41"/>
      <c r="E27" s="42"/>
      <c r="F27" s="42"/>
      <c r="G27" s="42"/>
      <c r="H27" s="42"/>
      <c r="I27" s="27">
        <v>210.53</v>
      </c>
      <c r="J27" s="77">
        <v>12.67</v>
      </c>
      <c r="K27" s="28">
        <f t="shared" si="0"/>
        <v>223.2</v>
      </c>
      <c r="L27" s="29">
        <v>46233</v>
      </c>
      <c r="M27" s="31">
        <f t="shared" si="1"/>
        <v>5263.1100000000024</v>
      </c>
      <c r="N27" s="84" t="s">
        <v>25</v>
      </c>
    </row>
    <row r="28" spans="3:14" x14ac:dyDescent="0.3">
      <c r="C28" s="40"/>
      <c r="D28" s="41"/>
      <c r="E28" s="42"/>
      <c r="F28" s="42"/>
      <c r="G28" s="42"/>
      <c r="H28" s="42"/>
      <c r="I28" s="27">
        <v>210.53</v>
      </c>
      <c r="J28" s="77">
        <v>12.67</v>
      </c>
      <c r="K28" s="28">
        <f t="shared" si="0"/>
        <v>223.2</v>
      </c>
      <c r="L28" s="29">
        <v>46264</v>
      </c>
      <c r="M28" s="31">
        <f t="shared" si="1"/>
        <v>5052.5800000000027</v>
      </c>
      <c r="N28" s="84" t="s">
        <v>25</v>
      </c>
    </row>
    <row r="29" spans="3:14" x14ac:dyDescent="0.3">
      <c r="C29" s="40"/>
      <c r="D29" s="41"/>
      <c r="E29" s="42"/>
      <c r="F29" s="42"/>
      <c r="G29" s="42"/>
      <c r="H29" s="42"/>
      <c r="I29" s="27">
        <v>210.53</v>
      </c>
      <c r="J29" s="77">
        <v>12.67</v>
      </c>
      <c r="K29" s="28">
        <f t="shared" si="0"/>
        <v>223.2</v>
      </c>
      <c r="L29" s="29">
        <v>46295</v>
      </c>
      <c r="M29" s="31">
        <f t="shared" si="1"/>
        <v>4842.0500000000029</v>
      </c>
      <c r="N29" s="84" t="s">
        <v>25</v>
      </c>
    </row>
    <row r="30" spans="3:14" x14ac:dyDescent="0.3">
      <c r="C30" s="40"/>
      <c r="D30" s="41"/>
      <c r="E30" s="42"/>
      <c r="F30" s="42"/>
      <c r="G30" s="42"/>
      <c r="H30" s="42"/>
      <c r="I30" s="27">
        <v>210.53</v>
      </c>
      <c r="J30" s="77">
        <v>12.67</v>
      </c>
      <c r="K30" s="28">
        <f t="shared" si="0"/>
        <v>223.2</v>
      </c>
      <c r="L30" s="29">
        <v>46325</v>
      </c>
      <c r="M30" s="31">
        <f t="shared" si="1"/>
        <v>4631.5200000000032</v>
      </c>
      <c r="N30" s="84" t="s">
        <v>25</v>
      </c>
    </row>
    <row r="31" spans="3:14" x14ac:dyDescent="0.3">
      <c r="C31" s="40"/>
      <c r="D31" s="41"/>
      <c r="E31" s="42"/>
      <c r="F31" s="42"/>
      <c r="G31" s="42"/>
      <c r="H31" s="42"/>
      <c r="I31" s="27">
        <v>210.53</v>
      </c>
      <c r="J31" s="77">
        <v>12.67</v>
      </c>
      <c r="K31" s="28">
        <f t="shared" si="0"/>
        <v>223.2</v>
      </c>
      <c r="L31" s="29">
        <v>46356</v>
      </c>
      <c r="M31" s="31">
        <f t="shared" si="1"/>
        <v>4420.9900000000034</v>
      </c>
      <c r="N31" s="84" t="s">
        <v>25</v>
      </c>
    </row>
    <row r="32" spans="3:14" x14ac:dyDescent="0.3">
      <c r="C32" s="40"/>
      <c r="D32" s="41"/>
      <c r="E32" s="42"/>
      <c r="F32" s="42"/>
      <c r="G32" s="42"/>
      <c r="H32" s="42"/>
      <c r="I32" s="27">
        <v>210.53</v>
      </c>
      <c r="J32" s="77">
        <v>12.67</v>
      </c>
      <c r="K32" s="28">
        <f t="shared" si="0"/>
        <v>223.2</v>
      </c>
      <c r="L32" s="29">
        <v>46386</v>
      </c>
      <c r="M32" s="31">
        <f t="shared" si="1"/>
        <v>4210.4600000000037</v>
      </c>
      <c r="N32" s="84" t="s">
        <v>25</v>
      </c>
    </row>
    <row r="33" spans="3:14" x14ac:dyDescent="0.3">
      <c r="C33" s="40"/>
      <c r="D33" s="41"/>
      <c r="E33" s="42"/>
      <c r="F33" s="42"/>
      <c r="G33" s="42"/>
      <c r="H33" s="42"/>
      <c r="I33" s="27">
        <v>210.53</v>
      </c>
      <c r="J33" s="77">
        <v>69.069999999999993</v>
      </c>
      <c r="K33" s="28">
        <f t="shared" si="0"/>
        <v>279.60000000000002</v>
      </c>
      <c r="L33" s="29">
        <v>46417</v>
      </c>
      <c r="M33" s="31">
        <f t="shared" si="1"/>
        <v>3999.9300000000035</v>
      </c>
      <c r="N33" s="122" t="s">
        <v>114</v>
      </c>
    </row>
    <row r="34" spans="3:14" x14ac:dyDescent="0.3">
      <c r="C34" s="40"/>
      <c r="D34" s="41"/>
      <c r="E34" s="42"/>
      <c r="F34" s="42"/>
      <c r="G34" s="42"/>
      <c r="H34" s="42"/>
      <c r="I34" s="27">
        <v>210.53</v>
      </c>
      <c r="J34" s="77">
        <v>69.069999999999993</v>
      </c>
      <c r="K34" s="28">
        <f t="shared" si="0"/>
        <v>279.60000000000002</v>
      </c>
      <c r="L34" s="29">
        <v>46446</v>
      </c>
      <c r="M34" s="31">
        <f t="shared" si="1"/>
        <v>3789.4000000000033</v>
      </c>
      <c r="N34" s="122" t="s">
        <v>114</v>
      </c>
    </row>
    <row r="35" spans="3:14" x14ac:dyDescent="0.3">
      <c r="C35" s="40"/>
      <c r="D35" s="41"/>
      <c r="E35" s="42"/>
      <c r="F35" s="42"/>
      <c r="G35" s="42"/>
      <c r="H35" s="42"/>
      <c r="I35" s="27">
        <v>210.53</v>
      </c>
      <c r="J35" s="77">
        <v>69.069999999999993</v>
      </c>
      <c r="K35" s="28">
        <f t="shared" si="0"/>
        <v>279.60000000000002</v>
      </c>
      <c r="L35" s="29">
        <v>46476</v>
      </c>
      <c r="M35" s="31">
        <f t="shared" si="1"/>
        <v>3578.8700000000031</v>
      </c>
      <c r="N35" s="122" t="s">
        <v>114</v>
      </c>
    </row>
    <row r="36" spans="3:14" x14ac:dyDescent="0.3">
      <c r="C36" s="40"/>
      <c r="D36" s="41"/>
      <c r="E36" s="42"/>
      <c r="F36" s="42"/>
      <c r="G36" s="42"/>
      <c r="H36" s="42"/>
      <c r="I36" s="27">
        <v>210.53</v>
      </c>
      <c r="J36" s="77">
        <v>69.069999999999993</v>
      </c>
      <c r="K36" s="28">
        <f t="shared" si="0"/>
        <v>279.60000000000002</v>
      </c>
      <c r="L36" s="29">
        <v>46507</v>
      </c>
      <c r="M36" s="31">
        <f t="shared" si="1"/>
        <v>3368.3400000000029</v>
      </c>
      <c r="N36" s="122" t="s">
        <v>114</v>
      </c>
    </row>
    <row r="37" spans="3:14" x14ac:dyDescent="0.3">
      <c r="C37" s="40"/>
      <c r="D37" s="41"/>
      <c r="E37" s="42"/>
      <c r="F37" s="42"/>
      <c r="G37" s="42"/>
      <c r="H37" s="42"/>
      <c r="I37" s="27">
        <v>210.53</v>
      </c>
      <c r="J37" s="77">
        <v>69.069999999999993</v>
      </c>
      <c r="K37" s="28">
        <f t="shared" si="0"/>
        <v>279.60000000000002</v>
      </c>
      <c r="L37" s="29">
        <v>46537</v>
      </c>
      <c r="M37" s="31">
        <f t="shared" si="1"/>
        <v>3157.8100000000027</v>
      </c>
      <c r="N37" s="122" t="s">
        <v>114</v>
      </c>
    </row>
    <row r="38" spans="3:14" x14ac:dyDescent="0.3">
      <c r="C38" s="40"/>
      <c r="D38" s="41"/>
      <c r="E38" s="42"/>
      <c r="F38" s="42"/>
      <c r="G38" s="42"/>
      <c r="H38" s="42"/>
      <c r="I38" s="27">
        <v>210.53</v>
      </c>
      <c r="J38" s="77">
        <v>69.069999999999993</v>
      </c>
      <c r="K38" s="28">
        <f t="shared" si="0"/>
        <v>279.60000000000002</v>
      </c>
      <c r="L38" s="29">
        <v>46568</v>
      </c>
      <c r="M38" s="31">
        <f t="shared" si="1"/>
        <v>2947.2800000000025</v>
      </c>
      <c r="N38" s="122" t="s">
        <v>114</v>
      </c>
    </row>
    <row r="39" spans="3:14" x14ac:dyDescent="0.3">
      <c r="C39" s="40"/>
      <c r="D39" s="41"/>
      <c r="E39" s="42"/>
      <c r="F39" s="42"/>
      <c r="G39" s="42"/>
      <c r="H39" s="42"/>
      <c r="I39" s="27">
        <v>210.53</v>
      </c>
      <c r="J39" s="77">
        <v>69.069999999999993</v>
      </c>
      <c r="K39" s="28">
        <f t="shared" si="0"/>
        <v>279.60000000000002</v>
      </c>
      <c r="L39" s="29">
        <v>46598</v>
      </c>
      <c r="M39" s="31">
        <f t="shared" si="1"/>
        <v>2736.7500000000023</v>
      </c>
      <c r="N39" s="122" t="s">
        <v>114</v>
      </c>
    </row>
    <row r="40" spans="3:14" x14ac:dyDescent="0.3">
      <c r="C40" s="40"/>
      <c r="D40" s="41"/>
      <c r="E40" s="42"/>
      <c r="F40" s="42"/>
      <c r="G40" s="42"/>
      <c r="H40" s="42"/>
      <c r="I40" s="27">
        <v>210.53</v>
      </c>
      <c r="J40" s="77">
        <v>69.069999999999993</v>
      </c>
      <c r="K40" s="28">
        <f t="shared" si="0"/>
        <v>279.60000000000002</v>
      </c>
      <c r="L40" s="29">
        <v>46629</v>
      </c>
      <c r="M40" s="31">
        <f t="shared" si="1"/>
        <v>2526.2200000000021</v>
      </c>
      <c r="N40" s="122" t="s">
        <v>114</v>
      </c>
    </row>
    <row r="41" spans="3:14" x14ac:dyDescent="0.3">
      <c r="C41" s="40"/>
      <c r="D41" s="41"/>
      <c r="E41" s="42"/>
      <c r="F41" s="42"/>
      <c r="G41" s="42"/>
      <c r="H41" s="42"/>
      <c r="I41" s="27">
        <v>210.53</v>
      </c>
      <c r="J41" s="77">
        <v>69.069999999999993</v>
      </c>
      <c r="K41" s="28">
        <f t="shared" si="0"/>
        <v>279.60000000000002</v>
      </c>
      <c r="L41" s="29">
        <v>46660</v>
      </c>
      <c r="M41" s="31">
        <f t="shared" si="1"/>
        <v>2315.6900000000019</v>
      </c>
      <c r="N41" s="122" t="s">
        <v>114</v>
      </c>
    </row>
    <row r="42" spans="3:14" x14ac:dyDescent="0.3">
      <c r="C42" s="40"/>
      <c r="D42" s="41"/>
      <c r="E42" s="42"/>
      <c r="F42" s="42"/>
      <c r="G42" s="42"/>
      <c r="H42" s="42"/>
      <c r="I42" s="27">
        <v>210.53</v>
      </c>
      <c r="J42" s="77">
        <v>69.069999999999993</v>
      </c>
      <c r="K42" s="28">
        <f t="shared" si="0"/>
        <v>279.60000000000002</v>
      </c>
      <c r="L42" s="29">
        <v>46690</v>
      </c>
      <c r="M42" s="31">
        <f t="shared" si="1"/>
        <v>2105.1600000000017</v>
      </c>
      <c r="N42" s="122" t="s">
        <v>114</v>
      </c>
    </row>
    <row r="43" spans="3:14" x14ac:dyDescent="0.3">
      <c r="C43" s="40"/>
      <c r="D43" s="41"/>
      <c r="E43" s="42"/>
      <c r="F43" s="42"/>
      <c r="G43" s="42"/>
      <c r="H43" s="42"/>
      <c r="I43" s="27">
        <v>210.53</v>
      </c>
      <c r="J43" s="77">
        <v>69.069999999999993</v>
      </c>
      <c r="K43" s="28">
        <f t="shared" si="0"/>
        <v>279.60000000000002</v>
      </c>
      <c r="L43" s="29">
        <v>46721</v>
      </c>
      <c r="M43" s="31">
        <f t="shared" si="1"/>
        <v>1894.6300000000017</v>
      </c>
      <c r="N43" s="122" t="s">
        <v>114</v>
      </c>
    </row>
    <row r="44" spans="3:14" x14ac:dyDescent="0.3">
      <c r="C44" s="40"/>
      <c r="D44" s="41"/>
      <c r="E44" s="42"/>
      <c r="F44" s="42"/>
      <c r="G44" s="42"/>
      <c r="H44" s="42"/>
      <c r="I44" s="27">
        <v>210.53</v>
      </c>
      <c r="J44" s="77">
        <v>69.069999999999993</v>
      </c>
      <c r="K44" s="28">
        <f t="shared" si="0"/>
        <v>279.60000000000002</v>
      </c>
      <c r="L44" s="29">
        <v>46751</v>
      </c>
      <c r="M44" s="31">
        <f t="shared" si="1"/>
        <v>1684.1000000000017</v>
      </c>
      <c r="N44" s="122" t="s">
        <v>114</v>
      </c>
    </row>
    <row r="45" spans="3:14" x14ac:dyDescent="0.3">
      <c r="C45" s="40"/>
      <c r="D45" s="41"/>
      <c r="E45" s="42"/>
      <c r="F45" s="42"/>
      <c r="G45" s="42"/>
      <c r="H45" s="42"/>
      <c r="I45" s="27">
        <v>210.53</v>
      </c>
      <c r="J45" s="77">
        <v>69.069999999999993</v>
      </c>
      <c r="K45" s="28">
        <f t="shared" si="0"/>
        <v>279.60000000000002</v>
      </c>
      <c r="L45" s="29">
        <v>46782</v>
      </c>
      <c r="M45" s="31">
        <f t="shared" si="1"/>
        <v>1473.5700000000018</v>
      </c>
      <c r="N45" s="122" t="s">
        <v>114</v>
      </c>
    </row>
    <row r="46" spans="3:14" x14ac:dyDescent="0.3">
      <c r="C46" s="40"/>
      <c r="D46" s="41"/>
      <c r="E46" s="42"/>
      <c r="F46" s="42"/>
      <c r="G46" s="42"/>
      <c r="H46" s="42"/>
      <c r="I46" s="27">
        <v>210.53</v>
      </c>
      <c r="J46" s="77">
        <v>69.069999999999993</v>
      </c>
      <c r="K46" s="28">
        <f t="shared" si="0"/>
        <v>279.60000000000002</v>
      </c>
      <c r="L46" s="29">
        <v>46812</v>
      </c>
      <c r="M46" s="31">
        <f t="shared" si="1"/>
        <v>1263.0400000000018</v>
      </c>
      <c r="N46" s="122" t="s">
        <v>114</v>
      </c>
    </row>
    <row r="47" spans="3:14" x14ac:dyDescent="0.3">
      <c r="C47" s="40"/>
      <c r="D47" s="41"/>
      <c r="E47" s="42"/>
      <c r="F47" s="42"/>
      <c r="G47" s="42"/>
      <c r="H47" s="42"/>
      <c r="I47" s="27">
        <v>210.53</v>
      </c>
      <c r="J47" s="77">
        <v>69.069999999999993</v>
      </c>
      <c r="K47" s="28">
        <f t="shared" si="0"/>
        <v>279.60000000000002</v>
      </c>
      <c r="L47" s="29">
        <v>46842</v>
      </c>
      <c r="M47" s="31">
        <f t="shared" si="1"/>
        <v>1052.5100000000018</v>
      </c>
      <c r="N47" s="122" t="s">
        <v>114</v>
      </c>
    </row>
    <row r="48" spans="3:14" x14ac:dyDescent="0.3">
      <c r="C48" s="40"/>
      <c r="D48" s="41"/>
      <c r="E48" s="42"/>
      <c r="F48" s="42"/>
      <c r="G48" s="42"/>
      <c r="H48" s="42"/>
      <c r="I48" s="27">
        <v>210.53</v>
      </c>
      <c r="J48" s="77">
        <v>69.069999999999993</v>
      </c>
      <c r="K48" s="28">
        <f t="shared" si="0"/>
        <v>279.60000000000002</v>
      </c>
      <c r="L48" s="29">
        <v>46873</v>
      </c>
      <c r="M48" s="31">
        <f t="shared" si="1"/>
        <v>841.98000000000184</v>
      </c>
      <c r="N48" s="122" t="s">
        <v>114</v>
      </c>
    </row>
    <row r="49" spans="3:14" x14ac:dyDescent="0.3">
      <c r="C49" s="40"/>
      <c r="D49" s="41"/>
      <c r="E49" s="42"/>
      <c r="F49" s="42"/>
      <c r="G49" s="42"/>
      <c r="H49" s="42"/>
      <c r="I49" s="27">
        <v>210.53</v>
      </c>
      <c r="J49" s="77">
        <v>69.069999999999993</v>
      </c>
      <c r="K49" s="28">
        <f t="shared" si="0"/>
        <v>279.60000000000002</v>
      </c>
      <c r="L49" s="29">
        <v>46903</v>
      </c>
      <c r="M49" s="31">
        <f t="shared" si="1"/>
        <v>631.45000000000186</v>
      </c>
      <c r="N49" s="122" t="s">
        <v>114</v>
      </c>
    </row>
    <row r="50" spans="3:14" x14ac:dyDescent="0.3">
      <c r="C50" s="40"/>
      <c r="D50" s="41"/>
      <c r="E50" s="42"/>
      <c r="F50" s="42"/>
      <c r="G50" s="42"/>
      <c r="H50" s="42"/>
      <c r="I50" s="27">
        <v>210.53</v>
      </c>
      <c r="J50" s="77">
        <v>69.069999999999993</v>
      </c>
      <c r="K50" s="28">
        <f t="shared" si="0"/>
        <v>279.60000000000002</v>
      </c>
      <c r="L50" s="29">
        <v>46934</v>
      </c>
      <c r="M50" s="31">
        <f t="shared" si="1"/>
        <v>420.92000000000189</v>
      </c>
      <c r="N50" s="122" t="s">
        <v>114</v>
      </c>
    </row>
    <row r="51" spans="3:14" x14ac:dyDescent="0.3">
      <c r="C51" s="40"/>
      <c r="D51" s="41"/>
      <c r="E51" s="42"/>
      <c r="F51" s="42"/>
      <c r="G51" s="42"/>
      <c r="H51" s="42"/>
      <c r="I51" s="27">
        <v>210.53</v>
      </c>
      <c r="J51" s="77">
        <v>69.069999999999993</v>
      </c>
      <c r="K51" s="28">
        <f t="shared" si="0"/>
        <v>279.60000000000002</v>
      </c>
      <c r="L51" s="29">
        <v>46964</v>
      </c>
      <c r="M51" s="31">
        <f t="shared" si="1"/>
        <v>210.39000000000189</v>
      </c>
      <c r="N51" s="122" t="s">
        <v>114</v>
      </c>
    </row>
    <row r="52" spans="3:14" x14ac:dyDescent="0.3">
      <c r="C52" s="40"/>
      <c r="D52" s="41"/>
      <c r="E52" s="42"/>
      <c r="F52" s="42"/>
      <c r="G52" s="42"/>
      <c r="H52" s="42"/>
      <c r="I52" s="42">
        <f>SUM(I4:I51)-0.14</f>
        <v>10105.300000000005</v>
      </c>
      <c r="J52" s="42"/>
      <c r="K52" s="42"/>
      <c r="L52" s="43"/>
      <c r="M52" s="44"/>
    </row>
    <row r="53" spans="3:14" x14ac:dyDescent="0.3">
      <c r="C53" s="40"/>
      <c r="D53" s="41"/>
      <c r="E53" s="42"/>
      <c r="F53" s="42"/>
      <c r="G53" s="42"/>
      <c r="H53" s="42"/>
      <c r="I53" s="42"/>
      <c r="J53" s="42"/>
      <c r="K53" s="42"/>
      <c r="L53" s="43"/>
      <c r="M53" s="44"/>
    </row>
    <row r="54" spans="3:14" x14ac:dyDescent="0.3">
      <c r="C54" s="40"/>
      <c r="D54" s="41"/>
      <c r="E54" s="42"/>
      <c r="F54" s="42"/>
      <c r="G54" s="42"/>
      <c r="H54" s="42"/>
      <c r="I54" s="42"/>
      <c r="J54" s="42"/>
      <c r="K54" s="42"/>
      <c r="L54" s="43"/>
      <c r="M54" s="44"/>
    </row>
    <row r="55" spans="3:14" x14ac:dyDescent="0.3">
      <c r="C55" s="40"/>
      <c r="D55" s="41"/>
      <c r="E55" s="42"/>
      <c r="F55" s="42"/>
      <c r="G55" s="42"/>
      <c r="H55" s="42"/>
      <c r="I55" s="42"/>
      <c r="J55" s="42"/>
      <c r="K55" s="42"/>
      <c r="L55" s="43"/>
      <c r="M55" s="44"/>
    </row>
    <row r="56" spans="3:14" x14ac:dyDescent="0.3">
      <c r="C56" s="40"/>
      <c r="D56" s="41"/>
      <c r="E56" s="42"/>
      <c r="F56" s="42"/>
      <c r="G56" s="42"/>
      <c r="H56" s="42"/>
      <c r="I56" s="42"/>
      <c r="J56" s="42"/>
      <c r="K56" s="42"/>
      <c r="L56" s="43"/>
      <c r="M56" s="44"/>
    </row>
    <row r="57" spans="3:14" x14ac:dyDescent="0.3">
      <c r="C57" s="40"/>
      <c r="D57" s="41"/>
      <c r="E57" s="42"/>
      <c r="F57" s="42"/>
      <c r="G57" s="42"/>
      <c r="H57" s="42"/>
      <c r="I57" s="42"/>
      <c r="J57" s="42"/>
      <c r="K57" s="42"/>
      <c r="L57" s="43"/>
      <c r="M57" s="44"/>
    </row>
    <row r="58" spans="3:14" x14ac:dyDescent="0.3">
      <c r="H58" s="44"/>
      <c r="K58" s="44"/>
    </row>
  </sheetData>
  <mergeCells count="4">
    <mergeCell ref="P6:Q6"/>
    <mergeCell ref="P9:R9"/>
    <mergeCell ref="P10:R10"/>
    <mergeCell ref="P11:R11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5F36B-D5CF-4328-B814-E173D67EEF77}">
  <dimension ref="B1:Z28"/>
  <sheetViews>
    <sheetView showGridLines="0" workbookViewId="0">
      <selection activeCell="I22" sqref="I22"/>
    </sheetView>
  </sheetViews>
  <sheetFormatPr defaultRowHeight="14.4" x14ac:dyDescent="0.3"/>
  <cols>
    <col min="1" max="1" width="3.6640625" customWidth="1"/>
    <col min="2" max="2" width="10.33203125" style="4" customWidth="1"/>
    <col min="3" max="3" width="17" customWidth="1"/>
    <col min="4" max="4" width="12.109375" customWidth="1"/>
    <col min="5" max="5" width="17" customWidth="1"/>
    <col min="6" max="6" width="11.6640625" customWidth="1"/>
    <col min="7" max="7" width="11.88671875" customWidth="1"/>
    <col min="8" max="8" width="13.109375" customWidth="1"/>
    <col min="9" max="10" width="11.6640625" customWidth="1"/>
    <col min="11" max="11" width="10.6640625" customWidth="1"/>
    <col min="12" max="12" width="11.5546875" customWidth="1"/>
    <col min="13" max="13" width="13.109375" customWidth="1"/>
    <col min="14" max="14" width="11.44140625" customWidth="1"/>
    <col min="15" max="20" width="11.6640625" customWidth="1"/>
    <col min="21" max="22" width="11.6640625" hidden="1" customWidth="1"/>
    <col min="23" max="23" width="14.33203125" bestFit="1" customWidth="1"/>
  </cols>
  <sheetData>
    <row r="1" spans="2:26" ht="15" thickBot="1" x14ac:dyDescent="0.35"/>
    <row r="2" spans="2:26" ht="16.2" thickBot="1" x14ac:dyDescent="0.35">
      <c r="B2" s="137" t="s">
        <v>52</v>
      </c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9"/>
    </row>
    <row r="3" spans="2:26" s="4" customFormat="1" ht="15" thickBot="1" x14ac:dyDescent="0.35">
      <c r="B3" s="48" t="s">
        <v>1</v>
      </c>
      <c r="C3" s="49" t="s">
        <v>53</v>
      </c>
      <c r="D3" s="49" t="s">
        <v>54</v>
      </c>
      <c r="E3" s="49" t="s">
        <v>55</v>
      </c>
      <c r="F3" s="49" t="s">
        <v>56</v>
      </c>
      <c r="G3" s="49" t="s">
        <v>57</v>
      </c>
      <c r="H3" s="49" t="s">
        <v>58</v>
      </c>
      <c r="I3" s="49" t="s">
        <v>59</v>
      </c>
      <c r="J3" s="49" t="s">
        <v>60</v>
      </c>
      <c r="K3" s="49" t="s">
        <v>61</v>
      </c>
      <c r="L3" s="49" t="s">
        <v>62</v>
      </c>
      <c r="M3" s="49" t="s">
        <v>63</v>
      </c>
      <c r="N3" s="49" t="s">
        <v>64</v>
      </c>
      <c r="O3" s="49" t="s">
        <v>65</v>
      </c>
      <c r="P3" s="49" t="s">
        <v>66</v>
      </c>
      <c r="Q3" s="49" t="s">
        <v>67</v>
      </c>
      <c r="R3" s="49" t="s">
        <v>68</v>
      </c>
      <c r="S3" s="49" t="s">
        <v>69</v>
      </c>
      <c r="T3" s="49" t="s">
        <v>70</v>
      </c>
      <c r="U3" s="49" t="s">
        <v>71</v>
      </c>
      <c r="V3" s="49" t="s">
        <v>94</v>
      </c>
      <c r="W3" s="50" t="s">
        <v>6</v>
      </c>
      <c r="Y3" s="51" t="s">
        <v>72</v>
      </c>
      <c r="Z3" s="51" t="s">
        <v>73</v>
      </c>
    </row>
    <row r="4" spans="2:26" s="8" customFormat="1" x14ac:dyDescent="0.3">
      <c r="B4" s="52" t="s">
        <v>7</v>
      </c>
      <c r="C4" s="53">
        <v>161921.29</v>
      </c>
      <c r="D4" s="53"/>
      <c r="E4" s="53"/>
      <c r="F4" s="53"/>
      <c r="G4" s="53"/>
      <c r="H4" s="53">
        <v>725728.09</v>
      </c>
      <c r="I4" s="53"/>
      <c r="J4" s="53"/>
      <c r="K4" s="53"/>
      <c r="L4" s="53"/>
      <c r="M4" s="53"/>
      <c r="N4" s="53"/>
      <c r="O4" s="53"/>
      <c r="P4" s="53"/>
      <c r="R4" s="54"/>
      <c r="S4" s="54"/>
      <c r="T4" s="54"/>
      <c r="U4" s="54"/>
      <c r="V4" s="54"/>
      <c r="W4" s="55">
        <f>SUM(C4:T4)</f>
        <v>887649.38</v>
      </c>
      <c r="Y4" s="56">
        <v>45566</v>
      </c>
      <c r="Z4" s="57">
        <v>9.2999999999999992E-3</v>
      </c>
    </row>
    <row r="5" spans="2:26" s="8" customFormat="1" x14ac:dyDescent="0.3">
      <c r="B5" s="58" t="s">
        <v>74</v>
      </c>
      <c r="C5" s="59">
        <f>C4*20%</f>
        <v>32384.258000000002</v>
      </c>
      <c r="D5" s="59"/>
      <c r="E5" s="59"/>
      <c r="F5" s="59"/>
      <c r="G5" s="59"/>
      <c r="H5" s="59">
        <v>76636.88</v>
      </c>
      <c r="I5" s="53"/>
      <c r="J5" s="53"/>
      <c r="K5" s="53"/>
      <c r="L5" s="53"/>
      <c r="M5" s="53"/>
      <c r="N5" s="53"/>
      <c r="O5" s="53"/>
      <c r="P5" s="53"/>
      <c r="R5" s="54"/>
      <c r="S5" s="54"/>
      <c r="T5" s="54"/>
      <c r="U5" s="54"/>
      <c r="V5" s="54"/>
      <c r="W5" s="60">
        <f>SUM(C5:T5)</f>
        <v>109021.13800000001</v>
      </c>
      <c r="Y5" s="56">
        <v>45597</v>
      </c>
      <c r="Z5" s="57">
        <v>7.9000000000000008E-3</v>
      </c>
    </row>
    <row r="6" spans="2:26" s="8" customFormat="1" x14ac:dyDescent="0.3">
      <c r="B6" s="58" t="s">
        <v>15</v>
      </c>
      <c r="C6" s="61">
        <v>12759.39</v>
      </c>
      <c r="D6" s="59"/>
      <c r="E6" s="59"/>
      <c r="F6" s="59"/>
      <c r="G6" s="59"/>
      <c r="H6" s="61">
        <v>15530.58</v>
      </c>
      <c r="I6" s="53"/>
      <c r="J6" s="53"/>
      <c r="K6" s="53"/>
      <c r="L6" s="53"/>
      <c r="M6" s="53"/>
      <c r="N6" s="53"/>
      <c r="O6" s="53"/>
      <c r="P6" s="53"/>
      <c r="R6" s="54"/>
      <c r="S6" s="54"/>
      <c r="T6" s="54"/>
      <c r="U6" s="54"/>
      <c r="V6" s="54"/>
      <c r="W6" s="62">
        <f>SUM(C6:T6)</f>
        <v>28289.97</v>
      </c>
      <c r="Y6" s="56">
        <v>45627</v>
      </c>
      <c r="Z6" s="57">
        <v>9.2999999999999992E-3</v>
      </c>
    </row>
    <row r="7" spans="2:26" s="8" customFormat="1" ht="15" thickBot="1" x14ac:dyDescent="0.35">
      <c r="B7" s="63" t="s">
        <v>75</v>
      </c>
      <c r="C7" s="64">
        <f>SUBTOTAL(109,C4:C6)</f>
        <v>207064.93800000002</v>
      </c>
      <c r="D7" s="64"/>
      <c r="E7" s="64"/>
      <c r="F7" s="64"/>
      <c r="G7" s="64"/>
      <c r="H7" s="64">
        <f t="shared" ref="H7" si="0">SUBTOTAL(109,H4:H6)</f>
        <v>817895.54999999993</v>
      </c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5">
        <f>SUM(W4,W5,W6)</f>
        <v>1024960.488</v>
      </c>
      <c r="Y7" s="56">
        <v>45658</v>
      </c>
      <c r="Z7" s="57">
        <v>1.01E-2</v>
      </c>
    </row>
    <row r="8" spans="2:26" s="8" customFormat="1" x14ac:dyDescent="0.3">
      <c r="B8" s="52" t="s">
        <v>8</v>
      </c>
      <c r="C8" s="53">
        <v>54826.86</v>
      </c>
      <c r="D8" s="53"/>
      <c r="E8" s="53"/>
      <c r="F8" s="53"/>
      <c r="G8" s="53"/>
      <c r="H8" s="53">
        <v>234058.66</v>
      </c>
      <c r="I8" s="53"/>
      <c r="J8" s="53"/>
      <c r="K8" s="53"/>
      <c r="L8" s="53"/>
      <c r="M8" s="53"/>
      <c r="N8" s="53"/>
      <c r="O8" s="53"/>
      <c r="P8" s="53"/>
      <c r="R8" s="54"/>
      <c r="S8" s="54"/>
      <c r="T8" s="54"/>
      <c r="U8" s="54"/>
      <c r="V8" s="54"/>
      <c r="W8" s="55">
        <f>SUM(C8:T8)</f>
        <v>288885.52</v>
      </c>
      <c r="Y8" s="56">
        <v>45689</v>
      </c>
      <c r="Z8" s="57">
        <v>9.9000000000000008E-3</v>
      </c>
    </row>
    <row r="9" spans="2:26" s="8" customFormat="1" x14ac:dyDescent="0.3">
      <c r="B9" s="58" t="s">
        <v>74</v>
      </c>
      <c r="C9" s="59">
        <f>C8*20%</f>
        <v>10965.372000000001</v>
      </c>
      <c r="D9" s="59"/>
      <c r="E9" s="59"/>
      <c r="F9" s="59"/>
      <c r="G9" s="59"/>
      <c r="H9" s="59">
        <v>24716.59</v>
      </c>
      <c r="I9" s="53"/>
      <c r="J9" s="53"/>
      <c r="K9" s="53"/>
      <c r="L9" s="53"/>
      <c r="M9" s="53"/>
      <c r="N9" s="53"/>
      <c r="O9" s="53"/>
      <c r="P9" s="53"/>
      <c r="R9" s="54"/>
      <c r="S9" s="54"/>
      <c r="T9" s="54"/>
      <c r="U9" s="54"/>
      <c r="V9" s="54"/>
      <c r="W9" s="60">
        <f>SUM(C9:T9)</f>
        <v>35681.962</v>
      </c>
      <c r="X9" s="5"/>
      <c r="Y9" s="56">
        <v>45717</v>
      </c>
      <c r="Z9" s="57">
        <v>9.5999999999999992E-3</v>
      </c>
    </row>
    <row r="10" spans="2:26" s="8" customFormat="1" x14ac:dyDescent="0.3">
      <c r="B10" s="58" t="s">
        <v>15</v>
      </c>
      <c r="C10" s="59">
        <v>4320.3500000000004</v>
      </c>
      <c r="D10" s="59"/>
      <c r="E10" s="59"/>
      <c r="F10" s="59"/>
      <c r="G10" s="59"/>
      <c r="H10" s="61">
        <v>5008.8500000000004</v>
      </c>
      <c r="I10" s="53"/>
      <c r="J10" s="53"/>
      <c r="K10" s="53"/>
      <c r="L10" s="53"/>
      <c r="M10" s="53"/>
      <c r="N10" s="53"/>
      <c r="O10" s="53"/>
      <c r="P10" s="53"/>
      <c r="R10" s="54"/>
      <c r="S10" s="54"/>
      <c r="T10" s="54"/>
      <c r="U10" s="54"/>
      <c r="V10" s="54"/>
      <c r="W10" s="62">
        <f>SUM(C10:T10)</f>
        <v>9329.2000000000007</v>
      </c>
      <c r="Y10" s="56">
        <v>45748</v>
      </c>
      <c r="Z10" s="57">
        <v>1.06E-2</v>
      </c>
    </row>
    <row r="11" spans="2:26" s="8" customFormat="1" ht="15" thickBot="1" x14ac:dyDescent="0.35">
      <c r="B11" s="63" t="s">
        <v>75</v>
      </c>
      <c r="C11" s="64">
        <f>SUBTOTAL(109,C8:C10)</f>
        <v>70112.582000000009</v>
      </c>
      <c r="D11" s="64"/>
      <c r="E11" s="64"/>
      <c r="F11" s="64"/>
      <c r="G11" s="64"/>
      <c r="H11" s="64">
        <f t="shared" ref="H11" si="1">SUBTOTAL(109,H8:H10)</f>
        <v>263784.09999999998</v>
      </c>
      <c r="I11" s="64"/>
      <c r="J11" s="64"/>
      <c r="K11" s="64"/>
      <c r="L11" s="64"/>
      <c r="M11" s="64"/>
      <c r="N11" s="64"/>
      <c r="O11" s="64"/>
      <c r="P11" s="53"/>
      <c r="R11" s="54"/>
      <c r="S11" s="54"/>
      <c r="T11" s="54"/>
      <c r="U11" s="54"/>
      <c r="V11" s="54"/>
      <c r="W11" s="65">
        <f>SUM(W8,W9,W10)</f>
        <v>333896.68200000003</v>
      </c>
      <c r="Y11" s="56"/>
      <c r="Z11" s="57">
        <v>0.01</v>
      </c>
    </row>
    <row r="12" spans="2:26" s="8" customFormat="1" x14ac:dyDescent="0.3">
      <c r="B12" s="52" t="s">
        <v>76</v>
      </c>
      <c r="C12" s="66"/>
      <c r="D12" s="53">
        <v>12955.06</v>
      </c>
      <c r="E12" s="53">
        <v>17941.02</v>
      </c>
      <c r="F12" s="53">
        <v>9513.9</v>
      </c>
      <c r="G12" s="53">
        <v>11729.14</v>
      </c>
      <c r="H12" s="53"/>
      <c r="I12" s="53">
        <v>11439.37</v>
      </c>
      <c r="J12" s="53"/>
      <c r="K12" s="53"/>
      <c r="L12" s="53"/>
      <c r="M12" s="53"/>
      <c r="N12" s="53"/>
      <c r="O12" s="53"/>
      <c r="P12" s="67"/>
      <c r="Q12" s="68"/>
      <c r="R12" s="54"/>
      <c r="S12" s="54"/>
      <c r="T12" s="54"/>
      <c r="U12" s="54"/>
      <c r="V12" s="53"/>
      <c r="W12" s="55">
        <f>SUM(C12:V12)</f>
        <v>63578.490000000005</v>
      </c>
      <c r="X12" s="5"/>
      <c r="Y12" s="56"/>
      <c r="Z12" s="57"/>
    </row>
    <row r="13" spans="2:26" s="8" customFormat="1" x14ac:dyDescent="0.3">
      <c r="B13" s="58" t="s">
        <v>74</v>
      </c>
      <c r="C13" s="59"/>
      <c r="D13" s="59">
        <f>D12*20%</f>
        <v>2591.0120000000002</v>
      </c>
      <c r="E13" s="59">
        <f>E12*20%</f>
        <v>3588.2040000000002</v>
      </c>
      <c r="F13" s="59">
        <f>F12*20%</f>
        <v>1902.78</v>
      </c>
      <c r="G13" s="59">
        <v>1393.42</v>
      </c>
      <c r="H13" s="61"/>
      <c r="I13" s="61">
        <v>301.99</v>
      </c>
      <c r="J13" s="53"/>
      <c r="K13" s="53"/>
      <c r="L13" s="53"/>
      <c r="M13" s="53"/>
      <c r="N13" s="53"/>
      <c r="O13" s="53"/>
      <c r="P13" s="67"/>
      <c r="Q13" s="68"/>
      <c r="R13" s="54"/>
      <c r="S13" s="54"/>
      <c r="T13" s="54"/>
      <c r="U13" s="54"/>
      <c r="V13" s="61"/>
      <c r="W13" s="60">
        <f>SUM(C13:T13)</f>
        <v>9777.4060000000009</v>
      </c>
      <c r="Y13" s="56"/>
      <c r="Z13" s="57"/>
    </row>
    <row r="14" spans="2:26" s="8" customFormat="1" x14ac:dyDescent="0.3">
      <c r="B14" s="58" t="s">
        <v>15</v>
      </c>
      <c r="C14" s="59"/>
      <c r="D14" s="59">
        <v>667.18</v>
      </c>
      <c r="E14" s="59">
        <v>746.34</v>
      </c>
      <c r="F14" s="59">
        <v>304.44</v>
      </c>
      <c r="G14" s="59">
        <v>251</v>
      </c>
      <c r="H14" s="61"/>
      <c r="I14" s="61">
        <v>114.39</v>
      </c>
      <c r="J14" s="53"/>
      <c r="K14" s="53"/>
      <c r="L14" s="53"/>
      <c r="M14" s="53"/>
      <c r="N14" s="53"/>
      <c r="O14" s="53"/>
      <c r="P14" s="67"/>
      <c r="Q14" s="68"/>
      <c r="R14" s="54"/>
      <c r="S14" s="54"/>
      <c r="T14" s="54"/>
      <c r="U14" s="54"/>
      <c r="V14" s="61"/>
      <c r="W14" s="62">
        <f>SUM(C14:T14)</f>
        <v>2083.35</v>
      </c>
      <c r="X14" s="5"/>
      <c r="Y14" s="56"/>
      <c r="Z14" s="57"/>
    </row>
    <row r="15" spans="2:26" s="8" customFormat="1" ht="15" thickBot="1" x14ac:dyDescent="0.35">
      <c r="B15" s="63" t="s">
        <v>75</v>
      </c>
      <c r="C15" s="64"/>
      <c r="D15" s="64">
        <f>SUBTOTAL(109,D12:D14)</f>
        <v>16213.252</v>
      </c>
      <c r="E15" s="64">
        <f>SUBTOTAL(109,E12:E14)</f>
        <v>22275.564000000002</v>
      </c>
      <c r="F15" s="64">
        <f>SUBTOTAL(109,F12:F14)</f>
        <v>11721.12</v>
      </c>
      <c r="G15" s="64">
        <f>SUBTOTAL(109,G12:G14)</f>
        <v>13373.56</v>
      </c>
      <c r="H15" s="64"/>
      <c r="I15" s="64">
        <f>SUBTOTAL(109,I12:I14)</f>
        <v>11855.75</v>
      </c>
      <c r="J15" s="64">
        <f>SUBTOTAL(109,J12:J14)</f>
        <v>0</v>
      </c>
      <c r="K15" s="53"/>
      <c r="L15" s="53"/>
      <c r="M15" s="53"/>
      <c r="N15" s="53"/>
      <c r="O15" s="53"/>
      <c r="P15" s="67"/>
      <c r="Q15" s="68"/>
      <c r="R15" s="54"/>
      <c r="S15" s="54"/>
      <c r="T15" s="54"/>
      <c r="U15" s="54"/>
      <c r="V15" s="64"/>
      <c r="W15" s="65">
        <f>SUM(W12,W13,W14)</f>
        <v>75439.246000000014</v>
      </c>
      <c r="Y15" s="56"/>
      <c r="Z15" s="57"/>
    </row>
    <row r="16" spans="2:26" s="8" customFormat="1" x14ac:dyDescent="0.3">
      <c r="B16" s="52" t="s">
        <v>77</v>
      </c>
      <c r="C16" s="66"/>
      <c r="D16" s="53">
        <v>59792.55</v>
      </c>
      <c r="E16" s="53"/>
      <c r="F16" s="53">
        <v>43910.34</v>
      </c>
      <c r="G16" s="53">
        <v>54134.52</v>
      </c>
      <c r="H16" s="53"/>
      <c r="I16" s="53">
        <v>52797.07</v>
      </c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5">
        <f>SUM(C16:V16)</f>
        <v>210634.48</v>
      </c>
      <c r="Y16" s="56"/>
      <c r="Z16" s="57"/>
    </row>
    <row r="17" spans="2:26" s="8" customFormat="1" x14ac:dyDescent="0.3">
      <c r="B17" s="58" t="s">
        <v>74</v>
      </c>
      <c r="C17" s="59"/>
      <c r="D17" s="59">
        <f>D16*20%</f>
        <v>11958.510000000002</v>
      </c>
      <c r="E17" s="59">
        <f>E16*20%</f>
        <v>0</v>
      </c>
      <c r="F17" s="59">
        <f>F16*20%</f>
        <v>8782.0679999999993</v>
      </c>
      <c r="G17" s="59">
        <v>6431.18</v>
      </c>
      <c r="H17" s="59"/>
      <c r="I17" s="59">
        <v>1393.84</v>
      </c>
      <c r="J17" s="59"/>
      <c r="K17" s="53"/>
      <c r="L17" s="53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60">
        <f>SUM(C17:T17)</f>
        <v>28565.598000000002</v>
      </c>
      <c r="X17" s="5"/>
      <c r="Y17" s="56"/>
      <c r="Z17" s="57"/>
    </row>
    <row r="18" spans="2:26" s="8" customFormat="1" x14ac:dyDescent="0.3">
      <c r="B18" s="58" t="s">
        <v>15</v>
      </c>
      <c r="C18" s="59"/>
      <c r="D18" s="59">
        <v>3079.31</v>
      </c>
      <c r="E18" s="59">
        <f>SUM(Z5:Z21)*E16</f>
        <v>0</v>
      </c>
      <c r="F18" s="59">
        <v>1405.13</v>
      </c>
      <c r="G18" s="59">
        <v>1158.47</v>
      </c>
      <c r="H18" s="59"/>
      <c r="I18" s="59">
        <v>527.97</v>
      </c>
      <c r="J18" s="59"/>
      <c r="K18" s="53"/>
      <c r="L18" s="53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62">
        <f>SUM(C18:T18)</f>
        <v>6170.880000000001</v>
      </c>
      <c r="Y18" s="56"/>
      <c r="Z18" s="57"/>
    </row>
    <row r="19" spans="2:26" s="8" customFormat="1" ht="15" thickBot="1" x14ac:dyDescent="0.35">
      <c r="B19" s="63" t="s">
        <v>75</v>
      </c>
      <c r="C19" s="64"/>
      <c r="D19" s="64">
        <f t="shared" ref="D19:G19" si="2">SUBTOTAL(109,D16:D18)</f>
        <v>74830.37</v>
      </c>
      <c r="E19" s="64">
        <f t="shared" si="2"/>
        <v>0</v>
      </c>
      <c r="F19" s="64">
        <f t="shared" si="2"/>
        <v>54097.537999999993</v>
      </c>
      <c r="G19" s="64">
        <f t="shared" si="2"/>
        <v>61724.17</v>
      </c>
      <c r="H19" s="64"/>
      <c r="I19" s="64">
        <f t="shared" ref="I19:J19" si="3">SUBTOTAL(109,I16:I18)</f>
        <v>54718.879999999997</v>
      </c>
      <c r="J19" s="64">
        <f t="shared" si="3"/>
        <v>0</v>
      </c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5">
        <f>SUM(W16,W17,W18)</f>
        <v>245370.95800000001</v>
      </c>
      <c r="X19" s="5"/>
      <c r="Y19" s="56"/>
      <c r="Z19" s="57"/>
    </row>
    <row r="20" spans="2:26" ht="15.6" thickTop="1" thickBot="1" x14ac:dyDescent="0.35">
      <c r="B20" s="69"/>
      <c r="C20" s="70">
        <f t="shared" ref="C20:T20" si="4">C7+C11+C15+C19</f>
        <v>277177.52</v>
      </c>
      <c r="D20" s="70">
        <f t="shared" si="4"/>
        <v>91043.622000000003</v>
      </c>
      <c r="E20" s="70">
        <f t="shared" si="4"/>
        <v>22275.564000000002</v>
      </c>
      <c r="F20" s="70">
        <f t="shared" si="4"/>
        <v>65818.657999999996</v>
      </c>
      <c r="G20" s="70">
        <f t="shared" si="4"/>
        <v>75097.73</v>
      </c>
      <c r="H20" s="70">
        <f t="shared" si="4"/>
        <v>1081679.6499999999</v>
      </c>
      <c r="I20" s="70">
        <f t="shared" si="4"/>
        <v>66574.63</v>
      </c>
      <c r="J20" s="70">
        <f t="shared" si="4"/>
        <v>0</v>
      </c>
      <c r="K20" s="70">
        <f t="shared" si="4"/>
        <v>0</v>
      </c>
      <c r="L20" s="70">
        <f t="shared" si="4"/>
        <v>0</v>
      </c>
      <c r="M20" s="70">
        <f t="shared" si="4"/>
        <v>0</v>
      </c>
      <c r="N20" s="70">
        <f t="shared" si="4"/>
        <v>0</v>
      </c>
      <c r="O20" s="70">
        <f t="shared" si="4"/>
        <v>0</v>
      </c>
      <c r="P20" s="70">
        <f t="shared" si="4"/>
        <v>0</v>
      </c>
      <c r="Q20" s="70">
        <f t="shared" si="4"/>
        <v>0</v>
      </c>
      <c r="R20" s="70">
        <f t="shared" si="4"/>
        <v>0</v>
      </c>
      <c r="S20" s="70">
        <f t="shared" si="4"/>
        <v>0</v>
      </c>
      <c r="T20" s="70">
        <f t="shared" si="4"/>
        <v>0</v>
      </c>
      <c r="U20" s="71"/>
      <c r="V20" s="71"/>
      <c r="W20" s="72">
        <f>W7+W15+W11+W19</f>
        <v>1679667.3740000001</v>
      </c>
      <c r="Y20" s="56"/>
      <c r="Z20" s="57"/>
    </row>
    <row r="21" spans="2:26" x14ac:dyDescent="0.3">
      <c r="Y21" s="56"/>
      <c r="Z21" s="57"/>
    </row>
    <row r="22" spans="2:26" x14ac:dyDescent="0.3">
      <c r="Y22" s="56"/>
      <c r="Z22" s="57"/>
    </row>
    <row r="24" spans="2:26" x14ac:dyDescent="0.3">
      <c r="P24" s="136"/>
      <c r="Q24" s="136"/>
      <c r="R24" s="73"/>
      <c r="S24" s="73"/>
      <c r="T24" s="73"/>
      <c r="U24" s="73"/>
      <c r="V24" s="73"/>
      <c r="W24" s="74"/>
    </row>
    <row r="25" spans="2:26" x14ac:dyDescent="0.3">
      <c r="P25" s="136"/>
      <c r="Q25" s="136"/>
      <c r="R25" s="73"/>
      <c r="S25" s="73"/>
      <c r="T25" s="73"/>
      <c r="U25" s="73"/>
      <c r="V25" s="73"/>
      <c r="W25" s="74"/>
    </row>
    <row r="26" spans="2:26" x14ac:dyDescent="0.3">
      <c r="P26" s="136"/>
      <c r="Q26" s="136"/>
      <c r="R26" s="73"/>
      <c r="S26" s="73"/>
      <c r="T26" s="73"/>
      <c r="U26" s="73"/>
      <c r="V26" s="73"/>
      <c r="W26" s="74"/>
    </row>
    <row r="27" spans="2:26" x14ac:dyDescent="0.3">
      <c r="P27" s="136"/>
      <c r="Q27" s="136"/>
      <c r="R27" s="73"/>
      <c r="S27" s="73"/>
      <c r="T27" s="73"/>
      <c r="U27" s="73"/>
      <c r="V27" s="73"/>
      <c r="W27" s="75"/>
    </row>
    <row r="28" spans="2:26" x14ac:dyDescent="0.3">
      <c r="P28" s="136"/>
      <c r="Q28" s="136"/>
      <c r="R28" s="73"/>
      <c r="S28" s="73"/>
      <c r="T28" s="73"/>
      <c r="U28" s="73"/>
      <c r="V28" s="73"/>
      <c r="W28" s="76"/>
    </row>
  </sheetData>
  <mergeCells count="6">
    <mergeCell ref="P28:Q28"/>
    <mergeCell ref="B2:W2"/>
    <mergeCell ref="P24:Q24"/>
    <mergeCell ref="P25:Q25"/>
    <mergeCell ref="P26:Q26"/>
    <mergeCell ref="P27:Q27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301BD-1EC9-404C-9D58-1869DDAA2327}">
  <dimension ref="B2:Q9"/>
  <sheetViews>
    <sheetView showGridLines="0" workbookViewId="0">
      <selection activeCell="R22" sqref="R22"/>
    </sheetView>
  </sheetViews>
  <sheetFormatPr defaultRowHeight="14.4" x14ac:dyDescent="0.3"/>
  <cols>
    <col min="2" max="2" width="14.6640625" bestFit="1" customWidth="1"/>
    <col min="3" max="17" width="13.33203125" customWidth="1"/>
  </cols>
  <sheetData>
    <row r="2" spans="2:17" x14ac:dyDescent="0.3">
      <c r="C2" s="85">
        <v>45839</v>
      </c>
      <c r="D2" s="85">
        <v>45870</v>
      </c>
      <c r="E2" s="85">
        <v>45901</v>
      </c>
      <c r="F2" s="85">
        <v>45931</v>
      </c>
      <c r="G2" s="85">
        <v>45962</v>
      </c>
      <c r="H2" s="85">
        <v>45992</v>
      </c>
      <c r="I2" s="85">
        <v>46023</v>
      </c>
      <c r="J2" s="85">
        <v>46054</v>
      </c>
      <c r="K2" s="85">
        <v>46082</v>
      </c>
      <c r="L2" s="85">
        <v>46113</v>
      </c>
      <c r="M2" s="85">
        <v>46143</v>
      </c>
      <c r="N2" s="85">
        <v>46174</v>
      </c>
      <c r="O2" s="85">
        <v>46204</v>
      </c>
      <c r="P2" s="85">
        <v>46235</v>
      </c>
      <c r="Q2" s="85">
        <v>46266</v>
      </c>
    </row>
    <row r="3" spans="2:17" x14ac:dyDescent="0.3">
      <c r="B3" s="84" t="s">
        <v>95</v>
      </c>
      <c r="C3" s="86">
        <v>4720740.33</v>
      </c>
      <c r="D3" s="27">
        <v>3933285.24</v>
      </c>
      <c r="E3" s="27">
        <v>4298204.9000000004</v>
      </c>
      <c r="F3" s="27">
        <f>4883322.93</f>
        <v>4883322.93</v>
      </c>
      <c r="G3" s="27">
        <f>4245011.69</f>
        <v>4245011.6900000004</v>
      </c>
      <c r="H3" s="27">
        <f>4140927.18</f>
        <v>4140927.18</v>
      </c>
      <c r="I3" s="27">
        <v>6411342.0199999996</v>
      </c>
      <c r="J3" s="27">
        <f>3588099.37</f>
        <v>3588099.37</v>
      </c>
      <c r="K3" s="27">
        <v>3598275.49</v>
      </c>
      <c r="L3" s="27">
        <v>4192838.34</v>
      </c>
      <c r="M3" s="27">
        <v>4278028.67</v>
      </c>
      <c r="N3" s="27">
        <v>3912277.58</v>
      </c>
      <c r="O3" s="27">
        <v>5882097.6399999997</v>
      </c>
      <c r="P3" s="27">
        <v>3196894.17</v>
      </c>
      <c r="Q3" s="27">
        <v>3796974.4</v>
      </c>
    </row>
    <row r="4" spans="2:17" x14ac:dyDescent="0.3">
      <c r="B4" s="84" t="s">
        <v>96</v>
      </c>
      <c r="C4" s="27">
        <v>749.69</v>
      </c>
      <c r="D4" s="27">
        <v>555.83000000000004</v>
      </c>
      <c r="E4" s="27">
        <v>245.54</v>
      </c>
      <c r="F4" s="27">
        <v>2053.39</v>
      </c>
      <c r="G4" s="27">
        <v>614.61</v>
      </c>
      <c r="H4" s="27">
        <v>424.92</v>
      </c>
      <c r="I4" s="27">
        <v>0</v>
      </c>
      <c r="J4" s="27">
        <v>0</v>
      </c>
      <c r="K4" s="27">
        <v>0</v>
      </c>
      <c r="L4" s="27">
        <v>121.28</v>
      </c>
      <c r="M4" s="27">
        <v>0</v>
      </c>
      <c r="N4" s="27">
        <v>51.02</v>
      </c>
      <c r="O4" s="27">
        <v>119.3</v>
      </c>
      <c r="P4" s="27">
        <v>0</v>
      </c>
      <c r="Q4" s="27">
        <v>0</v>
      </c>
    </row>
    <row r="5" spans="2:17" x14ac:dyDescent="0.3">
      <c r="B5" s="84" t="s">
        <v>76</v>
      </c>
      <c r="C5" s="27">
        <v>23389.74</v>
      </c>
      <c r="D5" s="27">
        <v>23248.26</v>
      </c>
      <c r="E5" s="27">
        <v>18276.349999999999</v>
      </c>
      <c r="F5" s="27">
        <v>19986.419999999998</v>
      </c>
      <c r="G5" s="27">
        <v>24465.26</v>
      </c>
      <c r="H5" s="27">
        <v>20360.25</v>
      </c>
      <c r="I5" s="27">
        <f>22285.39</f>
        <v>22285.39</v>
      </c>
      <c r="J5" s="27">
        <v>0</v>
      </c>
      <c r="K5" s="27">
        <v>0</v>
      </c>
      <c r="L5" s="27">
        <v>0</v>
      </c>
      <c r="M5" s="27">
        <v>36214.15</v>
      </c>
      <c r="N5" s="27">
        <v>53315.91</v>
      </c>
      <c r="O5" s="27"/>
      <c r="P5" s="27">
        <v>53315.91</v>
      </c>
      <c r="Q5" s="27">
        <f>16179.2</f>
        <v>16179.2</v>
      </c>
    </row>
    <row r="6" spans="2:17" x14ac:dyDescent="0.3">
      <c r="B6" s="84" t="s">
        <v>77</v>
      </c>
      <c r="C6" s="27">
        <v>107597.6</v>
      </c>
      <c r="D6" s="27">
        <v>107299.69</v>
      </c>
      <c r="E6" s="27">
        <v>84352.37</v>
      </c>
      <c r="F6" s="27">
        <v>92271.08</v>
      </c>
      <c r="G6" s="27">
        <v>112915.75</v>
      </c>
      <c r="H6" s="27">
        <v>93969.99</v>
      </c>
      <c r="I6" s="27">
        <f>102854.7</f>
        <v>102854.7</v>
      </c>
      <c r="J6" s="27">
        <v>0</v>
      </c>
      <c r="K6" s="27">
        <v>0</v>
      </c>
      <c r="L6" s="27">
        <v>0</v>
      </c>
      <c r="M6" s="27">
        <v>100959.81</v>
      </c>
      <c r="N6" s="27">
        <v>0</v>
      </c>
      <c r="O6" s="27">
        <v>99037.19</v>
      </c>
      <c r="P6" s="27">
        <v>245472</v>
      </c>
      <c r="Q6" s="27">
        <f>74452.63</f>
        <v>74452.63</v>
      </c>
    </row>
    <row r="7" spans="2:17" x14ac:dyDescent="0.3">
      <c r="B7" s="84" t="s">
        <v>97</v>
      </c>
      <c r="C7" s="27">
        <v>301206.3</v>
      </c>
      <c r="D7" s="27">
        <v>304218.36</v>
      </c>
      <c r="E7" s="27">
        <v>307712.34999999998</v>
      </c>
      <c r="F7" s="27">
        <v>339560.64</v>
      </c>
      <c r="G7" s="27">
        <f>342956.22</f>
        <v>342956.22</v>
      </c>
      <c r="H7" s="27">
        <v>346521.61</v>
      </c>
      <c r="I7" s="27">
        <f>347930.35</f>
        <v>347930.35</v>
      </c>
      <c r="J7" s="27"/>
      <c r="K7" s="27"/>
      <c r="L7" s="27"/>
      <c r="M7" s="27"/>
      <c r="N7" s="27"/>
      <c r="O7" s="27"/>
      <c r="P7" s="27"/>
      <c r="Q7" s="27"/>
    </row>
    <row r="8" spans="2:17" x14ac:dyDescent="0.3">
      <c r="B8" s="84" t="s">
        <v>8</v>
      </c>
      <c r="C8" s="27">
        <v>99163.88</v>
      </c>
      <c r="D8" s="27">
        <v>100155.51</v>
      </c>
      <c r="E8" s="27">
        <v>101305.81</v>
      </c>
      <c r="F8" s="27">
        <v>112688.97</v>
      </c>
      <c r="G8" s="27">
        <v>113815.84</v>
      </c>
      <c r="H8" s="27">
        <v>114999.08</v>
      </c>
      <c r="I8" s="27">
        <f>117569.74</f>
        <v>117569.74</v>
      </c>
      <c r="J8" s="27"/>
      <c r="K8" s="27"/>
      <c r="L8" s="27"/>
      <c r="M8" s="27"/>
      <c r="N8" s="27"/>
      <c r="O8" s="27"/>
      <c r="P8" s="27"/>
      <c r="Q8" s="27"/>
    </row>
    <row r="9" spans="2:17" x14ac:dyDescent="0.3">
      <c r="B9" s="84" t="s">
        <v>99</v>
      </c>
      <c r="C9" s="96">
        <f>SUM(C4:C8)</f>
        <v>532107.21</v>
      </c>
      <c r="D9" s="96">
        <f t="shared" ref="D9:M9" si="0">SUM(D4:D8)</f>
        <v>535477.65</v>
      </c>
      <c r="E9" s="96">
        <f t="shared" si="0"/>
        <v>511892.42</v>
      </c>
      <c r="F9" s="96">
        <f t="shared" si="0"/>
        <v>566560.5</v>
      </c>
      <c r="G9" s="96">
        <f t="shared" si="0"/>
        <v>594767.67999999993</v>
      </c>
      <c r="H9" s="96">
        <f t="shared" si="0"/>
        <v>576275.85</v>
      </c>
      <c r="I9" s="96">
        <f t="shared" si="0"/>
        <v>590640.17999999993</v>
      </c>
      <c r="J9" s="96">
        <f t="shared" si="0"/>
        <v>0</v>
      </c>
      <c r="K9" s="96">
        <f t="shared" si="0"/>
        <v>0</v>
      </c>
      <c r="L9" s="96">
        <f t="shared" si="0"/>
        <v>121.28</v>
      </c>
      <c r="M9" s="96">
        <f t="shared" si="0"/>
        <v>137173.96</v>
      </c>
      <c r="N9" s="96">
        <f t="shared" ref="N9:O9" si="1">SUM(N4:N8)</f>
        <v>53366.93</v>
      </c>
      <c r="O9" s="96">
        <f t="shared" si="1"/>
        <v>99156.49</v>
      </c>
      <c r="P9" s="96">
        <f t="shared" ref="P9:Q9" si="2">SUM(P4:P8)</f>
        <v>298787.91000000003</v>
      </c>
      <c r="Q9" s="96">
        <f t="shared" si="2"/>
        <v>90631.83</v>
      </c>
    </row>
  </sheetData>
  <pageMargins left="0.511811024" right="0.511811024" top="0.78740157499999996" bottom="0.78740157499999996" header="0.31496062000000002" footer="0.31496062000000002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SALDO CREDOR INSS</vt:lpstr>
      <vt:lpstr>PARCELAMENTOS</vt:lpstr>
      <vt:lpstr>PARCELAMENTO 06062024</vt:lpstr>
      <vt:lpstr>PARCELAMENTO 05122024</vt:lpstr>
      <vt:lpstr>PARCELAMENTO 06062025</vt:lpstr>
      <vt:lpstr>PARCELAMENTO 25112025 </vt:lpstr>
      <vt:lpstr>PARCELAMENTO SC</vt:lpstr>
      <vt:lpstr>IMPOSTOS NÃO PARCELADOS</vt:lpstr>
      <vt:lpstr>ACOMPANHAMENTO 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</dc:creator>
  <cp:lastModifiedBy>Vitor Cruz</cp:lastModifiedBy>
  <dcterms:created xsi:type="dcterms:W3CDTF">2024-07-30T19:08:55Z</dcterms:created>
  <dcterms:modified xsi:type="dcterms:W3CDTF">2026-10-13T18:25:43Z</dcterms:modified>
</cp:coreProperties>
</file>